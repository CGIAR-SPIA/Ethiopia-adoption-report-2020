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18June2020\"/>
    </mc:Choice>
  </mc:AlternateContent>
  <xr:revisionPtr revIDLastSave="0" documentId="13_ncr:1_{38FD75AC-26E1-4E37-938F-1B3C2193823E}" xr6:coauthVersionLast="45" xr6:coauthVersionMax="45" xr10:uidLastSave="{00000000-0000-0000-0000-000000000000}"/>
  <bookViews>
    <workbookView xWindow="9840" yWindow="-6585" windowWidth="14400" windowHeight="7485" activeTab="3" xr2:uid="{C02DF286-03CA-4B33-835C-492FF6BD0C08}"/>
  </bookViews>
  <sheets>
    <sheet name="CG Germplasm" sheetId="1" r:id="rId1"/>
    <sheet name="Exotic germplasm " sheetId="2" r:id="rId2"/>
    <sheet name="Unconditional" sheetId="4" r:id="rId3"/>
    <sheet name="Related sta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8" i="4" l="1"/>
  <c r="I18" i="4"/>
  <c r="D18" i="4"/>
  <c r="L4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tc={5F4D08D6-C2BF-4712-AB3B-C7AB3C1B5A6B}</author>
  </authors>
  <commentList>
    <comment ref="I18" authorId="0" shapeId="0" xr:uid="{5F4D08D6-C2BF-4712-AB3B-C7AB3C1B5A6B}">
      <text>
        <t>[Threaded comment]
Your version of Excel allows you to read this threaded comment; however, any edits to it will get removed if the file is opened in a newer version of Excel. Learn more: https://go.microsoft.com/fwlink/?linkid=870924
Comment:
    14 missing - Non CG and Non Exotic germplasm
Reply:
    Sending the list to Frederic</t>
      </text>
    </comment>
  </commentList>
</comments>
</file>

<file path=xl/sharedStrings.xml><?xml version="1.0" encoding="utf-8"?>
<sst xmlns="http://schemas.openxmlformats.org/spreadsheetml/2006/main" count="708" uniqueCount="45">
  <si>
    <t>Yes</t>
  </si>
  <si>
    <t>No</t>
  </si>
  <si>
    <t>Improved</t>
  </si>
  <si>
    <t>Not-improved</t>
  </si>
  <si>
    <t>Self-report</t>
  </si>
  <si>
    <t>CG Germplasm</t>
  </si>
  <si>
    <t>Maize</t>
  </si>
  <si>
    <t>Barley</t>
  </si>
  <si>
    <t>Sorghum</t>
  </si>
  <si>
    <t xml:space="preserve">CG Germplasm </t>
  </si>
  <si>
    <t>Purity level</t>
  </si>
  <si>
    <t>Above 70%</t>
  </si>
  <si>
    <t>Above 90%</t>
  </si>
  <si>
    <t>Above 95%</t>
  </si>
  <si>
    <t>Year of release</t>
  </si>
  <si>
    <t>Before 1990</t>
  </si>
  <si>
    <t>1990-2000</t>
  </si>
  <si>
    <t>2000-2010</t>
  </si>
  <si>
    <t>2010-2020</t>
  </si>
  <si>
    <t xml:space="preserve">Exotic germplasm </t>
  </si>
  <si>
    <t>CG germplasm</t>
  </si>
  <si>
    <t>Purity Level conditional on CG germplasm</t>
  </si>
  <si>
    <t>Exotic germplasm</t>
  </si>
  <si>
    <t>Unconditional</t>
  </si>
  <si>
    <t>Purity Level conditional on Exotic germplasm</t>
  </si>
  <si>
    <t>Year of release conditional on Exotic germplasm</t>
  </si>
  <si>
    <t>Year of release conditional on CG germplasm</t>
  </si>
  <si>
    <t>Purity Level - unconditional</t>
  </si>
  <si>
    <t>Year of release - unconditional</t>
  </si>
  <si>
    <t>Uncoditional</t>
  </si>
  <si>
    <t>Below 70%</t>
  </si>
  <si>
    <t>Below 90%</t>
  </si>
  <si>
    <t>Below 95%</t>
  </si>
  <si>
    <t>After 1990</t>
  </si>
  <si>
    <t>Before 1900 &amp; after 2000</t>
  </si>
  <si>
    <t>Before 2000 &amp; after 2010</t>
  </si>
  <si>
    <t>Before 2010</t>
  </si>
  <si>
    <t>N</t>
  </si>
  <si>
    <t>Plot level</t>
  </si>
  <si>
    <t>Household level</t>
  </si>
  <si>
    <t>N (maize)</t>
  </si>
  <si>
    <t>N (DTMV==1)</t>
  </si>
  <si>
    <t>Quality Protein Maize varieties</t>
  </si>
  <si>
    <t>Drought Tolerant Maize Varieties</t>
  </si>
  <si>
    <t>N (QPM==1)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</si>
</sst>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&quot;&quot;;\-#,##0.000&quot;&quot;"/>
    <numFmt numFmtId="168" formatCode="#,##0&quot;&quot;;\-#,##0&quot;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164" fontId="2" fillId="0" borderId="0" xfId="1" applyNumberFormat="1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1" xfId="0" applyNumberFormat="1" applyBorder="1"/>
    <xf numFmtId="0" fontId="0" fillId="0" borderId="0" xfId="0" applyFill="1" applyBorder="1"/>
    <xf numFmtId="0" fontId="0" fillId="0" borderId="9" xfId="0" applyBorder="1"/>
    <xf numFmtId="0" fontId="0" fillId="0" borderId="1" xfId="0" applyFill="1" applyBorder="1"/>
    <xf numFmtId="165" fontId="0" fillId="0" borderId="0" xfId="0" applyNumberFormat="1"/>
    <xf numFmtId="165" fontId="0" fillId="0" borderId="0" xfId="0" applyNumberFormat="1" applyBorder="1"/>
    <xf numFmtId="10" fontId="2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4" xfId="0" applyFont="1" applyBorder="1"/>
    <xf numFmtId="165" fontId="3" fillId="0" borderId="0" xfId="0" applyNumberFormat="1" applyFont="1"/>
    <xf numFmtId="10" fontId="3" fillId="0" borderId="0" xfId="1" applyNumberFormat="1" applyFont="1"/>
    <xf numFmtId="0" fontId="3" fillId="0" borderId="0" xfId="0" applyFont="1" applyFill="1" applyBorder="1"/>
    <xf numFmtId="0" fontId="3" fillId="0" borderId="9" xfId="0" applyFont="1" applyBorder="1"/>
    <xf numFmtId="0" fontId="3" fillId="0" borderId="1" xfId="0" applyFont="1" applyFill="1" applyBorder="1"/>
    <xf numFmtId="0" fontId="3" fillId="0" borderId="0" xfId="0" applyFont="1" applyBorder="1"/>
    <xf numFmtId="10" fontId="4" fillId="0" borderId="0" xfId="1" applyNumberFormat="1" applyFont="1" applyAlignment="1">
      <alignment horizontal="center"/>
    </xf>
    <xf numFmtId="10" fontId="4" fillId="0" borderId="10" xfId="1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/>
    <xf numFmtId="0" fontId="3" fillId="0" borderId="3" xfId="0" applyFont="1" applyBorder="1"/>
    <xf numFmtId="0" fontId="3" fillId="0" borderId="5" xfId="0" applyFont="1" applyBorder="1"/>
    <xf numFmtId="10" fontId="3" fillId="0" borderId="0" xfId="0" applyNumberFormat="1" applyFont="1"/>
    <xf numFmtId="164" fontId="0" fillId="0" borderId="0" xfId="0" applyNumberFormat="1"/>
    <xf numFmtId="10" fontId="0" fillId="0" borderId="0" xfId="0" applyNumberFormat="1"/>
    <xf numFmtId="164" fontId="2" fillId="2" borderId="0" xfId="1" applyNumberFormat="1" applyFont="1" applyFill="1" applyAlignment="1">
      <alignment horizontal="center"/>
    </xf>
    <xf numFmtId="10" fontId="0" fillId="0" borderId="0" xfId="0" applyNumberFormat="1" applyBorder="1"/>
    <xf numFmtId="10" fontId="4" fillId="0" borderId="11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1" fontId="0" fillId="0" borderId="0" xfId="0" applyNumberFormat="1"/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1" xfId="0" applyNumberFormat="1" applyBorder="1"/>
    <xf numFmtId="1" fontId="6" fillId="0" borderId="1" xfId="1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2" fillId="0" borderId="9" xfId="1" applyNumberFormat="1" applyFont="1" applyBorder="1" applyAlignment="1">
      <alignment horizontal="center"/>
    </xf>
    <xf numFmtId="1" fontId="0" fillId="0" borderId="11" xfId="0" applyNumberFormat="1" applyBorder="1"/>
    <xf numFmtId="1" fontId="6" fillId="0" borderId="0" xfId="1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/>
    </xf>
    <xf numFmtId="2" fontId="3" fillId="0" borderId="1" xfId="0" applyNumberFormat="1" applyFont="1" applyBorder="1"/>
    <xf numFmtId="2" fontId="3" fillId="0" borderId="0" xfId="0" applyNumberFormat="1" applyFont="1"/>
    <xf numFmtId="1" fontId="3" fillId="0" borderId="1" xfId="0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1" fontId="3" fillId="0" borderId="0" xfId="0" applyNumberFormat="1" applyFont="1"/>
    <xf numFmtId="1" fontId="7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/>
    <xf numFmtId="0" fontId="3" fillId="0" borderId="3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6" fillId="0" borderId="3" xfId="1" applyNumberFormat="1" applyFont="1" applyBorder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10" fontId="6" fillId="0" borderId="5" xfId="1" applyNumberFormat="1" applyFont="1" applyBorder="1" applyAlignment="1">
      <alignment horizontal="center" vertical="center"/>
    </xf>
    <xf numFmtId="10" fontId="6" fillId="0" borderId="0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7" fillId="0" borderId="3" xfId="1" applyNumberFormat="1" applyFont="1" applyBorder="1" applyAlignment="1">
      <alignment horizontal="center" vertical="center"/>
    </xf>
    <xf numFmtId="10" fontId="6" fillId="0" borderId="1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0" fontId="2" fillId="0" borderId="12" xfId="1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ola Mallia" id="{5F5C9450-D1FE-422B-9531-AA73CC967FCD}" userId="099df29e2de138c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8" dT="2020-06-05T10:23:16.94" personId="{5F5C9450-D1FE-422B-9531-AA73CC967FCD}" id="{5F4D08D6-C2BF-4712-AB3B-C7AB3C1B5A6B}">
    <text>14 missing - Non CG and Non Exotic germplasm</text>
  </threadedComment>
  <threadedComment ref="I18" dT="2020-06-05T10:23:56.51" personId="{5F5C9450-D1FE-422B-9531-AA73CC967FCD}" id="{CE44955A-6908-4AD2-836A-1D48C1D58E50}" parentId="{5F4D08D6-C2BF-4712-AB3B-C7AB3C1B5A6B}">
    <text>Sending the list to Frederic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2E36-BCCF-4B9A-B02A-A8FE60228456}">
  <dimension ref="A1:N71"/>
  <sheetViews>
    <sheetView showGridLines="0" workbookViewId="0">
      <selection activeCell="N12" sqref="N12"/>
    </sheetView>
  </sheetViews>
  <sheetFormatPr defaultRowHeight="14.25" x14ac:dyDescent="0.45"/>
  <cols>
    <col min="1" max="1" width="21.265625" bestFit="1" customWidth="1"/>
    <col min="2" max="2" width="12.06640625" customWidth="1"/>
    <col min="3" max="3" width="12.73046875" bestFit="1" customWidth="1"/>
    <col min="4" max="4" width="8.265625" bestFit="1" customWidth="1"/>
    <col min="5" max="5" width="5.06640625" customWidth="1"/>
    <col min="6" max="6" width="21.265625" bestFit="1" customWidth="1"/>
    <col min="7" max="7" width="8.86328125" customWidth="1"/>
    <col min="8" max="8" width="12.73046875" customWidth="1"/>
    <col min="9" max="10" width="5.265625" customWidth="1"/>
    <col min="11" max="11" width="21.265625" bestFit="1" customWidth="1"/>
    <col min="12" max="12" width="8.86328125" bestFit="1" customWidth="1"/>
    <col min="13" max="13" width="12.73046875" bestFit="1" customWidth="1"/>
  </cols>
  <sheetData>
    <row r="1" spans="1:14" ht="14.65" thickBot="1" x14ac:dyDescent="0.5">
      <c r="A1" s="79" t="s">
        <v>6</v>
      </c>
      <c r="B1" s="80"/>
      <c r="C1" s="81"/>
      <c r="D1" s="12"/>
      <c r="F1" s="79" t="s">
        <v>7</v>
      </c>
      <c r="G1" s="80"/>
      <c r="H1" s="81"/>
      <c r="I1" s="12"/>
      <c r="K1" s="79" t="s">
        <v>8</v>
      </c>
      <c r="L1" s="80"/>
      <c r="M1" s="81"/>
    </row>
    <row r="2" spans="1:14" x14ac:dyDescent="0.45">
      <c r="A2" s="82" t="s">
        <v>5</v>
      </c>
      <c r="B2" s="78" t="s">
        <v>4</v>
      </c>
      <c r="C2" s="78"/>
      <c r="D2" s="8"/>
      <c r="F2" s="84" t="s">
        <v>5</v>
      </c>
      <c r="G2" s="78" t="s">
        <v>4</v>
      </c>
      <c r="H2" s="78"/>
      <c r="I2" s="8"/>
      <c r="K2" s="82" t="s">
        <v>5</v>
      </c>
      <c r="L2" s="78" t="s">
        <v>4</v>
      </c>
      <c r="M2" s="78"/>
    </row>
    <row r="3" spans="1:14" x14ac:dyDescent="0.45">
      <c r="A3" s="83"/>
      <c r="B3" s="5" t="s">
        <v>2</v>
      </c>
      <c r="C3" s="6" t="s">
        <v>3</v>
      </c>
      <c r="D3" s="51" t="s">
        <v>37</v>
      </c>
      <c r="F3" s="85"/>
      <c r="G3" s="4" t="s">
        <v>2</v>
      </c>
      <c r="H3" s="4" t="s">
        <v>3</v>
      </c>
      <c r="I3" s="7" t="s">
        <v>37</v>
      </c>
      <c r="K3" s="82"/>
      <c r="L3" s="3" t="s">
        <v>2</v>
      </c>
      <c r="M3" s="4" t="s">
        <v>3</v>
      </c>
      <c r="N3" s="50" t="s">
        <v>37</v>
      </c>
    </row>
    <row r="4" spans="1:14" x14ac:dyDescent="0.45">
      <c r="A4" s="2" t="s">
        <v>0</v>
      </c>
      <c r="B4" s="45">
        <v>0.22309387160946539</v>
      </c>
      <c r="C4" s="45">
        <v>0.39397684891158902</v>
      </c>
      <c r="D4" s="48">
        <v>323</v>
      </c>
      <c r="F4" s="2" t="s">
        <v>0</v>
      </c>
      <c r="G4" s="10">
        <v>4.1572570267445494E-3</v>
      </c>
      <c r="H4" s="10">
        <v>0.17321781419931859</v>
      </c>
      <c r="I4" s="48">
        <v>29</v>
      </c>
      <c r="K4" s="2" t="s">
        <v>0</v>
      </c>
      <c r="L4" s="10">
        <v>7.2129438388491803E-4</v>
      </c>
      <c r="M4" s="10">
        <v>8.7505601152842727E-3</v>
      </c>
      <c r="N4" s="49">
        <v>11</v>
      </c>
    </row>
    <row r="5" spans="1:14" x14ac:dyDescent="0.45">
      <c r="A5" s="2" t="s">
        <v>1</v>
      </c>
      <c r="B5" s="9">
        <v>0.19931551112630175</v>
      </c>
      <c r="C5" s="9">
        <v>0.18361376835264548</v>
      </c>
      <c r="D5" s="48">
        <v>168</v>
      </c>
      <c r="F5" s="2" t="s">
        <v>1</v>
      </c>
      <c r="G5" s="10">
        <v>5.4774323019627098E-2</v>
      </c>
      <c r="H5" s="10">
        <v>0.76785060575431097</v>
      </c>
      <c r="I5" s="48">
        <v>220</v>
      </c>
      <c r="K5" s="2" t="s">
        <v>1</v>
      </c>
      <c r="L5" s="10">
        <v>7.9953324487797798E-3</v>
      </c>
      <c r="M5" s="10">
        <v>0.9825328130520512</v>
      </c>
      <c r="N5" s="49">
        <v>355</v>
      </c>
    </row>
    <row r="6" spans="1:14" x14ac:dyDescent="0.45">
      <c r="C6" s="43"/>
      <c r="D6" s="55">
        <v>491</v>
      </c>
      <c r="H6" s="44"/>
      <c r="I6" s="55">
        <v>249</v>
      </c>
      <c r="M6" s="44"/>
      <c r="N6" s="56">
        <v>366</v>
      </c>
    </row>
    <row r="7" spans="1:14" x14ac:dyDescent="0.45">
      <c r="C7" s="1"/>
      <c r="D7" s="13"/>
      <c r="I7" s="2"/>
    </row>
    <row r="8" spans="1:14" x14ac:dyDescent="0.45">
      <c r="D8" s="2"/>
      <c r="I8" s="2"/>
    </row>
    <row r="9" spans="1:14" x14ac:dyDescent="0.45">
      <c r="D9" s="2"/>
      <c r="I9" s="2"/>
    </row>
    <row r="10" spans="1:14" x14ac:dyDescent="0.45">
      <c r="D10" s="2"/>
      <c r="I10" s="2"/>
    </row>
    <row r="11" spans="1:14" x14ac:dyDescent="0.45">
      <c r="A11" s="2" t="s">
        <v>9</v>
      </c>
      <c r="B11" s="78" t="s">
        <v>4</v>
      </c>
      <c r="C11" s="78"/>
      <c r="D11" s="8"/>
      <c r="F11" s="2" t="s">
        <v>9</v>
      </c>
      <c r="G11" s="78" t="s">
        <v>4</v>
      </c>
      <c r="H11" s="78"/>
      <c r="I11" s="8"/>
      <c r="K11" s="2" t="s">
        <v>9</v>
      </c>
      <c r="L11" s="78" t="s">
        <v>4</v>
      </c>
      <c r="M11" s="78"/>
    </row>
    <row r="12" spans="1:14" x14ac:dyDescent="0.45">
      <c r="A12" s="7" t="s">
        <v>10</v>
      </c>
      <c r="B12" s="6" t="s">
        <v>2</v>
      </c>
      <c r="C12" s="6" t="s">
        <v>3</v>
      </c>
      <c r="D12" s="51" t="s">
        <v>37</v>
      </c>
      <c r="F12" s="7" t="s">
        <v>10</v>
      </c>
      <c r="G12" s="6" t="s">
        <v>2</v>
      </c>
      <c r="H12" s="6" t="s">
        <v>3</v>
      </c>
      <c r="I12" s="51" t="s">
        <v>37</v>
      </c>
      <c r="K12" s="7" t="s">
        <v>10</v>
      </c>
      <c r="L12" s="6" t="s">
        <v>2</v>
      </c>
      <c r="M12" s="6" t="s">
        <v>3</v>
      </c>
      <c r="N12" s="6" t="s">
        <v>37</v>
      </c>
    </row>
    <row r="13" spans="1:14" x14ac:dyDescent="0.45">
      <c r="A13" s="2" t="s">
        <v>11</v>
      </c>
      <c r="B13" s="19">
        <v>0.22309387160946539</v>
      </c>
      <c r="C13" s="19">
        <v>0.39397684891158902</v>
      </c>
      <c r="D13" s="48">
        <v>323</v>
      </c>
      <c r="F13" s="2" t="s">
        <v>11</v>
      </c>
      <c r="G13" s="10">
        <v>4.1572570267445494E-3</v>
      </c>
      <c r="H13" s="10">
        <v>0.17321781419931859</v>
      </c>
      <c r="I13" s="48">
        <v>29</v>
      </c>
      <c r="K13" s="2" t="s">
        <v>11</v>
      </c>
      <c r="L13" s="10">
        <v>7.2129438388491803E-4</v>
      </c>
      <c r="M13" s="10">
        <v>8.7505601152842727E-3</v>
      </c>
      <c r="N13" s="57">
        <v>11</v>
      </c>
    </row>
    <row r="14" spans="1:14" x14ac:dyDescent="0.45">
      <c r="A14" s="2" t="s">
        <v>12</v>
      </c>
      <c r="B14" s="19">
        <v>0.21983456769417725</v>
      </c>
      <c r="C14" s="10">
        <v>0.36565482314775505</v>
      </c>
      <c r="D14" s="48">
        <v>298</v>
      </c>
      <c r="F14" s="2" t="s">
        <v>12</v>
      </c>
      <c r="G14" s="10">
        <v>4.1572570267445494E-3</v>
      </c>
      <c r="H14" s="10">
        <v>0.15131238539578154</v>
      </c>
      <c r="I14" s="48">
        <v>26</v>
      </c>
      <c r="K14" s="2" t="s">
        <v>12</v>
      </c>
      <c r="L14" s="10">
        <v>7.2129438388491803E-4</v>
      </c>
      <c r="M14" s="10">
        <v>0</v>
      </c>
      <c r="N14" s="57">
        <v>2</v>
      </c>
    </row>
    <row r="15" spans="1:14" x14ac:dyDescent="0.45">
      <c r="A15" s="2" t="s">
        <v>13</v>
      </c>
      <c r="B15" s="19">
        <v>0.17004889171309368</v>
      </c>
      <c r="C15" s="10">
        <v>9.5733717282387137E-2</v>
      </c>
      <c r="D15" s="48">
        <v>115</v>
      </c>
      <c r="F15" s="2" t="s">
        <v>13</v>
      </c>
      <c r="G15" s="10">
        <v>4.1572570267445494E-3</v>
      </c>
      <c r="H15" s="10">
        <v>0.10638913495559285</v>
      </c>
      <c r="I15" s="48">
        <v>18</v>
      </c>
      <c r="K15" s="2" t="s">
        <v>13</v>
      </c>
      <c r="L15" s="10">
        <v>7.2129438388491803E-4</v>
      </c>
      <c r="M15" s="10">
        <v>0</v>
      </c>
      <c r="N15" s="57">
        <v>2</v>
      </c>
    </row>
    <row r="16" spans="1:14" x14ac:dyDescent="0.45">
      <c r="D16" s="2"/>
      <c r="I16" s="2"/>
    </row>
    <row r="17" spans="1:14" x14ac:dyDescent="0.45">
      <c r="D17" s="2"/>
      <c r="I17" s="2"/>
    </row>
    <row r="18" spans="1:14" x14ac:dyDescent="0.45">
      <c r="D18" s="2"/>
      <c r="I18" s="2"/>
    </row>
    <row r="19" spans="1:14" x14ac:dyDescent="0.45">
      <c r="D19" s="2"/>
      <c r="I19" s="2"/>
    </row>
    <row r="20" spans="1:14" x14ac:dyDescent="0.45">
      <c r="A20" s="2" t="s">
        <v>5</v>
      </c>
      <c r="B20" s="78" t="s">
        <v>4</v>
      </c>
      <c r="C20" s="78"/>
      <c r="D20" s="8"/>
      <c r="F20" s="2" t="s">
        <v>5</v>
      </c>
      <c r="G20" s="78" t="s">
        <v>4</v>
      </c>
      <c r="H20" s="78"/>
      <c r="I20" s="8"/>
      <c r="K20" s="2" t="s">
        <v>5</v>
      </c>
      <c r="L20" s="78" t="s">
        <v>4</v>
      </c>
      <c r="M20" s="78"/>
    </row>
    <row r="21" spans="1:14" x14ac:dyDescent="0.45">
      <c r="A21" s="7" t="s">
        <v>14</v>
      </c>
      <c r="B21" s="6" t="s">
        <v>2</v>
      </c>
      <c r="C21" s="6" t="s">
        <v>3</v>
      </c>
      <c r="D21" s="51" t="s">
        <v>37</v>
      </c>
      <c r="F21" s="7" t="s">
        <v>14</v>
      </c>
      <c r="G21" s="6" t="s">
        <v>2</v>
      </c>
      <c r="H21" s="6" t="s">
        <v>3</v>
      </c>
      <c r="I21" s="51" t="s">
        <v>37</v>
      </c>
      <c r="K21" s="7" t="s">
        <v>14</v>
      </c>
      <c r="L21" s="6" t="s">
        <v>2</v>
      </c>
      <c r="M21" s="6" t="s">
        <v>3</v>
      </c>
      <c r="N21" s="6" t="s">
        <v>37</v>
      </c>
    </row>
    <row r="22" spans="1:14" x14ac:dyDescent="0.45">
      <c r="A22" s="2" t="s">
        <v>15</v>
      </c>
      <c r="B22" s="10">
        <v>4.3874333987668924E-3</v>
      </c>
      <c r="C22" s="10">
        <v>1.5980170101152914E-2</v>
      </c>
      <c r="D22" s="53">
        <v>9</v>
      </c>
      <c r="F22" s="2" t="s">
        <v>15</v>
      </c>
      <c r="G22" s="10">
        <v>0</v>
      </c>
      <c r="H22" s="10">
        <v>0</v>
      </c>
      <c r="I22" s="48">
        <v>0</v>
      </c>
      <c r="K22" s="2" t="s">
        <v>15</v>
      </c>
      <c r="L22" s="10">
        <v>0</v>
      </c>
      <c r="M22" s="10">
        <v>0</v>
      </c>
      <c r="N22" s="57">
        <v>0</v>
      </c>
    </row>
    <row r="23" spans="1:14" x14ac:dyDescent="0.45">
      <c r="A23" s="2" t="s">
        <v>16</v>
      </c>
      <c r="B23" s="10">
        <v>7.7923364902654085E-2</v>
      </c>
      <c r="C23" s="10">
        <v>0.14227639581560211</v>
      </c>
      <c r="D23" s="54">
        <v>116</v>
      </c>
      <c r="F23" s="2" t="s">
        <v>16</v>
      </c>
      <c r="G23" s="10">
        <v>0</v>
      </c>
      <c r="H23" s="10">
        <v>0</v>
      </c>
      <c r="I23" s="48">
        <v>0</v>
      </c>
      <c r="K23" s="2" t="s">
        <v>16</v>
      </c>
      <c r="L23" s="10">
        <v>0</v>
      </c>
      <c r="M23" s="10">
        <v>0</v>
      </c>
      <c r="N23" s="57">
        <v>0</v>
      </c>
    </row>
    <row r="24" spans="1:14" x14ac:dyDescent="0.45">
      <c r="A24" s="2" t="s">
        <v>17</v>
      </c>
      <c r="B24" s="10">
        <v>2.2124809429961274E-2</v>
      </c>
      <c r="C24" s="10">
        <v>0.19003197699052538</v>
      </c>
      <c r="D24" s="53">
        <v>132</v>
      </c>
      <c r="F24" s="2" t="s">
        <v>17</v>
      </c>
      <c r="G24" s="10">
        <v>0</v>
      </c>
      <c r="H24" s="10">
        <v>3.0923916219702939E-2</v>
      </c>
      <c r="I24" s="48">
        <v>4</v>
      </c>
      <c r="K24" s="2" t="s">
        <v>17</v>
      </c>
      <c r="L24" s="10">
        <v>7.2129438388491803E-4</v>
      </c>
      <c r="M24" s="10">
        <v>8.7505601152842727E-3</v>
      </c>
      <c r="N24" s="57">
        <v>11</v>
      </c>
    </row>
    <row r="25" spans="1:14" x14ac:dyDescent="0.45">
      <c r="A25" s="2" t="s">
        <v>18</v>
      </c>
      <c r="B25" s="10">
        <v>0.11865826387808324</v>
      </c>
      <c r="C25" s="10">
        <v>4.5688306004308503E-2</v>
      </c>
      <c r="D25" s="53">
        <v>66</v>
      </c>
      <c r="F25" s="2" t="s">
        <v>18</v>
      </c>
      <c r="G25" s="10">
        <v>4.1572570267445494E-3</v>
      </c>
      <c r="H25" s="10">
        <v>0.14229389797961564</v>
      </c>
      <c r="I25" s="48">
        <v>25</v>
      </c>
      <c r="K25" s="2" t="s">
        <v>18</v>
      </c>
      <c r="L25" s="10">
        <v>0</v>
      </c>
      <c r="M25" s="10">
        <v>0</v>
      </c>
      <c r="N25" s="57">
        <v>0</v>
      </c>
    </row>
    <row r="26" spans="1:14" x14ac:dyDescent="0.45">
      <c r="B26" s="18"/>
      <c r="C26" s="46"/>
      <c r="D26" s="52"/>
      <c r="G26" s="17"/>
      <c r="H26" s="17"/>
      <c r="I26" s="2"/>
      <c r="M26" s="17"/>
    </row>
    <row r="27" spans="1:14" x14ac:dyDescent="0.45">
      <c r="B27" s="11"/>
      <c r="C27" s="11"/>
      <c r="D27" s="2"/>
      <c r="I27" s="2"/>
    </row>
    <row r="28" spans="1:14" x14ac:dyDescent="0.45">
      <c r="B28" s="11"/>
      <c r="C28" s="11"/>
      <c r="D28" s="2"/>
      <c r="I28" s="2"/>
    </row>
    <row r="29" spans="1:14" x14ac:dyDescent="0.45">
      <c r="B29" s="11"/>
      <c r="C29" s="11"/>
      <c r="D29" s="2"/>
      <c r="I29" s="2"/>
    </row>
    <row r="30" spans="1:14" x14ac:dyDescent="0.45">
      <c r="A30" s="2" t="s">
        <v>9</v>
      </c>
      <c r="B30" s="86" t="s">
        <v>4</v>
      </c>
      <c r="C30" s="86"/>
      <c r="D30" s="2"/>
      <c r="F30" s="2" t="s">
        <v>9</v>
      </c>
      <c r="G30" s="78" t="s">
        <v>4</v>
      </c>
      <c r="H30" s="78"/>
      <c r="I30" s="2"/>
      <c r="K30" s="2" t="s">
        <v>9</v>
      </c>
      <c r="L30" s="78" t="s">
        <v>4</v>
      </c>
      <c r="M30" s="78"/>
    </row>
    <row r="31" spans="1:14" x14ac:dyDescent="0.45">
      <c r="A31" s="7" t="s">
        <v>10</v>
      </c>
      <c r="B31" s="6" t="s">
        <v>2</v>
      </c>
      <c r="C31" s="6" t="s">
        <v>3</v>
      </c>
      <c r="D31" s="2"/>
      <c r="F31" s="7" t="s">
        <v>10</v>
      </c>
      <c r="G31" s="6" t="s">
        <v>2</v>
      </c>
      <c r="H31" s="6" t="s">
        <v>3</v>
      </c>
      <c r="I31" s="2"/>
      <c r="K31" s="7" t="s">
        <v>10</v>
      </c>
      <c r="L31" s="6" t="s">
        <v>2</v>
      </c>
      <c r="M31" s="6" t="s">
        <v>3</v>
      </c>
    </row>
    <row r="32" spans="1:14" x14ac:dyDescent="0.45">
      <c r="A32" s="2" t="s">
        <v>11</v>
      </c>
      <c r="B32" s="19">
        <v>0.22309387160946539</v>
      </c>
      <c r="C32" s="19">
        <v>0.39397684891158902</v>
      </c>
      <c r="D32" s="2"/>
      <c r="F32" s="2" t="s">
        <v>11</v>
      </c>
      <c r="G32" s="10">
        <v>4.1572570267445494E-3</v>
      </c>
      <c r="H32" s="10">
        <v>0.17321781419931859</v>
      </c>
      <c r="I32" s="2"/>
      <c r="K32" s="2" t="s">
        <v>11</v>
      </c>
      <c r="L32" s="10">
        <v>7.2129438388491803E-4</v>
      </c>
      <c r="M32" s="10">
        <v>8.7505601152842727E-3</v>
      </c>
    </row>
    <row r="33" spans="1:13" x14ac:dyDescent="0.45">
      <c r="A33" s="16" t="s">
        <v>30</v>
      </c>
      <c r="B33" s="19">
        <v>0</v>
      </c>
      <c r="C33" s="19">
        <v>0</v>
      </c>
      <c r="D33" s="2"/>
      <c r="F33" s="16" t="s">
        <v>30</v>
      </c>
      <c r="G33" s="10">
        <v>0</v>
      </c>
      <c r="H33" s="10">
        <v>0</v>
      </c>
      <c r="I33" s="2"/>
      <c r="K33" s="16" t="s">
        <v>30</v>
      </c>
      <c r="L33" s="10">
        <v>0</v>
      </c>
      <c r="M33" s="10">
        <v>0</v>
      </c>
    </row>
    <row r="34" spans="1:13" x14ac:dyDescent="0.45">
      <c r="B34" s="11"/>
      <c r="C34" s="11"/>
      <c r="D34" s="2"/>
      <c r="H34" s="17"/>
      <c r="I34" s="2"/>
    </row>
    <row r="35" spans="1:13" x14ac:dyDescent="0.45">
      <c r="B35" s="11"/>
      <c r="C35" s="11"/>
      <c r="D35" s="2"/>
      <c r="I35" s="2"/>
    </row>
    <row r="36" spans="1:13" x14ac:dyDescent="0.45">
      <c r="A36" s="2" t="s">
        <v>9</v>
      </c>
      <c r="B36" s="86" t="s">
        <v>4</v>
      </c>
      <c r="C36" s="86"/>
      <c r="D36" s="2"/>
      <c r="F36" s="2" t="s">
        <v>9</v>
      </c>
      <c r="G36" s="78" t="s">
        <v>4</v>
      </c>
      <c r="H36" s="78"/>
      <c r="I36" s="2"/>
      <c r="K36" s="2" t="s">
        <v>9</v>
      </c>
      <c r="L36" s="78" t="s">
        <v>4</v>
      </c>
      <c r="M36" s="78"/>
    </row>
    <row r="37" spans="1:13" x14ac:dyDescent="0.45">
      <c r="A37" s="7" t="s">
        <v>10</v>
      </c>
      <c r="B37" s="6" t="s">
        <v>2</v>
      </c>
      <c r="C37" s="6" t="s">
        <v>3</v>
      </c>
      <c r="D37" s="2"/>
      <c r="F37" s="7" t="s">
        <v>10</v>
      </c>
      <c r="G37" s="6" t="s">
        <v>2</v>
      </c>
      <c r="H37" s="6" t="s">
        <v>3</v>
      </c>
      <c r="I37" s="2"/>
      <c r="K37" s="7" t="s">
        <v>10</v>
      </c>
      <c r="L37" s="6" t="s">
        <v>2</v>
      </c>
      <c r="M37" s="6" t="s">
        <v>3</v>
      </c>
    </row>
    <row r="38" spans="1:13" x14ac:dyDescent="0.45">
      <c r="A38" s="2" t="s">
        <v>12</v>
      </c>
      <c r="B38" s="19">
        <v>0.21983456769417725</v>
      </c>
      <c r="C38" s="10">
        <v>0.36565482314775505</v>
      </c>
      <c r="D38" s="2"/>
      <c r="F38" s="2" t="s">
        <v>12</v>
      </c>
      <c r="G38" s="10">
        <v>4.1572570267445494E-3</v>
      </c>
      <c r="H38" s="10">
        <v>0.15131238539578154</v>
      </c>
      <c r="I38" s="2"/>
      <c r="K38" s="2" t="s">
        <v>12</v>
      </c>
      <c r="L38" s="10">
        <v>7.2129438388491803E-4</v>
      </c>
      <c r="M38" s="10">
        <v>0</v>
      </c>
    </row>
    <row r="39" spans="1:13" x14ac:dyDescent="0.45">
      <c r="A39" s="14" t="s">
        <v>31</v>
      </c>
      <c r="B39" s="10">
        <v>3.2593039152881012E-3</v>
      </c>
      <c r="C39" s="10">
        <v>2.8322025763834038E-2</v>
      </c>
      <c r="D39" s="2"/>
      <c r="F39" s="16" t="s">
        <v>31</v>
      </c>
      <c r="G39" s="10">
        <v>0</v>
      </c>
      <c r="H39" s="10">
        <v>2.190542880353705E-2</v>
      </c>
      <c r="I39" s="2"/>
      <c r="K39" s="16" t="s">
        <v>31</v>
      </c>
      <c r="L39" s="10">
        <v>0</v>
      </c>
      <c r="M39" s="10">
        <v>8.7505601152842727E-3</v>
      </c>
    </row>
    <row r="40" spans="1:13" x14ac:dyDescent="0.45">
      <c r="B40" s="11"/>
      <c r="C40" s="46"/>
      <c r="D40" s="2"/>
      <c r="H40" s="17"/>
      <c r="I40" s="2"/>
    </row>
    <row r="41" spans="1:13" x14ac:dyDescent="0.45">
      <c r="B41" s="11"/>
      <c r="C41" s="11"/>
      <c r="D41" s="2"/>
      <c r="I41" s="2"/>
    </row>
    <row r="42" spans="1:13" x14ac:dyDescent="0.45">
      <c r="A42" s="2" t="s">
        <v>9</v>
      </c>
      <c r="B42" s="86" t="s">
        <v>4</v>
      </c>
      <c r="C42" s="86"/>
      <c r="D42" s="2"/>
      <c r="F42" s="2" t="s">
        <v>9</v>
      </c>
      <c r="G42" s="78" t="s">
        <v>4</v>
      </c>
      <c r="H42" s="78"/>
      <c r="I42" s="2"/>
      <c r="K42" s="2" t="s">
        <v>9</v>
      </c>
      <c r="L42" s="78" t="s">
        <v>4</v>
      </c>
      <c r="M42" s="78"/>
    </row>
    <row r="43" spans="1:13" x14ac:dyDescent="0.45">
      <c r="A43" s="7" t="s">
        <v>10</v>
      </c>
      <c r="B43" s="6" t="s">
        <v>2</v>
      </c>
      <c r="C43" s="6" t="s">
        <v>3</v>
      </c>
      <c r="D43" s="2"/>
      <c r="F43" s="7" t="s">
        <v>10</v>
      </c>
      <c r="G43" s="6" t="s">
        <v>2</v>
      </c>
      <c r="H43" s="6" t="s">
        <v>3</v>
      </c>
      <c r="I43" s="2"/>
      <c r="K43" s="7" t="s">
        <v>10</v>
      </c>
      <c r="L43" s="6" t="s">
        <v>2</v>
      </c>
      <c r="M43" s="6" t="s">
        <v>3</v>
      </c>
    </row>
    <row r="44" spans="1:13" x14ac:dyDescent="0.45">
      <c r="A44" s="2" t="s">
        <v>13</v>
      </c>
      <c r="B44" s="19">
        <v>0.17004889171309368</v>
      </c>
      <c r="C44" s="10">
        <v>9.5733717282387137E-2</v>
      </c>
      <c r="D44" s="2"/>
      <c r="F44" s="2" t="s">
        <v>13</v>
      </c>
      <c r="G44" s="10">
        <v>4.1572570267445494E-3</v>
      </c>
      <c r="H44" s="10">
        <v>0.10638913495559285</v>
      </c>
      <c r="I44" s="2"/>
      <c r="K44" s="2" t="s">
        <v>13</v>
      </c>
      <c r="L44" s="10">
        <v>7.2129438388491803E-4</v>
      </c>
      <c r="M44" s="10">
        <v>0</v>
      </c>
    </row>
    <row r="45" spans="1:13" x14ac:dyDescent="0.45">
      <c r="A45" s="16" t="s">
        <v>32</v>
      </c>
      <c r="B45" s="10">
        <v>5.3044979896371844E-2</v>
      </c>
      <c r="C45" s="10">
        <v>0.29824313162920163</v>
      </c>
      <c r="D45" s="2"/>
      <c r="F45" s="16" t="s">
        <v>32</v>
      </c>
      <c r="G45" s="10">
        <v>0</v>
      </c>
      <c r="H45" s="10">
        <v>6.6828679243725764E-2</v>
      </c>
      <c r="I45" s="2"/>
      <c r="K45" s="16" t="s">
        <v>32</v>
      </c>
      <c r="L45" s="10">
        <v>0</v>
      </c>
      <c r="M45" s="10">
        <v>8.7505601152842727E-3</v>
      </c>
    </row>
    <row r="46" spans="1:13" x14ac:dyDescent="0.45">
      <c r="B46" s="11"/>
      <c r="C46" s="18"/>
      <c r="D46" s="2"/>
      <c r="H46" s="17"/>
      <c r="I46" s="2"/>
    </row>
    <row r="47" spans="1:13" x14ac:dyDescent="0.45">
      <c r="B47" s="11"/>
      <c r="C47" s="11"/>
      <c r="D47" s="2"/>
      <c r="I47" s="2"/>
    </row>
    <row r="48" spans="1:13" x14ac:dyDescent="0.45">
      <c r="B48" s="11"/>
      <c r="C48" s="11"/>
      <c r="D48" s="2"/>
      <c r="I48" s="2"/>
    </row>
    <row r="49" spans="1:13" x14ac:dyDescent="0.45">
      <c r="A49" s="2" t="s">
        <v>5</v>
      </c>
      <c r="B49" s="86" t="s">
        <v>4</v>
      </c>
      <c r="C49" s="86"/>
      <c r="D49" s="2"/>
      <c r="F49" s="2" t="s">
        <v>5</v>
      </c>
      <c r="G49" s="78" t="s">
        <v>4</v>
      </c>
      <c r="H49" s="78"/>
      <c r="I49" s="2"/>
      <c r="K49" s="2" t="s">
        <v>5</v>
      </c>
      <c r="L49" s="78" t="s">
        <v>4</v>
      </c>
      <c r="M49" s="78"/>
    </row>
    <row r="50" spans="1:13" x14ac:dyDescent="0.45">
      <c r="A50" s="7" t="s">
        <v>14</v>
      </c>
      <c r="B50" s="6" t="s">
        <v>2</v>
      </c>
      <c r="C50" s="6" t="s">
        <v>3</v>
      </c>
      <c r="D50" s="2"/>
      <c r="F50" s="7" t="s">
        <v>14</v>
      </c>
      <c r="G50" s="6" t="s">
        <v>2</v>
      </c>
      <c r="H50" s="6" t="s">
        <v>3</v>
      </c>
      <c r="I50" s="2"/>
      <c r="K50" s="7" t="s">
        <v>14</v>
      </c>
      <c r="L50" s="6" t="s">
        <v>2</v>
      </c>
      <c r="M50" s="6" t="s">
        <v>3</v>
      </c>
    </row>
    <row r="51" spans="1:13" x14ac:dyDescent="0.45">
      <c r="A51" s="15" t="s">
        <v>15</v>
      </c>
      <c r="B51" s="10">
        <v>4.3874333987668924E-3</v>
      </c>
      <c r="C51" s="10">
        <v>1.5980170101152914E-2</v>
      </c>
      <c r="D51" s="2"/>
      <c r="F51" s="15" t="s">
        <v>15</v>
      </c>
      <c r="G51" s="10">
        <v>0</v>
      </c>
      <c r="H51" s="10">
        <v>0</v>
      </c>
      <c r="I51" s="2"/>
      <c r="K51" s="15" t="s">
        <v>15</v>
      </c>
      <c r="L51" s="10">
        <v>0</v>
      </c>
      <c r="M51" s="10">
        <v>0</v>
      </c>
    </row>
    <row r="52" spans="1:13" x14ac:dyDescent="0.45">
      <c r="A52" s="16" t="s">
        <v>33</v>
      </c>
      <c r="B52" s="10">
        <v>0.21870643821069849</v>
      </c>
      <c r="C52" s="10">
        <v>0.37799667881043603</v>
      </c>
      <c r="D52" s="2"/>
      <c r="F52" s="16" t="s">
        <v>33</v>
      </c>
      <c r="G52" s="10">
        <v>4.1572570267445494E-3</v>
      </c>
      <c r="H52" s="10">
        <v>0.17321781419931859</v>
      </c>
      <c r="I52" s="2"/>
      <c r="K52" s="16" t="s">
        <v>33</v>
      </c>
      <c r="L52" s="10">
        <v>7.2129438388491803E-4</v>
      </c>
      <c r="M52" s="10">
        <v>8.7505601152842727E-3</v>
      </c>
    </row>
    <row r="53" spans="1:13" x14ac:dyDescent="0.45">
      <c r="B53" s="11"/>
      <c r="C53" s="18"/>
      <c r="D53" s="2"/>
      <c r="I53" s="2"/>
    </row>
    <row r="54" spans="1:13" x14ac:dyDescent="0.45">
      <c r="B54" s="11"/>
      <c r="C54" s="11"/>
      <c r="D54" s="2"/>
      <c r="I54" s="2"/>
    </row>
    <row r="55" spans="1:13" x14ac:dyDescent="0.45">
      <c r="A55" s="2" t="s">
        <v>5</v>
      </c>
      <c r="B55" s="86" t="s">
        <v>4</v>
      </c>
      <c r="C55" s="86"/>
      <c r="D55" s="2"/>
      <c r="F55" s="2" t="s">
        <v>5</v>
      </c>
      <c r="G55" s="78" t="s">
        <v>4</v>
      </c>
      <c r="H55" s="78"/>
      <c r="I55" s="2"/>
      <c r="K55" s="2" t="s">
        <v>5</v>
      </c>
      <c r="L55" s="78" t="s">
        <v>4</v>
      </c>
      <c r="M55" s="78"/>
    </row>
    <row r="56" spans="1:13" x14ac:dyDescent="0.45">
      <c r="A56" s="7" t="s">
        <v>14</v>
      </c>
      <c r="B56" s="6" t="s">
        <v>2</v>
      </c>
      <c r="C56" s="6" t="s">
        <v>3</v>
      </c>
      <c r="D56" s="2"/>
      <c r="F56" s="7" t="s">
        <v>14</v>
      </c>
      <c r="G56" s="6" t="s">
        <v>2</v>
      </c>
      <c r="H56" s="6" t="s">
        <v>3</v>
      </c>
      <c r="I56" s="2"/>
      <c r="K56" s="7" t="s">
        <v>14</v>
      </c>
      <c r="L56" s="6" t="s">
        <v>2</v>
      </c>
      <c r="M56" s="6" t="s">
        <v>3</v>
      </c>
    </row>
    <row r="57" spans="1:13" x14ac:dyDescent="0.45">
      <c r="A57" s="15" t="s">
        <v>16</v>
      </c>
      <c r="B57" s="10">
        <v>7.7923364902654085E-2</v>
      </c>
      <c r="C57" s="10">
        <v>0.14227639581560211</v>
      </c>
      <c r="D57" s="2"/>
      <c r="F57" s="15" t="s">
        <v>16</v>
      </c>
      <c r="G57" s="10">
        <v>0</v>
      </c>
      <c r="H57" s="10">
        <v>0</v>
      </c>
      <c r="I57" s="2"/>
      <c r="K57" s="15" t="s">
        <v>16</v>
      </c>
      <c r="L57" s="10">
        <v>0</v>
      </c>
      <c r="M57" s="10">
        <v>0</v>
      </c>
    </row>
    <row r="58" spans="1:13" x14ac:dyDescent="0.45">
      <c r="A58" s="16" t="s">
        <v>34</v>
      </c>
      <c r="B58" s="10">
        <v>0.14517050670681142</v>
      </c>
      <c r="C58" s="10">
        <v>0.25170045309598688</v>
      </c>
      <c r="D58" s="2"/>
      <c r="F58" s="16" t="s">
        <v>34</v>
      </c>
      <c r="G58" s="10">
        <v>4.1572570267445494E-3</v>
      </c>
      <c r="H58" s="10">
        <v>0.17321781419931859</v>
      </c>
      <c r="I58" s="2"/>
      <c r="K58" s="16" t="s">
        <v>34</v>
      </c>
      <c r="L58" s="10">
        <v>7.2129438388491803E-4</v>
      </c>
      <c r="M58" s="10">
        <v>8.7505601152842727E-3</v>
      </c>
    </row>
    <row r="59" spans="1:13" x14ac:dyDescent="0.45">
      <c r="A59" s="14"/>
      <c r="B59" s="11"/>
      <c r="C59" s="18"/>
      <c r="D59" s="2"/>
      <c r="F59" s="14"/>
      <c r="I59" s="2"/>
      <c r="K59" s="14"/>
    </row>
    <row r="60" spans="1:13" x14ac:dyDescent="0.45">
      <c r="B60" s="11"/>
      <c r="C60" s="11"/>
      <c r="D60" s="2"/>
      <c r="I60" s="2"/>
    </row>
    <row r="61" spans="1:13" x14ac:dyDescent="0.45">
      <c r="A61" s="2" t="s">
        <v>5</v>
      </c>
      <c r="B61" s="86" t="s">
        <v>4</v>
      </c>
      <c r="C61" s="86"/>
      <c r="D61" s="2"/>
      <c r="F61" s="2" t="s">
        <v>5</v>
      </c>
      <c r="G61" s="78" t="s">
        <v>4</v>
      </c>
      <c r="H61" s="78"/>
      <c r="I61" s="2"/>
      <c r="K61" s="2" t="s">
        <v>5</v>
      </c>
      <c r="L61" s="78" t="s">
        <v>4</v>
      </c>
      <c r="M61" s="78"/>
    </row>
    <row r="62" spans="1:13" x14ac:dyDescent="0.45">
      <c r="A62" s="7" t="s">
        <v>14</v>
      </c>
      <c r="B62" s="6" t="s">
        <v>2</v>
      </c>
      <c r="C62" s="6" t="s">
        <v>3</v>
      </c>
      <c r="D62" s="2"/>
      <c r="F62" s="7" t="s">
        <v>14</v>
      </c>
      <c r="G62" s="6" t="s">
        <v>2</v>
      </c>
      <c r="H62" s="6" t="s">
        <v>3</v>
      </c>
      <c r="I62" s="2"/>
      <c r="K62" s="7" t="s">
        <v>14</v>
      </c>
      <c r="L62" s="6" t="s">
        <v>2</v>
      </c>
      <c r="M62" s="6" t="s">
        <v>3</v>
      </c>
    </row>
    <row r="63" spans="1:13" x14ac:dyDescent="0.45">
      <c r="A63" s="15" t="s">
        <v>17</v>
      </c>
      <c r="B63" s="10">
        <v>2.2124809429961274E-2</v>
      </c>
      <c r="C63" s="10">
        <v>0.19003197699052538</v>
      </c>
      <c r="D63" s="2"/>
      <c r="F63" s="15" t="s">
        <v>17</v>
      </c>
      <c r="G63" s="10">
        <v>0</v>
      </c>
      <c r="H63" s="10">
        <v>3.0923916219702939E-2</v>
      </c>
      <c r="I63" s="2"/>
      <c r="K63" s="15" t="s">
        <v>17</v>
      </c>
      <c r="L63" s="10">
        <v>7.2129438388491803E-4</v>
      </c>
      <c r="M63" s="10">
        <v>8.7505601152842727E-3</v>
      </c>
    </row>
    <row r="64" spans="1:13" x14ac:dyDescent="0.45">
      <c r="A64" s="16" t="s">
        <v>35</v>
      </c>
      <c r="B64" s="10">
        <v>0.20096906217950419</v>
      </c>
      <c r="C64" s="10">
        <v>0.20394487192106361</v>
      </c>
      <c r="D64" s="2"/>
      <c r="F64" s="16" t="s">
        <v>35</v>
      </c>
      <c r="G64" s="10">
        <v>4.1572570267445494E-3</v>
      </c>
      <c r="H64" s="10">
        <v>0.14229389797961564</v>
      </c>
      <c r="I64" s="2"/>
      <c r="K64" s="16" t="s">
        <v>35</v>
      </c>
      <c r="L64" s="10">
        <v>0</v>
      </c>
      <c r="M64" s="10">
        <v>0</v>
      </c>
    </row>
    <row r="65" spans="1:13" x14ac:dyDescent="0.45">
      <c r="B65" s="11"/>
      <c r="C65" s="18"/>
      <c r="D65" s="2"/>
      <c r="H65" s="17"/>
      <c r="I65" s="2"/>
    </row>
    <row r="66" spans="1:13" x14ac:dyDescent="0.45">
      <c r="B66" s="11"/>
      <c r="C66" s="11"/>
      <c r="D66" s="2"/>
      <c r="I66" s="2"/>
    </row>
    <row r="67" spans="1:13" x14ac:dyDescent="0.45">
      <c r="A67" s="2" t="s">
        <v>5</v>
      </c>
      <c r="B67" s="86" t="s">
        <v>4</v>
      </c>
      <c r="C67" s="86"/>
      <c r="D67" s="2"/>
      <c r="F67" s="2" t="s">
        <v>5</v>
      </c>
      <c r="G67" s="78" t="s">
        <v>4</v>
      </c>
      <c r="H67" s="78"/>
      <c r="I67" s="2"/>
      <c r="K67" s="2" t="s">
        <v>5</v>
      </c>
      <c r="L67" s="78" t="s">
        <v>4</v>
      </c>
      <c r="M67" s="78"/>
    </row>
    <row r="68" spans="1:13" x14ac:dyDescent="0.45">
      <c r="A68" s="7" t="s">
        <v>14</v>
      </c>
      <c r="B68" s="6" t="s">
        <v>2</v>
      </c>
      <c r="C68" s="6" t="s">
        <v>3</v>
      </c>
      <c r="D68" s="2"/>
      <c r="F68" s="7" t="s">
        <v>14</v>
      </c>
      <c r="G68" s="6" t="s">
        <v>2</v>
      </c>
      <c r="H68" s="6" t="s">
        <v>3</v>
      </c>
      <c r="I68" s="2"/>
      <c r="K68" s="7" t="s">
        <v>14</v>
      </c>
      <c r="L68" s="6" t="s">
        <v>2</v>
      </c>
      <c r="M68" s="6" t="s">
        <v>3</v>
      </c>
    </row>
    <row r="69" spans="1:13" x14ac:dyDescent="0.45">
      <c r="A69" s="15" t="s">
        <v>18</v>
      </c>
      <c r="B69" s="10">
        <v>0.11865826387808324</v>
      </c>
      <c r="C69" s="10">
        <v>4.5688306004308503E-2</v>
      </c>
      <c r="D69" s="2"/>
      <c r="F69" s="15" t="s">
        <v>18</v>
      </c>
      <c r="G69" s="10">
        <v>4.1572570267445494E-3</v>
      </c>
      <c r="H69" s="10">
        <v>0.14229389797961564</v>
      </c>
      <c r="I69" s="2"/>
      <c r="K69" s="15" t="s">
        <v>18</v>
      </c>
      <c r="L69" s="10">
        <v>0</v>
      </c>
      <c r="M69" s="10">
        <v>0</v>
      </c>
    </row>
    <row r="70" spans="1:13" x14ac:dyDescent="0.45">
      <c r="A70" s="16" t="s">
        <v>36</v>
      </c>
      <c r="B70" s="10">
        <v>0.1044356077313822</v>
      </c>
      <c r="C70" s="10">
        <v>0.34828854290728045</v>
      </c>
      <c r="D70" s="2"/>
      <c r="F70" s="16" t="s">
        <v>36</v>
      </c>
      <c r="G70" s="10">
        <v>0</v>
      </c>
      <c r="H70" s="10">
        <v>3.0923916219702939E-2</v>
      </c>
      <c r="I70" s="2"/>
      <c r="K70" s="16" t="s">
        <v>36</v>
      </c>
      <c r="L70" s="10">
        <v>7.2129438388491803E-4</v>
      </c>
      <c r="M70" s="10">
        <v>8.7505601152842727E-3</v>
      </c>
    </row>
    <row r="71" spans="1:13" x14ac:dyDescent="0.45">
      <c r="B71" s="11"/>
      <c r="C71" s="18"/>
      <c r="D71" s="2"/>
      <c r="H71" s="17"/>
      <c r="I71" s="2"/>
    </row>
  </sheetData>
  <mergeCells count="36">
    <mergeCell ref="B67:C67"/>
    <mergeCell ref="G67:H67"/>
    <mergeCell ref="L67:M67"/>
    <mergeCell ref="B55:C55"/>
    <mergeCell ref="G55:H55"/>
    <mergeCell ref="L55:M55"/>
    <mergeCell ref="B61:C61"/>
    <mergeCell ref="G61:H61"/>
    <mergeCell ref="L61:M61"/>
    <mergeCell ref="L30:M30"/>
    <mergeCell ref="L36:M36"/>
    <mergeCell ref="L42:M42"/>
    <mergeCell ref="B49:C49"/>
    <mergeCell ref="G49:H49"/>
    <mergeCell ref="L49:M49"/>
    <mergeCell ref="B30:C30"/>
    <mergeCell ref="B36:C36"/>
    <mergeCell ref="B42:C42"/>
    <mergeCell ref="G30:H30"/>
    <mergeCell ref="G36:H36"/>
    <mergeCell ref="G42:H42"/>
    <mergeCell ref="B2:C2"/>
    <mergeCell ref="G2:H2"/>
    <mergeCell ref="L2:M2"/>
    <mergeCell ref="A1:C1"/>
    <mergeCell ref="F1:H1"/>
    <mergeCell ref="K1:M1"/>
    <mergeCell ref="A2:A3"/>
    <mergeCell ref="F2:F3"/>
    <mergeCell ref="K2:K3"/>
    <mergeCell ref="B11:C11"/>
    <mergeCell ref="G11:H11"/>
    <mergeCell ref="L11:M11"/>
    <mergeCell ref="B20:C20"/>
    <mergeCell ref="G20:H20"/>
    <mergeCell ref="L20:M2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2700-5F61-4858-A088-1A150E12839D}">
  <dimension ref="A1:N73"/>
  <sheetViews>
    <sheetView showGridLines="0" topLeftCell="A5" zoomScale="130" zoomScaleNormal="130" workbookViewId="0">
      <selection activeCell="D20" sqref="D20:D23"/>
    </sheetView>
  </sheetViews>
  <sheetFormatPr defaultRowHeight="13.9" x14ac:dyDescent="0.4"/>
  <cols>
    <col min="1" max="1" width="16.06640625" style="21" customWidth="1"/>
    <col min="2" max="2" width="8.86328125" style="21" customWidth="1"/>
    <col min="3" max="3" width="12.73046875" style="21" customWidth="1"/>
    <col min="4" max="5" width="5.796875" style="21" customWidth="1"/>
    <col min="6" max="6" width="21.265625" style="21" bestFit="1" customWidth="1"/>
    <col min="7" max="7" width="8.86328125" style="21" customWidth="1"/>
    <col min="8" max="8" width="12.73046875" style="21" bestFit="1" customWidth="1"/>
    <col min="9" max="10" width="5.796875" style="21" customWidth="1"/>
    <col min="11" max="11" width="21.265625" style="21" bestFit="1" customWidth="1"/>
    <col min="12" max="12" width="8.86328125" style="21" customWidth="1"/>
    <col min="13" max="13" width="12.73046875" style="21" customWidth="1"/>
    <col min="14" max="16384" width="9.06640625" style="21"/>
  </cols>
  <sheetData>
    <row r="1" spans="1:14" ht="14.25" thickBot="1" x14ac:dyDescent="0.45">
      <c r="A1" s="87" t="s">
        <v>6</v>
      </c>
      <c r="B1" s="88"/>
      <c r="C1" s="89"/>
      <c r="D1" s="20"/>
      <c r="F1" s="87" t="s">
        <v>7</v>
      </c>
      <c r="G1" s="88"/>
      <c r="H1" s="89"/>
      <c r="I1" s="20"/>
      <c r="K1" s="87" t="s">
        <v>8</v>
      </c>
      <c r="L1" s="88"/>
      <c r="M1" s="89"/>
    </row>
    <row r="2" spans="1:14" x14ac:dyDescent="0.4">
      <c r="A2" s="91" t="s">
        <v>19</v>
      </c>
      <c r="B2" s="90" t="s">
        <v>4</v>
      </c>
      <c r="C2" s="90"/>
      <c r="D2" s="22"/>
      <c r="F2" s="91" t="s">
        <v>19</v>
      </c>
      <c r="G2" s="90" t="s">
        <v>4</v>
      </c>
      <c r="H2" s="90"/>
      <c r="I2" s="22"/>
      <c r="K2" s="91" t="s">
        <v>19</v>
      </c>
      <c r="L2" s="90" t="s">
        <v>4</v>
      </c>
      <c r="M2" s="90"/>
    </row>
    <row r="3" spans="1:14" x14ac:dyDescent="0.4">
      <c r="A3" s="92"/>
      <c r="B3" s="24" t="s">
        <v>2</v>
      </c>
      <c r="C3" s="25" t="s">
        <v>3</v>
      </c>
      <c r="D3" s="22"/>
      <c r="F3" s="92"/>
      <c r="G3" s="24" t="s">
        <v>2</v>
      </c>
      <c r="H3" s="25" t="s">
        <v>3</v>
      </c>
      <c r="I3" s="22"/>
      <c r="K3" s="92"/>
      <c r="L3" s="24" t="s">
        <v>2</v>
      </c>
      <c r="M3" s="25" t="s">
        <v>3</v>
      </c>
    </row>
    <row r="4" spans="1:14" x14ac:dyDescent="0.4">
      <c r="A4" s="26" t="s">
        <v>0</v>
      </c>
      <c r="B4" s="34">
        <v>0.33015815066336762</v>
      </c>
      <c r="C4" s="34">
        <v>0.44724850174077557</v>
      </c>
      <c r="D4" s="61">
        <v>388</v>
      </c>
      <c r="F4" s="26" t="s">
        <v>0</v>
      </c>
      <c r="G4" s="34">
        <v>4.2530262063599854E-2</v>
      </c>
      <c r="H4" s="34">
        <v>0.24263586053847475</v>
      </c>
      <c r="I4" s="62">
        <v>49</v>
      </c>
      <c r="K4" s="26" t="s">
        <v>0</v>
      </c>
      <c r="L4" s="34">
        <v>1.1560498739796132E-3</v>
      </c>
      <c r="M4" s="34">
        <v>5.952920584607993E-2</v>
      </c>
      <c r="N4" s="63">
        <v>24</v>
      </c>
    </row>
    <row r="5" spans="1:14" x14ac:dyDescent="0.4">
      <c r="A5" s="26" t="s">
        <v>1</v>
      </c>
      <c r="B5" s="34">
        <v>9.2251232072399644E-2</v>
      </c>
      <c r="C5" s="34">
        <v>0.13034211552345892</v>
      </c>
      <c r="D5" s="61">
        <v>103</v>
      </c>
      <c r="F5" s="26" t="s">
        <v>1</v>
      </c>
      <c r="G5" s="34">
        <v>1.6401317982771786E-2</v>
      </c>
      <c r="H5" s="34">
        <v>0.69843255941515514</v>
      </c>
      <c r="I5" s="62">
        <v>200</v>
      </c>
      <c r="K5" s="26" t="s">
        <v>1</v>
      </c>
      <c r="L5" s="34">
        <v>7.5605769586850856E-3</v>
      </c>
      <c r="M5" s="34">
        <v>0.93175416732125582</v>
      </c>
      <c r="N5" s="63">
        <v>342</v>
      </c>
    </row>
    <row r="6" spans="1:14" x14ac:dyDescent="0.4">
      <c r="D6" s="22"/>
      <c r="I6" s="59"/>
      <c r="M6" s="42"/>
      <c r="N6" s="60"/>
    </row>
    <row r="7" spans="1:14" x14ac:dyDescent="0.4">
      <c r="D7" s="22"/>
      <c r="I7" s="26"/>
    </row>
    <row r="8" spans="1:14" x14ac:dyDescent="0.4">
      <c r="D8" s="22"/>
      <c r="I8" s="26"/>
    </row>
    <row r="9" spans="1:14" x14ac:dyDescent="0.4">
      <c r="D9" s="22"/>
      <c r="I9" s="26"/>
    </row>
    <row r="10" spans="1:14" x14ac:dyDescent="0.4">
      <c r="A10" s="26" t="s">
        <v>19</v>
      </c>
      <c r="B10" s="90" t="s">
        <v>4</v>
      </c>
      <c r="C10" s="90"/>
      <c r="D10" s="22"/>
      <c r="F10" s="26" t="s">
        <v>19</v>
      </c>
      <c r="G10" s="90" t="s">
        <v>4</v>
      </c>
      <c r="H10" s="90"/>
      <c r="I10" s="22"/>
      <c r="K10" s="26" t="s">
        <v>19</v>
      </c>
      <c r="L10" s="90" t="s">
        <v>4</v>
      </c>
      <c r="M10" s="90"/>
    </row>
    <row r="11" spans="1:14" x14ac:dyDescent="0.4">
      <c r="A11" s="27" t="s">
        <v>10</v>
      </c>
      <c r="B11" s="25" t="s">
        <v>2</v>
      </c>
      <c r="C11" s="25" t="s">
        <v>3</v>
      </c>
      <c r="D11" s="66" t="s">
        <v>37</v>
      </c>
      <c r="F11" s="27" t="s">
        <v>10</v>
      </c>
      <c r="G11" s="25" t="s">
        <v>2</v>
      </c>
      <c r="H11" s="25" t="s">
        <v>3</v>
      </c>
      <c r="I11" s="66" t="s">
        <v>37</v>
      </c>
      <c r="K11" s="27" t="s">
        <v>10</v>
      </c>
      <c r="L11" s="25" t="s">
        <v>2</v>
      </c>
      <c r="M11" s="25" t="s">
        <v>3</v>
      </c>
      <c r="N11" s="66" t="s">
        <v>37</v>
      </c>
    </row>
    <row r="12" spans="1:14" x14ac:dyDescent="0.4">
      <c r="A12" s="26" t="s">
        <v>11</v>
      </c>
      <c r="B12" s="35">
        <v>0.33015815066336762</v>
      </c>
      <c r="C12" s="10">
        <v>0.44724850174077557</v>
      </c>
      <c r="D12" s="61">
        <v>388</v>
      </c>
      <c r="F12" s="26" t="s">
        <v>11</v>
      </c>
      <c r="G12" s="10">
        <v>4.2530262063599854E-2</v>
      </c>
      <c r="H12" s="10">
        <v>0.24263586053847475</v>
      </c>
      <c r="I12" s="58">
        <v>49</v>
      </c>
      <c r="K12" s="26" t="s">
        <v>11</v>
      </c>
      <c r="L12" s="10">
        <v>1.1560498739796132E-3</v>
      </c>
      <c r="M12" s="10">
        <v>5.952920584607993E-2</v>
      </c>
      <c r="N12" s="60">
        <v>24</v>
      </c>
    </row>
    <row r="13" spans="1:14" x14ac:dyDescent="0.4">
      <c r="A13" s="26" t="s">
        <v>12</v>
      </c>
      <c r="B13" s="10">
        <v>0.31368121142895855</v>
      </c>
      <c r="C13" s="10">
        <v>0.39092192890687816</v>
      </c>
      <c r="D13" s="61">
        <v>346</v>
      </c>
      <c r="F13" s="26" t="s">
        <v>12</v>
      </c>
      <c r="G13" s="10">
        <v>4.2530262063599854E-2</v>
      </c>
      <c r="H13" s="10">
        <v>0.22073043173493767</v>
      </c>
      <c r="I13" s="58">
        <v>46</v>
      </c>
      <c r="K13" s="26" t="s">
        <v>12</v>
      </c>
      <c r="L13" s="10">
        <v>0</v>
      </c>
      <c r="M13" s="10">
        <v>0</v>
      </c>
      <c r="N13" s="60">
        <v>0</v>
      </c>
    </row>
    <row r="14" spans="1:14" x14ac:dyDescent="0.4">
      <c r="A14" s="26" t="s">
        <v>13</v>
      </c>
      <c r="B14" s="10">
        <v>0.25965302459297479</v>
      </c>
      <c r="C14" s="10">
        <v>0.11285263609750247</v>
      </c>
      <c r="D14" s="61">
        <v>160</v>
      </c>
      <c r="F14" s="26" t="s">
        <v>13</v>
      </c>
      <c r="G14" s="10">
        <v>2.9423046546485549E-2</v>
      </c>
      <c r="H14" s="10">
        <v>0.16324438907215821</v>
      </c>
      <c r="I14" s="58">
        <v>30</v>
      </c>
      <c r="K14" s="26" t="s">
        <v>13</v>
      </c>
      <c r="L14" s="10">
        <v>0</v>
      </c>
      <c r="M14" s="10">
        <v>0</v>
      </c>
      <c r="N14" s="60">
        <v>0</v>
      </c>
    </row>
    <row r="15" spans="1:14" x14ac:dyDescent="0.4">
      <c r="D15" s="22"/>
      <c r="I15" s="26"/>
    </row>
    <row r="16" spans="1:14" x14ac:dyDescent="0.4">
      <c r="D16" s="22"/>
      <c r="I16" s="26"/>
    </row>
    <row r="17" spans="1:14" x14ac:dyDescent="0.4">
      <c r="D17" s="22"/>
      <c r="I17" s="26"/>
    </row>
    <row r="18" spans="1:14" x14ac:dyDescent="0.4">
      <c r="D18" s="22"/>
      <c r="I18" s="26"/>
    </row>
    <row r="19" spans="1:14" x14ac:dyDescent="0.4">
      <c r="A19" s="26" t="s">
        <v>19</v>
      </c>
      <c r="B19" s="90" t="s">
        <v>4</v>
      </c>
      <c r="C19" s="90"/>
      <c r="D19" s="22"/>
      <c r="F19" s="26" t="s">
        <v>19</v>
      </c>
      <c r="G19" s="90" t="s">
        <v>4</v>
      </c>
      <c r="H19" s="90"/>
      <c r="I19" s="22"/>
      <c r="K19" s="26" t="s">
        <v>19</v>
      </c>
      <c r="L19" s="90" t="s">
        <v>4</v>
      </c>
      <c r="M19" s="90"/>
    </row>
    <row r="20" spans="1:14" x14ac:dyDescent="0.4">
      <c r="A20" s="27" t="s">
        <v>14</v>
      </c>
      <c r="B20" s="25" t="s">
        <v>2</v>
      </c>
      <c r="C20" s="25" t="s">
        <v>3</v>
      </c>
      <c r="D20" s="23" t="s">
        <v>37</v>
      </c>
      <c r="F20" s="27" t="s">
        <v>14</v>
      </c>
      <c r="G20" s="25" t="s">
        <v>2</v>
      </c>
      <c r="H20" s="25" t="s">
        <v>3</v>
      </c>
      <c r="I20" s="66" t="s">
        <v>37</v>
      </c>
      <c r="K20" s="27" t="s">
        <v>14</v>
      </c>
      <c r="L20" s="25" t="s">
        <v>2</v>
      </c>
      <c r="M20" s="25" t="s">
        <v>3</v>
      </c>
      <c r="N20" s="66" t="s">
        <v>37</v>
      </c>
    </row>
    <row r="21" spans="1:14" x14ac:dyDescent="0.4">
      <c r="A21" s="31" t="s">
        <v>15</v>
      </c>
      <c r="B21" s="10">
        <v>4.3874333987668924E-3</v>
      </c>
      <c r="C21" s="10">
        <v>1.5980170101152914E-2</v>
      </c>
      <c r="D21" s="68">
        <v>9</v>
      </c>
      <c r="F21" s="31" t="s">
        <v>15</v>
      </c>
      <c r="G21" s="10">
        <v>8.00131697588213E-3</v>
      </c>
      <c r="H21" s="10">
        <v>0</v>
      </c>
      <c r="I21" s="62">
        <v>1</v>
      </c>
      <c r="K21" s="31" t="s">
        <v>15</v>
      </c>
      <c r="L21" s="10">
        <v>0</v>
      </c>
      <c r="M21" s="10">
        <v>0</v>
      </c>
      <c r="N21" s="67">
        <v>0</v>
      </c>
    </row>
    <row r="22" spans="1:14" x14ac:dyDescent="0.4">
      <c r="A22" s="26" t="s">
        <v>16</v>
      </c>
      <c r="B22" s="10">
        <v>7.7923364902654085E-2</v>
      </c>
      <c r="C22" s="10">
        <v>0.15312366407419009</v>
      </c>
      <c r="D22" s="68">
        <v>267</v>
      </c>
      <c r="F22" s="26" t="s">
        <v>16</v>
      </c>
      <c r="G22" s="10">
        <v>0</v>
      </c>
      <c r="H22" s="10">
        <v>0</v>
      </c>
      <c r="I22" s="62">
        <v>0</v>
      </c>
      <c r="K22" s="26" t="s">
        <v>16</v>
      </c>
      <c r="L22" s="10">
        <v>0</v>
      </c>
      <c r="M22" s="10">
        <v>0</v>
      </c>
      <c r="N22" s="67">
        <v>0</v>
      </c>
    </row>
    <row r="23" spans="1:14" x14ac:dyDescent="0.4">
      <c r="A23" s="26" t="s">
        <v>17</v>
      </c>
      <c r="B23" s="10">
        <v>0.10280279272302915</v>
      </c>
      <c r="C23" s="10">
        <v>0.19965810760317149</v>
      </c>
      <c r="D23" s="64">
        <v>163</v>
      </c>
      <c r="F23" s="26" t="s">
        <v>17</v>
      </c>
      <c r="G23" s="10">
        <v>1.4369054109208929E-2</v>
      </c>
      <c r="H23" s="10">
        <v>9.2340645582976916E-2</v>
      </c>
      <c r="I23" s="62">
        <v>20</v>
      </c>
      <c r="K23" s="26" t="s">
        <v>17</v>
      </c>
      <c r="L23" s="10">
        <v>1.1560498739796132E-3</v>
      </c>
      <c r="M23" s="10">
        <v>5.952920584607993E-2</v>
      </c>
      <c r="N23" s="67">
        <v>24</v>
      </c>
    </row>
    <row r="24" spans="1:14" x14ac:dyDescent="0.4">
      <c r="A24" s="26" t="s">
        <v>18</v>
      </c>
      <c r="B24" s="10">
        <v>0.14504455963891735</v>
      </c>
      <c r="C24" s="10">
        <v>7.8486559962261018E-2</v>
      </c>
      <c r="D24" s="64">
        <v>121</v>
      </c>
      <c r="F24" s="26" t="s">
        <v>18</v>
      </c>
      <c r="G24" s="10">
        <v>2.0159890978508808E-2</v>
      </c>
      <c r="H24" s="10">
        <v>0.1502952149554978</v>
      </c>
      <c r="I24" s="62">
        <v>28</v>
      </c>
      <c r="K24" s="26" t="s">
        <v>18</v>
      </c>
      <c r="L24" s="10">
        <v>0</v>
      </c>
      <c r="M24" s="10">
        <v>0</v>
      </c>
      <c r="N24" s="67">
        <v>0</v>
      </c>
    </row>
    <row r="25" spans="1:14" x14ac:dyDescent="0.4">
      <c r="B25" s="28"/>
      <c r="C25" s="28"/>
      <c r="D25" s="26"/>
      <c r="G25" s="42"/>
      <c r="I25" s="65"/>
      <c r="L25" s="29"/>
    </row>
    <row r="26" spans="1:14" x14ac:dyDescent="0.4">
      <c r="D26" s="26"/>
      <c r="I26" s="26"/>
    </row>
    <row r="27" spans="1:14" x14ac:dyDescent="0.4">
      <c r="D27" s="26"/>
      <c r="I27" s="26"/>
    </row>
    <row r="28" spans="1:14" x14ac:dyDescent="0.4">
      <c r="D28" s="26"/>
      <c r="I28" s="26"/>
    </row>
    <row r="29" spans="1:14" x14ac:dyDescent="0.4">
      <c r="A29" s="26" t="s">
        <v>19</v>
      </c>
      <c r="B29" s="90" t="s">
        <v>4</v>
      </c>
      <c r="C29" s="90"/>
      <c r="D29" s="26"/>
      <c r="F29" s="26" t="s">
        <v>19</v>
      </c>
      <c r="G29" s="90" t="s">
        <v>4</v>
      </c>
      <c r="H29" s="90"/>
      <c r="I29" s="26"/>
      <c r="K29" s="26" t="s">
        <v>19</v>
      </c>
      <c r="L29" s="90" t="s">
        <v>4</v>
      </c>
      <c r="M29" s="90"/>
    </row>
    <row r="30" spans="1:14" x14ac:dyDescent="0.4">
      <c r="A30" s="27" t="s">
        <v>10</v>
      </c>
      <c r="B30" s="25" t="s">
        <v>2</v>
      </c>
      <c r="C30" s="25" t="s">
        <v>3</v>
      </c>
      <c r="D30" s="26"/>
      <c r="F30" s="27" t="s">
        <v>10</v>
      </c>
      <c r="G30" s="25" t="s">
        <v>2</v>
      </c>
      <c r="H30" s="25" t="s">
        <v>3</v>
      </c>
      <c r="I30" s="26"/>
      <c r="K30" s="27" t="s">
        <v>10</v>
      </c>
      <c r="L30" s="25" t="s">
        <v>2</v>
      </c>
      <c r="M30" s="25" t="s">
        <v>3</v>
      </c>
    </row>
    <row r="31" spans="1:14" x14ac:dyDescent="0.4">
      <c r="A31" s="31" t="s">
        <v>11</v>
      </c>
      <c r="B31" s="47">
        <v>0.33015815066336762</v>
      </c>
      <c r="C31" s="10">
        <v>0.44724850174077557</v>
      </c>
      <c r="D31" s="26"/>
      <c r="F31" s="31" t="s">
        <v>11</v>
      </c>
      <c r="G31" s="10">
        <v>4.2530262063599854E-2</v>
      </c>
      <c r="H31" s="10">
        <v>0.24263586053847475</v>
      </c>
      <c r="I31" s="26"/>
      <c r="K31" s="31" t="s">
        <v>11</v>
      </c>
      <c r="L31" s="10">
        <v>1.1560498739796132E-3</v>
      </c>
      <c r="M31" s="10">
        <v>5.952920584607993E-2</v>
      </c>
    </row>
    <row r="32" spans="1:14" x14ac:dyDescent="0.4">
      <c r="A32" s="32" t="s">
        <v>30</v>
      </c>
      <c r="B32" s="10">
        <v>0</v>
      </c>
      <c r="C32" s="36">
        <v>0</v>
      </c>
      <c r="D32" s="26"/>
      <c r="F32" s="32" t="s">
        <v>30</v>
      </c>
      <c r="G32" s="10">
        <v>0</v>
      </c>
      <c r="H32" s="10">
        <v>0</v>
      </c>
      <c r="I32" s="26"/>
      <c r="K32" s="32" t="s">
        <v>30</v>
      </c>
      <c r="L32" s="10">
        <v>0</v>
      </c>
      <c r="M32" s="10">
        <v>0</v>
      </c>
    </row>
    <row r="33" spans="1:13" x14ac:dyDescent="0.4">
      <c r="B33" s="29"/>
      <c r="C33" s="29"/>
      <c r="D33" s="26"/>
      <c r="I33" s="26"/>
      <c r="L33" s="42"/>
    </row>
    <row r="34" spans="1:13" x14ac:dyDescent="0.4">
      <c r="D34" s="26"/>
      <c r="I34" s="26"/>
    </row>
    <row r="35" spans="1:13" x14ac:dyDescent="0.4">
      <c r="A35" s="26" t="s">
        <v>19</v>
      </c>
      <c r="B35" s="90" t="s">
        <v>4</v>
      </c>
      <c r="C35" s="90"/>
      <c r="D35" s="26"/>
      <c r="F35" s="26" t="s">
        <v>19</v>
      </c>
      <c r="G35" s="90" t="s">
        <v>4</v>
      </c>
      <c r="H35" s="90"/>
      <c r="I35" s="26"/>
      <c r="K35" s="26" t="s">
        <v>19</v>
      </c>
      <c r="L35" s="90" t="s">
        <v>4</v>
      </c>
      <c r="M35" s="90"/>
    </row>
    <row r="36" spans="1:13" x14ac:dyDescent="0.4">
      <c r="A36" s="27" t="s">
        <v>10</v>
      </c>
      <c r="B36" s="25" t="s">
        <v>2</v>
      </c>
      <c r="C36" s="25" t="s">
        <v>3</v>
      </c>
      <c r="D36" s="26"/>
      <c r="F36" s="27" t="s">
        <v>10</v>
      </c>
      <c r="G36" s="25" t="s">
        <v>2</v>
      </c>
      <c r="H36" s="25" t="s">
        <v>3</v>
      </c>
      <c r="I36" s="26"/>
      <c r="K36" s="27" t="s">
        <v>10</v>
      </c>
      <c r="L36" s="25" t="s">
        <v>2</v>
      </c>
      <c r="M36" s="25" t="s">
        <v>3</v>
      </c>
    </row>
    <row r="37" spans="1:13" x14ac:dyDescent="0.4">
      <c r="A37" s="33" t="s">
        <v>12</v>
      </c>
      <c r="B37" s="10">
        <v>0.31368121142895855</v>
      </c>
      <c r="C37" s="10">
        <v>0.39092192890687816</v>
      </c>
      <c r="D37" s="26"/>
      <c r="F37" s="31" t="s">
        <v>12</v>
      </c>
      <c r="G37" s="10">
        <v>4.2530262063599854E-2</v>
      </c>
      <c r="H37" s="10">
        <v>0.22073043173493767</v>
      </c>
      <c r="I37" s="26"/>
      <c r="K37" s="31" t="s">
        <v>12</v>
      </c>
      <c r="L37" s="10">
        <v>0</v>
      </c>
      <c r="M37" s="10">
        <v>0</v>
      </c>
    </row>
    <row r="38" spans="1:13" x14ac:dyDescent="0.4">
      <c r="A38" s="30" t="s">
        <v>31</v>
      </c>
      <c r="B38" s="10">
        <v>1.6476939234408787E-2</v>
      </c>
      <c r="C38" s="10">
        <v>5.6326572833897533E-2</v>
      </c>
      <c r="D38" s="26"/>
      <c r="F38" s="32" t="s">
        <v>31</v>
      </c>
      <c r="G38" s="10">
        <v>0</v>
      </c>
      <c r="H38" s="10">
        <v>2.190542880353705E-2</v>
      </c>
      <c r="I38" s="26"/>
      <c r="K38" s="32" t="s">
        <v>31</v>
      </c>
      <c r="L38" s="10">
        <v>1.1560498739796132E-3</v>
      </c>
      <c r="M38" s="10">
        <v>5.952920584607993E-2</v>
      </c>
    </row>
    <row r="39" spans="1:13" x14ac:dyDescent="0.4">
      <c r="C39" s="28"/>
      <c r="D39" s="26"/>
      <c r="G39" s="29"/>
      <c r="H39" s="28"/>
      <c r="I39" s="26"/>
    </row>
    <row r="40" spans="1:13" x14ac:dyDescent="0.4">
      <c r="D40" s="26"/>
      <c r="I40" s="26"/>
    </row>
    <row r="41" spans="1:13" x14ac:dyDescent="0.4">
      <c r="A41" s="26" t="s">
        <v>19</v>
      </c>
      <c r="B41" s="90" t="s">
        <v>4</v>
      </c>
      <c r="C41" s="90"/>
      <c r="D41" s="26"/>
      <c r="F41" s="26" t="s">
        <v>19</v>
      </c>
      <c r="G41" s="90" t="s">
        <v>4</v>
      </c>
      <c r="H41" s="90"/>
      <c r="I41" s="26"/>
      <c r="K41" s="26" t="s">
        <v>19</v>
      </c>
      <c r="L41" s="90" t="s">
        <v>4</v>
      </c>
      <c r="M41" s="90"/>
    </row>
    <row r="42" spans="1:13" x14ac:dyDescent="0.4">
      <c r="A42" s="27" t="s">
        <v>10</v>
      </c>
      <c r="B42" s="25" t="s">
        <v>2</v>
      </c>
      <c r="C42" s="25" t="s">
        <v>3</v>
      </c>
      <c r="D42" s="26"/>
      <c r="F42" s="27" t="s">
        <v>10</v>
      </c>
      <c r="G42" s="25" t="s">
        <v>2</v>
      </c>
      <c r="H42" s="25" t="s">
        <v>3</v>
      </c>
      <c r="I42" s="26"/>
      <c r="K42" s="27" t="s">
        <v>10</v>
      </c>
      <c r="L42" s="25" t="s">
        <v>2</v>
      </c>
      <c r="M42" s="25" t="s">
        <v>3</v>
      </c>
    </row>
    <row r="43" spans="1:13" x14ac:dyDescent="0.4">
      <c r="A43" s="31" t="s">
        <v>13</v>
      </c>
      <c r="B43" s="10">
        <v>0.25965302459297479</v>
      </c>
      <c r="C43" s="10">
        <v>0.11285263609750247</v>
      </c>
      <c r="D43" s="26"/>
      <c r="F43" s="31" t="s">
        <v>13</v>
      </c>
      <c r="G43" s="10">
        <v>2.9423046546485549E-2</v>
      </c>
      <c r="H43" s="10">
        <v>0.16324438907215821</v>
      </c>
      <c r="I43" s="26"/>
      <c r="K43" s="31" t="s">
        <v>13</v>
      </c>
      <c r="L43" s="10">
        <v>0</v>
      </c>
      <c r="M43" s="10">
        <v>0</v>
      </c>
    </row>
    <row r="44" spans="1:13" x14ac:dyDescent="0.4">
      <c r="A44" s="32" t="s">
        <v>32</v>
      </c>
      <c r="B44" s="10">
        <v>7.0505126070392637E-2</v>
      </c>
      <c r="C44" s="10">
        <v>0.33439586564327289</v>
      </c>
      <c r="D44" s="26"/>
      <c r="F44" s="32" t="s">
        <v>32</v>
      </c>
      <c r="G44" s="10">
        <v>1.3107215517114317E-2</v>
      </c>
      <c r="H44" s="10">
        <v>7.939147146631656E-2</v>
      </c>
      <c r="I44" s="26"/>
      <c r="K44" s="32" t="s">
        <v>32</v>
      </c>
      <c r="L44" s="10">
        <v>1.1560498739796132E-3</v>
      </c>
      <c r="M44" s="10">
        <v>5.952920584607993E-2</v>
      </c>
    </row>
    <row r="45" spans="1:13" x14ac:dyDescent="0.4">
      <c r="C45" s="28"/>
      <c r="D45" s="26"/>
      <c r="G45" s="28"/>
      <c r="H45" s="28"/>
      <c r="I45" s="26"/>
      <c r="L45" s="42">
        <f>SUM(L43:L44)</f>
        <v>1.1560498739796132E-3</v>
      </c>
    </row>
    <row r="46" spans="1:13" x14ac:dyDescent="0.4">
      <c r="D46" s="26"/>
      <c r="I46" s="26"/>
    </row>
    <row r="47" spans="1:13" x14ac:dyDescent="0.4">
      <c r="D47" s="26"/>
      <c r="I47" s="26"/>
    </row>
    <row r="48" spans="1:13" x14ac:dyDescent="0.4">
      <c r="D48" s="26"/>
      <c r="I48" s="26"/>
    </row>
    <row r="49" spans="1:13" x14ac:dyDescent="0.4">
      <c r="A49" s="26" t="s">
        <v>19</v>
      </c>
      <c r="B49" s="90" t="s">
        <v>4</v>
      </c>
      <c r="C49" s="90"/>
      <c r="D49" s="26"/>
      <c r="F49" s="26" t="s">
        <v>19</v>
      </c>
      <c r="G49" s="90" t="s">
        <v>4</v>
      </c>
      <c r="H49" s="90"/>
      <c r="I49" s="26"/>
      <c r="K49" s="26" t="s">
        <v>19</v>
      </c>
      <c r="L49" s="90" t="s">
        <v>4</v>
      </c>
      <c r="M49" s="90"/>
    </row>
    <row r="50" spans="1:13" x14ac:dyDescent="0.4">
      <c r="A50" s="27" t="s">
        <v>10</v>
      </c>
      <c r="B50" s="25" t="s">
        <v>2</v>
      </c>
      <c r="C50" s="25" t="s">
        <v>3</v>
      </c>
      <c r="D50" s="26"/>
      <c r="F50" s="27" t="s">
        <v>10</v>
      </c>
      <c r="G50" s="25" t="s">
        <v>2</v>
      </c>
      <c r="H50" s="25" t="s">
        <v>3</v>
      </c>
      <c r="I50" s="26"/>
      <c r="K50" s="27" t="s">
        <v>10</v>
      </c>
      <c r="L50" s="25" t="s">
        <v>2</v>
      </c>
      <c r="M50" s="25" t="s">
        <v>3</v>
      </c>
    </row>
    <row r="51" spans="1:13" x14ac:dyDescent="0.4">
      <c r="A51" s="31" t="s">
        <v>15</v>
      </c>
      <c r="B51" s="10">
        <v>4.3874333987668924E-3</v>
      </c>
      <c r="C51" s="10">
        <v>1.5980170101152914E-2</v>
      </c>
      <c r="D51" s="26"/>
      <c r="F51" s="31" t="s">
        <v>15</v>
      </c>
      <c r="G51" s="10">
        <v>8.00131697588213E-3</v>
      </c>
      <c r="H51" s="10">
        <v>0</v>
      </c>
      <c r="I51" s="26"/>
      <c r="K51" s="31" t="s">
        <v>15</v>
      </c>
      <c r="L51" s="10">
        <v>0</v>
      </c>
      <c r="M51" s="10">
        <v>0</v>
      </c>
    </row>
    <row r="52" spans="1:13" x14ac:dyDescent="0.4">
      <c r="A52" s="32" t="s">
        <v>33</v>
      </c>
      <c r="B52" s="10">
        <v>0.3257707172646005</v>
      </c>
      <c r="C52" s="10">
        <v>0.43126833163962258</v>
      </c>
      <c r="D52" s="26"/>
      <c r="F52" s="32" t="s">
        <v>33</v>
      </c>
      <c r="G52" s="10">
        <v>3.4528945087717741E-2</v>
      </c>
      <c r="H52" s="10">
        <v>0.24263586053847475</v>
      </c>
      <c r="I52" s="26"/>
      <c r="K52" s="32" t="s">
        <v>33</v>
      </c>
      <c r="L52" s="10">
        <v>1.1560498739796132E-3</v>
      </c>
      <c r="M52" s="10">
        <v>5.952920584607993E-2</v>
      </c>
    </row>
    <row r="53" spans="1:13" x14ac:dyDescent="0.4">
      <c r="C53" s="28"/>
      <c r="D53" s="26"/>
      <c r="G53" s="28"/>
      <c r="H53" s="28"/>
      <c r="I53" s="26"/>
      <c r="L53" s="42"/>
    </row>
    <row r="54" spans="1:13" x14ac:dyDescent="0.4">
      <c r="D54" s="26"/>
      <c r="I54" s="26"/>
    </row>
    <row r="55" spans="1:13" x14ac:dyDescent="0.4">
      <c r="A55" s="26" t="s">
        <v>19</v>
      </c>
      <c r="B55" s="90" t="s">
        <v>4</v>
      </c>
      <c r="C55" s="90"/>
      <c r="D55" s="26"/>
      <c r="F55" s="26" t="s">
        <v>19</v>
      </c>
      <c r="G55" s="90" t="s">
        <v>4</v>
      </c>
      <c r="H55" s="90"/>
      <c r="I55" s="26"/>
      <c r="K55" s="26" t="s">
        <v>19</v>
      </c>
      <c r="L55" s="90" t="s">
        <v>4</v>
      </c>
      <c r="M55" s="90"/>
    </row>
    <row r="56" spans="1:13" x14ac:dyDescent="0.4">
      <c r="A56" s="27" t="s">
        <v>10</v>
      </c>
      <c r="B56" s="25" t="s">
        <v>2</v>
      </c>
      <c r="C56" s="25" t="s">
        <v>3</v>
      </c>
      <c r="D56" s="26"/>
      <c r="F56" s="27" t="s">
        <v>10</v>
      </c>
      <c r="G56" s="25" t="s">
        <v>2</v>
      </c>
      <c r="H56" s="25" t="s">
        <v>3</v>
      </c>
      <c r="I56" s="26"/>
      <c r="K56" s="27" t="s">
        <v>10</v>
      </c>
      <c r="L56" s="25" t="s">
        <v>2</v>
      </c>
      <c r="M56" s="25" t="s">
        <v>3</v>
      </c>
    </row>
    <row r="57" spans="1:13" x14ac:dyDescent="0.4">
      <c r="A57" s="31" t="s">
        <v>16</v>
      </c>
      <c r="B57" s="10">
        <v>7.7923364902654085E-2</v>
      </c>
      <c r="C57" s="10">
        <v>0.15312366407419009</v>
      </c>
      <c r="D57" s="26"/>
      <c r="F57" s="31" t="s">
        <v>16</v>
      </c>
      <c r="G57" s="10">
        <v>0</v>
      </c>
      <c r="H57" s="10">
        <v>0</v>
      </c>
      <c r="I57" s="26"/>
      <c r="K57" s="31" t="s">
        <v>16</v>
      </c>
      <c r="L57" s="10">
        <v>0</v>
      </c>
      <c r="M57" s="10">
        <v>0</v>
      </c>
    </row>
    <row r="58" spans="1:13" x14ac:dyDescent="0.4">
      <c r="A58" s="32" t="s">
        <v>34</v>
      </c>
      <c r="B58" s="10">
        <v>0.25223478576071334</v>
      </c>
      <c r="C58" s="10">
        <v>0.29412483766658537</v>
      </c>
      <c r="D58" s="26"/>
      <c r="F58" s="32" t="s">
        <v>34</v>
      </c>
      <c r="G58" s="10">
        <v>4.2530262063599854E-2</v>
      </c>
      <c r="H58" s="10">
        <v>0.24263586053847475</v>
      </c>
      <c r="I58" s="26"/>
      <c r="K58" s="32" t="s">
        <v>34</v>
      </c>
      <c r="L58" s="10">
        <v>1.1560498739796132E-3</v>
      </c>
      <c r="M58" s="10">
        <v>5.952920584607993E-2</v>
      </c>
    </row>
    <row r="59" spans="1:13" x14ac:dyDescent="0.4">
      <c r="C59" s="28"/>
      <c r="D59" s="26"/>
      <c r="G59" s="28"/>
      <c r="H59" s="28"/>
      <c r="I59" s="26"/>
      <c r="M59" s="36"/>
    </row>
    <row r="60" spans="1:13" x14ac:dyDescent="0.4">
      <c r="D60" s="26"/>
      <c r="I60" s="26"/>
    </row>
    <row r="61" spans="1:13" x14ac:dyDescent="0.4">
      <c r="D61" s="26"/>
      <c r="I61" s="26"/>
    </row>
    <row r="62" spans="1:13" x14ac:dyDescent="0.4">
      <c r="A62" s="26" t="s">
        <v>19</v>
      </c>
      <c r="B62" s="90" t="s">
        <v>4</v>
      </c>
      <c r="C62" s="90"/>
      <c r="D62" s="26"/>
      <c r="F62" s="26" t="s">
        <v>19</v>
      </c>
      <c r="G62" s="90" t="s">
        <v>4</v>
      </c>
      <c r="H62" s="90"/>
      <c r="I62" s="26"/>
      <c r="K62" s="26" t="s">
        <v>19</v>
      </c>
      <c r="L62" s="90" t="s">
        <v>4</v>
      </c>
      <c r="M62" s="90"/>
    </row>
    <row r="63" spans="1:13" x14ac:dyDescent="0.4">
      <c r="A63" s="27" t="s">
        <v>10</v>
      </c>
      <c r="B63" s="25" t="s">
        <v>2</v>
      </c>
      <c r="C63" s="25" t="s">
        <v>3</v>
      </c>
      <c r="D63" s="26"/>
      <c r="F63" s="27" t="s">
        <v>10</v>
      </c>
      <c r="G63" s="25" t="s">
        <v>2</v>
      </c>
      <c r="H63" s="25" t="s">
        <v>3</v>
      </c>
      <c r="I63" s="26"/>
      <c r="K63" s="27" t="s">
        <v>10</v>
      </c>
      <c r="L63" s="25" t="s">
        <v>2</v>
      </c>
      <c r="M63" s="25" t="s">
        <v>3</v>
      </c>
    </row>
    <row r="64" spans="1:13" x14ac:dyDescent="0.4">
      <c r="A64" s="31" t="s">
        <v>17</v>
      </c>
      <c r="B64" s="10">
        <v>0.10280279272302915</v>
      </c>
      <c r="C64" s="10">
        <v>0.19965810760317149</v>
      </c>
      <c r="D64" s="26"/>
      <c r="F64" s="31" t="s">
        <v>17</v>
      </c>
      <c r="G64" s="10">
        <v>1.4369054109208929E-2</v>
      </c>
      <c r="H64" s="10">
        <v>9.2340645582976916E-2</v>
      </c>
      <c r="I64" s="26"/>
      <c r="K64" s="31" t="s">
        <v>17</v>
      </c>
      <c r="L64" s="10">
        <v>1.1560498739796132E-3</v>
      </c>
      <c r="M64" s="10">
        <v>5.952920584607993E-2</v>
      </c>
    </row>
    <row r="65" spans="1:13" x14ac:dyDescent="0.4">
      <c r="A65" s="32" t="s">
        <v>35</v>
      </c>
      <c r="B65" s="10">
        <v>0.22735535794033815</v>
      </c>
      <c r="C65" s="10">
        <v>0.247590394137604</v>
      </c>
      <c r="D65" s="26"/>
      <c r="F65" s="32" t="s">
        <v>35</v>
      </c>
      <c r="G65" s="10">
        <v>2.8161207954390935E-2</v>
      </c>
      <c r="H65" s="10">
        <v>0.1502952149554978</v>
      </c>
      <c r="I65" s="26"/>
      <c r="K65" s="32" t="s">
        <v>35</v>
      </c>
      <c r="L65" s="10">
        <v>0</v>
      </c>
      <c r="M65" s="10">
        <v>0</v>
      </c>
    </row>
    <row r="66" spans="1:13" x14ac:dyDescent="0.4">
      <c r="C66" s="28"/>
      <c r="D66" s="26"/>
      <c r="G66" s="28"/>
      <c r="H66" s="28"/>
      <c r="I66" s="26"/>
    </row>
    <row r="67" spans="1:13" x14ac:dyDescent="0.4">
      <c r="D67" s="26"/>
      <c r="I67" s="26"/>
    </row>
    <row r="68" spans="1:13" x14ac:dyDescent="0.4">
      <c r="D68" s="26"/>
      <c r="I68" s="26"/>
    </row>
    <row r="69" spans="1:13" x14ac:dyDescent="0.4">
      <c r="A69" s="26" t="s">
        <v>19</v>
      </c>
      <c r="B69" s="90" t="s">
        <v>4</v>
      </c>
      <c r="C69" s="90"/>
      <c r="D69" s="26"/>
      <c r="F69" s="26" t="s">
        <v>19</v>
      </c>
      <c r="G69" s="90" t="s">
        <v>4</v>
      </c>
      <c r="H69" s="90"/>
      <c r="I69" s="26"/>
      <c r="K69" s="26" t="s">
        <v>19</v>
      </c>
      <c r="L69" s="90" t="s">
        <v>4</v>
      </c>
      <c r="M69" s="90"/>
    </row>
    <row r="70" spans="1:13" x14ac:dyDescent="0.4">
      <c r="A70" s="27" t="s">
        <v>10</v>
      </c>
      <c r="B70" s="25" t="s">
        <v>2</v>
      </c>
      <c r="C70" s="25" t="s">
        <v>3</v>
      </c>
      <c r="D70" s="26"/>
      <c r="F70" s="27" t="s">
        <v>10</v>
      </c>
      <c r="G70" s="25" t="s">
        <v>2</v>
      </c>
      <c r="H70" s="25" t="s">
        <v>3</v>
      </c>
      <c r="I70" s="26"/>
      <c r="K70" s="27" t="s">
        <v>10</v>
      </c>
      <c r="L70" s="25" t="s">
        <v>2</v>
      </c>
      <c r="M70" s="25" t="s">
        <v>3</v>
      </c>
    </row>
    <row r="71" spans="1:13" x14ac:dyDescent="0.4">
      <c r="A71" s="31" t="s">
        <v>18</v>
      </c>
      <c r="B71" s="10">
        <v>0.14504455963891735</v>
      </c>
      <c r="C71" s="10">
        <v>7.8486559962261018E-2</v>
      </c>
      <c r="D71" s="26"/>
      <c r="F71" s="31" t="s">
        <v>18</v>
      </c>
      <c r="G71" s="10">
        <v>2.0159890978508808E-2</v>
      </c>
      <c r="H71" s="10">
        <v>0.1502952149554978</v>
      </c>
      <c r="I71" s="26"/>
      <c r="K71" s="31" t="s">
        <v>18</v>
      </c>
      <c r="L71" s="10">
        <v>0</v>
      </c>
      <c r="M71" s="10">
        <v>0</v>
      </c>
    </row>
    <row r="72" spans="1:13" x14ac:dyDescent="0.4">
      <c r="A72" s="32" t="s">
        <v>36</v>
      </c>
      <c r="B72" s="10">
        <v>0.18511359102445016</v>
      </c>
      <c r="C72" s="10">
        <v>0.36876194177851457</v>
      </c>
      <c r="D72" s="26"/>
      <c r="F72" s="32" t="s">
        <v>36</v>
      </c>
      <c r="G72" s="10">
        <v>2.2370371085091056E-2</v>
      </c>
      <c r="H72" s="10">
        <v>9.2340645582976916E-2</v>
      </c>
      <c r="I72" s="26"/>
      <c r="K72" s="32" t="s">
        <v>36</v>
      </c>
      <c r="L72" s="10">
        <v>1.1560498739796132E-3</v>
      </c>
      <c r="M72" s="10">
        <v>5.952920584607993E-2</v>
      </c>
    </row>
    <row r="73" spans="1:13" x14ac:dyDescent="0.4">
      <c r="A73" s="33"/>
      <c r="C73" s="28"/>
      <c r="G73" s="28"/>
      <c r="H73" s="28"/>
    </row>
  </sheetData>
  <mergeCells count="36">
    <mergeCell ref="B69:C69"/>
    <mergeCell ref="G55:H55"/>
    <mergeCell ref="L55:M55"/>
    <mergeCell ref="G62:H62"/>
    <mergeCell ref="L62:M62"/>
    <mergeCell ref="G69:H69"/>
    <mergeCell ref="L69:M69"/>
    <mergeCell ref="B49:C49"/>
    <mergeCell ref="G49:H49"/>
    <mergeCell ref="L49:M49"/>
    <mergeCell ref="B55:C55"/>
    <mergeCell ref="B62:C62"/>
    <mergeCell ref="B29:C29"/>
    <mergeCell ref="B35:C35"/>
    <mergeCell ref="B41:C41"/>
    <mergeCell ref="G29:H29"/>
    <mergeCell ref="L29:M29"/>
    <mergeCell ref="G35:H35"/>
    <mergeCell ref="L35:M35"/>
    <mergeCell ref="G41:H41"/>
    <mergeCell ref="L41:M41"/>
    <mergeCell ref="B19:C19"/>
    <mergeCell ref="G19:H19"/>
    <mergeCell ref="L19:M19"/>
    <mergeCell ref="A2:A3"/>
    <mergeCell ref="B2:C2"/>
    <mergeCell ref="F2:F3"/>
    <mergeCell ref="G2:H2"/>
    <mergeCell ref="K2:K3"/>
    <mergeCell ref="L2:M2"/>
    <mergeCell ref="A1:C1"/>
    <mergeCell ref="F1:H1"/>
    <mergeCell ref="K1:M1"/>
    <mergeCell ref="B10:C10"/>
    <mergeCell ref="G10:H10"/>
    <mergeCell ref="L10:M10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94F8-D493-461F-8988-2B7A65341FD1}">
  <dimension ref="A1:N74"/>
  <sheetViews>
    <sheetView showGridLines="0" workbookViewId="0">
      <selection activeCell="Q9" sqref="Q9"/>
    </sheetView>
  </sheetViews>
  <sheetFormatPr defaultRowHeight="13.9" x14ac:dyDescent="0.4"/>
  <cols>
    <col min="1" max="1" width="13.53125" style="21" bestFit="1" customWidth="1"/>
    <col min="2" max="2" width="8.86328125" style="21" bestFit="1" customWidth="1"/>
    <col min="3" max="3" width="12.73046875" style="21" bestFit="1" customWidth="1"/>
    <col min="4" max="4" width="6.86328125" style="21" bestFit="1" customWidth="1"/>
    <col min="5" max="5" width="9.06640625" style="21"/>
    <col min="6" max="6" width="13.53125" style="21" bestFit="1" customWidth="1"/>
    <col min="7" max="7" width="8.86328125" style="21" bestFit="1" customWidth="1"/>
    <col min="8" max="8" width="12.73046875" style="21" bestFit="1" customWidth="1"/>
    <col min="9" max="10" width="5.46484375" style="21" customWidth="1"/>
    <col min="11" max="11" width="21.6640625" style="21" bestFit="1" customWidth="1"/>
    <col min="12" max="12" width="8.86328125" style="21" customWidth="1"/>
    <col min="13" max="16384" width="9.06640625" style="21"/>
  </cols>
  <sheetData>
    <row r="1" spans="1:14" ht="14.25" thickBot="1" x14ac:dyDescent="0.45">
      <c r="A1" s="87" t="s">
        <v>6</v>
      </c>
      <c r="B1" s="88"/>
      <c r="C1" s="89"/>
      <c r="D1" s="20"/>
      <c r="F1" s="87" t="s">
        <v>7</v>
      </c>
      <c r="G1" s="88"/>
      <c r="H1" s="89"/>
      <c r="I1" s="20"/>
      <c r="K1" s="87" t="s">
        <v>8</v>
      </c>
      <c r="L1" s="88"/>
      <c r="M1" s="89"/>
    </row>
    <row r="3" spans="1:14" x14ac:dyDescent="0.4">
      <c r="A3" s="26" t="s">
        <v>23</v>
      </c>
      <c r="B3" s="90" t="s">
        <v>4</v>
      </c>
      <c r="C3" s="90"/>
      <c r="D3" s="22"/>
      <c r="F3" s="26" t="s">
        <v>23</v>
      </c>
      <c r="G3" s="90" t="s">
        <v>4</v>
      </c>
      <c r="H3" s="90"/>
      <c r="I3" s="22"/>
      <c r="K3" s="26" t="s">
        <v>23</v>
      </c>
      <c r="L3" s="90" t="s">
        <v>4</v>
      </c>
      <c r="M3" s="90"/>
    </row>
    <row r="4" spans="1:14" ht="14.25" x14ac:dyDescent="0.45">
      <c r="A4" s="27" t="s">
        <v>10</v>
      </c>
      <c r="B4" s="25" t="s">
        <v>2</v>
      </c>
      <c r="C4" s="25" t="s">
        <v>3</v>
      </c>
      <c r="D4" s="51" t="s">
        <v>37</v>
      </c>
      <c r="F4" s="27" t="s">
        <v>10</v>
      </c>
      <c r="G4" s="25" t="s">
        <v>2</v>
      </c>
      <c r="H4" s="25" t="s">
        <v>3</v>
      </c>
      <c r="I4" s="51" t="s">
        <v>37</v>
      </c>
      <c r="K4" s="27" t="s">
        <v>10</v>
      </c>
      <c r="L4" s="25" t="s">
        <v>2</v>
      </c>
      <c r="M4" s="25" t="s">
        <v>3</v>
      </c>
      <c r="N4" s="6" t="s">
        <v>37</v>
      </c>
    </row>
    <row r="5" spans="1:14" x14ac:dyDescent="0.4">
      <c r="A5" s="26" t="s">
        <v>11</v>
      </c>
      <c r="B5" s="34">
        <v>0.42240938273576706</v>
      </c>
      <c r="C5" s="34">
        <v>0.57759061726423433</v>
      </c>
      <c r="D5" s="53">
        <v>491</v>
      </c>
      <c r="F5" s="26" t="s">
        <v>11</v>
      </c>
      <c r="G5" s="34">
        <v>5.8931580046371647E-2</v>
      </c>
      <c r="H5" s="34">
        <v>0.8950452459002346</v>
      </c>
      <c r="I5" s="53">
        <v>235</v>
      </c>
      <c r="K5" s="26" t="s">
        <v>11</v>
      </c>
      <c r="L5" s="34">
        <v>8.7166268326646992E-3</v>
      </c>
      <c r="M5" s="34">
        <v>0.99128337316733528</v>
      </c>
      <c r="N5" s="67">
        <v>366</v>
      </c>
    </row>
    <row r="6" spans="1:14" x14ac:dyDescent="0.4">
      <c r="A6" s="26" t="s">
        <v>12</v>
      </c>
      <c r="B6" s="34">
        <v>0.40593244350135826</v>
      </c>
      <c r="C6" s="34">
        <v>0.49585835097160896</v>
      </c>
      <c r="D6" s="53">
        <v>437</v>
      </c>
      <c r="F6" s="26" t="s">
        <v>12</v>
      </c>
      <c r="G6" s="34">
        <v>5.8931580046371647E-2</v>
      </c>
      <c r="H6" s="34">
        <v>0.87313981709669786</v>
      </c>
      <c r="I6" s="53">
        <v>232</v>
      </c>
      <c r="K6" s="26" t="s">
        <v>12</v>
      </c>
      <c r="L6" s="34">
        <v>1.5667582602252846E-3</v>
      </c>
      <c r="M6" s="34">
        <v>0.32140717373228622</v>
      </c>
      <c r="N6" s="67">
        <v>125</v>
      </c>
    </row>
    <row r="7" spans="1:14" x14ac:dyDescent="0.4">
      <c r="A7" s="26" t="s">
        <v>13</v>
      </c>
      <c r="B7" s="34">
        <v>0.33419227545614316</v>
      </c>
      <c r="C7" s="34">
        <v>0.16999540184788839</v>
      </c>
      <c r="D7" s="53">
        <v>210</v>
      </c>
      <c r="F7" s="26" t="s">
        <v>13</v>
      </c>
      <c r="G7" s="34">
        <v>4.071846598802515E-2</v>
      </c>
      <c r="H7" s="34">
        <v>0.75485098040702403</v>
      </c>
      <c r="I7" s="53">
        <v>192</v>
      </c>
      <c r="K7" s="26" t="s">
        <v>13</v>
      </c>
      <c r="L7" s="34">
        <v>1.5667582602252846E-3</v>
      </c>
      <c r="M7" s="34">
        <v>2.2959844005311474E-2</v>
      </c>
      <c r="N7" s="67">
        <v>13</v>
      </c>
    </row>
    <row r="8" spans="1:14" x14ac:dyDescent="0.4">
      <c r="D8" s="26"/>
      <c r="I8" s="26"/>
    </row>
    <row r="9" spans="1:14" x14ac:dyDescent="0.4">
      <c r="D9" s="26"/>
      <c r="I9" s="26"/>
    </row>
    <row r="10" spans="1:14" x14ac:dyDescent="0.4">
      <c r="D10" s="26"/>
      <c r="I10" s="26"/>
    </row>
    <row r="11" spans="1:14" x14ac:dyDescent="0.4">
      <c r="D11" s="26"/>
      <c r="I11" s="26"/>
    </row>
    <row r="12" spans="1:14" x14ac:dyDescent="0.4">
      <c r="A12" s="26" t="s">
        <v>23</v>
      </c>
      <c r="B12" s="90" t="s">
        <v>4</v>
      </c>
      <c r="C12" s="90"/>
      <c r="D12" s="22"/>
      <c r="F12" s="26" t="s">
        <v>23</v>
      </c>
      <c r="G12" s="90" t="s">
        <v>4</v>
      </c>
      <c r="H12" s="90"/>
      <c r="I12" s="22"/>
      <c r="K12" s="26" t="s">
        <v>23</v>
      </c>
      <c r="L12" s="90" t="s">
        <v>4</v>
      </c>
      <c r="M12" s="90"/>
    </row>
    <row r="13" spans="1:14" ht="14.25" x14ac:dyDescent="0.45">
      <c r="A13" s="27" t="s">
        <v>14</v>
      </c>
      <c r="B13" s="25" t="s">
        <v>2</v>
      </c>
      <c r="C13" s="25" t="s">
        <v>3</v>
      </c>
      <c r="D13" s="51" t="s">
        <v>37</v>
      </c>
      <c r="F13" s="27" t="s">
        <v>14</v>
      </c>
      <c r="G13" s="25" t="s">
        <v>2</v>
      </c>
      <c r="H13" s="25" t="s">
        <v>3</v>
      </c>
      <c r="I13" s="51" t="s">
        <v>37</v>
      </c>
      <c r="K13" s="27" t="s">
        <v>14</v>
      </c>
      <c r="L13" s="25" t="s">
        <v>2</v>
      </c>
      <c r="M13" s="25" t="s">
        <v>3</v>
      </c>
      <c r="N13" s="6" t="s">
        <v>37</v>
      </c>
    </row>
    <row r="14" spans="1:14" x14ac:dyDescent="0.4">
      <c r="A14" s="26" t="s">
        <v>15</v>
      </c>
      <c r="B14" s="34">
        <v>4.3874333987668924E-3</v>
      </c>
      <c r="C14" s="34">
        <v>1.5980170101152914E-2</v>
      </c>
      <c r="D14" s="53">
        <v>9</v>
      </c>
      <c r="F14" s="26" t="s">
        <v>15</v>
      </c>
      <c r="G14" s="34">
        <v>8.00131697588213E-3</v>
      </c>
      <c r="H14" s="34">
        <v>0</v>
      </c>
      <c r="I14" s="62">
        <v>1</v>
      </c>
      <c r="K14" s="26" t="s">
        <v>15</v>
      </c>
      <c r="L14" s="34">
        <v>2.4216045309451905E-3</v>
      </c>
      <c r="M14" s="34">
        <v>0.33672458076860273</v>
      </c>
      <c r="N14" s="67">
        <v>170</v>
      </c>
    </row>
    <row r="15" spans="1:14" x14ac:dyDescent="0.4">
      <c r="A15" s="26" t="s">
        <v>16</v>
      </c>
      <c r="B15" s="34">
        <v>0.15906531687967307</v>
      </c>
      <c r="C15" s="34">
        <v>0.18854517259550807</v>
      </c>
      <c r="D15" s="53">
        <v>166</v>
      </c>
      <c r="F15" s="26" t="s">
        <v>16</v>
      </c>
      <c r="G15" s="34">
        <v>5.1058985412321895E-3</v>
      </c>
      <c r="H15" s="34">
        <v>0.1101591700012657</v>
      </c>
      <c r="I15" s="62">
        <v>27</v>
      </c>
      <c r="K15" s="26" t="s">
        <v>16</v>
      </c>
      <c r="L15" s="34">
        <v>0</v>
      </c>
      <c r="M15" s="34">
        <v>0</v>
      </c>
      <c r="N15" s="67">
        <v>0</v>
      </c>
    </row>
    <row r="16" spans="1:14" x14ac:dyDescent="0.4">
      <c r="A16" s="26" t="s">
        <v>17</v>
      </c>
      <c r="B16" s="34">
        <v>0.1139120728184098</v>
      </c>
      <c r="C16" s="34">
        <v>0.29248887393163964</v>
      </c>
      <c r="D16" s="54">
        <v>220</v>
      </c>
      <c r="F16" s="26" t="s">
        <v>17</v>
      </c>
      <c r="G16" s="34">
        <v>1.9474952650441121E-2</v>
      </c>
      <c r="H16" s="34">
        <v>0.37094888905569839</v>
      </c>
      <c r="I16" s="62">
        <v>88</v>
      </c>
      <c r="K16" s="26" t="s">
        <v>17</v>
      </c>
      <c r="L16" s="34">
        <v>4.1894440058237578E-3</v>
      </c>
      <c r="M16" s="34">
        <v>0.3703225647025325</v>
      </c>
      <c r="N16" s="67">
        <v>125</v>
      </c>
    </row>
    <row r="17" spans="1:14" x14ac:dyDescent="0.4">
      <c r="A17" s="26" t="s">
        <v>18</v>
      </c>
      <c r="B17" s="34">
        <v>0.14504455963891735</v>
      </c>
      <c r="C17" s="34">
        <v>8.0576400635933923E-2</v>
      </c>
      <c r="D17" s="53">
        <v>96</v>
      </c>
      <c r="F17" s="26" t="s">
        <v>18</v>
      </c>
      <c r="G17" s="34">
        <v>2.6349411878816221E-2</v>
      </c>
      <c r="H17" s="34">
        <v>0.41393718684327141</v>
      </c>
      <c r="I17" s="62">
        <v>119</v>
      </c>
      <c r="K17" s="26" t="s">
        <v>18</v>
      </c>
      <c r="L17" s="34">
        <v>2.1055782958957505E-3</v>
      </c>
      <c r="M17" s="34">
        <v>0.28423622769619933</v>
      </c>
      <c r="N17" s="67">
        <v>71</v>
      </c>
    </row>
    <row r="18" spans="1:14" x14ac:dyDescent="0.4">
      <c r="D18" s="65">
        <f>+SUM(D14:D17)</f>
        <v>491</v>
      </c>
      <c r="I18" s="65">
        <f>+SUM(I14:I17)</f>
        <v>235</v>
      </c>
      <c r="N18" s="63">
        <f>SUM(N14:N17)</f>
        <v>366</v>
      </c>
    </row>
    <row r="19" spans="1:14" x14ac:dyDescent="0.4">
      <c r="D19" s="26"/>
      <c r="I19" s="26"/>
    </row>
    <row r="20" spans="1:14" x14ac:dyDescent="0.4">
      <c r="D20" s="26"/>
      <c r="I20" s="26"/>
    </row>
    <row r="21" spans="1:14" x14ac:dyDescent="0.4">
      <c r="D21" s="26"/>
      <c r="I21" s="26"/>
    </row>
    <row r="22" spans="1:14" x14ac:dyDescent="0.4">
      <c r="D22" s="26"/>
      <c r="I22" s="26"/>
    </row>
    <row r="23" spans="1:14" x14ac:dyDescent="0.4">
      <c r="A23" s="26" t="s">
        <v>23</v>
      </c>
      <c r="B23" s="90" t="s">
        <v>4</v>
      </c>
      <c r="C23" s="90"/>
      <c r="D23" s="26"/>
      <c r="F23" s="26" t="s">
        <v>23</v>
      </c>
      <c r="G23" s="90" t="s">
        <v>4</v>
      </c>
      <c r="H23" s="90"/>
      <c r="I23" s="26"/>
      <c r="K23" s="26" t="s">
        <v>23</v>
      </c>
      <c r="L23" s="90" t="s">
        <v>4</v>
      </c>
      <c r="M23" s="90"/>
    </row>
    <row r="24" spans="1:14" x14ac:dyDescent="0.4">
      <c r="A24" s="27" t="s">
        <v>10</v>
      </c>
      <c r="B24" s="25" t="s">
        <v>2</v>
      </c>
      <c r="C24" s="25" t="s">
        <v>3</v>
      </c>
      <c r="D24" s="26"/>
      <c r="F24" s="27" t="s">
        <v>10</v>
      </c>
      <c r="G24" s="25" t="s">
        <v>2</v>
      </c>
      <c r="H24" s="25" t="s">
        <v>3</v>
      </c>
      <c r="I24" s="26"/>
      <c r="K24" s="27" t="s">
        <v>10</v>
      </c>
      <c r="L24" s="25" t="s">
        <v>2</v>
      </c>
      <c r="M24" s="25" t="s">
        <v>3</v>
      </c>
    </row>
    <row r="25" spans="1:14" x14ac:dyDescent="0.4">
      <c r="A25" s="31" t="s">
        <v>11</v>
      </c>
      <c r="B25" s="34">
        <v>0.42240938273576706</v>
      </c>
      <c r="C25" s="34">
        <v>0.57759061726423433</v>
      </c>
      <c r="D25" s="26"/>
      <c r="F25" s="26" t="s">
        <v>11</v>
      </c>
      <c r="G25" s="34">
        <v>5.8931580046371647E-2</v>
      </c>
      <c r="H25" s="34">
        <v>0.8950452459002346</v>
      </c>
      <c r="I25" s="26"/>
      <c r="K25" s="31" t="s">
        <v>11</v>
      </c>
      <c r="L25" s="34">
        <v>8.7166268326646992E-3</v>
      </c>
      <c r="M25" s="34">
        <v>0.99128337316733528</v>
      </c>
    </row>
    <row r="26" spans="1:14" x14ac:dyDescent="0.4">
      <c r="A26" s="32" t="s">
        <v>30</v>
      </c>
      <c r="B26" s="34">
        <v>0</v>
      </c>
      <c r="C26" s="34">
        <v>0</v>
      </c>
      <c r="D26" s="26"/>
      <c r="F26" s="32" t="s">
        <v>30</v>
      </c>
      <c r="G26" s="34">
        <v>0</v>
      </c>
      <c r="H26" s="34">
        <v>4.6023174053394483E-2</v>
      </c>
      <c r="I26" s="26"/>
      <c r="K26" s="32" t="s">
        <v>30</v>
      </c>
      <c r="L26" s="34">
        <v>0</v>
      </c>
      <c r="M26" s="34">
        <v>0</v>
      </c>
    </row>
    <row r="27" spans="1:14" x14ac:dyDescent="0.4">
      <c r="D27" s="26"/>
      <c r="I27" s="26"/>
    </row>
    <row r="28" spans="1:14" x14ac:dyDescent="0.4">
      <c r="D28" s="26"/>
      <c r="I28" s="26"/>
    </row>
    <row r="29" spans="1:14" x14ac:dyDescent="0.4">
      <c r="D29" s="26"/>
      <c r="I29" s="26"/>
    </row>
    <row r="30" spans="1:14" x14ac:dyDescent="0.4">
      <c r="D30" s="26"/>
      <c r="I30" s="26"/>
    </row>
    <row r="31" spans="1:14" x14ac:dyDescent="0.4">
      <c r="A31" s="26" t="s">
        <v>23</v>
      </c>
      <c r="B31" s="90" t="s">
        <v>4</v>
      </c>
      <c r="C31" s="90"/>
      <c r="D31" s="26"/>
      <c r="F31" s="26" t="s">
        <v>23</v>
      </c>
      <c r="G31" s="90" t="s">
        <v>4</v>
      </c>
      <c r="H31" s="90"/>
      <c r="I31" s="26"/>
      <c r="K31" s="26" t="s">
        <v>23</v>
      </c>
      <c r="L31" s="90" t="s">
        <v>4</v>
      </c>
      <c r="M31" s="90"/>
    </row>
    <row r="32" spans="1:14" x14ac:dyDescent="0.4">
      <c r="A32" s="27" t="s">
        <v>10</v>
      </c>
      <c r="B32" s="25" t="s">
        <v>2</v>
      </c>
      <c r="C32" s="25" t="s">
        <v>3</v>
      </c>
      <c r="D32" s="26"/>
      <c r="F32" s="27" t="s">
        <v>10</v>
      </c>
      <c r="G32" s="25" t="s">
        <v>2</v>
      </c>
      <c r="H32" s="25" t="s">
        <v>3</v>
      </c>
      <c r="I32" s="26"/>
      <c r="K32" s="27" t="s">
        <v>10</v>
      </c>
      <c r="L32" s="25" t="s">
        <v>2</v>
      </c>
      <c r="M32" s="25" t="s">
        <v>3</v>
      </c>
    </row>
    <row r="33" spans="1:13" x14ac:dyDescent="0.4">
      <c r="A33" s="31" t="s">
        <v>12</v>
      </c>
      <c r="B33" s="34">
        <v>0.40593244350135826</v>
      </c>
      <c r="C33" s="34">
        <v>0.49585835097160896</v>
      </c>
      <c r="D33" s="26"/>
      <c r="F33" s="31" t="s">
        <v>12</v>
      </c>
      <c r="G33" s="34">
        <v>5.8931580046371647E-2</v>
      </c>
      <c r="H33" s="34">
        <v>0.87313981709669786</v>
      </c>
      <c r="I33" s="26"/>
      <c r="K33" s="31" t="s">
        <v>12</v>
      </c>
      <c r="L33" s="34">
        <v>1.5667582602252846E-3</v>
      </c>
      <c r="M33" s="34">
        <v>0.32140717373228622</v>
      </c>
    </row>
    <row r="34" spans="1:13" x14ac:dyDescent="0.4">
      <c r="A34" s="32" t="s">
        <v>31</v>
      </c>
      <c r="B34" s="34">
        <v>1.6476939234408787E-2</v>
      </c>
      <c r="C34" s="34">
        <v>8.1732266292625505E-2</v>
      </c>
      <c r="D34" s="26"/>
      <c r="F34" s="32" t="s">
        <v>31</v>
      </c>
      <c r="G34" s="34">
        <v>0</v>
      </c>
      <c r="H34" s="34">
        <v>6.792860285693153E-2</v>
      </c>
      <c r="I34" s="26"/>
      <c r="K34" s="32" t="s">
        <v>31</v>
      </c>
      <c r="L34" s="34">
        <v>7.1498685724394146E-3</v>
      </c>
      <c r="M34" s="34">
        <v>0.66987619943504872</v>
      </c>
    </row>
    <row r="35" spans="1:13" x14ac:dyDescent="0.4">
      <c r="D35" s="26"/>
      <c r="I35" s="26"/>
    </row>
    <row r="36" spans="1:13" x14ac:dyDescent="0.4">
      <c r="D36" s="26"/>
      <c r="I36" s="26"/>
    </row>
    <row r="37" spans="1:13" x14ac:dyDescent="0.4">
      <c r="D37" s="26"/>
      <c r="I37" s="26"/>
    </row>
    <row r="38" spans="1:13" x14ac:dyDescent="0.4">
      <c r="D38" s="26"/>
      <c r="I38" s="26"/>
    </row>
    <row r="39" spans="1:13" x14ac:dyDescent="0.4">
      <c r="A39" s="26" t="s">
        <v>23</v>
      </c>
      <c r="B39" s="90" t="s">
        <v>4</v>
      </c>
      <c r="C39" s="90"/>
      <c r="D39" s="26"/>
      <c r="F39" s="26" t="s">
        <v>23</v>
      </c>
      <c r="G39" s="90" t="s">
        <v>4</v>
      </c>
      <c r="H39" s="90"/>
      <c r="I39" s="26"/>
      <c r="K39" s="26" t="s">
        <v>23</v>
      </c>
      <c r="L39" s="90" t="s">
        <v>4</v>
      </c>
      <c r="M39" s="90"/>
    </row>
    <row r="40" spans="1:13" x14ac:dyDescent="0.4">
      <c r="A40" s="27" t="s">
        <v>10</v>
      </c>
      <c r="B40" s="25" t="s">
        <v>2</v>
      </c>
      <c r="C40" s="25" t="s">
        <v>3</v>
      </c>
      <c r="D40" s="26"/>
      <c r="F40" s="27" t="s">
        <v>10</v>
      </c>
      <c r="G40" s="25" t="s">
        <v>2</v>
      </c>
      <c r="H40" s="25" t="s">
        <v>3</v>
      </c>
      <c r="I40" s="26"/>
      <c r="K40" s="27" t="s">
        <v>10</v>
      </c>
      <c r="L40" s="25" t="s">
        <v>2</v>
      </c>
      <c r="M40" s="25" t="s">
        <v>3</v>
      </c>
    </row>
    <row r="41" spans="1:13" x14ac:dyDescent="0.4">
      <c r="A41" s="31" t="s">
        <v>13</v>
      </c>
      <c r="B41" s="34">
        <v>0.33419227545614316</v>
      </c>
      <c r="C41" s="34">
        <v>0.16999540184788839</v>
      </c>
      <c r="D41" s="26"/>
      <c r="F41" s="31" t="s">
        <v>13</v>
      </c>
      <c r="G41" s="34">
        <v>4.071846598802515E-2</v>
      </c>
      <c r="H41" s="34">
        <v>0.75485098040702403</v>
      </c>
      <c r="I41" s="26"/>
      <c r="K41" s="31" t="s">
        <v>13</v>
      </c>
      <c r="L41" s="34">
        <v>1.5667582602252846E-3</v>
      </c>
      <c r="M41" s="34">
        <v>2.2959844005311474E-2</v>
      </c>
    </row>
    <row r="42" spans="1:13" x14ac:dyDescent="0.4">
      <c r="A42" s="32" t="s">
        <v>32</v>
      </c>
      <c r="B42" s="34">
        <v>8.8217107279624382E-2</v>
      </c>
      <c r="C42" s="34">
        <v>0.40759521541634636</v>
      </c>
      <c r="D42" s="26"/>
      <c r="F42" s="32" t="s">
        <v>32</v>
      </c>
      <c r="G42" s="34">
        <v>1.8213114058346507E-2</v>
      </c>
      <c r="H42" s="34">
        <v>0.18621743954660588</v>
      </c>
      <c r="I42" s="26"/>
      <c r="K42" s="32" t="s">
        <v>32</v>
      </c>
      <c r="L42" s="34">
        <v>7.1498685724394146E-3</v>
      </c>
      <c r="M42" s="34">
        <v>0.96832352916202391</v>
      </c>
    </row>
    <row r="43" spans="1:13" x14ac:dyDescent="0.4">
      <c r="D43" s="26"/>
      <c r="I43" s="26"/>
    </row>
    <row r="44" spans="1:13" x14ac:dyDescent="0.4">
      <c r="D44" s="26"/>
      <c r="I44" s="26"/>
    </row>
    <row r="45" spans="1:13" x14ac:dyDescent="0.4">
      <c r="D45" s="26"/>
      <c r="I45" s="26"/>
    </row>
    <row r="46" spans="1:13" x14ac:dyDescent="0.4">
      <c r="D46" s="26"/>
      <c r="I46" s="26"/>
    </row>
    <row r="47" spans="1:13" x14ac:dyDescent="0.4">
      <c r="D47" s="26"/>
      <c r="I47" s="26"/>
    </row>
    <row r="48" spans="1:13" x14ac:dyDescent="0.4">
      <c r="D48" s="26"/>
      <c r="I48" s="26"/>
    </row>
    <row r="49" spans="1:13" x14ac:dyDescent="0.4">
      <c r="A49" s="26" t="s">
        <v>23</v>
      </c>
      <c r="B49" s="90" t="s">
        <v>4</v>
      </c>
      <c r="C49" s="90"/>
      <c r="D49" s="26"/>
      <c r="F49" s="26" t="s">
        <v>23</v>
      </c>
      <c r="G49" s="90" t="s">
        <v>4</v>
      </c>
      <c r="H49" s="90"/>
      <c r="I49" s="26"/>
      <c r="K49" s="26" t="s">
        <v>23</v>
      </c>
      <c r="L49" s="90" t="s">
        <v>4</v>
      </c>
      <c r="M49" s="90"/>
    </row>
    <row r="50" spans="1:13" x14ac:dyDescent="0.4">
      <c r="A50" s="27" t="s">
        <v>10</v>
      </c>
      <c r="B50" s="25" t="s">
        <v>2</v>
      </c>
      <c r="C50" s="25" t="s">
        <v>3</v>
      </c>
      <c r="D50" s="26"/>
      <c r="F50" s="27" t="s">
        <v>10</v>
      </c>
      <c r="G50" s="25" t="s">
        <v>2</v>
      </c>
      <c r="H50" s="25" t="s">
        <v>3</v>
      </c>
      <c r="I50" s="26"/>
      <c r="K50" s="27" t="s">
        <v>10</v>
      </c>
      <c r="L50" s="25" t="s">
        <v>2</v>
      </c>
      <c r="M50" s="25" t="s">
        <v>3</v>
      </c>
    </row>
    <row r="51" spans="1:13" x14ac:dyDescent="0.4">
      <c r="A51" s="31" t="s">
        <v>15</v>
      </c>
      <c r="B51" s="34">
        <v>4.3874333987668924E-3</v>
      </c>
      <c r="C51" s="34">
        <v>1.5980170101152914E-2</v>
      </c>
      <c r="D51" s="26"/>
      <c r="F51" s="31" t="s">
        <v>15</v>
      </c>
      <c r="G51" s="34">
        <v>8.00131697588213E-3</v>
      </c>
      <c r="H51" s="34">
        <v>0</v>
      </c>
      <c r="I51" s="26"/>
      <c r="K51" s="31" t="s">
        <v>15</v>
      </c>
      <c r="L51" s="34">
        <v>2.4216045309451905E-3</v>
      </c>
      <c r="M51" s="34">
        <v>0.33672458076860273</v>
      </c>
    </row>
    <row r="52" spans="1:13" x14ac:dyDescent="0.4">
      <c r="A52" s="32" t="s">
        <v>33</v>
      </c>
      <c r="B52" s="34">
        <v>0.41802194933700015</v>
      </c>
      <c r="C52" s="34">
        <v>0.56161044716308139</v>
      </c>
      <c r="D52" s="26"/>
      <c r="F52" s="32" t="s">
        <v>33</v>
      </c>
      <c r="G52" s="34">
        <v>5.093026307048952E-2</v>
      </c>
      <c r="H52" s="34">
        <v>0.94106841995362878</v>
      </c>
      <c r="I52" s="26"/>
      <c r="K52" s="32" t="s">
        <v>33</v>
      </c>
      <c r="L52" s="34">
        <v>6.2950223017195087E-3</v>
      </c>
      <c r="M52" s="34">
        <v>0.65455879239873249</v>
      </c>
    </row>
    <row r="53" spans="1:13" x14ac:dyDescent="0.4">
      <c r="D53" s="26"/>
      <c r="I53" s="26"/>
    </row>
    <row r="54" spans="1:13" x14ac:dyDescent="0.4">
      <c r="D54" s="26"/>
      <c r="I54" s="26"/>
    </row>
    <row r="55" spans="1:13" x14ac:dyDescent="0.4">
      <c r="D55" s="26"/>
      <c r="I55" s="26"/>
    </row>
    <row r="56" spans="1:13" x14ac:dyDescent="0.4">
      <c r="A56" s="26" t="s">
        <v>23</v>
      </c>
      <c r="B56" s="90" t="s">
        <v>4</v>
      </c>
      <c r="C56" s="90"/>
      <c r="D56" s="26"/>
      <c r="F56" s="26" t="s">
        <v>23</v>
      </c>
      <c r="G56" s="90" t="s">
        <v>4</v>
      </c>
      <c r="H56" s="90"/>
      <c r="I56" s="26"/>
      <c r="K56" s="26" t="s">
        <v>23</v>
      </c>
      <c r="L56" s="90" t="s">
        <v>4</v>
      </c>
      <c r="M56" s="90"/>
    </row>
    <row r="57" spans="1:13" x14ac:dyDescent="0.4">
      <c r="A57" s="27" t="s">
        <v>10</v>
      </c>
      <c r="B57" s="25" t="s">
        <v>2</v>
      </c>
      <c r="C57" s="25" t="s">
        <v>3</v>
      </c>
      <c r="D57" s="26"/>
      <c r="F57" s="27" t="s">
        <v>10</v>
      </c>
      <c r="G57" s="25" t="s">
        <v>2</v>
      </c>
      <c r="H57" s="25" t="s">
        <v>3</v>
      </c>
      <c r="I57" s="26"/>
      <c r="K57" s="27" t="s">
        <v>10</v>
      </c>
      <c r="L57" s="25" t="s">
        <v>2</v>
      </c>
      <c r="M57" s="25" t="s">
        <v>3</v>
      </c>
    </row>
    <row r="58" spans="1:13" x14ac:dyDescent="0.4">
      <c r="A58" s="31" t="s">
        <v>16</v>
      </c>
      <c r="B58" s="34">
        <v>0.15906531687967307</v>
      </c>
      <c r="C58" s="34">
        <v>0.18854517259550807</v>
      </c>
      <c r="D58" s="26"/>
      <c r="F58" s="31" t="s">
        <v>16</v>
      </c>
      <c r="G58" s="34">
        <v>5.1058985412321895E-3</v>
      </c>
      <c r="H58" s="34">
        <v>0.1101591700012657</v>
      </c>
      <c r="I58" s="26"/>
      <c r="K58" s="31" t="s">
        <v>16</v>
      </c>
      <c r="L58" s="34">
        <v>0</v>
      </c>
      <c r="M58" s="34">
        <v>0</v>
      </c>
    </row>
    <row r="59" spans="1:13" x14ac:dyDescent="0.4">
      <c r="A59" s="32" t="s">
        <v>34</v>
      </c>
      <c r="B59" s="34">
        <v>0.26334406585609399</v>
      </c>
      <c r="C59" s="34">
        <v>0.38904544466872698</v>
      </c>
      <c r="D59" s="26"/>
      <c r="F59" s="32" t="s">
        <v>34</v>
      </c>
      <c r="G59" s="34">
        <v>5.3825681505139458E-2</v>
      </c>
      <c r="H59" s="34">
        <v>0.83090924995236337</v>
      </c>
      <c r="I59" s="26"/>
      <c r="K59" s="32" t="s">
        <v>34</v>
      </c>
      <c r="L59" s="34">
        <v>8.7166268326646992E-3</v>
      </c>
      <c r="M59" s="34">
        <v>0.99128337316733528</v>
      </c>
    </row>
    <row r="60" spans="1:13" x14ac:dyDescent="0.4">
      <c r="D60" s="26"/>
      <c r="I60" s="26"/>
    </row>
    <row r="61" spans="1:13" x14ac:dyDescent="0.4">
      <c r="D61" s="26"/>
      <c r="I61" s="26"/>
    </row>
    <row r="62" spans="1:13" x14ac:dyDescent="0.4">
      <c r="D62" s="26"/>
      <c r="I62" s="26"/>
    </row>
    <row r="63" spans="1:13" x14ac:dyDescent="0.4">
      <c r="A63" s="26" t="s">
        <v>23</v>
      </c>
      <c r="B63" s="90" t="s">
        <v>4</v>
      </c>
      <c r="C63" s="90"/>
      <c r="D63" s="26"/>
      <c r="F63" s="26" t="s">
        <v>23</v>
      </c>
      <c r="G63" s="90" t="s">
        <v>4</v>
      </c>
      <c r="H63" s="90"/>
      <c r="I63" s="26"/>
      <c r="K63" s="26" t="s">
        <v>23</v>
      </c>
      <c r="L63" s="90" t="s">
        <v>4</v>
      </c>
      <c r="M63" s="90"/>
    </row>
    <row r="64" spans="1:13" x14ac:dyDescent="0.4">
      <c r="A64" s="27" t="s">
        <v>10</v>
      </c>
      <c r="B64" s="25" t="s">
        <v>2</v>
      </c>
      <c r="C64" s="25" t="s">
        <v>3</v>
      </c>
      <c r="D64" s="26"/>
      <c r="F64" s="27" t="s">
        <v>10</v>
      </c>
      <c r="G64" s="25" t="s">
        <v>2</v>
      </c>
      <c r="H64" s="25" t="s">
        <v>3</v>
      </c>
      <c r="I64" s="26"/>
      <c r="K64" s="27" t="s">
        <v>10</v>
      </c>
      <c r="L64" s="25" t="s">
        <v>2</v>
      </c>
      <c r="M64" s="25" t="s">
        <v>3</v>
      </c>
    </row>
    <row r="65" spans="1:13" x14ac:dyDescent="0.4">
      <c r="A65" s="31" t="s">
        <v>17</v>
      </c>
      <c r="B65" s="34">
        <v>0.1139120728184098</v>
      </c>
      <c r="C65" s="34">
        <v>0.29248887393163964</v>
      </c>
      <c r="D65" s="26"/>
      <c r="F65" s="31" t="s">
        <v>17</v>
      </c>
      <c r="G65" s="34">
        <v>1.9474952650441121E-2</v>
      </c>
      <c r="H65" s="34">
        <v>0.37094888905569839</v>
      </c>
      <c r="I65" s="26"/>
      <c r="K65" s="31" t="s">
        <v>17</v>
      </c>
      <c r="L65" s="34">
        <v>4.1894440058237578E-3</v>
      </c>
      <c r="M65" s="34">
        <v>0.3703225647025325</v>
      </c>
    </row>
    <row r="66" spans="1:13" x14ac:dyDescent="0.4">
      <c r="A66" s="32" t="s">
        <v>35</v>
      </c>
      <c r="B66" s="34">
        <v>0.30849730991735735</v>
      </c>
      <c r="C66" s="34">
        <v>0.28510174333259475</v>
      </c>
      <c r="D66" s="26"/>
      <c r="F66" s="32" t="s">
        <v>35</v>
      </c>
      <c r="G66" s="34">
        <v>3.9456627395930539E-2</v>
      </c>
      <c r="H66" s="34">
        <v>0.57011953089793177</v>
      </c>
      <c r="I66" s="26"/>
      <c r="K66" s="32" t="s">
        <v>35</v>
      </c>
      <c r="L66" s="34">
        <v>4.5271828268409406E-3</v>
      </c>
      <c r="M66" s="34">
        <v>0.62096080846480339</v>
      </c>
    </row>
    <row r="67" spans="1:13" x14ac:dyDescent="0.4">
      <c r="D67" s="26"/>
      <c r="I67" s="26"/>
    </row>
    <row r="68" spans="1:13" x14ac:dyDescent="0.4">
      <c r="D68" s="26"/>
      <c r="I68" s="26"/>
    </row>
    <row r="69" spans="1:13" x14ac:dyDescent="0.4">
      <c r="D69" s="26"/>
      <c r="I69" s="26"/>
    </row>
    <row r="70" spans="1:13" x14ac:dyDescent="0.4">
      <c r="A70" s="26" t="s">
        <v>23</v>
      </c>
      <c r="B70" s="90" t="s">
        <v>4</v>
      </c>
      <c r="C70" s="90"/>
      <c r="D70" s="26"/>
      <c r="F70" s="26" t="s">
        <v>23</v>
      </c>
      <c r="G70" s="90" t="s">
        <v>4</v>
      </c>
      <c r="H70" s="90"/>
      <c r="I70" s="26"/>
      <c r="K70" s="26" t="s">
        <v>23</v>
      </c>
      <c r="L70" s="90" t="s">
        <v>4</v>
      </c>
      <c r="M70" s="90"/>
    </row>
    <row r="71" spans="1:13" x14ac:dyDescent="0.4">
      <c r="A71" s="27" t="s">
        <v>10</v>
      </c>
      <c r="B71" s="25" t="s">
        <v>2</v>
      </c>
      <c r="C71" s="25" t="s">
        <v>3</v>
      </c>
      <c r="D71" s="26"/>
      <c r="F71" s="27" t="s">
        <v>10</v>
      </c>
      <c r="G71" s="25" t="s">
        <v>2</v>
      </c>
      <c r="H71" s="25" t="s">
        <v>3</v>
      </c>
      <c r="I71" s="26"/>
      <c r="K71" s="27" t="s">
        <v>10</v>
      </c>
      <c r="L71" s="25" t="s">
        <v>2</v>
      </c>
      <c r="M71" s="25" t="s">
        <v>3</v>
      </c>
    </row>
    <row r="72" spans="1:13" x14ac:dyDescent="0.4">
      <c r="A72" s="31" t="s">
        <v>18</v>
      </c>
      <c r="B72" s="34">
        <v>0.14504455963891735</v>
      </c>
      <c r="C72" s="34">
        <v>8.0576400635933923E-2</v>
      </c>
      <c r="D72" s="26"/>
      <c r="F72" s="31" t="s">
        <v>18</v>
      </c>
      <c r="G72" s="34">
        <v>2.6349411878816221E-2</v>
      </c>
      <c r="H72" s="34">
        <v>0.41393718684327141</v>
      </c>
      <c r="I72" s="26"/>
      <c r="K72" s="31" t="s">
        <v>18</v>
      </c>
      <c r="L72" s="34">
        <v>2.1055782958957505E-3</v>
      </c>
      <c r="M72" s="34">
        <v>0.28423622769619933</v>
      </c>
    </row>
    <row r="73" spans="1:13" x14ac:dyDescent="0.4">
      <c r="A73" s="32" t="s">
        <v>36</v>
      </c>
      <c r="B73" s="34">
        <v>0.27736482309684996</v>
      </c>
      <c r="C73" s="34">
        <v>0.49701421662830064</v>
      </c>
      <c r="D73" s="26"/>
      <c r="F73" s="32" t="s">
        <v>36</v>
      </c>
      <c r="G73" s="34">
        <v>3.2582168167555436E-2</v>
      </c>
      <c r="H73" s="34">
        <v>0.52713123311035914</v>
      </c>
      <c r="I73" s="26"/>
      <c r="K73" s="32" t="s">
        <v>36</v>
      </c>
      <c r="L73" s="34">
        <v>6.6110485367689492E-3</v>
      </c>
      <c r="M73" s="34">
        <v>0.70704714547113678</v>
      </c>
    </row>
    <row r="74" spans="1:13" x14ac:dyDescent="0.4">
      <c r="D74" s="26"/>
      <c r="I74" s="26"/>
    </row>
  </sheetData>
  <mergeCells count="30">
    <mergeCell ref="L70:M70"/>
    <mergeCell ref="L49:M49"/>
    <mergeCell ref="G56:H56"/>
    <mergeCell ref="L56:M56"/>
    <mergeCell ref="G63:H63"/>
    <mergeCell ref="L63:M63"/>
    <mergeCell ref="B49:C49"/>
    <mergeCell ref="B56:C56"/>
    <mergeCell ref="B63:C63"/>
    <mergeCell ref="B70:C70"/>
    <mergeCell ref="G49:H49"/>
    <mergeCell ref="G70:H70"/>
    <mergeCell ref="B39:C39"/>
    <mergeCell ref="G23:H23"/>
    <mergeCell ref="L23:M23"/>
    <mergeCell ref="G31:H31"/>
    <mergeCell ref="L31:M31"/>
    <mergeCell ref="G39:H39"/>
    <mergeCell ref="L39:M39"/>
    <mergeCell ref="B12:C12"/>
    <mergeCell ref="G12:H12"/>
    <mergeCell ref="L12:M12"/>
    <mergeCell ref="B23:C23"/>
    <mergeCell ref="B31:C31"/>
    <mergeCell ref="A1:C1"/>
    <mergeCell ref="F1:H1"/>
    <mergeCell ref="K1:M1"/>
    <mergeCell ref="B3:C3"/>
    <mergeCell ref="G3:H3"/>
    <mergeCell ref="L3:M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022F-EA41-4370-B371-5B44B1118920}">
  <dimension ref="A1:G60"/>
  <sheetViews>
    <sheetView showGridLines="0" tabSelected="1" topLeftCell="A41" workbookViewId="0">
      <selection activeCell="C65" sqref="C65"/>
    </sheetView>
  </sheetViews>
  <sheetFormatPr defaultRowHeight="13.9" x14ac:dyDescent="0.4"/>
  <cols>
    <col min="1" max="1" width="36.06640625" style="21" bestFit="1" customWidth="1"/>
    <col min="2" max="2" width="9.06640625" style="21"/>
    <col min="3" max="3" width="13.73046875" style="21" bestFit="1" customWidth="1"/>
    <col min="4" max="16384" width="9.06640625" style="21"/>
  </cols>
  <sheetData>
    <row r="1" spans="1:7" x14ac:dyDescent="0.4">
      <c r="B1" s="93" t="s">
        <v>38</v>
      </c>
      <c r="C1" s="93"/>
      <c r="D1" s="93"/>
      <c r="E1" s="93" t="s">
        <v>39</v>
      </c>
      <c r="F1" s="93"/>
      <c r="G1" s="93"/>
    </row>
    <row r="2" spans="1:7" x14ac:dyDescent="0.4">
      <c r="B2" s="37" t="s">
        <v>6</v>
      </c>
      <c r="C2" s="37" t="s">
        <v>7</v>
      </c>
      <c r="D2" s="37" t="s">
        <v>8</v>
      </c>
      <c r="E2" s="37" t="s">
        <v>6</v>
      </c>
      <c r="F2" s="37" t="s">
        <v>7</v>
      </c>
      <c r="G2" s="37" t="s">
        <v>8</v>
      </c>
    </row>
    <row r="3" spans="1:7" x14ac:dyDescent="0.4">
      <c r="B3" s="38"/>
      <c r="C3" s="38"/>
      <c r="D3" s="38"/>
    </row>
    <row r="4" spans="1:7" x14ac:dyDescent="0.4">
      <c r="A4" s="39" t="s">
        <v>20</v>
      </c>
      <c r="B4" s="69">
        <v>0.61707072052105383</v>
      </c>
      <c r="C4" s="69">
        <v>0.17737507122606314</v>
      </c>
      <c r="D4" s="69">
        <v>9.4718544991691921E-3</v>
      </c>
      <c r="E4" s="69">
        <v>0.63573393399011358</v>
      </c>
      <c r="F4" s="69">
        <v>0.18588338138996935</v>
      </c>
      <c r="G4" s="69">
        <v>1.0657925133151227E-2</v>
      </c>
    </row>
    <row r="5" spans="1:7" x14ac:dyDescent="0.4">
      <c r="B5" s="73"/>
      <c r="C5" s="73"/>
      <c r="D5" s="73"/>
      <c r="E5" s="74"/>
      <c r="F5" s="74"/>
      <c r="G5" s="74"/>
    </row>
    <row r="6" spans="1:7" x14ac:dyDescent="0.4">
      <c r="A6" s="40" t="s">
        <v>21</v>
      </c>
      <c r="B6" s="73"/>
      <c r="C6" s="73"/>
      <c r="D6" s="73"/>
      <c r="E6" s="74"/>
      <c r="F6" s="74"/>
      <c r="G6" s="74"/>
    </row>
    <row r="7" spans="1:7" x14ac:dyDescent="0.4">
      <c r="A7" s="21" t="s">
        <v>11</v>
      </c>
      <c r="B7" s="70">
        <v>0.61707072052105383</v>
      </c>
      <c r="C7" s="70">
        <v>0.17737507122606314</v>
      </c>
      <c r="D7" s="70">
        <v>9.4718544991691921E-3</v>
      </c>
      <c r="E7" s="70">
        <v>0.63573393399011358</v>
      </c>
      <c r="F7" s="70">
        <v>0.18588338138996935</v>
      </c>
      <c r="G7" s="70">
        <v>1.0657925133151227E-2</v>
      </c>
    </row>
    <row r="8" spans="1:7" x14ac:dyDescent="0.4">
      <c r="A8" s="21" t="s">
        <v>12</v>
      </c>
      <c r="B8" s="70">
        <v>0.58548939084193152</v>
      </c>
      <c r="C8" s="70">
        <v>0.15546964242252612</v>
      </c>
      <c r="D8" s="70">
        <v>7.2129438388491803E-4</v>
      </c>
      <c r="E8" s="70">
        <v>0.60426916177962642</v>
      </c>
      <c r="F8" s="70">
        <v>0.16146650817855987</v>
      </c>
      <c r="G8" s="70">
        <v>4.250217821861915E-4</v>
      </c>
    </row>
    <row r="9" spans="1:7" x14ac:dyDescent="0.4">
      <c r="A9" s="21" t="s">
        <v>13</v>
      </c>
      <c r="B9" s="70">
        <v>0.26578260899548095</v>
      </c>
      <c r="C9" s="70">
        <v>0.1105463919823374</v>
      </c>
      <c r="D9" s="70">
        <v>7.2129438388491803E-4</v>
      </c>
      <c r="E9" s="70">
        <v>0.2729950566404834</v>
      </c>
      <c r="F9" s="70">
        <v>0.11888139061501247</v>
      </c>
      <c r="G9" s="70">
        <v>4.250217821861915E-4</v>
      </c>
    </row>
    <row r="10" spans="1:7" x14ac:dyDescent="0.4">
      <c r="B10" s="73"/>
      <c r="C10" s="73"/>
      <c r="D10" s="73"/>
      <c r="E10" s="73"/>
      <c r="F10" s="73"/>
      <c r="G10" s="73"/>
    </row>
    <row r="11" spans="1:7" x14ac:dyDescent="0.4">
      <c r="B11" s="73"/>
      <c r="C11" s="73"/>
      <c r="D11" s="73"/>
      <c r="E11" s="73"/>
      <c r="F11" s="73"/>
      <c r="G11" s="73"/>
    </row>
    <row r="12" spans="1:7" x14ac:dyDescent="0.4">
      <c r="A12" s="40" t="s">
        <v>26</v>
      </c>
      <c r="B12" s="73"/>
      <c r="C12" s="73"/>
      <c r="D12" s="73"/>
      <c r="E12" s="73"/>
      <c r="F12" s="73"/>
      <c r="G12" s="73"/>
    </row>
    <row r="13" spans="1:7" x14ac:dyDescent="0.4">
      <c r="A13" s="33" t="s">
        <v>15</v>
      </c>
      <c r="B13" s="70">
        <v>2.0367603499919808E-2</v>
      </c>
      <c r="C13" s="70">
        <v>0</v>
      </c>
      <c r="D13" s="70">
        <v>0</v>
      </c>
      <c r="E13" s="70">
        <v>1.9834590734311954E-2</v>
      </c>
      <c r="F13" s="70">
        <v>0</v>
      </c>
      <c r="G13" s="70">
        <v>0</v>
      </c>
    </row>
    <row r="14" spans="1:7" x14ac:dyDescent="0.4">
      <c r="A14" s="33" t="s">
        <v>16</v>
      </c>
      <c r="B14" s="70">
        <v>0.22019976071825617</v>
      </c>
      <c r="C14" s="70">
        <v>0</v>
      </c>
      <c r="D14" s="70">
        <v>0</v>
      </c>
      <c r="E14" s="70">
        <v>0.23012901579364164</v>
      </c>
      <c r="F14" s="70">
        <v>0</v>
      </c>
      <c r="G14" s="70">
        <v>0</v>
      </c>
    </row>
    <row r="15" spans="1:7" x14ac:dyDescent="0.4">
      <c r="A15" s="33" t="s">
        <v>17</v>
      </c>
      <c r="B15" s="70">
        <v>0.21215678642048663</v>
      </c>
      <c r="C15" s="70">
        <v>3.0923916219702939E-2</v>
      </c>
      <c r="D15" s="70">
        <v>9.4718544991691921E-3</v>
      </c>
      <c r="E15" s="70">
        <v>0.21870776037435402</v>
      </c>
      <c r="F15" s="70">
        <v>3.4469324855892103E-2</v>
      </c>
      <c r="G15" s="70">
        <v>1.0657925133151227E-2</v>
      </c>
    </row>
    <row r="16" spans="1:7" ht="14.25" thickBot="1" x14ac:dyDescent="0.45">
      <c r="A16" s="41" t="s">
        <v>18</v>
      </c>
      <c r="B16" s="71">
        <v>0.16434656988239166</v>
      </c>
      <c r="C16" s="71">
        <v>0.14645115500636022</v>
      </c>
      <c r="D16" s="71">
        <v>0</v>
      </c>
      <c r="E16" s="71">
        <v>0.16982849048857987</v>
      </c>
      <c r="F16" s="71">
        <v>0.15141405653407722</v>
      </c>
      <c r="G16" s="71">
        <v>0</v>
      </c>
    </row>
    <row r="17" spans="1:7" ht="14.25" thickTop="1" x14ac:dyDescent="0.4">
      <c r="B17" s="74"/>
      <c r="C17" s="74"/>
      <c r="D17" s="74"/>
      <c r="E17" s="73"/>
      <c r="F17" s="73"/>
      <c r="G17" s="73"/>
    </row>
    <row r="18" spans="1:7" x14ac:dyDescent="0.4">
      <c r="B18" s="74"/>
      <c r="C18" s="74"/>
      <c r="D18" s="74"/>
      <c r="E18" s="73"/>
      <c r="F18" s="73"/>
      <c r="G18" s="73"/>
    </row>
    <row r="19" spans="1:7" x14ac:dyDescent="0.4">
      <c r="B19" s="74"/>
      <c r="C19" s="74"/>
      <c r="D19" s="74"/>
      <c r="E19" s="73"/>
      <c r="F19" s="73"/>
      <c r="G19" s="73"/>
    </row>
    <row r="20" spans="1:7" x14ac:dyDescent="0.4">
      <c r="A20" s="39" t="s">
        <v>22</v>
      </c>
      <c r="B20" s="69">
        <v>0.77740665240414109</v>
      </c>
      <c r="C20" s="69">
        <v>0.28516612260207458</v>
      </c>
      <c r="D20" s="69">
        <v>6.068525572005954E-2</v>
      </c>
      <c r="E20" s="69">
        <v>0.78487264774289067</v>
      </c>
      <c r="F20" s="69">
        <v>0.28754911785748322</v>
      </c>
      <c r="G20" s="69">
        <v>6.6766486583348092E-2</v>
      </c>
    </row>
    <row r="21" spans="1:7" x14ac:dyDescent="0.4">
      <c r="B21" s="74"/>
      <c r="C21" s="74"/>
      <c r="D21" s="74"/>
      <c r="E21" s="74"/>
      <c r="F21" s="74"/>
      <c r="G21" s="74"/>
    </row>
    <row r="22" spans="1:7" x14ac:dyDescent="0.4">
      <c r="A22" s="40" t="s">
        <v>24</v>
      </c>
      <c r="B22" s="74"/>
      <c r="C22" s="74"/>
      <c r="D22" s="74"/>
      <c r="E22" s="74"/>
      <c r="F22" s="74"/>
      <c r="G22" s="74"/>
    </row>
    <row r="23" spans="1:7" x14ac:dyDescent="0.4">
      <c r="A23" s="21" t="s">
        <v>11</v>
      </c>
      <c r="B23" s="70">
        <v>0.77740665240414109</v>
      </c>
      <c r="C23" s="70">
        <v>0.28516612260207458</v>
      </c>
      <c r="D23" s="70">
        <v>6.068525572005954E-2</v>
      </c>
      <c r="E23" s="70">
        <v>0.78487264774289067</v>
      </c>
      <c r="F23" s="70">
        <v>0.28754911785748322</v>
      </c>
      <c r="G23" s="70">
        <v>6.6766486583348092E-2</v>
      </c>
    </row>
    <row r="24" spans="1:7" x14ac:dyDescent="0.4">
      <c r="A24" s="21" t="s">
        <v>12</v>
      </c>
      <c r="B24" s="70">
        <v>0.70460314033583471</v>
      </c>
      <c r="C24" s="70">
        <v>0.26326069379853756</v>
      </c>
      <c r="D24" s="70">
        <v>0</v>
      </c>
      <c r="E24" s="70">
        <v>0.71600255827361758</v>
      </c>
      <c r="F24" s="70">
        <v>0.26313224464607388</v>
      </c>
      <c r="G24" s="70">
        <v>0</v>
      </c>
    </row>
    <row r="25" spans="1:7" x14ac:dyDescent="0.4">
      <c r="A25" s="21" t="s">
        <v>13</v>
      </c>
      <c r="B25" s="70">
        <v>0.37250566069047758</v>
      </c>
      <c r="C25" s="70">
        <v>0.19266743561864372</v>
      </c>
      <c r="D25" s="70">
        <v>0</v>
      </c>
      <c r="E25" s="70">
        <v>0.37829193750611811</v>
      </c>
      <c r="F25" s="70">
        <v>0.19762535497260922</v>
      </c>
      <c r="G25" s="70">
        <v>0</v>
      </c>
    </row>
    <row r="26" spans="1:7" x14ac:dyDescent="0.4">
      <c r="B26" s="74"/>
      <c r="C26" s="74"/>
      <c r="D26" s="74"/>
      <c r="E26" s="74"/>
      <c r="F26" s="74"/>
      <c r="G26" s="74"/>
    </row>
    <row r="27" spans="1:7" x14ac:dyDescent="0.4">
      <c r="B27" s="74"/>
      <c r="C27" s="74"/>
      <c r="D27" s="74"/>
      <c r="E27" s="74"/>
      <c r="F27" s="74"/>
      <c r="G27" s="74"/>
    </row>
    <row r="28" spans="1:7" x14ac:dyDescent="0.4">
      <c r="A28" s="40" t="s">
        <v>25</v>
      </c>
      <c r="B28" s="74"/>
      <c r="C28" s="74"/>
      <c r="D28" s="74"/>
      <c r="E28" s="74"/>
      <c r="F28" s="74"/>
      <c r="G28" s="74"/>
    </row>
    <row r="29" spans="1:7" x14ac:dyDescent="0.4">
      <c r="A29" s="33" t="s">
        <v>15</v>
      </c>
      <c r="B29" s="72">
        <v>2.0367603499919808E-2</v>
      </c>
      <c r="C29" s="72">
        <v>8.00131697588213E-3</v>
      </c>
      <c r="D29" s="72">
        <v>0</v>
      </c>
      <c r="E29" s="70">
        <v>1.9834590734311954E-2</v>
      </c>
      <c r="F29" s="70">
        <v>8.9186632170773199E-3</v>
      </c>
      <c r="G29" s="70">
        <v>0</v>
      </c>
    </row>
    <row r="30" spans="1:7" x14ac:dyDescent="0.4">
      <c r="A30" s="33" t="s">
        <v>16</v>
      </c>
      <c r="B30" s="72">
        <v>0.23104702897684418</v>
      </c>
      <c r="C30" s="72">
        <v>0</v>
      </c>
      <c r="D30" s="72">
        <v>0</v>
      </c>
      <c r="E30" s="70">
        <v>0.23726771861728213</v>
      </c>
      <c r="F30" s="70">
        <v>0</v>
      </c>
      <c r="G30" s="70">
        <v>0</v>
      </c>
    </row>
    <row r="31" spans="1:7" x14ac:dyDescent="0.4">
      <c r="A31" s="33" t="s">
        <v>17</v>
      </c>
      <c r="B31" s="72">
        <v>0.30246090032620071</v>
      </c>
      <c r="C31" s="72">
        <v>0.10670969969218584</v>
      </c>
      <c r="D31" s="72">
        <v>6.068525572005954E-2</v>
      </c>
      <c r="E31" s="70">
        <v>0.31448964195632351</v>
      </c>
      <c r="F31" s="70">
        <v>0.11325261663444412</v>
      </c>
      <c r="G31" s="70">
        <v>6.6766486583348092E-2</v>
      </c>
    </row>
    <row r="32" spans="1:7" ht="14.25" thickBot="1" x14ac:dyDescent="0.45">
      <c r="A32" s="41" t="s">
        <v>18</v>
      </c>
      <c r="B32" s="71">
        <v>0.22353111960117822</v>
      </c>
      <c r="C32" s="71">
        <v>0.17045510593400656</v>
      </c>
      <c r="D32" s="71">
        <v>0</v>
      </c>
      <c r="E32" s="71">
        <v>0.22319340305862645</v>
      </c>
      <c r="F32" s="71">
        <v>0.17817004618530916</v>
      </c>
      <c r="G32" s="71">
        <v>0</v>
      </c>
    </row>
    <row r="33" spans="1:7" ht="14.25" thickTop="1" x14ac:dyDescent="0.4">
      <c r="B33" s="73"/>
      <c r="C33" s="73"/>
      <c r="D33" s="73"/>
      <c r="E33" s="74"/>
      <c r="F33" s="74"/>
      <c r="G33" s="74"/>
    </row>
    <row r="34" spans="1:7" x14ac:dyDescent="0.4">
      <c r="B34" s="73"/>
      <c r="C34" s="73"/>
      <c r="D34" s="73"/>
      <c r="E34" s="74"/>
      <c r="F34" s="74"/>
      <c r="G34" s="74"/>
    </row>
    <row r="35" spans="1:7" x14ac:dyDescent="0.4">
      <c r="B35" s="73"/>
      <c r="C35" s="73"/>
      <c r="D35" s="73"/>
      <c r="E35" s="74"/>
      <c r="F35" s="74"/>
      <c r="G35" s="74"/>
    </row>
    <row r="36" spans="1:7" x14ac:dyDescent="0.4">
      <c r="A36" s="39" t="s">
        <v>29</v>
      </c>
      <c r="B36" s="75"/>
      <c r="C36" s="75"/>
      <c r="D36" s="75"/>
      <c r="E36" s="76"/>
      <c r="F36" s="76"/>
      <c r="G36" s="76"/>
    </row>
    <row r="37" spans="1:7" x14ac:dyDescent="0.4">
      <c r="A37" s="40" t="s">
        <v>27</v>
      </c>
      <c r="B37" s="73"/>
      <c r="C37" s="73"/>
      <c r="D37" s="73"/>
      <c r="E37" s="74"/>
      <c r="F37" s="74"/>
      <c r="G37" s="74"/>
    </row>
    <row r="38" spans="1:7" x14ac:dyDescent="0.4">
      <c r="A38" s="21" t="s">
        <v>11</v>
      </c>
      <c r="B38" s="70">
        <v>1</v>
      </c>
      <c r="C38" s="70">
        <v>0.95397682594660571</v>
      </c>
      <c r="D38" s="70">
        <v>1</v>
      </c>
      <c r="E38" s="70">
        <v>1</v>
      </c>
      <c r="F38" s="70">
        <v>0.9566428931634321</v>
      </c>
      <c r="G38" s="70">
        <v>1</v>
      </c>
    </row>
    <row r="39" spans="1:7" x14ac:dyDescent="0.4">
      <c r="A39" s="21" t="s">
        <v>12</v>
      </c>
      <c r="B39" s="70">
        <v>0.90179079447296639</v>
      </c>
      <c r="C39" s="70">
        <v>0.93207139714306886</v>
      </c>
      <c r="D39" s="70">
        <v>0.32297393199251151</v>
      </c>
      <c r="E39" s="70">
        <v>0.90752923927267815</v>
      </c>
      <c r="F39" s="70">
        <v>0.94114468316910005</v>
      </c>
      <c r="G39" s="70">
        <v>0.34049056326934579</v>
      </c>
    </row>
    <row r="40" spans="1:7" x14ac:dyDescent="0.4">
      <c r="A40" s="21" t="s">
        <v>13</v>
      </c>
      <c r="B40" s="70">
        <v>0.50418767730403069</v>
      </c>
      <c r="C40" s="70">
        <v>0.7955694463950489</v>
      </c>
      <c r="D40" s="70">
        <v>2.4526602265536761E-2</v>
      </c>
      <c r="E40" s="70">
        <v>0.51482532743840581</v>
      </c>
      <c r="F40" s="70">
        <v>0.81763821045885776</v>
      </c>
      <c r="G40" s="70">
        <v>2.8375543155610732E-2</v>
      </c>
    </row>
    <row r="41" spans="1:7" x14ac:dyDescent="0.4">
      <c r="B41" s="74"/>
      <c r="C41" s="74"/>
      <c r="D41" s="74"/>
      <c r="E41" s="74"/>
      <c r="F41" s="74"/>
      <c r="G41" s="74"/>
    </row>
    <row r="42" spans="1:7" x14ac:dyDescent="0.4">
      <c r="B42" s="74"/>
      <c r="C42" s="74"/>
      <c r="D42" s="74"/>
      <c r="E42" s="74"/>
      <c r="F42" s="74"/>
      <c r="G42" s="74"/>
    </row>
    <row r="43" spans="1:7" x14ac:dyDescent="0.4">
      <c r="A43" s="40" t="s">
        <v>28</v>
      </c>
      <c r="B43" s="74"/>
      <c r="C43" s="74"/>
      <c r="D43" s="74"/>
      <c r="E43" s="74"/>
      <c r="F43" s="74"/>
      <c r="G43" s="74"/>
    </row>
    <row r="44" spans="1:7" x14ac:dyDescent="0.4">
      <c r="A44" s="33" t="s">
        <v>15</v>
      </c>
      <c r="B44" s="72">
        <v>2.0367603499919808E-2</v>
      </c>
      <c r="C44" s="72">
        <v>8.00131697588213E-3</v>
      </c>
      <c r="D44" s="72">
        <v>0.33914618529954793</v>
      </c>
      <c r="E44" s="70">
        <v>1.9834590734311954E-2</v>
      </c>
      <c r="F44" s="70">
        <v>8.9186632170773199E-3</v>
      </c>
      <c r="G44" s="70">
        <v>0.33593829136967346</v>
      </c>
    </row>
    <row r="45" spans="1:7" x14ac:dyDescent="0.4">
      <c r="A45" s="33" t="s">
        <v>16</v>
      </c>
      <c r="B45" s="72">
        <v>0.34761048947518086</v>
      </c>
      <c r="C45" s="72">
        <v>0.11526506854249788</v>
      </c>
      <c r="D45" s="72">
        <v>0</v>
      </c>
      <c r="E45" s="70">
        <v>0.35675316441349564</v>
      </c>
      <c r="F45" s="70">
        <v>0.12452613343530382</v>
      </c>
      <c r="G45" s="70">
        <v>0</v>
      </c>
    </row>
    <row r="46" spans="1:7" x14ac:dyDescent="0.4">
      <c r="A46" s="33" t="s">
        <v>17</v>
      </c>
      <c r="B46" s="72">
        <v>0.40640094675004995</v>
      </c>
      <c r="C46" s="72">
        <v>0.39042384170613958</v>
      </c>
      <c r="D46" s="72">
        <v>0.37451200870835627</v>
      </c>
      <c r="E46" s="70">
        <v>0.41616846177386785</v>
      </c>
      <c r="F46" s="70">
        <v>0.40517721291130704</v>
      </c>
      <c r="G46" s="70">
        <v>0.38510072923505412</v>
      </c>
    </row>
    <row r="47" spans="1:7" ht="14.25" thickBot="1" x14ac:dyDescent="0.45">
      <c r="A47" s="41" t="s">
        <v>18</v>
      </c>
      <c r="B47" s="71">
        <v>0.2256209602748511</v>
      </c>
      <c r="C47" s="71">
        <v>0.44028659872208759</v>
      </c>
      <c r="D47" s="71">
        <v>0.28634180599209508</v>
      </c>
      <c r="E47" s="71">
        <v>0.22548564708456606</v>
      </c>
      <c r="F47" s="71">
        <v>0.45668531471987556</v>
      </c>
      <c r="G47" s="71">
        <v>0.30270983942273749</v>
      </c>
    </row>
    <row r="48" spans="1:7" ht="14.25" thickTop="1" x14ac:dyDescent="0.4"/>
    <row r="51" spans="1:3" x14ac:dyDescent="0.4">
      <c r="A51" s="39" t="s">
        <v>43</v>
      </c>
      <c r="B51" s="39" t="s">
        <v>38</v>
      </c>
      <c r="C51" s="39" t="s">
        <v>39</v>
      </c>
    </row>
    <row r="52" spans="1:3" x14ac:dyDescent="0.4">
      <c r="A52" s="33"/>
      <c r="B52" s="77">
        <v>0.26423522686316953</v>
      </c>
      <c r="C52" s="77">
        <v>0.26609930568538259</v>
      </c>
    </row>
    <row r="53" spans="1:3" x14ac:dyDescent="0.4">
      <c r="A53" s="21" t="s">
        <v>40</v>
      </c>
      <c r="B53" s="73">
        <v>491</v>
      </c>
      <c r="C53" s="95">
        <v>435</v>
      </c>
    </row>
    <row r="54" spans="1:3" x14ac:dyDescent="0.4">
      <c r="A54" s="21" t="s">
        <v>41</v>
      </c>
      <c r="B54" s="73">
        <v>117</v>
      </c>
      <c r="C54" s="73">
        <v>107</v>
      </c>
    </row>
    <row r="57" spans="1:3" x14ac:dyDescent="0.4">
      <c r="A57" s="39" t="s">
        <v>42</v>
      </c>
      <c r="B57" s="39" t="s">
        <v>38</v>
      </c>
      <c r="C57" s="39" t="s">
        <v>39</v>
      </c>
    </row>
    <row r="58" spans="1:3" x14ac:dyDescent="0.4">
      <c r="A58" s="33"/>
      <c r="B58" s="94">
        <v>1.4250599539689331E-2</v>
      </c>
      <c r="C58" s="94">
        <v>1.5630785673005441E-2</v>
      </c>
    </row>
    <row r="59" spans="1:3" x14ac:dyDescent="0.4">
      <c r="A59" s="21" t="s">
        <v>40</v>
      </c>
      <c r="B59" s="73">
        <v>491</v>
      </c>
      <c r="C59" s="95">
        <v>435</v>
      </c>
    </row>
    <row r="60" spans="1:3" x14ac:dyDescent="0.4">
      <c r="A60" s="21" t="s">
        <v>44</v>
      </c>
      <c r="B60" s="73">
        <v>6</v>
      </c>
      <c r="C60" s="73">
        <v>6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CG Germplasm</vt:lpstr>
      <vt:lpstr>Exotic germplasm </vt:lpstr>
      <vt:lpstr>Unconditional</vt:lpstr>
      <vt:lpstr>Related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cp:lastModifiedBy>Paola Mallia</cp:lastModifiedBy>
  <dcterms:created xsi:type="dcterms:W3CDTF">2020-06-03T10:32:58Z</dcterms:created>
  <dcterms:modified xsi:type="dcterms:W3CDTF">2020-06-23T13:15:23Z</dcterms:modified>
</cp:coreProperties>
</file>