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13_ncr:1_{8106DFA6-A494-4587-9E24-69A7CECA57D4}" xr6:coauthVersionLast="45" xr6:coauthVersionMax="45" xr10:uidLastSave="{00000000-0000-0000-0000-000000000000}"/>
  <bookViews>
    <workbookView xWindow="8423" yWindow="4957" windowWidth="3599" windowHeight="1875" xr2:uid="{8788FAC5-C493-434C-A3EB-13D90BBF0C62}"/>
  </bookViews>
  <sheets>
    <sheet name="CG Germplasm" sheetId="3" r:id="rId1"/>
    <sheet name="Exotic germplasm " sheetId="4" r:id="rId2"/>
    <sheet name="Unconditional" sheetId="5" r:id="rId3"/>
    <sheet name="Related sta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3" l="1"/>
  <c r="M6" i="3" l="1"/>
  <c r="L6" i="3"/>
  <c r="H6" i="4" l="1"/>
  <c r="H6" i="3"/>
  <c r="G6" i="4"/>
  <c r="G6" i="3"/>
  <c r="B6" i="4"/>
  <c r="C6" i="3"/>
  <c r="B6" i="3"/>
  <c r="D18" i="5" l="1"/>
  <c r="D25" i="4"/>
  <c r="N18" i="5"/>
  <c r="I18" i="5"/>
  <c r="L4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tc={E369890A-1E79-4A2B-84FC-441252BDA7AA}</author>
  </authors>
  <commentList>
    <comment ref="I18" authorId="0" shapeId="0" xr:uid="{E369890A-1E79-4A2B-84FC-441252BDA7AA}">
      <text>
        <t>[Threaded comment]
Your version of Excel allows you to read this threaded comment; however, any edits to it will get removed if the file is opened in a newer version of Excel. Learn more: https://go.microsoft.com/fwlink/?linkid=870924
Comment:
    14 missing - Non CG and Non Exotic germplasm
Reply:
    Sending the list to Frederic</t>
      </text>
    </comment>
  </commentList>
</comments>
</file>

<file path=xl/sharedStrings.xml><?xml version="1.0" encoding="utf-8"?>
<sst xmlns="http://schemas.openxmlformats.org/spreadsheetml/2006/main" count="737" uniqueCount="48">
  <si>
    <t>Plot level</t>
  </si>
  <si>
    <t>Household level</t>
  </si>
  <si>
    <t>Maize</t>
  </si>
  <si>
    <t>Barley</t>
  </si>
  <si>
    <t>Sorghum</t>
  </si>
  <si>
    <t>CG germplasm</t>
  </si>
  <si>
    <t>Purity Level conditional on CG germplasm</t>
  </si>
  <si>
    <t>Above 70%</t>
  </si>
  <si>
    <t>Above 90%</t>
  </si>
  <si>
    <t>Above 95%</t>
  </si>
  <si>
    <t>Year of release conditional on CG germplasm</t>
  </si>
  <si>
    <t>Before 1990</t>
  </si>
  <si>
    <t>1990-2000</t>
  </si>
  <si>
    <t>2000-2010</t>
  </si>
  <si>
    <t>2010-2020</t>
  </si>
  <si>
    <t>Exotic germplasm</t>
  </si>
  <si>
    <t>Purity Level conditional on Exotic germplasm</t>
  </si>
  <si>
    <t>Year of release conditional on Exotic germplasm</t>
  </si>
  <si>
    <t>Uncoditional</t>
  </si>
  <si>
    <t>Purity Level - unconditional</t>
  </si>
  <si>
    <t>Year of release - unconditional</t>
  </si>
  <si>
    <t>Drought Tolerant Maize Varieties</t>
  </si>
  <si>
    <t>N (maize)</t>
  </si>
  <si>
    <t>N (DTMV==1)</t>
  </si>
  <si>
    <t>Quality Protein Maize varieties</t>
  </si>
  <si>
    <t>N (QPM==1)</t>
  </si>
  <si>
    <t>CG Germplasm</t>
  </si>
  <si>
    <t>Self-report</t>
  </si>
  <si>
    <t>Improved</t>
  </si>
  <si>
    <t>Not-improved</t>
  </si>
  <si>
    <t>N</t>
  </si>
  <si>
    <t>Yes</t>
  </si>
  <si>
    <t>No</t>
  </si>
  <si>
    <t xml:space="preserve">CG Germplasm </t>
  </si>
  <si>
    <t>Purity level</t>
  </si>
  <si>
    <t>Year of release</t>
  </si>
  <si>
    <t>Below 70%</t>
  </si>
  <si>
    <t>Below 90%</t>
  </si>
  <si>
    <t>Below 95%</t>
  </si>
  <si>
    <t>After 1990</t>
  </si>
  <si>
    <t>Before 1900 &amp; after 2000</t>
  </si>
  <si>
    <t>Before 2000 &amp; after 2010</t>
  </si>
  <si>
    <t>Before 2010</t>
  </si>
  <si>
    <t xml:space="preserve">Exotic germplasm </t>
  </si>
  <si>
    <t>Unconditional</t>
  </si>
  <si>
    <t xml:space="preserve">Total </t>
  </si>
  <si>
    <t>After 2000</t>
  </si>
  <si>
    <t>After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</si>
</sst>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&quot;;\-#,##0&quot;&quot;"/>
    <numFmt numFmtId="165" formatCode="#,##0.000&quot;&quot;;\-#,##0.000&quot;&quot;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6" xfId="0" applyBorder="1"/>
    <xf numFmtId="1" fontId="4" fillId="0" borderId="6" xfId="1" applyNumberFormat="1" applyFont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1" fontId="4" fillId="0" borderId="9" xfId="1" applyNumberFormat="1" applyFont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9" fontId="0" fillId="0" borderId="6" xfId="0" applyNumberFormat="1" applyBorder="1"/>
    <xf numFmtId="1" fontId="4" fillId="0" borderId="0" xfId="1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65" fontId="0" fillId="0" borderId="0" xfId="0" applyNumberFormat="1"/>
    <xf numFmtId="1" fontId="0" fillId="0" borderId="6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/>
    <xf numFmtId="10" fontId="6" fillId="0" borderId="0" xfId="1" applyNumberFormat="1" applyFont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6" fillId="0" borderId="6" xfId="1" applyNumberFormat="1" applyFont="1" applyBorder="1" applyAlignment="1">
      <alignment horizontal="center"/>
    </xf>
    <xf numFmtId="1" fontId="2" fillId="0" borderId="0" xfId="0" applyNumberFormat="1" applyFont="1"/>
    <xf numFmtId="2" fontId="2" fillId="0" borderId="6" xfId="0" applyNumberFormat="1" applyFont="1" applyBorder="1"/>
    <xf numFmtId="10" fontId="2" fillId="0" borderId="0" xfId="0" applyNumberFormat="1" applyFont="1"/>
    <xf numFmtId="2" fontId="2" fillId="0" borderId="0" xfId="0" applyNumberFormat="1" applyFont="1"/>
    <xf numFmtId="0" fontId="2" fillId="0" borderId="7" xfId="0" applyFont="1" applyBorder="1"/>
    <xf numFmtId="0" fontId="2" fillId="0" borderId="1" xfId="0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/>
    <xf numFmtId="0" fontId="5" fillId="0" borderId="6" xfId="0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65" fontId="2" fillId="0" borderId="0" xfId="0" applyNumberFormat="1" applyFont="1"/>
    <xf numFmtId="1" fontId="2" fillId="0" borderId="6" xfId="0" applyNumberFormat="1" applyFont="1" applyBorder="1"/>
    <xf numFmtId="10" fontId="2" fillId="0" borderId="0" xfId="1" applyNumberFormat="1" applyFont="1"/>
    <xf numFmtId="10" fontId="6" fillId="0" borderId="0" xfId="1" applyNumberFormat="1" applyFont="1" applyBorder="1" applyAlignment="1">
      <alignment horizont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4" fillId="0" borderId="0" xfId="1" applyNumberFormat="1" applyFont="1" applyFill="1" applyAlignment="1">
      <alignment horizontal="center"/>
    </xf>
    <xf numFmtId="9" fontId="4" fillId="0" borderId="0" xfId="1" applyFont="1" applyAlignment="1">
      <alignment horizontal="center"/>
    </xf>
    <xf numFmtId="1" fontId="0" fillId="0" borderId="0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" fontId="0" fillId="0" borderId="11" xfId="0" applyNumberFormat="1" applyBorder="1"/>
    <xf numFmtId="0" fontId="0" fillId="0" borderId="11" xfId="0" applyBorder="1"/>
    <xf numFmtId="10" fontId="7" fillId="0" borderId="0" xfId="1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ola Mallia" id="{65813B9E-C162-46BB-90D0-1C8FEE392639}" userId="099df29e2de138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8" dT="2020-06-05T10:23:16.94" personId="{65813B9E-C162-46BB-90D0-1C8FEE392639}" id="{E369890A-1E79-4A2B-84FC-441252BDA7AA}">
    <text>14 missing - Non CG and Non Exotic germplasm</text>
  </threadedComment>
  <threadedComment ref="I18" dT="2020-06-05T10:23:56.51" personId="{65813B9E-C162-46BB-90D0-1C8FEE392639}" id="{06A547AB-31FC-4A66-A960-A05F1122B531}" parentId="{E369890A-1E79-4A2B-84FC-441252BDA7AA}">
    <text>Sending the list to Frederic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31A3-A065-452F-B851-BB42E0EEC5FA}">
  <dimension ref="A1:N80"/>
  <sheetViews>
    <sheetView showGridLines="0" tabSelected="1" zoomScale="70" zoomScaleNormal="70" workbookViewId="0">
      <selection activeCell="I14" sqref="I14"/>
    </sheetView>
  </sheetViews>
  <sheetFormatPr defaultRowHeight="14.25" x14ac:dyDescent="0.45"/>
  <cols>
    <col min="1" max="1" width="21.265625" bestFit="1" customWidth="1"/>
    <col min="2" max="2" width="12.06640625" customWidth="1"/>
    <col min="3" max="3" width="12.73046875" bestFit="1" customWidth="1"/>
    <col min="4" max="4" width="8.265625" bestFit="1" customWidth="1"/>
    <col min="5" max="5" width="5.06640625" customWidth="1"/>
    <col min="6" max="6" width="21.265625" bestFit="1" customWidth="1"/>
    <col min="7" max="7" width="8.86328125" customWidth="1"/>
    <col min="8" max="8" width="12.73046875" customWidth="1"/>
    <col min="9" max="10" width="5.265625" customWidth="1"/>
    <col min="11" max="11" width="21.265625" bestFit="1" customWidth="1"/>
    <col min="12" max="12" width="8.86328125" bestFit="1" customWidth="1"/>
    <col min="13" max="13" width="12.73046875" bestFit="1" customWidth="1"/>
  </cols>
  <sheetData>
    <row r="1" spans="1:14" ht="14.65" thickBot="1" x14ac:dyDescent="0.5">
      <c r="A1" s="75" t="s">
        <v>2</v>
      </c>
      <c r="B1" s="76"/>
      <c r="C1" s="77"/>
      <c r="D1" s="13"/>
      <c r="F1" s="75" t="s">
        <v>3</v>
      </c>
      <c r="G1" s="76"/>
      <c r="H1" s="77"/>
      <c r="I1" s="13"/>
      <c r="K1" s="75" t="s">
        <v>4</v>
      </c>
      <c r="L1" s="76"/>
      <c r="M1" s="77"/>
    </row>
    <row r="2" spans="1:14" x14ac:dyDescent="0.45">
      <c r="A2" s="78" t="s">
        <v>26</v>
      </c>
      <c r="B2" s="74" t="s">
        <v>27</v>
      </c>
      <c r="C2" s="74"/>
      <c r="D2" s="14"/>
      <c r="F2" s="80" t="s">
        <v>26</v>
      </c>
      <c r="G2" s="74" t="s">
        <v>27</v>
      </c>
      <c r="H2" s="74"/>
      <c r="I2" s="14"/>
      <c r="K2" s="78" t="s">
        <v>26</v>
      </c>
      <c r="L2" s="74" t="s">
        <v>27</v>
      </c>
      <c r="M2" s="74"/>
    </row>
    <row r="3" spans="1:14" x14ac:dyDescent="0.45">
      <c r="A3" s="79"/>
      <c r="B3" s="15" t="s">
        <v>28</v>
      </c>
      <c r="C3" s="16" t="s">
        <v>29</v>
      </c>
      <c r="D3" s="17" t="s">
        <v>30</v>
      </c>
      <c r="F3" s="81"/>
      <c r="G3" s="18" t="s">
        <v>28</v>
      </c>
      <c r="H3" s="18" t="s">
        <v>29</v>
      </c>
      <c r="I3" s="19" t="s">
        <v>30</v>
      </c>
      <c r="K3" s="78"/>
      <c r="L3" s="20" t="s">
        <v>28</v>
      </c>
      <c r="M3" s="18" t="s">
        <v>29</v>
      </c>
      <c r="N3" s="21" t="s">
        <v>30</v>
      </c>
    </row>
    <row r="4" spans="1:14" x14ac:dyDescent="0.45">
      <c r="A4" s="22" t="s">
        <v>31</v>
      </c>
      <c r="B4" s="12">
        <v>0.23295055120301064</v>
      </c>
      <c r="C4" s="12">
        <v>0.37293612835383083</v>
      </c>
      <c r="D4" s="23">
        <v>329</v>
      </c>
      <c r="F4" s="22" t="s">
        <v>31</v>
      </c>
      <c r="G4" s="12">
        <v>4.1572570267445494E-3</v>
      </c>
      <c r="H4" s="12">
        <v>0.17321781419931859</v>
      </c>
      <c r="I4" s="23">
        <v>29</v>
      </c>
      <c r="K4" s="22" t="s">
        <v>31</v>
      </c>
      <c r="L4" s="12">
        <v>7.1322088776073545E-4</v>
      </c>
      <c r="M4" s="12">
        <v>8.6526145125545469E-3</v>
      </c>
      <c r="N4" s="24">
        <v>11</v>
      </c>
    </row>
    <row r="5" spans="1:14" x14ac:dyDescent="0.45">
      <c r="A5" s="22" t="s">
        <v>32</v>
      </c>
      <c r="B5" s="12">
        <v>0.22147962174637223</v>
      </c>
      <c r="C5" s="12">
        <v>0.17263369869678746</v>
      </c>
      <c r="D5" s="23">
        <v>177</v>
      </c>
      <c r="F5" s="22" t="s">
        <v>32</v>
      </c>
      <c r="G5" s="12">
        <v>5.4774323019627098E-2</v>
      </c>
      <c r="H5" s="12">
        <v>0.76785060575431097</v>
      </c>
      <c r="I5" s="23">
        <v>220</v>
      </c>
      <c r="K5" s="22" t="s">
        <v>32</v>
      </c>
      <c r="L5" s="12">
        <v>7.9058401596687738E-3</v>
      </c>
      <c r="M5" s="12">
        <v>0.98272832444001612</v>
      </c>
      <c r="N5" s="64">
        <v>357</v>
      </c>
    </row>
    <row r="6" spans="1:14" x14ac:dyDescent="0.45">
      <c r="B6" s="27">
        <f>SUM(B4:B5)</f>
        <v>0.45443017294938287</v>
      </c>
      <c r="C6" s="25">
        <f>SUM(C4:C5)</f>
        <v>0.54556982705061829</v>
      </c>
      <c r="D6" s="26">
        <v>506</v>
      </c>
      <c r="F6" s="68" t="s">
        <v>45</v>
      </c>
      <c r="G6" s="66">
        <f>SUM(G4:G5)</f>
        <v>5.8931580046371647E-2</v>
      </c>
      <c r="H6" s="66">
        <f>SUM(H4:H5)</f>
        <v>0.94106841995362955</v>
      </c>
      <c r="I6" s="26">
        <v>249</v>
      </c>
      <c r="K6" s="35" t="s">
        <v>45</v>
      </c>
      <c r="L6" s="65">
        <f>SUM(L4:L5)</f>
        <v>8.619061047429509E-3</v>
      </c>
      <c r="M6" s="66">
        <f>SUM(M4:M5)</f>
        <v>0.99138093895257062</v>
      </c>
      <c r="N6" s="67">
        <v>368</v>
      </c>
    </row>
    <row r="7" spans="1:14" x14ac:dyDescent="0.45">
      <c r="C7" s="28"/>
      <c r="D7" s="29"/>
      <c r="I7" s="22"/>
    </row>
    <row r="8" spans="1:14" x14ac:dyDescent="0.45">
      <c r="D8" s="22"/>
      <c r="I8" s="22"/>
    </row>
    <row r="9" spans="1:14" x14ac:dyDescent="0.45">
      <c r="D9" s="22"/>
      <c r="I9" s="22"/>
    </row>
    <row r="10" spans="1:14" x14ac:dyDescent="0.45">
      <c r="D10" s="22"/>
      <c r="I10" s="22"/>
    </row>
    <row r="11" spans="1:14" x14ac:dyDescent="0.45">
      <c r="A11" s="22" t="s">
        <v>33</v>
      </c>
      <c r="B11" s="74" t="s">
        <v>27</v>
      </c>
      <c r="C11" s="74"/>
      <c r="D11" s="14"/>
      <c r="F11" s="22" t="s">
        <v>33</v>
      </c>
      <c r="G11" s="74" t="s">
        <v>27</v>
      </c>
      <c r="H11" s="74"/>
      <c r="I11" s="14"/>
      <c r="K11" s="22" t="s">
        <v>33</v>
      </c>
      <c r="L11" s="74" t="s">
        <v>27</v>
      </c>
      <c r="M11" s="74"/>
    </row>
    <row r="12" spans="1:14" x14ac:dyDescent="0.45">
      <c r="A12" s="19" t="s">
        <v>34</v>
      </c>
      <c r="B12" s="16" t="s">
        <v>28</v>
      </c>
      <c r="C12" s="16" t="s">
        <v>29</v>
      </c>
      <c r="D12" s="17" t="s">
        <v>30</v>
      </c>
      <c r="F12" s="19" t="s">
        <v>34</v>
      </c>
      <c r="G12" s="16" t="s">
        <v>28</v>
      </c>
      <c r="H12" s="16" t="s">
        <v>29</v>
      </c>
      <c r="I12" s="17" t="s">
        <v>30</v>
      </c>
      <c r="K12" s="19" t="s">
        <v>34</v>
      </c>
      <c r="L12" s="16" t="s">
        <v>28</v>
      </c>
      <c r="M12" s="16" t="s">
        <v>29</v>
      </c>
      <c r="N12" s="16" t="s">
        <v>30</v>
      </c>
    </row>
    <row r="13" spans="1:14" x14ac:dyDescent="0.45">
      <c r="A13" s="22" t="s">
        <v>7</v>
      </c>
      <c r="B13" s="62">
        <v>0.23295055120301064</v>
      </c>
      <c r="C13" s="62">
        <v>0.37293612835383083</v>
      </c>
      <c r="D13" s="23">
        <v>329</v>
      </c>
      <c r="F13" s="22" t="s">
        <v>7</v>
      </c>
      <c r="G13" s="12">
        <v>4.1572570267445494E-3</v>
      </c>
      <c r="H13" s="12">
        <v>0.17321781419931859</v>
      </c>
      <c r="I13" s="23">
        <v>29</v>
      </c>
      <c r="K13" s="22" t="s">
        <v>7</v>
      </c>
      <c r="L13" s="62">
        <v>7.1322088776073545E-4</v>
      </c>
      <c r="M13" s="62">
        <v>8.6526145125545469E-3</v>
      </c>
      <c r="N13" s="30">
        <v>11</v>
      </c>
    </row>
    <row r="14" spans="1:14" x14ac:dyDescent="0.45">
      <c r="A14" s="22" t="s">
        <v>8</v>
      </c>
      <c r="B14" s="62">
        <v>0.22988615306380103</v>
      </c>
      <c r="C14" s="62">
        <v>0.34630775453381329</v>
      </c>
      <c r="D14" s="23">
        <v>306</v>
      </c>
      <c r="F14" s="22" t="s">
        <v>8</v>
      </c>
      <c r="G14" s="12">
        <v>4.1572570267445494E-3</v>
      </c>
      <c r="H14" s="12">
        <v>0.15131238539578154</v>
      </c>
      <c r="I14" s="23">
        <v>26</v>
      </c>
      <c r="K14" s="22" t="s">
        <v>8</v>
      </c>
      <c r="L14" s="62">
        <v>7.1322088776073545E-4</v>
      </c>
      <c r="M14" s="62">
        <v>0</v>
      </c>
      <c r="N14" s="30">
        <v>2</v>
      </c>
    </row>
    <row r="15" spans="1:14" x14ac:dyDescent="0.45">
      <c r="A15" s="22" t="s">
        <v>9</v>
      </c>
      <c r="B15" s="62">
        <v>0.18307765137112031</v>
      </c>
      <c r="C15" s="62">
        <v>9.0008858555257365E-2</v>
      </c>
      <c r="D15" s="23">
        <v>126</v>
      </c>
      <c r="F15" s="22" t="s">
        <v>9</v>
      </c>
      <c r="G15" s="12">
        <v>4.1572570267445494E-3</v>
      </c>
      <c r="H15" s="12">
        <v>0.10638913495559285</v>
      </c>
      <c r="I15" s="23">
        <v>18</v>
      </c>
      <c r="K15" s="22" t="s">
        <v>9</v>
      </c>
      <c r="L15" s="62">
        <v>7.1322088776073545E-4</v>
      </c>
      <c r="M15" s="62">
        <v>0</v>
      </c>
      <c r="N15" s="30">
        <v>2</v>
      </c>
    </row>
    <row r="16" spans="1:14" x14ac:dyDescent="0.45">
      <c r="B16" s="27">
        <f>SUM(B15,C15)</f>
        <v>0.27308650992637767</v>
      </c>
      <c r="D16" s="22"/>
      <c r="I16" s="22"/>
    </row>
    <row r="17" spans="1:14" x14ac:dyDescent="0.45">
      <c r="D17" s="22"/>
      <c r="I17" s="22"/>
    </row>
    <row r="18" spans="1:14" x14ac:dyDescent="0.45">
      <c r="D18" s="22"/>
      <c r="I18" s="22"/>
    </row>
    <row r="19" spans="1:14" x14ac:dyDescent="0.45">
      <c r="D19" s="22"/>
      <c r="I19" s="22"/>
    </row>
    <row r="20" spans="1:14" x14ac:dyDescent="0.45">
      <c r="A20" s="22" t="s">
        <v>26</v>
      </c>
      <c r="B20" s="74" t="s">
        <v>27</v>
      </c>
      <c r="C20" s="74"/>
      <c r="D20" s="14"/>
      <c r="F20" s="22" t="s">
        <v>26</v>
      </c>
      <c r="G20" s="74" t="s">
        <v>27</v>
      </c>
      <c r="H20" s="74"/>
      <c r="I20" s="14"/>
      <c r="K20" s="22" t="s">
        <v>26</v>
      </c>
      <c r="L20" s="74" t="s">
        <v>27</v>
      </c>
      <c r="M20" s="74"/>
    </row>
    <row r="21" spans="1:14" x14ac:dyDescent="0.45">
      <c r="A21" s="19" t="s">
        <v>35</v>
      </c>
      <c r="B21" s="16" t="s">
        <v>28</v>
      </c>
      <c r="C21" s="16" t="s">
        <v>29</v>
      </c>
      <c r="D21" s="17" t="s">
        <v>30</v>
      </c>
      <c r="F21" s="19" t="s">
        <v>35</v>
      </c>
      <c r="G21" s="16" t="s">
        <v>28</v>
      </c>
      <c r="H21" s="16" t="s">
        <v>29</v>
      </c>
      <c r="I21" s="17" t="s">
        <v>30</v>
      </c>
      <c r="K21" s="19" t="s">
        <v>35</v>
      </c>
      <c r="L21" s="16" t="s">
        <v>28</v>
      </c>
      <c r="M21" s="16" t="s">
        <v>29</v>
      </c>
      <c r="N21" s="16" t="s">
        <v>30</v>
      </c>
    </row>
    <row r="22" spans="1:14" x14ac:dyDescent="0.45">
      <c r="A22" s="22" t="s">
        <v>11</v>
      </c>
      <c r="B22" s="62">
        <v>4.1250656865789064E-3</v>
      </c>
      <c r="C22" s="62">
        <v>1.7543581576948634E-2</v>
      </c>
      <c r="D22" s="31">
        <v>10</v>
      </c>
      <c r="F22" s="22" t="s">
        <v>11</v>
      </c>
      <c r="G22" s="12">
        <v>0</v>
      </c>
      <c r="H22" s="12">
        <v>0</v>
      </c>
      <c r="I22" s="23">
        <v>0</v>
      </c>
      <c r="K22" s="22" t="s">
        <v>11</v>
      </c>
      <c r="L22" s="62">
        <v>0</v>
      </c>
      <c r="M22" s="62">
        <v>0</v>
      </c>
      <c r="N22" s="30">
        <v>0</v>
      </c>
    </row>
    <row r="23" spans="1:14" x14ac:dyDescent="0.45">
      <c r="A23" s="22" t="s">
        <v>12</v>
      </c>
      <c r="B23" s="62">
        <v>9.1481602452573391E-2</v>
      </c>
      <c r="C23" s="62">
        <v>0.1337682934523883</v>
      </c>
      <c r="D23" s="32">
        <v>120</v>
      </c>
      <c r="F23" s="22" t="s">
        <v>12</v>
      </c>
      <c r="G23" s="12">
        <v>0</v>
      </c>
      <c r="H23" s="12">
        <v>0</v>
      </c>
      <c r="I23" s="23">
        <v>0</v>
      </c>
      <c r="K23" s="22" t="s">
        <v>12</v>
      </c>
      <c r="L23" s="62">
        <v>0</v>
      </c>
      <c r="M23" s="62">
        <v>0</v>
      </c>
      <c r="N23" s="30">
        <v>0</v>
      </c>
    </row>
    <row r="24" spans="1:14" x14ac:dyDescent="0.45">
      <c r="A24" s="22" t="s">
        <v>13</v>
      </c>
      <c r="B24" s="62">
        <v>2.0801749885771822E-2</v>
      </c>
      <c r="C24" s="62">
        <v>0.17866809963581112</v>
      </c>
      <c r="D24" s="31">
        <v>132</v>
      </c>
      <c r="F24" s="22" t="s">
        <v>13</v>
      </c>
      <c r="G24" s="12">
        <v>0</v>
      </c>
      <c r="H24" s="12">
        <v>3.0923916219702939E-2</v>
      </c>
      <c r="I24" s="23">
        <v>4</v>
      </c>
      <c r="K24" s="22" t="s">
        <v>13</v>
      </c>
      <c r="L24" s="62">
        <v>7.1322088776073545E-4</v>
      </c>
      <c r="M24" s="62">
        <v>8.6526145125545469E-3</v>
      </c>
      <c r="N24" s="30">
        <v>11</v>
      </c>
    </row>
    <row r="25" spans="1:14" x14ac:dyDescent="0.45">
      <c r="A25" s="22" t="s">
        <v>14</v>
      </c>
      <c r="B25" s="62">
        <v>0.11654213317808654</v>
      </c>
      <c r="C25" s="62">
        <v>4.2956153688682684E-2</v>
      </c>
      <c r="D25" s="31">
        <v>67</v>
      </c>
      <c r="F25" s="22" t="s">
        <v>14</v>
      </c>
      <c r="G25" s="12">
        <v>4.1572570267445494E-3</v>
      </c>
      <c r="H25" s="12">
        <v>0.14229389797961564</v>
      </c>
      <c r="I25" s="23">
        <v>25</v>
      </c>
      <c r="K25" s="22" t="s">
        <v>14</v>
      </c>
      <c r="L25" s="62">
        <v>0</v>
      </c>
      <c r="M25" s="62">
        <v>0</v>
      </c>
      <c r="N25" s="30">
        <v>0</v>
      </c>
    </row>
    <row r="26" spans="1:14" x14ac:dyDescent="0.45">
      <c r="B26" s="33"/>
      <c r="C26" s="27"/>
      <c r="D26" s="34"/>
      <c r="G26" s="33"/>
      <c r="H26" s="33"/>
      <c r="I26" s="22"/>
      <c r="M26" s="33"/>
    </row>
    <row r="27" spans="1:14" x14ac:dyDescent="0.45">
      <c r="D27" s="22"/>
      <c r="I27" s="22"/>
    </row>
    <row r="28" spans="1:14" x14ac:dyDescent="0.45">
      <c r="D28" s="22"/>
      <c r="I28" s="22"/>
    </row>
    <row r="29" spans="1:14" x14ac:dyDescent="0.45">
      <c r="D29" s="22"/>
      <c r="I29" s="22"/>
    </row>
    <row r="30" spans="1:14" x14ac:dyDescent="0.45">
      <c r="A30" s="22" t="s">
        <v>33</v>
      </c>
      <c r="B30" s="74" t="s">
        <v>27</v>
      </c>
      <c r="C30" s="74"/>
      <c r="D30" s="22"/>
      <c r="F30" s="22" t="s">
        <v>33</v>
      </c>
      <c r="G30" s="74" t="s">
        <v>27</v>
      </c>
      <c r="H30" s="74"/>
      <c r="I30" s="22"/>
      <c r="K30" s="22" t="s">
        <v>33</v>
      </c>
      <c r="L30" s="74" t="s">
        <v>27</v>
      </c>
      <c r="M30" s="74"/>
    </row>
    <row r="31" spans="1:14" x14ac:dyDescent="0.45">
      <c r="A31" s="19" t="s">
        <v>34</v>
      </c>
      <c r="B31" s="16" t="s">
        <v>28</v>
      </c>
      <c r="C31" s="16" t="s">
        <v>29</v>
      </c>
      <c r="D31" s="22"/>
      <c r="F31" s="19" t="s">
        <v>34</v>
      </c>
      <c r="G31" s="16" t="s">
        <v>28</v>
      </c>
      <c r="H31" s="16" t="s">
        <v>29</v>
      </c>
      <c r="I31" s="22"/>
      <c r="K31" s="19" t="s">
        <v>34</v>
      </c>
      <c r="L31" s="16" t="s">
        <v>28</v>
      </c>
      <c r="M31" s="16" t="s">
        <v>29</v>
      </c>
    </row>
    <row r="32" spans="1:14" x14ac:dyDescent="0.45">
      <c r="A32" s="22" t="s">
        <v>7</v>
      </c>
      <c r="B32" s="62">
        <v>0.23295055120301064</v>
      </c>
      <c r="C32" s="62">
        <v>0.37293612835383083</v>
      </c>
      <c r="D32" s="22"/>
      <c r="F32" s="22" t="s">
        <v>7</v>
      </c>
      <c r="G32" s="12">
        <v>4.1572570267445494E-3</v>
      </c>
      <c r="H32" s="12">
        <v>0.17321781419931859</v>
      </c>
      <c r="I32" s="22"/>
      <c r="K32" s="22" t="s">
        <v>7</v>
      </c>
      <c r="L32" s="62">
        <v>7.1322088776073545E-4</v>
      </c>
      <c r="M32" s="62">
        <v>8.6526145125545469E-3</v>
      </c>
    </row>
    <row r="33" spans="1:13" x14ac:dyDescent="0.45">
      <c r="A33" s="22" t="s">
        <v>36</v>
      </c>
      <c r="B33" s="62">
        <v>0</v>
      </c>
      <c r="C33" s="62">
        <v>0</v>
      </c>
      <c r="D33" s="22"/>
      <c r="F33" s="22" t="s">
        <v>36</v>
      </c>
      <c r="G33" s="12">
        <v>0</v>
      </c>
      <c r="H33" s="12">
        <v>0</v>
      </c>
      <c r="I33" s="22"/>
      <c r="K33" s="22" t="s">
        <v>36</v>
      </c>
      <c r="L33" s="62">
        <v>0</v>
      </c>
      <c r="M33" s="62">
        <v>0</v>
      </c>
    </row>
    <row r="34" spans="1:13" x14ac:dyDescent="0.45">
      <c r="D34" s="22"/>
      <c r="H34" s="33"/>
      <c r="I34" s="22"/>
    </row>
    <row r="35" spans="1:13" x14ac:dyDescent="0.45">
      <c r="D35" s="22"/>
      <c r="I35" s="22"/>
    </row>
    <row r="36" spans="1:13" x14ac:dyDescent="0.45">
      <c r="A36" s="22" t="s">
        <v>33</v>
      </c>
      <c r="B36" s="74" t="s">
        <v>27</v>
      </c>
      <c r="C36" s="74"/>
      <c r="D36" s="22"/>
      <c r="F36" s="22" t="s">
        <v>33</v>
      </c>
      <c r="G36" s="74" t="s">
        <v>27</v>
      </c>
      <c r="H36" s="74"/>
      <c r="I36" s="22"/>
      <c r="K36" s="22" t="s">
        <v>33</v>
      </c>
      <c r="L36" s="74" t="s">
        <v>27</v>
      </c>
      <c r="M36" s="74"/>
    </row>
    <row r="37" spans="1:13" x14ac:dyDescent="0.45">
      <c r="A37" s="19" t="s">
        <v>34</v>
      </c>
      <c r="B37" s="16" t="s">
        <v>28</v>
      </c>
      <c r="C37" s="16" t="s">
        <v>29</v>
      </c>
      <c r="D37" s="22"/>
      <c r="F37" s="19" t="s">
        <v>34</v>
      </c>
      <c r="G37" s="16" t="s">
        <v>28</v>
      </c>
      <c r="H37" s="16" t="s">
        <v>29</v>
      </c>
      <c r="I37" s="22"/>
      <c r="K37" s="19" t="s">
        <v>34</v>
      </c>
      <c r="L37" s="16" t="s">
        <v>28</v>
      </c>
      <c r="M37" s="16" t="s">
        <v>29</v>
      </c>
    </row>
    <row r="38" spans="1:13" x14ac:dyDescent="0.45">
      <c r="A38" s="22" t="s">
        <v>8</v>
      </c>
      <c r="B38" s="62">
        <v>0.22988615306380103</v>
      </c>
      <c r="C38" s="62">
        <v>0.34630775453381329</v>
      </c>
      <c r="D38" s="22"/>
      <c r="F38" s="22" t="s">
        <v>8</v>
      </c>
      <c r="G38" s="12">
        <v>4.1572570267445494E-3</v>
      </c>
      <c r="H38" s="12">
        <v>0.15131238539578154</v>
      </c>
      <c r="I38" s="22"/>
      <c r="K38" s="22" t="s">
        <v>8</v>
      </c>
      <c r="L38" s="62">
        <v>7.1322088776073545E-4</v>
      </c>
      <c r="M38" s="62">
        <v>0</v>
      </c>
    </row>
    <row r="39" spans="1:13" x14ac:dyDescent="0.45">
      <c r="A39" t="s">
        <v>37</v>
      </c>
      <c r="B39" s="62">
        <v>3.0643981392095804E-3</v>
      </c>
      <c r="C39" s="62">
        <v>2.6628373820017689E-2</v>
      </c>
      <c r="D39" s="22"/>
      <c r="F39" s="22" t="s">
        <v>37</v>
      </c>
      <c r="G39" s="12">
        <v>0</v>
      </c>
      <c r="H39" s="12">
        <v>2.190542880353705E-2</v>
      </c>
      <c r="I39" s="22"/>
      <c r="K39" s="22" t="s">
        <v>37</v>
      </c>
      <c r="L39" s="62">
        <v>0</v>
      </c>
      <c r="M39" s="62">
        <v>8.6526145125545469E-3</v>
      </c>
    </row>
    <row r="40" spans="1:13" x14ac:dyDescent="0.45">
      <c r="B40" s="27"/>
      <c r="C40" s="27"/>
      <c r="D40" s="22"/>
      <c r="H40" s="33"/>
      <c r="I40" s="22"/>
    </row>
    <row r="41" spans="1:13" x14ac:dyDescent="0.45">
      <c r="D41" s="22"/>
      <c r="I41" s="22"/>
    </row>
    <row r="42" spans="1:13" x14ac:dyDescent="0.45">
      <c r="A42" s="22" t="s">
        <v>33</v>
      </c>
      <c r="B42" s="74" t="s">
        <v>27</v>
      </c>
      <c r="C42" s="74"/>
      <c r="D42" s="22"/>
      <c r="F42" s="22" t="s">
        <v>33</v>
      </c>
      <c r="G42" s="74" t="s">
        <v>27</v>
      </c>
      <c r="H42" s="74"/>
      <c r="I42" s="22"/>
      <c r="K42" s="22" t="s">
        <v>33</v>
      </c>
      <c r="L42" s="74" t="s">
        <v>27</v>
      </c>
      <c r="M42" s="74"/>
    </row>
    <row r="43" spans="1:13" x14ac:dyDescent="0.45">
      <c r="A43" s="19" t="s">
        <v>34</v>
      </c>
      <c r="B43" s="16" t="s">
        <v>28</v>
      </c>
      <c r="C43" s="16" t="s">
        <v>29</v>
      </c>
      <c r="D43" s="22"/>
      <c r="F43" s="19" t="s">
        <v>34</v>
      </c>
      <c r="G43" s="16" t="s">
        <v>28</v>
      </c>
      <c r="H43" s="16" t="s">
        <v>29</v>
      </c>
      <c r="I43" s="22"/>
      <c r="K43" s="19" t="s">
        <v>34</v>
      </c>
      <c r="L43" s="16" t="s">
        <v>28</v>
      </c>
      <c r="M43" s="16" t="s">
        <v>29</v>
      </c>
    </row>
    <row r="44" spans="1:13" x14ac:dyDescent="0.45">
      <c r="A44" s="22" t="s">
        <v>9</v>
      </c>
      <c r="B44" s="62">
        <v>0.18307765137112031</v>
      </c>
      <c r="C44" s="62">
        <v>9.0008858555257365E-2</v>
      </c>
      <c r="D44" s="22"/>
      <c r="F44" s="22" t="s">
        <v>9</v>
      </c>
      <c r="G44" s="12">
        <v>4.1572570267445494E-3</v>
      </c>
      <c r="H44" s="12">
        <v>0.10638913495559285</v>
      </c>
      <c r="I44" s="22"/>
      <c r="K44" s="22" t="s">
        <v>9</v>
      </c>
      <c r="L44" s="62">
        <v>7.1322088776073545E-4</v>
      </c>
      <c r="M44" s="62">
        <v>0</v>
      </c>
    </row>
    <row r="45" spans="1:13" x14ac:dyDescent="0.45">
      <c r="A45" s="22" t="s">
        <v>38</v>
      </c>
      <c r="B45" s="62">
        <v>4.9872899831890347E-2</v>
      </c>
      <c r="C45" s="62">
        <v>0.2829272697985733</v>
      </c>
      <c r="D45" s="22"/>
      <c r="F45" s="22" t="s">
        <v>38</v>
      </c>
      <c r="G45" s="12">
        <v>0</v>
      </c>
      <c r="H45" s="12">
        <v>6.6828679243725764E-2</v>
      </c>
      <c r="I45" s="22"/>
      <c r="K45" s="22" t="s">
        <v>38</v>
      </c>
      <c r="L45" s="62">
        <v>0</v>
      </c>
      <c r="M45" s="62">
        <v>8.6526145125545469E-3</v>
      </c>
    </row>
    <row r="46" spans="1:13" x14ac:dyDescent="0.45">
      <c r="C46" s="33"/>
      <c r="D46" s="22"/>
      <c r="H46" s="33"/>
      <c r="I46" s="22"/>
    </row>
    <row r="47" spans="1:13" x14ac:dyDescent="0.45">
      <c r="D47" s="22"/>
      <c r="I47" s="22"/>
    </row>
    <row r="48" spans="1:13" x14ac:dyDescent="0.45">
      <c r="D48" s="22"/>
      <c r="I48" s="22"/>
    </row>
    <row r="49" spans="1:13" x14ac:dyDescent="0.45">
      <c r="A49" s="22" t="s">
        <v>26</v>
      </c>
      <c r="B49" s="74" t="s">
        <v>27</v>
      </c>
      <c r="C49" s="74"/>
      <c r="D49" s="22"/>
      <c r="F49" s="22" t="s">
        <v>26</v>
      </c>
      <c r="G49" s="74" t="s">
        <v>27</v>
      </c>
      <c r="H49" s="74"/>
      <c r="I49" s="22"/>
      <c r="K49" s="22" t="s">
        <v>26</v>
      </c>
      <c r="L49" s="74" t="s">
        <v>27</v>
      </c>
      <c r="M49" s="74"/>
    </row>
    <row r="50" spans="1:13" x14ac:dyDescent="0.45">
      <c r="A50" s="19" t="s">
        <v>35</v>
      </c>
      <c r="B50" s="16" t="s">
        <v>28</v>
      </c>
      <c r="C50" s="16" t="s">
        <v>29</v>
      </c>
      <c r="D50" s="22"/>
      <c r="F50" s="19" t="s">
        <v>35</v>
      </c>
      <c r="G50" s="16" t="s">
        <v>28</v>
      </c>
      <c r="H50" s="16" t="s">
        <v>29</v>
      </c>
      <c r="I50" s="22"/>
      <c r="K50" s="19" t="s">
        <v>35</v>
      </c>
      <c r="L50" s="16" t="s">
        <v>28</v>
      </c>
      <c r="M50" s="16" t="s">
        <v>29</v>
      </c>
    </row>
    <row r="51" spans="1:13" x14ac:dyDescent="0.45">
      <c r="A51" s="35" t="s">
        <v>11</v>
      </c>
      <c r="B51" s="62">
        <v>4.1250656865789064E-3</v>
      </c>
      <c r="C51" s="62">
        <v>1.7543581576948634E-2</v>
      </c>
      <c r="D51" s="22"/>
      <c r="F51" s="35" t="s">
        <v>11</v>
      </c>
      <c r="G51" s="12">
        <v>0</v>
      </c>
      <c r="H51" s="12">
        <v>0</v>
      </c>
      <c r="I51" s="22"/>
      <c r="K51" s="35" t="s">
        <v>11</v>
      </c>
      <c r="L51" s="62">
        <v>0</v>
      </c>
      <c r="M51" s="62">
        <v>0</v>
      </c>
    </row>
    <row r="52" spans="1:13" x14ac:dyDescent="0.45">
      <c r="A52" s="22" t="s">
        <v>39</v>
      </c>
      <c r="B52" s="62">
        <v>0.22882548551643173</v>
      </c>
      <c r="C52" s="62">
        <v>0.3553925467768822</v>
      </c>
      <c r="D52" s="22"/>
      <c r="F52" s="22" t="s">
        <v>39</v>
      </c>
      <c r="G52" s="12">
        <v>4.1572570267445494E-3</v>
      </c>
      <c r="H52" s="12">
        <v>0.17321781419931859</v>
      </c>
      <c r="I52" s="22"/>
      <c r="K52" s="22" t="s">
        <v>39</v>
      </c>
      <c r="L52" s="62">
        <v>7.1322088776073545E-4</v>
      </c>
      <c r="M52" s="62">
        <v>8.6526145125545469E-3</v>
      </c>
    </row>
    <row r="53" spans="1:13" x14ac:dyDescent="0.45">
      <c r="C53" s="33"/>
      <c r="D53" s="22"/>
      <c r="I53" s="22"/>
    </row>
    <row r="54" spans="1:13" x14ac:dyDescent="0.45">
      <c r="D54" s="22"/>
      <c r="I54" s="22"/>
    </row>
    <row r="55" spans="1:13" x14ac:dyDescent="0.45">
      <c r="A55" s="22" t="s">
        <v>26</v>
      </c>
      <c r="B55" s="74" t="s">
        <v>27</v>
      </c>
      <c r="C55" s="74"/>
      <c r="D55" s="22"/>
      <c r="F55" s="22" t="s">
        <v>26</v>
      </c>
      <c r="G55" s="74" t="s">
        <v>27</v>
      </c>
      <c r="H55" s="74"/>
      <c r="I55" s="22"/>
      <c r="K55" s="22" t="s">
        <v>26</v>
      </c>
      <c r="L55" s="74" t="s">
        <v>27</v>
      </c>
      <c r="M55" s="74"/>
    </row>
    <row r="56" spans="1:13" x14ac:dyDescent="0.45">
      <c r="A56" s="19" t="s">
        <v>35</v>
      </c>
      <c r="B56" s="16" t="s">
        <v>28</v>
      </c>
      <c r="C56" s="16" t="s">
        <v>29</v>
      </c>
      <c r="D56" s="22"/>
      <c r="F56" s="19" t="s">
        <v>35</v>
      </c>
      <c r="G56" s="16" t="s">
        <v>28</v>
      </c>
      <c r="H56" s="16" t="s">
        <v>29</v>
      </c>
      <c r="I56" s="22"/>
      <c r="K56" s="19" t="s">
        <v>35</v>
      </c>
      <c r="L56" s="16" t="s">
        <v>28</v>
      </c>
      <c r="M56" s="16" t="s">
        <v>29</v>
      </c>
    </row>
    <row r="57" spans="1:13" x14ac:dyDescent="0.45">
      <c r="A57" s="35" t="s">
        <v>12</v>
      </c>
      <c r="B57" s="62">
        <v>9.1481602452573391E-2</v>
      </c>
      <c r="C57" s="62">
        <v>0.1337682934523883</v>
      </c>
      <c r="D57" s="22"/>
      <c r="F57" s="35" t="s">
        <v>12</v>
      </c>
      <c r="G57" s="12">
        <v>0</v>
      </c>
      <c r="H57" s="12">
        <v>0</v>
      </c>
      <c r="I57" s="22"/>
      <c r="K57" s="35" t="s">
        <v>12</v>
      </c>
      <c r="L57" s="62">
        <v>0</v>
      </c>
      <c r="M57" s="62">
        <v>0</v>
      </c>
    </row>
    <row r="58" spans="1:13" x14ac:dyDescent="0.45">
      <c r="A58" s="22" t="s">
        <v>40</v>
      </c>
      <c r="B58" s="62">
        <v>0.14146894875043728</v>
      </c>
      <c r="C58" s="62">
        <v>0.23916783490144253</v>
      </c>
      <c r="D58" s="22"/>
      <c r="F58" s="22" t="s">
        <v>40</v>
      </c>
      <c r="G58" s="12">
        <v>4.1572570267445494E-3</v>
      </c>
      <c r="H58" s="12">
        <v>0.17321781419931859</v>
      </c>
      <c r="I58" s="22"/>
      <c r="K58" s="22" t="s">
        <v>40</v>
      </c>
      <c r="L58" s="62">
        <v>7.1322088776073545E-4</v>
      </c>
      <c r="M58" s="62">
        <v>8.6526145125545469E-3</v>
      </c>
    </row>
    <row r="59" spans="1:13" x14ac:dyDescent="0.45">
      <c r="C59" s="33"/>
      <c r="D59" s="22"/>
      <c r="I59" s="22"/>
    </row>
    <row r="60" spans="1:13" x14ac:dyDescent="0.45">
      <c r="D60" s="22"/>
      <c r="I60" s="22"/>
    </row>
    <row r="61" spans="1:13" x14ac:dyDescent="0.45">
      <c r="A61" s="22" t="s">
        <v>26</v>
      </c>
      <c r="B61" s="74" t="s">
        <v>27</v>
      </c>
      <c r="C61" s="74"/>
      <c r="D61" s="22"/>
      <c r="F61" s="22" t="s">
        <v>26</v>
      </c>
      <c r="G61" s="74" t="s">
        <v>27</v>
      </c>
      <c r="H61" s="74"/>
      <c r="I61" s="22"/>
      <c r="K61" s="22" t="s">
        <v>26</v>
      </c>
      <c r="L61" s="74" t="s">
        <v>27</v>
      </c>
      <c r="M61" s="74"/>
    </row>
    <row r="62" spans="1:13" x14ac:dyDescent="0.45">
      <c r="A62" s="19" t="s">
        <v>35</v>
      </c>
      <c r="B62" s="16" t="s">
        <v>28</v>
      </c>
      <c r="C62" s="16" t="s">
        <v>29</v>
      </c>
      <c r="D62" s="22"/>
      <c r="F62" s="19" t="s">
        <v>35</v>
      </c>
      <c r="G62" s="16" t="s">
        <v>28</v>
      </c>
      <c r="H62" s="16" t="s">
        <v>29</v>
      </c>
      <c r="I62" s="22"/>
      <c r="K62" s="19" t="s">
        <v>35</v>
      </c>
      <c r="L62" s="16" t="s">
        <v>28</v>
      </c>
      <c r="M62" s="16" t="s">
        <v>29</v>
      </c>
    </row>
    <row r="63" spans="1:13" x14ac:dyDescent="0.45">
      <c r="A63" s="35" t="s">
        <v>13</v>
      </c>
      <c r="B63" s="62">
        <v>2.0801749885771822E-2</v>
      </c>
      <c r="C63" s="62">
        <v>0.17866809963581112</v>
      </c>
      <c r="D63" s="22"/>
      <c r="F63" s="35" t="s">
        <v>13</v>
      </c>
      <c r="G63" s="12">
        <v>0</v>
      </c>
      <c r="H63" s="12">
        <v>3.0923916219702939E-2</v>
      </c>
      <c r="I63" s="22"/>
      <c r="K63" s="35" t="s">
        <v>13</v>
      </c>
      <c r="L63" s="62">
        <v>7.1322088776073545E-4</v>
      </c>
      <c r="M63" s="62">
        <v>8.6526145125545469E-3</v>
      </c>
    </row>
    <row r="64" spans="1:13" x14ac:dyDescent="0.45">
      <c r="A64" s="22" t="s">
        <v>41</v>
      </c>
      <c r="B64" s="62">
        <v>0.21214880131723882</v>
      </c>
      <c r="C64" s="62">
        <v>0.19426802871801971</v>
      </c>
      <c r="D64" s="22"/>
      <c r="F64" s="22" t="s">
        <v>41</v>
      </c>
      <c r="G64" s="12">
        <v>4.1572570267445494E-3</v>
      </c>
      <c r="H64" s="12">
        <v>0.14229389797961564</v>
      </c>
      <c r="I64" s="22"/>
      <c r="K64" s="22" t="s">
        <v>41</v>
      </c>
      <c r="L64" s="62">
        <v>0</v>
      </c>
      <c r="M64" s="62">
        <v>0</v>
      </c>
    </row>
    <row r="65" spans="1:14" x14ac:dyDescent="0.45">
      <c r="C65" s="33"/>
      <c r="D65" s="22"/>
      <c r="H65" s="33"/>
      <c r="I65" s="22"/>
    </row>
    <row r="66" spans="1:14" x14ac:dyDescent="0.45">
      <c r="D66" s="22"/>
      <c r="I66" s="22"/>
    </row>
    <row r="67" spans="1:14" x14ac:dyDescent="0.45">
      <c r="A67" s="22" t="s">
        <v>26</v>
      </c>
      <c r="B67" s="74" t="s">
        <v>27</v>
      </c>
      <c r="C67" s="74"/>
      <c r="D67" s="22"/>
      <c r="F67" s="22" t="s">
        <v>26</v>
      </c>
      <c r="G67" s="74" t="s">
        <v>27</v>
      </c>
      <c r="H67" s="74"/>
      <c r="I67" s="22"/>
      <c r="K67" s="22" t="s">
        <v>26</v>
      </c>
      <c r="L67" s="74" t="s">
        <v>27</v>
      </c>
      <c r="M67" s="74"/>
    </row>
    <row r="68" spans="1:14" x14ac:dyDescent="0.45">
      <c r="A68" s="19" t="s">
        <v>35</v>
      </c>
      <c r="B68" s="16" t="s">
        <v>28</v>
      </c>
      <c r="C68" s="16" t="s">
        <v>29</v>
      </c>
      <c r="D68" s="22"/>
      <c r="F68" s="19" t="s">
        <v>35</v>
      </c>
      <c r="G68" s="16" t="s">
        <v>28</v>
      </c>
      <c r="H68" s="16" t="s">
        <v>29</v>
      </c>
      <c r="I68" s="22"/>
      <c r="K68" s="19" t="s">
        <v>35</v>
      </c>
      <c r="L68" s="16" t="s">
        <v>28</v>
      </c>
      <c r="M68" s="16" t="s">
        <v>29</v>
      </c>
    </row>
    <row r="69" spans="1:14" x14ac:dyDescent="0.45">
      <c r="A69" s="35" t="s">
        <v>14</v>
      </c>
      <c r="B69" s="62">
        <v>0.11654213317808654</v>
      </c>
      <c r="C69" s="62">
        <v>4.2956153688682684E-2</v>
      </c>
      <c r="D69" s="22"/>
      <c r="F69" s="35" t="s">
        <v>14</v>
      </c>
      <c r="G69" s="12">
        <v>4.1572570267445494E-3</v>
      </c>
      <c r="H69" s="12">
        <v>0.14229389797961564</v>
      </c>
      <c r="I69" s="22"/>
      <c r="K69" s="35" t="s">
        <v>14</v>
      </c>
      <c r="L69" s="62">
        <v>0</v>
      </c>
      <c r="M69" s="62">
        <v>0</v>
      </c>
    </row>
    <row r="70" spans="1:14" x14ac:dyDescent="0.45">
      <c r="A70" s="22" t="s">
        <v>42</v>
      </c>
      <c r="B70" s="62">
        <v>0.11640841802492413</v>
      </c>
      <c r="C70" s="62">
        <v>0.32997997466514811</v>
      </c>
      <c r="D70" s="22"/>
      <c r="F70" s="22" t="s">
        <v>42</v>
      </c>
      <c r="G70" s="12">
        <v>0</v>
      </c>
      <c r="H70" s="12">
        <v>3.0923916219702939E-2</v>
      </c>
      <c r="I70" s="22"/>
      <c r="K70" s="22" t="s">
        <v>42</v>
      </c>
      <c r="L70" s="62">
        <v>7.1322088776073545E-4</v>
      </c>
      <c r="M70" s="62">
        <v>8.6526145125545469E-3</v>
      </c>
    </row>
    <row r="71" spans="1:14" x14ac:dyDescent="0.45">
      <c r="C71" s="33"/>
      <c r="D71" s="22"/>
      <c r="H71" s="33"/>
      <c r="I71" s="22"/>
    </row>
    <row r="75" spans="1:14" x14ac:dyDescent="0.45">
      <c r="A75" s="22" t="s">
        <v>26</v>
      </c>
      <c r="B75" s="74" t="s">
        <v>27</v>
      </c>
      <c r="C75" s="74"/>
      <c r="F75" s="22" t="s">
        <v>26</v>
      </c>
      <c r="G75" s="74" t="s">
        <v>27</v>
      </c>
      <c r="H75" s="74"/>
      <c r="K75" s="22" t="s">
        <v>26</v>
      </c>
      <c r="L75" s="74" t="s">
        <v>27</v>
      </c>
      <c r="M75" s="74"/>
    </row>
    <row r="76" spans="1:14" x14ac:dyDescent="0.45">
      <c r="A76" s="19" t="s">
        <v>35</v>
      </c>
      <c r="B76" s="16" t="s">
        <v>28</v>
      </c>
      <c r="C76" s="16" t="s">
        <v>29</v>
      </c>
      <c r="D76" s="49" t="s">
        <v>30</v>
      </c>
      <c r="F76" s="19" t="s">
        <v>35</v>
      </c>
      <c r="G76" s="16" t="s">
        <v>28</v>
      </c>
      <c r="H76" s="16" t="s">
        <v>29</v>
      </c>
      <c r="I76" s="71" t="s">
        <v>30</v>
      </c>
      <c r="K76" s="19" t="s">
        <v>35</v>
      </c>
      <c r="L76" s="16" t="s">
        <v>28</v>
      </c>
      <c r="M76" s="16" t="s">
        <v>29</v>
      </c>
      <c r="N76" s="16" t="s">
        <v>30</v>
      </c>
    </row>
    <row r="77" spans="1:14" x14ac:dyDescent="0.45">
      <c r="A77" s="22" t="s">
        <v>39</v>
      </c>
      <c r="B77" s="69">
        <v>0.22882548551643173</v>
      </c>
      <c r="C77" s="69">
        <v>0.3553925467768822</v>
      </c>
      <c r="D77" s="73">
        <v>319</v>
      </c>
      <c r="F77" s="22" t="s">
        <v>39</v>
      </c>
      <c r="G77" s="69">
        <v>4.1572570267445494E-3</v>
      </c>
      <c r="H77" s="69">
        <v>0.17321781419931859</v>
      </c>
      <c r="I77" s="72">
        <v>29</v>
      </c>
      <c r="K77" s="22" t="s">
        <v>39</v>
      </c>
      <c r="L77" s="69">
        <v>7.1322088776073545E-4</v>
      </c>
      <c r="M77" s="69">
        <v>8.6526145125545469E-3</v>
      </c>
      <c r="N77" s="70">
        <v>11</v>
      </c>
    </row>
    <row r="78" spans="1:14" x14ac:dyDescent="0.45">
      <c r="A78" s="22" t="s">
        <v>46</v>
      </c>
      <c r="B78" s="69">
        <v>0.13734388306385836</v>
      </c>
      <c r="C78" s="69">
        <v>0.2216242533244939</v>
      </c>
      <c r="D78" s="73">
        <v>199</v>
      </c>
      <c r="F78" s="22" t="s">
        <v>46</v>
      </c>
      <c r="G78" s="69">
        <v>4.1572570267445494E-3</v>
      </c>
      <c r="H78" s="69">
        <v>0.17321781419931859</v>
      </c>
      <c r="I78" s="72">
        <v>29</v>
      </c>
      <c r="K78" s="22" t="s">
        <v>46</v>
      </c>
      <c r="L78" s="69">
        <v>7.1322088776073545E-4</v>
      </c>
      <c r="M78" s="69">
        <v>8.6526145125545469E-3</v>
      </c>
      <c r="N78" s="70">
        <v>11</v>
      </c>
    </row>
    <row r="79" spans="1:14" x14ac:dyDescent="0.45">
      <c r="A79" s="22" t="s">
        <v>47</v>
      </c>
      <c r="B79" s="69">
        <v>0.11654213317808654</v>
      </c>
      <c r="C79" s="69">
        <v>4.2956153688682684E-2</v>
      </c>
      <c r="D79" s="73">
        <v>67</v>
      </c>
      <c r="F79" s="22" t="s">
        <v>47</v>
      </c>
      <c r="G79" s="69">
        <v>4.1572570267445494E-3</v>
      </c>
      <c r="H79" s="69">
        <v>0.14229389797961564</v>
      </c>
      <c r="I79" s="72">
        <v>25</v>
      </c>
      <c r="K79" s="22" t="s">
        <v>47</v>
      </c>
      <c r="L79" s="69">
        <v>0</v>
      </c>
      <c r="M79" s="69">
        <v>0</v>
      </c>
      <c r="N79" s="70">
        <v>0</v>
      </c>
    </row>
    <row r="80" spans="1:14" x14ac:dyDescent="0.45">
      <c r="A80" s="22"/>
    </row>
  </sheetData>
  <mergeCells count="39">
    <mergeCell ref="B49:C49"/>
    <mergeCell ref="G49:H49"/>
    <mergeCell ref="L49:M49"/>
    <mergeCell ref="B67:C67"/>
    <mergeCell ref="G67:H67"/>
    <mergeCell ref="L67:M67"/>
    <mergeCell ref="B55:C55"/>
    <mergeCell ref="G55:H55"/>
    <mergeCell ref="L55:M55"/>
    <mergeCell ref="B61:C61"/>
    <mergeCell ref="G61:H61"/>
    <mergeCell ref="L61:M61"/>
    <mergeCell ref="B36:C36"/>
    <mergeCell ref="G36:H36"/>
    <mergeCell ref="L36:M36"/>
    <mergeCell ref="B42:C42"/>
    <mergeCell ref="G42:H42"/>
    <mergeCell ref="L42:M42"/>
    <mergeCell ref="G20:H20"/>
    <mergeCell ref="L20:M20"/>
    <mergeCell ref="B30:C30"/>
    <mergeCell ref="G30:H30"/>
    <mergeCell ref="L30:M30"/>
    <mergeCell ref="B75:C75"/>
    <mergeCell ref="G75:H75"/>
    <mergeCell ref="L75:M75"/>
    <mergeCell ref="A1:C1"/>
    <mergeCell ref="F1:H1"/>
    <mergeCell ref="K1:M1"/>
    <mergeCell ref="A2:A3"/>
    <mergeCell ref="B2:C2"/>
    <mergeCell ref="F2:F3"/>
    <mergeCell ref="G2:H2"/>
    <mergeCell ref="K2:K3"/>
    <mergeCell ref="L2:M2"/>
    <mergeCell ref="B11:C11"/>
    <mergeCell ref="G11:H11"/>
    <mergeCell ref="L11:M11"/>
    <mergeCell ref="B20:C20"/>
  </mergeCells>
  <pageMargins left="0.7" right="0.7" top="0.75" bottom="0.75" header="0.3" footer="0.3"/>
  <pageSetup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6C51-7165-40B0-B61B-468BFCE9D4A1}">
  <dimension ref="A1:N73"/>
  <sheetViews>
    <sheetView showGridLines="0" zoomScaleNormal="100" workbookViewId="0">
      <selection activeCell="H5" sqref="H5"/>
    </sheetView>
  </sheetViews>
  <sheetFormatPr defaultRowHeight="13.9" x14ac:dyDescent="0.4"/>
  <cols>
    <col min="1" max="1" width="16.06640625" style="1" customWidth="1"/>
    <col min="2" max="2" width="8.86328125" style="1" customWidth="1"/>
    <col min="3" max="3" width="12.73046875" style="1" customWidth="1"/>
    <col min="4" max="5" width="5.796875" style="1" customWidth="1"/>
    <col min="6" max="6" width="21.265625" style="1" bestFit="1" customWidth="1"/>
    <col min="7" max="7" width="8.86328125" style="1" customWidth="1"/>
    <col min="8" max="8" width="12.73046875" style="1" bestFit="1" customWidth="1"/>
    <col min="9" max="10" width="5.796875" style="1" customWidth="1"/>
    <col min="11" max="11" width="21.265625" style="1" bestFit="1" customWidth="1"/>
    <col min="12" max="12" width="8.86328125" style="1" customWidth="1"/>
    <col min="13" max="13" width="12.73046875" style="1" customWidth="1"/>
    <col min="14" max="16384" width="9.06640625" style="1"/>
  </cols>
  <sheetData>
    <row r="1" spans="1:14" ht="14.25" thickBot="1" x14ac:dyDescent="0.45">
      <c r="A1" s="82" t="s">
        <v>2</v>
      </c>
      <c r="B1" s="83"/>
      <c r="C1" s="84"/>
      <c r="D1" s="36"/>
      <c r="F1" s="82" t="s">
        <v>3</v>
      </c>
      <c r="G1" s="83"/>
      <c r="H1" s="84"/>
      <c r="I1" s="36"/>
      <c r="K1" s="82" t="s">
        <v>4</v>
      </c>
      <c r="L1" s="83"/>
      <c r="M1" s="84"/>
    </row>
    <row r="2" spans="1:14" x14ac:dyDescent="0.4">
      <c r="A2" s="85" t="s">
        <v>43</v>
      </c>
      <c r="B2" s="87" t="s">
        <v>27</v>
      </c>
      <c r="C2" s="87"/>
      <c r="D2" s="37"/>
      <c r="F2" s="85" t="s">
        <v>43</v>
      </c>
      <c r="G2" s="87" t="s">
        <v>27</v>
      </c>
      <c r="H2" s="87"/>
      <c r="I2" s="37"/>
      <c r="K2" s="85" t="s">
        <v>43</v>
      </c>
      <c r="L2" s="87" t="s">
        <v>27</v>
      </c>
      <c r="M2" s="87"/>
    </row>
    <row r="3" spans="1:14" x14ac:dyDescent="0.4">
      <c r="A3" s="86"/>
      <c r="B3" s="38" t="s">
        <v>28</v>
      </c>
      <c r="C3" s="39" t="s">
        <v>29</v>
      </c>
      <c r="D3" s="37"/>
      <c r="F3" s="86"/>
      <c r="G3" s="38" t="s">
        <v>28</v>
      </c>
      <c r="H3" s="39" t="s">
        <v>29</v>
      </c>
      <c r="I3" s="37"/>
      <c r="K3" s="86"/>
      <c r="L3" s="38" t="s">
        <v>28</v>
      </c>
      <c r="M3" s="39" t="s">
        <v>29</v>
      </c>
    </row>
    <row r="4" spans="1:14" x14ac:dyDescent="0.4">
      <c r="A4" s="40" t="s">
        <v>31</v>
      </c>
      <c r="B4" s="63">
        <v>0.36769554762756357</v>
      </c>
      <c r="C4" s="63">
        <v>0.42302214611874628</v>
      </c>
      <c r="D4" s="42">
        <v>403</v>
      </c>
      <c r="F4" s="40" t="s">
        <v>31</v>
      </c>
      <c r="G4" s="11">
        <v>4.2530262063599854E-2</v>
      </c>
      <c r="H4" s="12">
        <v>0.24263586053847475</v>
      </c>
      <c r="I4" s="43">
        <v>49</v>
      </c>
      <c r="K4" s="40" t="s">
        <v>31</v>
      </c>
      <c r="L4" s="11">
        <v>1.1431101306716639E-3</v>
      </c>
      <c r="M4" s="11">
        <v>5.8862891476508077E-2</v>
      </c>
      <c r="N4" s="44">
        <v>24</v>
      </c>
    </row>
    <row r="5" spans="1:14" x14ac:dyDescent="0.4">
      <c r="A5" s="40" t="s">
        <v>32</v>
      </c>
      <c r="B5" s="41">
        <v>9.2251232072399644E-2</v>
      </c>
      <c r="C5" s="41">
        <v>0.13034211552345892</v>
      </c>
      <c r="D5" s="42">
        <v>103</v>
      </c>
      <c r="F5" s="40" t="s">
        <v>32</v>
      </c>
      <c r="G5" s="41">
        <v>1.6401317982771786E-2</v>
      </c>
      <c r="H5" s="41">
        <v>0.69843255941515514</v>
      </c>
      <c r="I5" s="43">
        <v>200</v>
      </c>
      <c r="K5" s="40" t="s">
        <v>32</v>
      </c>
      <c r="L5" s="11">
        <v>7.4759509167578453E-3</v>
      </c>
      <c r="M5" s="11">
        <v>0.93251804747606282</v>
      </c>
      <c r="N5" s="44">
        <v>344</v>
      </c>
    </row>
    <row r="6" spans="1:14" x14ac:dyDescent="0.4">
      <c r="B6" s="46">
        <f>SUM(B4:B5)</f>
        <v>0.45994677969996323</v>
      </c>
      <c r="D6" s="37"/>
      <c r="G6" s="58">
        <f>SUM(G4:G5)</f>
        <v>5.893158004637164E-2</v>
      </c>
      <c r="H6" s="58">
        <f>SUM(H4:H5)</f>
        <v>0.94106841995362989</v>
      </c>
      <c r="I6" s="45"/>
      <c r="M6" s="46"/>
      <c r="N6" s="47"/>
    </row>
    <row r="7" spans="1:14" x14ac:dyDescent="0.4">
      <c r="D7" s="37"/>
      <c r="I7" s="40"/>
    </row>
    <row r="8" spans="1:14" x14ac:dyDescent="0.4">
      <c r="D8" s="37"/>
      <c r="I8" s="40"/>
    </row>
    <row r="9" spans="1:14" x14ac:dyDescent="0.4">
      <c r="D9" s="37"/>
      <c r="I9" s="40"/>
    </row>
    <row r="10" spans="1:14" x14ac:dyDescent="0.4">
      <c r="A10" s="40" t="s">
        <v>43</v>
      </c>
      <c r="B10" s="87" t="s">
        <v>27</v>
      </c>
      <c r="C10" s="87"/>
      <c r="D10" s="37"/>
      <c r="F10" s="40" t="s">
        <v>43</v>
      </c>
      <c r="G10" s="87" t="s">
        <v>27</v>
      </c>
      <c r="H10" s="87"/>
      <c r="I10" s="37"/>
      <c r="K10" s="40" t="s">
        <v>43</v>
      </c>
      <c r="L10" s="87" t="s">
        <v>27</v>
      </c>
      <c r="M10" s="87"/>
    </row>
    <row r="11" spans="1:14" x14ac:dyDescent="0.4">
      <c r="A11" s="48" t="s">
        <v>34</v>
      </c>
      <c r="B11" s="39" t="s">
        <v>28</v>
      </c>
      <c r="C11" s="39" t="s">
        <v>29</v>
      </c>
      <c r="D11" s="49" t="s">
        <v>30</v>
      </c>
      <c r="F11" s="48" t="s">
        <v>34</v>
      </c>
      <c r="G11" s="39" t="s">
        <v>28</v>
      </c>
      <c r="H11" s="39" t="s">
        <v>29</v>
      </c>
      <c r="I11" s="49" t="s">
        <v>30</v>
      </c>
      <c r="K11" s="48" t="s">
        <v>34</v>
      </c>
      <c r="L11" s="39" t="s">
        <v>28</v>
      </c>
      <c r="M11" s="39" t="s">
        <v>29</v>
      </c>
      <c r="N11" s="49" t="s">
        <v>30</v>
      </c>
    </row>
    <row r="12" spans="1:14" x14ac:dyDescent="0.4">
      <c r="A12" s="40" t="s">
        <v>7</v>
      </c>
      <c r="B12" s="11">
        <v>0.36769554762756357</v>
      </c>
      <c r="C12" s="12">
        <v>0.44724850174077557</v>
      </c>
      <c r="D12" s="42">
        <v>403</v>
      </c>
      <c r="F12" s="40" t="s">
        <v>7</v>
      </c>
      <c r="G12" s="12">
        <v>4.2530262063599854E-2</v>
      </c>
      <c r="H12" s="12">
        <v>0.24263586053847475</v>
      </c>
      <c r="I12" s="50">
        <v>49</v>
      </c>
      <c r="K12" s="40" t="s">
        <v>7</v>
      </c>
      <c r="L12" s="11">
        <v>1.1431101306716639E-3</v>
      </c>
      <c r="M12" s="11">
        <v>5.8862891476508077E-2</v>
      </c>
      <c r="N12" s="44">
        <v>24</v>
      </c>
    </row>
    <row r="13" spans="1:14" x14ac:dyDescent="0.4">
      <c r="A13" s="40" t="s">
        <v>8</v>
      </c>
      <c r="B13" s="11">
        <v>0.34778148755674976</v>
      </c>
      <c r="C13" s="11">
        <v>0.37006389200484879</v>
      </c>
      <c r="D13" s="42">
        <v>363</v>
      </c>
      <c r="F13" s="40" t="s">
        <v>8</v>
      </c>
      <c r="G13" s="12">
        <v>4.2530262063599854E-2</v>
      </c>
      <c r="H13" s="12">
        <v>0.22073043173493767</v>
      </c>
      <c r="I13" s="50">
        <v>46</v>
      </c>
      <c r="K13" s="40" t="s">
        <v>8</v>
      </c>
      <c r="L13" s="12">
        <v>0</v>
      </c>
      <c r="M13" s="12">
        <v>0</v>
      </c>
      <c r="N13" s="44">
        <v>0</v>
      </c>
    </row>
    <row r="14" spans="1:14" x14ac:dyDescent="0.4">
      <c r="A14" s="40" t="s">
        <v>9</v>
      </c>
      <c r="B14" s="11">
        <v>0.29698417637982549</v>
      </c>
      <c r="C14" s="11">
        <v>0.10610406916641089</v>
      </c>
      <c r="D14" s="42">
        <v>178</v>
      </c>
      <c r="F14" s="40" t="s">
        <v>9</v>
      </c>
      <c r="G14" s="12">
        <v>2.9423046546485549E-2</v>
      </c>
      <c r="H14" s="12">
        <v>0.16324438907215821</v>
      </c>
      <c r="I14" s="50">
        <v>30</v>
      </c>
      <c r="K14" s="40" t="s">
        <v>9</v>
      </c>
      <c r="L14" s="12">
        <v>0</v>
      </c>
      <c r="M14" s="11">
        <v>0</v>
      </c>
      <c r="N14" s="44">
        <v>0</v>
      </c>
    </row>
    <row r="15" spans="1:14" x14ac:dyDescent="0.4">
      <c r="D15" s="37"/>
      <c r="I15" s="40"/>
    </row>
    <row r="16" spans="1:14" x14ac:dyDescent="0.4">
      <c r="D16" s="37"/>
      <c r="I16" s="40"/>
    </row>
    <row r="17" spans="1:14" x14ac:dyDescent="0.4">
      <c r="D17" s="37"/>
      <c r="I17" s="40"/>
    </row>
    <row r="18" spans="1:14" x14ac:dyDescent="0.4">
      <c r="D18" s="37"/>
      <c r="I18" s="40"/>
    </row>
    <row r="19" spans="1:14" x14ac:dyDescent="0.4">
      <c r="A19" s="40" t="s">
        <v>43</v>
      </c>
      <c r="B19" s="87" t="s">
        <v>27</v>
      </c>
      <c r="C19" s="87"/>
      <c r="D19" s="37"/>
      <c r="F19" s="40" t="s">
        <v>43</v>
      </c>
      <c r="G19" s="87" t="s">
        <v>27</v>
      </c>
      <c r="H19" s="87"/>
      <c r="I19" s="37"/>
      <c r="K19" s="40" t="s">
        <v>43</v>
      </c>
      <c r="L19" s="87" t="s">
        <v>27</v>
      </c>
      <c r="M19" s="87"/>
    </row>
    <row r="20" spans="1:14" x14ac:dyDescent="0.4">
      <c r="A20" s="48" t="s">
        <v>35</v>
      </c>
      <c r="B20" s="39" t="s">
        <v>28</v>
      </c>
      <c r="C20" s="39" t="s">
        <v>29</v>
      </c>
      <c r="D20" s="51" t="s">
        <v>30</v>
      </c>
      <c r="F20" s="48" t="s">
        <v>35</v>
      </c>
      <c r="G20" s="39" t="s">
        <v>28</v>
      </c>
      <c r="H20" s="39" t="s">
        <v>29</v>
      </c>
      <c r="I20" s="49" t="s">
        <v>30</v>
      </c>
      <c r="K20" s="48" t="s">
        <v>35</v>
      </c>
      <c r="L20" s="39" t="s">
        <v>28</v>
      </c>
      <c r="M20" s="39" t="s">
        <v>29</v>
      </c>
      <c r="N20" s="49" t="s">
        <v>30</v>
      </c>
    </row>
    <row r="21" spans="1:14" x14ac:dyDescent="0.4">
      <c r="A21" s="52" t="s">
        <v>11</v>
      </c>
      <c r="B21" s="63">
        <v>4.1250656865789064E-3</v>
      </c>
      <c r="C21" s="63">
        <v>1.7543581576948634E-2</v>
      </c>
      <c r="D21" s="53">
        <v>10</v>
      </c>
      <c r="F21" s="52" t="s">
        <v>11</v>
      </c>
      <c r="G21" s="12">
        <v>8.00131697588213E-3</v>
      </c>
      <c r="H21" s="12">
        <v>0</v>
      </c>
      <c r="I21" s="43">
        <v>1</v>
      </c>
      <c r="K21" s="52" t="s">
        <v>11</v>
      </c>
      <c r="L21" s="11">
        <v>0</v>
      </c>
      <c r="M21" s="11">
        <v>0</v>
      </c>
      <c r="N21" s="54">
        <v>0</v>
      </c>
    </row>
    <row r="22" spans="1:14" x14ac:dyDescent="0.4">
      <c r="A22" s="40" t="s">
        <v>12</v>
      </c>
      <c r="B22" s="63">
        <v>9.1481602452573391E-2</v>
      </c>
      <c r="C22" s="63">
        <v>0.14396689705949806</v>
      </c>
      <c r="D22" s="53">
        <v>125</v>
      </c>
      <c r="F22" s="40" t="s">
        <v>12</v>
      </c>
      <c r="G22" s="12">
        <v>0</v>
      </c>
      <c r="H22" s="12">
        <v>0</v>
      </c>
      <c r="I22" s="43">
        <v>0</v>
      </c>
      <c r="K22" s="40" t="s">
        <v>12</v>
      </c>
      <c r="L22" s="11">
        <v>0</v>
      </c>
      <c r="M22" s="11">
        <v>0</v>
      </c>
      <c r="N22" s="54">
        <v>0</v>
      </c>
    </row>
    <row r="23" spans="1:14" x14ac:dyDescent="0.4">
      <c r="A23" s="40" t="s">
        <v>13</v>
      </c>
      <c r="B23" s="63">
        <v>0.11619314306904913</v>
      </c>
      <c r="C23" s="63">
        <v>0.18771858940413752</v>
      </c>
      <c r="D23" s="55">
        <v>168</v>
      </c>
      <c r="F23" s="40" t="s">
        <v>13</v>
      </c>
      <c r="G23" s="12">
        <v>1.4369054109208929E-2</v>
      </c>
      <c r="H23" s="12">
        <v>9.2340645582976916E-2</v>
      </c>
      <c r="I23" s="43">
        <v>20</v>
      </c>
      <c r="K23" s="40" t="s">
        <v>13</v>
      </c>
      <c r="L23" s="11">
        <v>1.1431101306716639E-3</v>
      </c>
      <c r="M23" s="11">
        <v>5.8862891476508077E-2</v>
      </c>
      <c r="N23" s="54">
        <v>24</v>
      </c>
    </row>
    <row r="24" spans="1:14" x14ac:dyDescent="0.4">
      <c r="A24" s="40" t="s">
        <v>14</v>
      </c>
      <c r="B24" s="63">
        <v>0.15589573641936191</v>
      </c>
      <c r="C24" s="63">
        <v>7.3793078078161961E-2</v>
      </c>
      <c r="D24" s="55">
        <v>100</v>
      </c>
      <c r="F24" s="40" t="s">
        <v>14</v>
      </c>
      <c r="G24" s="12">
        <v>2.0159890978508808E-2</v>
      </c>
      <c r="H24" s="12">
        <v>0.1502952149554978</v>
      </c>
      <c r="I24" s="43">
        <v>28</v>
      </c>
      <c r="K24" s="40" t="s">
        <v>14</v>
      </c>
      <c r="L24" s="11">
        <v>0</v>
      </c>
      <c r="M24" s="11">
        <v>0</v>
      </c>
      <c r="N24" s="54">
        <v>0</v>
      </c>
    </row>
    <row r="25" spans="1:14" x14ac:dyDescent="0.4">
      <c r="B25" s="56"/>
      <c r="C25" s="56"/>
      <c r="D25" s="40">
        <f>+SUM(D21:D24)</f>
        <v>403</v>
      </c>
      <c r="G25" s="46"/>
      <c r="I25" s="57"/>
      <c r="L25" s="58"/>
    </row>
    <row r="26" spans="1:14" x14ac:dyDescent="0.4">
      <c r="D26" s="40"/>
      <c r="I26" s="40"/>
    </row>
    <row r="27" spans="1:14" x14ac:dyDescent="0.4">
      <c r="D27" s="40"/>
      <c r="I27" s="40"/>
    </row>
    <row r="28" spans="1:14" x14ac:dyDescent="0.4">
      <c r="D28" s="40"/>
      <c r="I28" s="40"/>
    </row>
    <row r="29" spans="1:14" x14ac:dyDescent="0.4">
      <c r="A29" s="40" t="s">
        <v>43</v>
      </c>
      <c r="B29" s="87" t="s">
        <v>27</v>
      </c>
      <c r="C29" s="87"/>
      <c r="D29" s="40"/>
      <c r="F29" s="40" t="s">
        <v>43</v>
      </c>
      <c r="G29" s="87" t="s">
        <v>27</v>
      </c>
      <c r="H29" s="87"/>
      <c r="I29" s="40"/>
      <c r="K29" s="40" t="s">
        <v>43</v>
      </c>
      <c r="L29" s="87" t="s">
        <v>27</v>
      </c>
      <c r="M29" s="87"/>
    </row>
    <row r="30" spans="1:14" x14ac:dyDescent="0.4">
      <c r="A30" s="48" t="s">
        <v>34</v>
      </c>
      <c r="B30" s="39" t="s">
        <v>28</v>
      </c>
      <c r="C30" s="39" t="s">
        <v>29</v>
      </c>
      <c r="D30" s="40"/>
      <c r="F30" s="48" t="s">
        <v>34</v>
      </c>
      <c r="G30" s="39" t="s">
        <v>28</v>
      </c>
      <c r="H30" s="39" t="s">
        <v>29</v>
      </c>
      <c r="I30" s="40"/>
      <c r="K30" s="48" t="s">
        <v>34</v>
      </c>
      <c r="L30" s="39" t="s">
        <v>28</v>
      </c>
      <c r="M30" s="39" t="s">
        <v>29</v>
      </c>
    </row>
    <row r="31" spans="1:14" x14ac:dyDescent="0.4">
      <c r="A31" s="52" t="s">
        <v>7</v>
      </c>
      <c r="B31" s="11">
        <v>0.36769554762756357</v>
      </c>
      <c r="C31" s="11">
        <v>0.42302214611874628</v>
      </c>
      <c r="D31" s="40"/>
      <c r="F31" s="52" t="s">
        <v>7</v>
      </c>
      <c r="G31" s="12">
        <v>4.2530262063599854E-2</v>
      </c>
      <c r="H31" s="12">
        <v>0.24263586053847475</v>
      </c>
      <c r="I31" s="40"/>
      <c r="K31" s="52" t="s">
        <v>7</v>
      </c>
      <c r="L31" s="11">
        <v>1.1431101306716639E-3</v>
      </c>
      <c r="M31" s="11">
        <v>5.8862891476508077E-2</v>
      </c>
    </row>
    <row r="32" spans="1:14" x14ac:dyDescent="0.4">
      <c r="A32" s="40" t="s">
        <v>36</v>
      </c>
      <c r="B32" s="11">
        <v>0</v>
      </c>
      <c r="C32" s="11">
        <v>0</v>
      </c>
      <c r="D32" s="40"/>
      <c r="F32" s="40" t="s">
        <v>36</v>
      </c>
      <c r="G32" s="12">
        <v>0</v>
      </c>
      <c r="H32" s="12">
        <v>0</v>
      </c>
      <c r="I32" s="40"/>
      <c r="K32" s="40" t="s">
        <v>36</v>
      </c>
      <c r="L32" s="12">
        <v>0</v>
      </c>
      <c r="M32" s="11">
        <v>0</v>
      </c>
    </row>
    <row r="33" spans="1:13" x14ac:dyDescent="0.4">
      <c r="B33" s="58"/>
      <c r="C33" s="58"/>
      <c r="D33" s="40"/>
      <c r="I33" s="40"/>
      <c r="L33" s="46"/>
    </row>
    <row r="34" spans="1:13" x14ac:dyDescent="0.4">
      <c r="D34" s="40"/>
      <c r="I34" s="40"/>
    </row>
    <row r="35" spans="1:13" x14ac:dyDescent="0.4">
      <c r="A35" s="40" t="s">
        <v>43</v>
      </c>
      <c r="B35" s="87" t="s">
        <v>27</v>
      </c>
      <c r="C35" s="87"/>
      <c r="D35" s="40"/>
      <c r="F35" s="40" t="s">
        <v>43</v>
      </c>
      <c r="G35" s="87" t="s">
        <v>27</v>
      </c>
      <c r="H35" s="87"/>
      <c r="I35" s="40"/>
      <c r="K35" s="40" t="s">
        <v>43</v>
      </c>
      <c r="L35" s="87" t="s">
        <v>27</v>
      </c>
      <c r="M35" s="87"/>
    </row>
    <row r="36" spans="1:13" x14ac:dyDescent="0.4">
      <c r="A36" s="48" t="s">
        <v>34</v>
      </c>
      <c r="B36" s="39" t="s">
        <v>28</v>
      </c>
      <c r="C36" s="39" t="s">
        <v>29</v>
      </c>
      <c r="D36" s="40"/>
      <c r="F36" s="48" t="s">
        <v>34</v>
      </c>
      <c r="G36" s="39" t="s">
        <v>28</v>
      </c>
      <c r="H36" s="39" t="s">
        <v>29</v>
      </c>
      <c r="I36" s="40"/>
      <c r="K36" s="48" t="s">
        <v>34</v>
      </c>
      <c r="L36" s="39" t="s">
        <v>28</v>
      </c>
      <c r="M36" s="39" t="s">
        <v>29</v>
      </c>
    </row>
    <row r="37" spans="1:13" x14ac:dyDescent="0.4">
      <c r="A37" s="1" t="s">
        <v>8</v>
      </c>
      <c r="B37" s="11">
        <v>0.34778148755674976</v>
      </c>
      <c r="C37" s="11">
        <v>0.37006389200484879</v>
      </c>
      <c r="D37" s="40"/>
      <c r="F37" s="52" t="s">
        <v>8</v>
      </c>
      <c r="G37" s="12">
        <v>4.2530262063599854E-2</v>
      </c>
      <c r="H37" s="12">
        <v>0.22073043173493767</v>
      </c>
      <c r="I37" s="40"/>
      <c r="K37" s="52" t="s">
        <v>8</v>
      </c>
      <c r="L37" s="12">
        <v>0</v>
      </c>
      <c r="M37" s="12">
        <v>0</v>
      </c>
    </row>
    <row r="38" spans="1:13" x14ac:dyDescent="0.4">
      <c r="A38" s="1" t="s">
        <v>37</v>
      </c>
      <c r="B38" s="11">
        <v>1.9914060070813807E-2</v>
      </c>
      <c r="C38" s="11">
        <v>5.2958254113897561E-2</v>
      </c>
      <c r="D38" s="40"/>
      <c r="F38" s="40" t="s">
        <v>37</v>
      </c>
      <c r="G38" s="12">
        <v>0</v>
      </c>
      <c r="H38" s="12">
        <v>2.190542880353705E-2</v>
      </c>
      <c r="I38" s="40"/>
      <c r="K38" s="40" t="s">
        <v>37</v>
      </c>
      <c r="L38" s="12">
        <v>1.1560498739796132E-3</v>
      </c>
      <c r="M38" s="12">
        <v>5.952920584607993E-2</v>
      </c>
    </row>
    <row r="39" spans="1:13" x14ac:dyDescent="0.4">
      <c r="C39" s="56"/>
      <c r="D39" s="40"/>
      <c r="G39" s="58"/>
      <c r="H39" s="56"/>
      <c r="I39" s="40"/>
    </row>
    <row r="40" spans="1:13" x14ac:dyDescent="0.4">
      <c r="D40" s="40"/>
      <c r="I40" s="40"/>
    </row>
    <row r="41" spans="1:13" x14ac:dyDescent="0.4">
      <c r="A41" s="40" t="s">
        <v>43</v>
      </c>
      <c r="B41" s="87" t="s">
        <v>27</v>
      </c>
      <c r="C41" s="87"/>
      <c r="D41" s="40"/>
      <c r="F41" s="40" t="s">
        <v>43</v>
      </c>
      <c r="G41" s="87" t="s">
        <v>27</v>
      </c>
      <c r="H41" s="87"/>
      <c r="I41" s="40"/>
      <c r="K41" s="40" t="s">
        <v>43</v>
      </c>
      <c r="L41" s="87" t="s">
        <v>27</v>
      </c>
      <c r="M41" s="87"/>
    </row>
    <row r="42" spans="1:13" x14ac:dyDescent="0.4">
      <c r="A42" s="48" t="s">
        <v>34</v>
      </c>
      <c r="B42" s="39" t="s">
        <v>28</v>
      </c>
      <c r="C42" s="39" t="s">
        <v>29</v>
      </c>
      <c r="D42" s="40"/>
      <c r="F42" s="48" t="s">
        <v>34</v>
      </c>
      <c r="G42" s="39" t="s">
        <v>28</v>
      </c>
      <c r="H42" s="39" t="s">
        <v>29</v>
      </c>
      <c r="I42" s="40"/>
      <c r="K42" s="48" t="s">
        <v>34</v>
      </c>
      <c r="L42" s="39" t="s">
        <v>28</v>
      </c>
      <c r="M42" s="39" t="s">
        <v>29</v>
      </c>
    </row>
    <row r="43" spans="1:13" x14ac:dyDescent="0.4">
      <c r="A43" s="52" t="s">
        <v>9</v>
      </c>
      <c r="B43" s="11">
        <v>0.29698417637982549</v>
      </c>
      <c r="C43" s="11">
        <v>0.10610406916641089</v>
      </c>
      <c r="D43" s="40"/>
      <c r="F43" s="52" t="s">
        <v>9</v>
      </c>
      <c r="G43" s="12">
        <v>2.9423046546485549E-2</v>
      </c>
      <c r="H43" s="12">
        <v>0.16324438907215821</v>
      </c>
      <c r="I43" s="40"/>
      <c r="K43" s="52" t="s">
        <v>9</v>
      </c>
      <c r="L43" s="12">
        <v>0</v>
      </c>
      <c r="M43" s="11">
        <v>0</v>
      </c>
    </row>
    <row r="44" spans="1:13" x14ac:dyDescent="0.4">
      <c r="A44" s="40" t="s">
        <v>38</v>
      </c>
      <c r="B44" s="11">
        <v>7.0711371247737825E-2</v>
      </c>
      <c r="C44" s="11">
        <v>0.31691807695233526</v>
      </c>
      <c r="D44" s="40"/>
      <c r="F44" s="40" t="s">
        <v>38</v>
      </c>
      <c r="G44" s="12">
        <v>1.3107215517114317E-2</v>
      </c>
      <c r="H44" s="12">
        <v>7.939147146631656E-2</v>
      </c>
      <c r="I44" s="40"/>
      <c r="K44" s="40" t="s">
        <v>38</v>
      </c>
      <c r="L44" s="11">
        <v>1.1431101306716639E-3</v>
      </c>
      <c r="M44" s="11">
        <v>5.8862891476508077E-2</v>
      </c>
    </row>
    <row r="45" spans="1:13" x14ac:dyDescent="0.4">
      <c r="C45" s="56"/>
      <c r="D45" s="40"/>
      <c r="G45" s="56"/>
      <c r="H45" s="56"/>
      <c r="I45" s="40"/>
      <c r="L45" s="46">
        <f>SUM(L43:L44)</f>
        <v>1.1431101306716639E-3</v>
      </c>
    </row>
    <row r="46" spans="1:13" x14ac:dyDescent="0.4">
      <c r="D46" s="40"/>
      <c r="I46" s="40"/>
    </row>
    <row r="47" spans="1:13" x14ac:dyDescent="0.4">
      <c r="D47" s="40"/>
      <c r="I47" s="40"/>
    </row>
    <row r="48" spans="1:13" x14ac:dyDescent="0.4">
      <c r="D48" s="40"/>
      <c r="I48" s="40"/>
    </row>
    <row r="49" spans="1:13" x14ac:dyDescent="0.4">
      <c r="A49" s="40" t="s">
        <v>43</v>
      </c>
      <c r="B49" s="87" t="s">
        <v>27</v>
      </c>
      <c r="C49" s="87"/>
      <c r="D49" s="40"/>
      <c r="F49" s="40" t="s">
        <v>43</v>
      </c>
      <c r="G49" s="87" t="s">
        <v>27</v>
      </c>
      <c r="H49" s="87"/>
      <c r="I49" s="40"/>
      <c r="K49" s="40" t="s">
        <v>43</v>
      </c>
      <c r="L49" s="87" t="s">
        <v>27</v>
      </c>
      <c r="M49" s="87"/>
    </row>
    <row r="50" spans="1:13" x14ac:dyDescent="0.4">
      <c r="A50" s="48" t="s">
        <v>34</v>
      </c>
      <c r="B50" s="39" t="s">
        <v>28</v>
      </c>
      <c r="C50" s="39" t="s">
        <v>29</v>
      </c>
      <c r="D50" s="40"/>
      <c r="F50" s="48" t="s">
        <v>34</v>
      </c>
      <c r="G50" s="39" t="s">
        <v>28</v>
      </c>
      <c r="H50" s="39" t="s">
        <v>29</v>
      </c>
      <c r="I50" s="40"/>
      <c r="K50" s="48" t="s">
        <v>34</v>
      </c>
      <c r="L50" s="39" t="s">
        <v>28</v>
      </c>
      <c r="M50" s="39" t="s">
        <v>29</v>
      </c>
    </row>
    <row r="51" spans="1:13" x14ac:dyDescent="0.4">
      <c r="A51" s="52" t="s">
        <v>11</v>
      </c>
      <c r="B51" s="11">
        <v>4.1250656865789064E-3</v>
      </c>
      <c r="C51" s="11">
        <v>1.7543581576948634E-2</v>
      </c>
      <c r="D51" s="40"/>
      <c r="F51" s="52" t="s">
        <v>11</v>
      </c>
      <c r="G51" s="12">
        <v>8.00131697588213E-3</v>
      </c>
      <c r="H51" s="12">
        <v>0</v>
      </c>
      <c r="I51" s="40"/>
      <c r="K51" s="52" t="s">
        <v>11</v>
      </c>
      <c r="L51" s="11">
        <v>0</v>
      </c>
      <c r="M51" s="11">
        <v>0</v>
      </c>
    </row>
    <row r="52" spans="1:13" x14ac:dyDescent="0.4">
      <c r="A52" s="40" t="s">
        <v>39</v>
      </c>
      <c r="B52" s="11">
        <v>0.36357048194098462</v>
      </c>
      <c r="C52" s="11">
        <v>0.40547856454179754</v>
      </c>
      <c r="D52" s="40"/>
      <c r="F52" s="40" t="s">
        <v>39</v>
      </c>
      <c r="G52" s="12">
        <v>3.4528945087717741E-2</v>
      </c>
      <c r="H52" s="12">
        <v>0.24263586053847475</v>
      </c>
      <c r="I52" s="40"/>
      <c r="K52" s="40" t="s">
        <v>39</v>
      </c>
      <c r="L52" s="11">
        <v>1.1431101306716639E-3</v>
      </c>
      <c r="M52" s="11">
        <v>5.8862891476508077E-2</v>
      </c>
    </row>
    <row r="53" spans="1:13" x14ac:dyDescent="0.4">
      <c r="C53" s="56"/>
      <c r="D53" s="40"/>
      <c r="G53" s="56"/>
      <c r="H53" s="56"/>
      <c r="I53" s="40"/>
      <c r="L53" s="46"/>
    </row>
    <row r="54" spans="1:13" x14ac:dyDescent="0.4">
      <c r="D54" s="40"/>
      <c r="I54" s="40"/>
    </row>
    <row r="55" spans="1:13" x14ac:dyDescent="0.4">
      <c r="A55" s="40" t="s">
        <v>43</v>
      </c>
      <c r="B55" s="87" t="s">
        <v>27</v>
      </c>
      <c r="C55" s="87"/>
      <c r="D55" s="40"/>
      <c r="F55" s="40" t="s">
        <v>43</v>
      </c>
      <c r="G55" s="87" t="s">
        <v>27</v>
      </c>
      <c r="H55" s="87"/>
      <c r="I55" s="40"/>
      <c r="K55" s="40" t="s">
        <v>43</v>
      </c>
      <c r="L55" s="87" t="s">
        <v>27</v>
      </c>
      <c r="M55" s="87"/>
    </row>
    <row r="56" spans="1:13" x14ac:dyDescent="0.4">
      <c r="A56" s="48" t="s">
        <v>34</v>
      </c>
      <c r="B56" s="39" t="s">
        <v>28</v>
      </c>
      <c r="C56" s="39" t="s">
        <v>29</v>
      </c>
      <c r="D56" s="40"/>
      <c r="F56" s="48" t="s">
        <v>34</v>
      </c>
      <c r="G56" s="39" t="s">
        <v>28</v>
      </c>
      <c r="H56" s="39" t="s">
        <v>29</v>
      </c>
      <c r="I56" s="40"/>
      <c r="K56" s="48" t="s">
        <v>34</v>
      </c>
      <c r="L56" s="39" t="s">
        <v>28</v>
      </c>
      <c r="M56" s="39" t="s">
        <v>29</v>
      </c>
    </row>
    <row r="57" spans="1:13" x14ac:dyDescent="0.4">
      <c r="A57" s="52" t="s">
        <v>12</v>
      </c>
      <c r="B57" s="11">
        <v>9.1481602452573391E-2</v>
      </c>
      <c r="C57" s="11">
        <v>0.14396689705949806</v>
      </c>
      <c r="D57" s="40"/>
      <c r="F57" s="52" t="s">
        <v>12</v>
      </c>
      <c r="G57" s="12">
        <v>0</v>
      </c>
      <c r="H57" s="12">
        <v>0</v>
      </c>
      <c r="I57" s="40"/>
      <c r="K57" s="52" t="s">
        <v>12</v>
      </c>
      <c r="L57" s="11">
        <v>0</v>
      </c>
      <c r="M57" s="11">
        <v>0</v>
      </c>
    </row>
    <row r="58" spans="1:13" x14ac:dyDescent="0.4">
      <c r="A58" s="40" t="s">
        <v>40</v>
      </c>
      <c r="B58" s="11">
        <v>0.27621394517498987</v>
      </c>
      <c r="C58" s="11">
        <v>0.27905524905924811</v>
      </c>
      <c r="D58" s="40"/>
      <c r="F58" s="40" t="s">
        <v>40</v>
      </c>
      <c r="G58" s="12">
        <v>4.2530262063599854E-2</v>
      </c>
      <c r="H58" s="12">
        <v>0.24263586053847475</v>
      </c>
      <c r="I58" s="40"/>
      <c r="K58" s="40" t="s">
        <v>40</v>
      </c>
      <c r="L58" s="11">
        <v>1.1431101306716639E-3</v>
      </c>
      <c r="M58" s="11">
        <v>5.8862891476508077E-2</v>
      </c>
    </row>
    <row r="59" spans="1:13" x14ac:dyDescent="0.4">
      <c r="C59" s="56"/>
      <c r="D59" s="40"/>
      <c r="G59" s="56"/>
      <c r="H59" s="56"/>
      <c r="I59" s="40"/>
      <c r="M59" s="59"/>
    </row>
    <row r="60" spans="1:13" x14ac:dyDescent="0.4">
      <c r="D60" s="40"/>
      <c r="I60" s="40"/>
    </row>
    <row r="61" spans="1:13" x14ac:dyDescent="0.4">
      <c r="D61" s="40"/>
      <c r="I61" s="40"/>
    </row>
    <row r="62" spans="1:13" x14ac:dyDescent="0.4">
      <c r="A62" s="40" t="s">
        <v>43</v>
      </c>
      <c r="B62" s="87" t="s">
        <v>27</v>
      </c>
      <c r="C62" s="87"/>
      <c r="D62" s="40"/>
      <c r="F62" s="40" t="s">
        <v>43</v>
      </c>
      <c r="G62" s="87" t="s">
        <v>27</v>
      </c>
      <c r="H62" s="87"/>
      <c r="I62" s="40"/>
      <c r="K62" s="40" t="s">
        <v>43</v>
      </c>
      <c r="L62" s="87" t="s">
        <v>27</v>
      </c>
      <c r="M62" s="87"/>
    </row>
    <row r="63" spans="1:13" x14ac:dyDescent="0.4">
      <c r="A63" s="48" t="s">
        <v>34</v>
      </c>
      <c r="B63" s="39" t="s">
        <v>28</v>
      </c>
      <c r="C63" s="39" t="s">
        <v>29</v>
      </c>
      <c r="D63" s="40"/>
      <c r="F63" s="48" t="s">
        <v>34</v>
      </c>
      <c r="G63" s="39" t="s">
        <v>28</v>
      </c>
      <c r="H63" s="39" t="s">
        <v>29</v>
      </c>
      <c r="I63" s="40"/>
      <c r="K63" s="48" t="s">
        <v>34</v>
      </c>
      <c r="L63" s="39" t="s">
        <v>28</v>
      </c>
      <c r="M63" s="39" t="s">
        <v>29</v>
      </c>
    </row>
    <row r="64" spans="1:13" x14ac:dyDescent="0.4">
      <c r="A64" s="52" t="s">
        <v>13</v>
      </c>
      <c r="B64" s="11">
        <v>0.11619314306904913</v>
      </c>
      <c r="C64" s="11">
        <v>0.18771858940413752</v>
      </c>
      <c r="D64" s="40"/>
      <c r="F64" s="52" t="s">
        <v>13</v>
      </c>
      <c r="G64" s="12">
        <v>1.4369054109208929E-2</v>
      </c>
      <c r="H64" s="12">
        <v>9.2340645582976916E-2</v>
      </c>
      <c r="I64" s="40"/>
      <c r="K64" s="52" t="s">
        <v>13</v>
      </c>
      <c r="L64" s="11">
        <v>1.1431101306716639E-3</v>
      </c>
      <c r="M64" s="11">
        <v>5.8862891476508077E-2</v>
      </c>
    </row>
    <row r="65" spans="1:13" x14ac:dyDescent="0.4">
      <c r="A65" s="40" t="s">
        <v>41</v>
      </c>
      <c r="B65" s="11">
        <v>0.25150240455851408</v>
      </c>
      <c r="C65" s="11">
        <v>0.23530355671460862</v>
      </c>
      <c r="D65" s="40"/>
      <c r="F65" s="40" t="s">
        <v>41</v>
      </c>
      <c r="G65" s="12">
        <v>2.8161207954390935E-2</v>
      </c>
      <c r="H65" s="12">
        <v>0.1502952149554978</v>
      </c>
      <c r="I65" s="40"/>
      <c r="K65" s="40" t="s">
        <v>41</v>
      </c>
      <c r="L65" s="11">
        <v>0</v>
      </c>
      <c r="M65" s="11">
        <v>0</v>
      </c>
    </row>
    <row r="66" spans="1:13" x14ac:dyDescent="0.4">
      <c r="C66" s="56"/>
      <c r="D66" s="40"/>
      <c r="G66" s="56"/>
      <c r="H66" s="56"/>
      <c r="I66" s="40"/>
    </row>
    <row r="67" spans="1:13" x14ac:dyDescent="0.4">
      <c r="D67" s="40"/>
      <c r="I67" s="40"/>
    </row>
    <row r="68" spans="1:13" x14ac:dyDescent="0.4">
      <c r="D68" s="40"/>
      <c r="I68" s="40"/>
    </row>
    <row r="69" spans="1:13" x14ac:dyDescent="0.4">
      <c r="A69" s="40" t="s">
        <v>43</v>
      </c>
      <c r="B69" s="87" t="s">
        <v>27</v>
      </c>
      <c r="C69" s="87"/>
      <c r="D69" s="40"/>
      <c r="F69" s="40" t="s">
        <v>43</v>
      </c>
      <c r="G69" s="87" t="s">
        <v>27</v>
      </c>
      <c r="H69" s="87"/>
      <c r="I69" s="40"/>
      <c r="K69" s="40" t="s">
        <v>43</v>
      </c>
      <c r="L69" s="87" t="s">
        <v>27</v>
      </c>
      <c r="M69" s="87"/>
    </row>
    <row r="70" spans="1:13" x14ac:dyDescent="0.4">
      <c r="A70" s="48" t="s">
        <v>34</v>
      </c>
      <c r="B70" s="39" t="s">
        <v>28</v>
      </c>
      <c r="C70" s="39" t="s">
        <v>29</v>
      </c>
      <c r="D70" s="40"/>
      <c r="F70" s="48" t="s">
        <v>34</v>
      </c>
      <c r="G70" s="39" t="s">
        <v>28</v>
      </c>
      <c r="H70" s="39" t="s">
        <v>29</v>
      </c>
      <c r="I70" s="40"/>
      <c r="K70" s="48" t="s">
        <v>34</v>
      </c>
      <c r="L70" s="39" t="s">
        <v>28</v>
      </c>
      <c r="M70" s="39" t="s">
        <v>29</v>
      </c>
    </row>
    <row r="71" spans="1:13" x14ac:dyDescent="0.4">
      <c r="A71" s="52" t="s">
        <v>14</v>
      </c>
      <c r="B71" s="11">
        <v>0.15589573641936191</v>
      </c>
      <c r="C71" s="11">
        <v>7.3793078078161961E-2</v>
      </c>
      <c r="D71" s="40"/>
      <c r="F71" s="52" t="s">
        <v>14</v>
      </c>
      <c r="G71" s="12">
        <v>2.0159890978508808E-2</v>
      </c>
      <c r="H71" s="12">
        <v>0.1502952149554978</v>
      </c>
      <c r="I71" s="40"/>
      <c r="K71" s="52" t="s">
        <v>14</v>
      </c>
      <c r="L71" s="11">
        <v>0</v>
      </c>
      <c r="M71" s="11">
        <v>0</v>
      </c>
    </row>
    <row r="72" spans="1:13" x14ac:dyDescent="0.4">
      <c r="A72" s="40" t="s">
        <v>42</v>
      </c>
      <c r="B72" s="11">
        <v>0.21179981120820149</v>
      </c>
      <c r="C72" s="11">
        <v>0.34922906804058429</v>
      </c>
      <c r="D72" s="40"/>
      <c r="F72" s="40" t="s">
        <v>42</v>
      </c>
      <c r="G72" s="12">
        <v>2.2370371085091056E-2</v>
      </c>
      <c r="H72" s="12">
        <v>9.2340645582976916E-2</v>
      </c>
      <c r="I72" s="40"/>
      <c r="K72" s="40" t="s">
        <v>42</v>
      </c>
      <c r="L72" s="11">
        <v>1.1431101306716639E-3</v>
      </c>
      <c r="M72" s="11">
        <v>5.8862891476508077E-2</v>
      </c>
    </row>
    <row r="73" spans="1:13" x14ac:dyDescent="0.4">
      <c r="C73" s="56"/>
      <c r="G73" s="56"/>
      <c r="H73" s="56"/>
    </row>
  </sheetData>
  <mergeCells count="36">
    <mergeCell ref="B69:C69"/>
    <mergeCell ref="G69:H69"/>
    <mergeCell ref="L69:M69"/>
    <mergeCell ref="B55:C55"/>
    <mergeCell ref="G55:H55"/>
    <mergeCell ref="L55:M55"/>
    <mergeCell ref="B62:C62"/>
    <mergeCell ref="G62:H62"/>
    <mergeCell ref="L62:M62"/>
    <mergeCell ref="B41:C41"/>
    <mergeCell ref="G41:H41"/>
    <mergeCell ref="L41:M41"/>
    <mergeCell ref="B49:C49"/>
    <mergeCell ref="G49:H49"/>
    <mergeCell ref="L49:M49"/>
    <mergeCell ref="B29:C29"/>
    <mergeCell ref="G29:H29"/>
    <mergeCell ref="L29:M29"/>
    <mergeCell ref="B35:C35"/>
    <mergeCell ref="G35:H35"/>
    <mergeCell ref="L35:M35"/>
    <mergeCell ref="B10:C10"/>
    <mergeCell ref="G10:H10"/>
    <mergeCell ref="L10:M10"/>
    <mergeCell ref="B19:C19"/>
    <mergeCell ref="G19:H19"/>
    <mergeCell ref="L19:M19"/>
    <mergeCell ref="A1:C1"/>
    <mergeCell ref="F1:H1"/>
    <mergeCell ref="K1:M1"/>
    <mergeCell ref="A2:A3"/>
    <mergeCell ref="B2:C2"/>
    <mergeCell ref="F2:F3"/>
    <mergeCell ref="G2:H2"/>
    <mergeCell ref="K2:K3"/>
    <mergeCell ref="L2:M2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9DF9-DC48-4FE5-BF45-C1BDD7F827C3}">
  <dimension ref="A1:N74"/>
  <sheetViews>
    <sheetView showGridLines="0" zoomScale="130" zoomScaleNormal="130" workbookViewId="0">
      <selection activeCell="L41" sqref="L41:M42"/>
    </sheetView>
  </sheetViews>
  <sheetFormatPr defaultRowHeight="13.9" x14ac:dyDescent="0.4"/>
  <cols>
    <col min="1" max="1" width="13.53125" style="1" bestFit="1" customWidth="1"/>
    <col min="2" max="2" width="8.86328125" style="1" bestFit="1" customWidth="1"/>
    <col min="3" max="3" width="12.73046875" style="1" bestFit="1" customWidth="1"/>
    <col min="4" max="4" width="6.86328125" style="1" bestFit="1" customWidth="1"/>
    <col min="5" max="5" width="9.06640625" style="1"/>
    <col min="6" max="6" width="13.53125" style="1" bestFit="1" customWidth="1"/>
    <col min="7" max="7" width="8.86328125" style="1" bestFit="1" customWidth="1"/>
    <col min="8" max="8" width="12.73046875" style="1" bestFit="1" customWidth="1"/>
    <col min="9" max="10" width="5.46484375" style="1" customWidth="1"/>
    <col min="11" max="11" width="21.6640625" style="1" bestFit="1" customWidth="1"/>
    <col min="12" max="12" width="8.86328125" style="1" customWidth="1"/>
    <col min="13" max="16384" width="9.06640625" style="1"/>
  </cols>
  <sheetData>
    <row r="1" spans="1:14" ht="14.25" thickBot="1" x14ac:dyDescent="0.45">
      <c r="A1" s="82" t="s">
        <v>2</v>
      </c>
      <c r="B1" s="83"/>
      <c r="C1" s="84"/>
      <c r="D1" s="36"/>
      <c r="F1" s="82" t="s">
        <v>3</v>
      </c>
      <c r="G1" s="83"/>
      <c r="H1" s="84"/>
      <c r="I1" s="36"/>
      <c r="K1" s="82" t="s">
        <v>4</v>
      </c>
      <c r="L1" s="83"/>
      <c r="M1" s="84"/>
    </row>
    <row r="3" spans="1:14" x14ac:dyDescent="0.4">
      <c r="A3" s="40" t="s">
        <v>44</v>
      </c>
      <c r="B3" s="87" t="s">
        <v>27</v>
      </c>
      <c r="C3" s="87"/>
      <c r="D3" s="37"/>
      <c r="F3" s="40" t="s">
        <v>44</v>
      </c>
      <c r="G3" s="87" t="s">
        <v>27</v>
      </c>
      <c r="H3" s="87"/>
      <c r="I3" s="37"/>
      <c r="K3" s="40" t="s">
        <v>44</v>
      </c>
      <c r="L3" s="87" t="s">
        <v>27</v>
      </c>
      <c r="M3" s="87"/>
    </row>
    <row r="4" spans="1:14" ht="14.25" x14ac:dyDescent="0.45">
      <c r="A4" s="48" t="s">
        <v>34</v>
      </c>
      <c r="B4" s="39" t="s">
        <v>28</v>
      </c>
      <c r="C4" s="39" t="s">
        <v>29</v>
      </c>
      <c r="D4" s="17" t="s">
        <v>30</v>
      </c>
      <c r="F4" s="48" t="s">
        <v>34</v>
      </c>
      <c r="G4" s="39" t="s">
        <v>28</v>
      </c>
      <c r="H4" s="39" t="s">
        <v>29</v>
      </c>
      <c r="I4" s="17" t="s">
        <v>30</v>
      </c>
      <c r="K4" s="48" t="s">
        <v>34</v>
      </c>
      <c r="L4" s="39" t="s">
        <v>28</v>
      </c>
      <c r="M4" s="39" t="s">
        <v>29</v>
      </c>
      <c r="N4" s="16" t="s">
        <v>30</v>
      </c>
    </row>
    <row r="5" spans="1:14" x14ac:dyDescent="0.4">
      <c r="A5" s="40" t="s">
        <v>7</v>
      </c>
      <c r="B5" s="12">
        <v>0.45443017294938265</v>
      </c>
      <c r="C5" s="12">
        <v>0.54556982705061818</v>
      </c>
      <c r="D5" s="31">
        <v>506</v>
      </c>
      <c r="F5" s="40" t="s">
        <v>7</v>
      </c>
      <c r="G5" s="41">
        <v>5.8931580046371647E-2</v>
      </c>
      <c r="H5" s="41">
        <v>0.8950452459002346</v>
      </c>
      <c r="I5" s="31">
        <v>235</v>
      </c>
      <c r="K5" s="40" t="s">
        <v>7</v>
      </c>
      <c r="L5" s="12">
        <v>8.619061047429509E-3</v>
      </c>
      <c r="M5" s="12">
        <v>0.9913809389525704</v>
      </c>
      <c r="N5" s="54">
        <v>368</v>
      </c>
    </row>
    <row r="6" spans="1:14" x14ac:dyDescent="0.4">
      <c r="A6" s="40" t="s">
        <v>8</v>
      </c>
      <c r="B6" s="12">
        <v>0.43451611287856878</v>
      </c>
      <c r="C6" s="12">
        <v>0.46872513528508702</v>
      </c>
      <c r="D6" s="31">
        <v>454</v>
      </c>
      <c r="F6" s="40" t="s">
        <v>8</v>
      </c>
      <c r="G6" s="41">
        <v>5.8931580046371647E-2</v>
      </c>
      <c r="H6" s="41">
        <v>0.87313981709669786</v>
      </c>
      <c r="I6" s="31">
        <v>232</v>
      </c>
      <c r="K6" s="40" t="s">
        <v>8</v>
      </c>
      <c r="L6" s="12">
        <v>1.54922143057006E-3</v>
      </c>
      <c r="M6" s="12">
        <v>0.31780964180997179</v>
      </c>
      <c r="N6" s="54">
        <v>128</v>
      </c>
    </row>
    <row r="7" spans="1:14" x14ac:dyDescent="0.4">
      <c r="A7" s="40" t="s">
        <v>9</v>
      </c>
      <c r="B7" s="12">
        <v>0.36706599371872095</v>
      </c>
      <c r="C7" s="12">
        <v>0.15982970801015559</v>
      </c>
      <c r="D7" s="31">
        <v>230</v>
      </c>
      <c r="F7" s="40" t="s">
        <v>9</v>
      </c>
      <c r="G7" s="41">
        <v>4.071846598802515E-2</v>
      </c>
      <c r="H7" s="41">
        <v>0.75485098040702403</v>
      </c>
      <c r="I7" s="31">
        <v>192</v>
      </c>
      <c r="K7" s="40" t="s">
        <v>9</v>
      </c>
      <c r="L7" s="12">
        <v>1.54922143057006E-3</v>
      </c>
      <c r="M7" s="12">
        <v>2.2702852940733469E-2</v>
      </c>
      <c r="N7" s="54">
        <v>13</v>
      </c>
    </row>
    <row r="8" spans="1:14" x14ac:dyDescent="0.4">
      <c r="D8" s="40"/>
      <c r="I8" s="40"/>
    </row>
    <row r="9" spans="1:14" x14ac:dyDescent="0.4">
      <c r="D9" s="40"/>
      <c r="I9" s="40"/>
    </row>
    <row r="10" spans="1:14" x14ac:dyDescent="0.4">
      <c r="D10" s="40"/>
      <c r="I10" s="40"/>
    </row>
    <row r="11" spans="1:14" x14ac:dyDescent="0.4">
      <c r="D11" s="40"/>
      <c r="I11" s="40"/>
    </row>
    <row r="12" spans="1:14" x14ac:dyDescent="0.4">
      <c r="A12" s="40" t="s">
        <v>44</v>
      </c>
      <c r="B12" s="87" t="s">
        <v>27</v>
      </c>
      <c r="C12" s="87"/>
      <c r="D12" s="37"/>
      <c r="F12" s="40" t="s">
        <v>44</v>
      </c>
      <c r="G12" s="87" t="s">
        <v>27</v>
      </c>
      <c r="H12" s="87"/>
      <c r="I12" s="37"/>
      <c r="K12" s="40" t="s">
        <v>44</v>
      </c>
      <c r="L12" s="87" t="s">
        <v>27</v>
      </c>
      <c r="M12" s="87"/>
    </row>
    <row r="13" spans="1:14" ht="14.25" x14ac:dyDescent="0.45">
      <c r="A13" s="48" t="s">
        <v>35</v>
      </c>
      <c r="B13" s="39" t="s">
        <v>28</v>
      </c>
      <c r="C13" s="39" t="s">
        <v>29</v>
      </c>
      <c r="D13" s="17" t="s">
        <v>30</v>
      </c>
      <c r="F13" s="48" t="s">
        <v>35</v>
      </c>
      <c r="G13" s="39" t="s">
        <v>28</v>
      </c>
      <c r="H13" s="39" t="s">
        <v>29</v>
      </c>
      <c r="I13" s="17" t="s">
        <v>30</v>
      </c>
      <c r="K13" s="48" t="s">
        <v>35</v>
      </c>
      <c r="L13" s="39" t="s">
        <v>28</v>
      </c>
      <c r="M13" s="39" t="s">
        <v>29</v>
      </c>
      <c r="N13" s="16" t="s">
        <v>30</v>
      </c>
    </row>
    <row r="14" spans="1:14" x14ac:dyDescent="0.4">
      <c r="A14" s="40" t="s">
        <v>11</v>
      </c>
      <c r="B14" s="12">
        <v>4.1250656865789064E-3</v>
      </c>
      <c r="C14" s="12">
        <v>1.7543581576948634E-2</v>
      </c>
      <c r="D14" s="31">
        <v>10</v>
      </c>
      <c r="F14" s="40" t="s">
        <v>11</v>
      </c>
      <c r="G14" s="41">
        <v>8.00131697588213E-3</v>
      </c>
      <c r="H14" s="41">
        <v>0</v>
      </c>
      <c r="I14" s="43">
        <v>1</v>
      </c>
      <c r="K14" s="40" t="s">
        <v>11</v>
      </c>
      <c r="L14" s="12">
        <v>2.394499349993153E-3</v>
      </c>
      <c r="M14" s="12">
        <v>0.33295560008819014</v>
      </c>
      <c r="N14" s="54">
        <v>170</v>
      </c>
    </row>
    <row r="15" spans="1:14" x14ac:dyDescent="0.4">
      <c r="A15" s="40" t="s">
        <v>12</v>
      </c>
      <c r="B15" s="12">
        <v>0.16777128059025367</v>
      </c>
      <c r="C15" s="12">
        <v>0.17727020587079936</v>
      </c>
      <c r="D15" s="31">
        <v>170</v>
      </c>
      <c r="F15" s="40" t="s">
        <v>12</v>
      </c>
      <c r="G15" s="41">
        <v>5.1058985412321895E-3</v>
      </c>
      <c r="H15" s="41">
        <v>0.1101591700012657</v>
      </c>
      <c r="I15" s="43">
        <v>27</v>
      </c>
      <c r="K15" s="40" t="s">
        <v>12</v>
      </c>
      <c r="L15" s="12">
        <v>0</v>
      </c>
      <c r="M15" s="12">
        <v>0</v>
      </c>
      <c r="N15" s="54">
        <v>0</v>
      </c>
    </row>
    <row r="16" spans="1:14" x14ac:dyDescent="0.4">
      <c r="A16" s="40" t="s">
        <v>13</v>
      </c>
      <c r="B16" s="12">
        <v>0.1266380902531884</v>
      </c>
      <c r="C16" s="12">
        <v>0.27499809293985245</v>
      </c>
      <c r="D16" s="32">
        <v>225</v>
      </c>
      <c r="F16" s="40" t="s">
        <v>13</v>
      </c>
      <c r="G16" s="41">
        <v>1.9474952650441121E-2</v>
      </c>
      <c r="H16" s="41">
        <v>0.37094888905569839</v>
      </c>
      <c r="I16" s="43">
        <v>88</v>
      </c>
      <c r="K16" s="40" t="s">
        <v>13</v>
      </c>
      <c r="L16" s="12">
        <v>4.1425512797757273E-3</v>
      </c>
      <c r="M16" s="12">
        <v>0.36617751954812539</v>
      </c>
      <c r="N16" s="54">
        <v>125</v>
      </c>
    </row>
    <row r="17" spans="1:14" x14ac:dyDescent="0.4">
      <c r="A17" s="40" t="s">
        <v>14</v>
      </c>
      <c r="B17" s="12">
        <v>0.155895736419362</v>
      </c>
      <c r="C17" s="12">
        <v>7.5757946663017967E-2</v>
      </c>
      <c r="D17" s="31">
        <v>101</v>
      </c>
      <c r="F17" s="40" t="s">
        <v>14</v>
      </c>
      <c r="G17" s="41">
        <v>2.6349411878816221E-2</v>
      </c>
      <c r="H17" s="41">
        <v>0.41393718684327141</v>
      </c>
      <c r="I17" s="43">
        <v>119</v>
      </c>
      <c r="K17" s="40" t="s">
        <v>14</v>
      </c>
      <c r="L17" s="12">
        <v>2.0820104176606283E-3</v>
      </c>
      <c r="M17" s="12">
        <v>0.29224781931625438</v>
      </c>
      <c r="N17" s="54">
        <v>73</v>
      </c>
    </row>
    <row r="18" spans="1:14" x14ac:dyDescent="0.4">
      <c r="D18" s="57">
        <f>+SUM(D14:D17)</f>
        <v>506</v>
      </c>
      <c r="I18" s="57">
        <f>+SUM(I14:I17)</f>
        <v>235</v>
      </c>
      <c r="N18" s="44">
        <f>SUM(N14:N17)</f>
        <v>368</v>
      </c>
    </row>
    <row r="19" spans="1:14" x14ac:dyDescent="0.4">
      <c r="D19" s="40"/>
      <c r="I19" s="40"/>
    </row>
    <row r="20" spans="1:14" x14ac:dyDescent="0.4">
      <c r="D20" s="40"/>
      <c r="I20" s="40"/>
    </row>
    <row r="21" spans="1:14" x14ac:dyDescent="0.4">
      <c r="D21" s="40"/>
      <c r="I21" s="40"/>
    </row>
    <row r="22" spans="1:14" x14ac:dyDescent="0.4">
      <c r="D22" s="40"/>
      <c r="I22" s="40"/>
    </row>
    <row r="23" spans="1:14" x14ac:dyDescent="0.4">
      <c r="A23" s="40" t="s">
        <v>44</v>
      </c>
      <c r="B23" s="87" t="s">
        <v>27</v>
      </c>
      <c r="C23" s="87"/>
      <c r="D23" s="40"/>
      <c r="F23" s="40" t="s">
        <v>44</v>
      </c>
      <c r="G23" s="87" t="s">
        <v>27</v>
      </c>
      <c r="H23" s="87"/>
      <c r="I23" s="40"/>
      <c r="K23" s="40" t="s">
        <v>44</v>
      </c>
      <c r="L23" s="87" t="s">
        <v>27</v>
      </c>
      <c r="M23" s="87"/>
    </row>
    <row r="24" spans="1:14" x14ac:dyDescent="0.4">
      <c r="A24" s="48" t="s">
        <v>34</v>
      </c>
      <c r="B24" s="39" t="s">
        <v>28</v>
      </c>
      <c r="C24" s="39" t="s">
        <v>29</v>
      </c>
      <c r="D24" s="40"/>
      <c r="F24" s="48" t="s">
        <v>34</v>
      </c>
      <c r="G24" s="39" t="s">
        <v>28</v>
      </c>
      <c r="H24" s="39" t="s">
        <v>29</v>
      </c>
      <c r="I24" s="40"/>
      <c r="K24" s="48" t="s">
        <v>34</v>
      </c>
      <c r="L24" s="39" t="s">
        <v>28</v>
      </c>
      <c r="M24" s="39" t="s">
        <v>29</v>
      </c>
    </row>
    <row r="25" spans="1:14" x14ac:dyDescent="0.4">
      <c r="A25" s="52" t="s">
        <v>7</v>
      </c>
      <c r="B25" s="12">
        <v>0.45443017294938265</v>
      </c>
      <c r="C25" s="12">
        <v>0.54556982705061818</v>
      </c>
      <c r="D25" s="40"/>
      <c r="F25" s="40" t="s">
        <v>7</v>
      </c>
      <c r="G25" s="41">
        <v>5.8931580046371647E-2</v>
      </c>
      <c r="H25" s="41">
        <v>0.8950452459002346</v>
      </c>
      <c r="I25" s="40"/>
      <c r="K25" s="52" t="s">
        <v>7</v>
      </c>
      <c r="L25" s="12">
        <v>8.619061047429509E-3</v>
      </c>
      <c r="M25" s="12">
        <v>0.9913809389525704</v>
      </c>
    </row>
    <row r="26" spans="1:14" x14ac:dyDescent="0.4">
      <c r="A26" s="40" t="s">
        <v>36</v>
      </c>
      <c r="B26" s="41">
        <v>0</v>
      </c>
      <c r="C26" s="41">
        <v>0</v>
      </c>
      <c r="D26" s="40"/>
      <c r="F26" s="40" t="s">
        <v>36</v>
      </c>
      <c r="G26" s="41">
        <v>0</v>
      </c>
      <c r="H26" s="41">
        <v>4.6023174053394483E-2</v>
      </c>
      <c r="I26" s="40"/>
      <c r="K26" s="40" t="s">
        <v>36</v>
      </c>
      <c r="L26" s="12">
        <v>0</v>
      </c>
      <c r="M26" s="12">
        <v>0</v>
      </c>
    </row>
    <row r="27" spans="1:14" x14ac:dyDescent="0.4">
      <c r="D27" s="40"/>
      <c r="I27" s="40"/>
    </row>
    <row r="28" spans="1:14" x14ac:dyDescent="0.4">
      <c r="D28" s="40"/>
      <c r="I28" s="40"/>
    </row>
    <row r="29" spans="1:14" x14ac:dyDescent="0.4">
      <c r="D29" s="40"/>
      <c r="I29" s="40"/>
    </row>
    <row r="30" spans="1:14" x14ac:dyDescent="0.4">
      <c r="D30" s="40"/>
      <c r="I30" s="40"/>
    </row>
    <row r="31" spans="1:14" x14ac:dyDescent="0.4">
      <c r="A31" s="40" t="s">
        <v>44</v>
      </c>
      <c r="B31" s="87" t="s">
        <v>27</v>
      </c>
      <c r="C31" s="87"/>
      <c r="D31" s="40"/>
      <c r="F31" s="40" t="s">
        <v>44</v>
      </c>
      <c r="G31" s="87" t="s">
        <v>27</v>
      </c>
      <c r="H31" s="87"/>
      <c r="I31" s="40"/>
      <c r="K31" s="40" t="s">
        <v>44</v>
      </c>
      <c r="L31" s="87" t="s">
        <v>27</v>
      </c>
      <c r="M31" s="87"/>
    </row>
    <row r="32" spans="1:14" x14ac:dyDescent="0.4">
      <c r="A32" s="48" t="s">
        <v>34</v>
      </c>
      <c r="B32" s="39" t="s">
        <v>28</v>
      </c>
      <c r="C32" s="39" t="s">
        <v>29</v>
      </c>
      <c r="D32" s="40"/>
      <c r="F32" s="48" t="s">
        <v>34</v>
      </c>
      <c r="G32" s="39" t="s">
        <v>28</v>
      </c>
      <c r="H32" s="39" t="s">
        <v>29</v>
      </c>
      <c r="I32" s="40"/>
      <c r="K32" s="48" t="s">
        <v>34</v>
      </c>
      <c r="L32" s="39" t="s">
        <v>28</v>
      </c>
      <c r="M32" s="39" t="s">
        <v>29</v>
      </c>
    </row>
    <row r="33" spans="1:13" x14ac:dyDescent="0.4">
      <c r="A33" s="52" t="s">
        <v>8</v>
      </c>
      <c r="B33" s="12">
        <v>0.43451611287856878</v>
      </c>
      <c r="C33" s="12">
        <v>0.46872513528508702</v>
      </c>
      <c r="D33" s="40"/>
      <c r="F33" s="52" t="s">
        <v>8</v>
      </c>
      <c r="G33" s="41">
        <v>5.8931580046371647E-2</v>
      </c>
      <c r="H33" s="41">
        <v>0.87313981709669786</v>
      </c>
      <c r="I33" s="40"/>
      <c r="K33" s="52" t="s">
        <v>8</v>
      </c>
      <c r="L33" s="12">
        <v>1.54922143057006E-3</v>
      </c>
      <c r="M33" s="12">
        <v>0.31780964180997179</v>
      </c>
    </row>
    <row r="34" spans="1:13" x14ac:dyDescent="0.4">
      <c r="A34" s="40" t="s">
        <v>37</v>
      </c>
      <c r="B34" s="12">
        <v>1.9914060070813807E-2</v>
      </c>
      <c r="C34" s="12">
        <v>7.6844691765531312E-2</v>
      </c>
      <c r="D34" s="40"/>
      <c r="F34" s="40" t="s">
        <v>37</v>
      </c>
      <c r="G34" s="41">
        <v>0</v>
      </c>
      <c r="H34" s="41">
        <v>6.792860285693153E-2</v>
      </c>
      <c r="I34" s="40"/>
      <c r="K34" s="40" t="s">
        <v>37</v>
      </c>
      <c r="L34" s="12">
        <v>7.0698396168594486E-3</v>
      </c>
      <c r="M34" s="12">
        <v>0.67357129714259834</v>
      </c>
    </row>
    <row r="35" spans="1:13" x14ac:dyDescent="0.4">
      <c r="D35" s="40"/>
      <c r="I35" s="40"/>
    </row>
    <row r="36" spans="1:13" x14ac:dyDescent="0.4">
      <c r="D36" s="40"/>
      <c r="I36" s="40"/>
    </row>
    <row r="37" spans="1:13" x14ac:dyDescent="0.4">
      <c r="D37" s="40"/>
      <c r="I37" s="40"/>
    </row>
    <row r="38" spans="1:13" x14ac:dyDescent="0.4">
      <c r="D38" s="40"/>
      <c r="I38" s="40"/>
    </row>
    <row r="39" spans="1:13" x14ac:dyDescent="0.4">
      <c r="A39" s="40" t="s">
        <v>44</v>
      </c>
      <c r="B39" s="87" t="s">
        <v>27</v>
      </c>
      <c r="C39" s="87"/>
      <c r="D39" s="40"/>
      <c r="F39" s="40" t="s">
        <v>44</v>
      </c>
      <c r="G39" s="87" t="s">
        <v>27</v>
      </c>
      <c r="H39" s="87"/>
      <c r="I39" s="40"/>
      <c r="K39" s="40" t="s">
        <v>44</v>
      </c>
      <c r="L39" s="87" t="s">
        <v>27</v>
      </c>
      <c r="M39" s="87"/>
    </row>
    <row r="40" spans="1:13" x14ac:dyDescent="0.4">
      <c r="A40" s="48" t="s">
        <v>34</v>
      </c>
      <c r="B40" s="39" t="s">
        <v>28</v>
      </c>
      <c r="C40" s="39" t="s">
        <v>29</v>
      </c>
      <c r="D40" s="40"/>
      <c r="F40" s="48" t="s">
        <v>34</v>
      </c>
      <c r="G40" s="39" t="s">
        <v>28</v>
      </c>
      <c r="H40" s="39" t="s">
        <v>29</v>
      </c>
      <c r="I40" s="40"/>
      <c r="K40" s="48" t="s">
        <v>34</v>
      </c>
      <c r="L40" s="39" t="s">
        <v>28</v>
      </c>
      <c r="M40" s="39" t="s">
        <v>29</v>
      </c>
    </row>
    <row r="41" spans="1:13" x14ac:dyDescent="0.4">
      <c r="A41" s="52" t="s">
        <v>9</v>
      </c>
      <c r="B41" s="12">
        <v>0.36706599371872095</v>
      </c>
      <c r="C41" s="12">
        <v>0.15982970801015559</v>
      </c>
      <c r="D41" s="40"/>
      <c r="F41" s="52" t="s">
        <v>9</v>
      </c>
      <c r="G41" s="41">
        <v>4.071846598802515E-2</v>
      </c>
      <c r="H41" s="41">
        <v>0.75485098040702403</v>
      </c>
      <c r="I41" s="40"/>
      <c r="K41" s="52" t="s">
        <v>9</v>
      </c>
      <c r="L41" s="12">
        <v>1.54922143057006E-3</v>
      </c>
      <c r="M41" s="12">
        <v>2.2702852940733469E-2</v>
      </c>
    </row>
    <row r="42" spans="1:13" x14ac:dyDescent="0.4">
      <c r="A42" s="40" t="s">
        <v>38</v>
      </c>
      <c r="B42" s="12">
        <v>8.736417923066174E-2</v>
      </c>
      <c r="C42" s="12">
        <v>0.38574011904046301</v>
      </c>
      <c r="D42" s="40"/>
      <c r="F42" s="40" t="s">
        <v>38</v>
      </c>
      <c r="G42" s="41">
        <v>1.8213114058346507E-2</v>
      </c>
      <c r="H42" s="41">
        <v>0.18621743954660588</v>
      </c>
      <c r="I42" s="40"/>
      <c r="K42" s="40" t="s">
        <v>38</v>
      </c>
      <c r="L42" s="12">
        <v>7.0698396168594486E-3</v>
      </c>
      <c r="M42" s="12">
        <v>0.96867808601183703</v>
      </c>
    </row>
    <row r="43" spans="1:13" x14ac:dyDescent="0.4">
      <c r="D43" s="40"/>
      <c r="I43" s="40"/>
    </row>
    <row r="44" spans="1:13" x14ac:dyDescent="0.4">
      <c r="D44" s="40"/>
      <c r="I44" s="40"/>
    </row>
    <row r="45" spans="1:13" x14ac:dyDescent="0.4">
      <c r="D45" s="40"/>
      <c r="I45" s="40"/>
    </row>
    <row r="46" spans="1:13" x14ac:dyDescent="0.4">
      <c r="D46" s="40"/>
      <c r="I46" s="40"/>
    </row>
    <row r="47" spans="1:13" x14ac:dyDescent="0.4">
      <c r="D47" s="40"/>
      <c r="I47" s="40"/>
    </row>
    <row r="48" spans="1:13" x14ac:dyDescent="0.4">
      <c r="D48" s="40"/>
      <c r="I48" s="40"/>
    </row>
    <row r="49" spans="1:13" x14ac:dyDescent="0.4">
      <c r="A49" s="40" t="s">
        <v>44</v>
      </c>
      <c r="B49" s="87" t="s">
        <v>27</v>
      </c>
      <c r="C49" s="87"/>
      <c r="D49" s="40"/>
      <c r="F49" s="40" t="s">
        <v>44</v>
      </c>
      <c r="G49" s="87" t="s">
        <v>27</v>
      </c>
      <c r="H49" s="87"/>
      <c r="I49" s="40"/>
      <c r="K49" s="40" t="s">
        <v>44</v>
      </c>
      <c r="L49" s="87" t="s">
        <v>27</v>
      </c>
      <c r="M49" s="87"/>
    </row>
    <row r="50" spans="1:13" x14ac:dyDescent="0.4">
      <c r="A50" s="48" t="s">
        <v>34</v>
      </c>
      <c r="B50" s="39" t="s">
        <v>28</v>
      </c>
      <c r="C50" s="39" t="s">
        <v>29</v>
      </c>
      <c r="D50" s="40"/>
      <c r="F50" s="48" t="s">
        <v>34</v>
      </c>
      <c r="G50" s="39" t="s">
        <v>28</v>
      </c>
      <c r="H50" s="39" t="s">
        <v>29</v>
      </c>
      <c r="I50" s="40"/>
      <c r="K50" s="48" t="s">
        <v>34</v>
      </c>
      <c r="L50" s="39" t="s">
        <v>28</v>
      </c>
      <c r="M50" s="39" t="s">
        <v>29</v>
      </c>
    </row>
    <row r="51" spans="1:13" x14ac:dyDescent="0.4">
      <c r="A51" s="52" t="s">
        <v>11</v>
      </c>
      <c r="B51" s="11">
        <v>4.1250656865789064E-3</v>
      </c>
      <c r="C51" s="11">
        <v>1.7543581576948634E-2</v>
      </c>
      <c r="D51" s="40"/>
      <c r="F51" s="52" t="s">
        <v>11</v>
      </c>
      <c r="G51" s="41">
        <v>8.00131697588213E-3</v>
      </c>
      <c r="H51" s="41">
        <v>0</v>
      </c>
      <c r="I51" s="40"/>
      <c r="K51" s="52" t="s">
        <v>11</v>
      </c>
      <c r="L51" s="11">
        <v>2.394499349993153E-3</v>
      </c>
      <c r="M51" s="11">
        <v>0.33295560008819014</v>
      </c>
    </row>
    <row r="52" spans="1:13" x14ac:dyDescent="0.4">
      <c r="A52" s="40" t="s">
        <v>39</v>
      </c>
      <c r="B52" s="11">
        <v>0.45030510726280371</v>
      </c>
      <c r="C52" s="11">
        <v>0.5280262454736695</v>
      </c>
      <c r="D52" s="40"/>
      <c r="F52" s="40" t="s">
        <v>39</v>
      </c>
      <c r="G52" s="41">
        <v>5.093026307048952E-2</v>
      </c>
      <c r="H52" s="41">
        <v>0.94106841995362878</v>
      </c>
      <c r="I52" s="40"/>
      <c r="K52" s="40" t="s">
        <v>39</v>
      </c>
      <c r="L52" s="11">
        <v>6.224561697436356E-3</v>
      </c>
      <c r="M52" s="11">
        <v>0.65842533886438037</v>
      </c>
    </row>
    <row r="53" spans="1:13" x14ac:dyDescent="0.4">
      <c r="D53" s="40"/>
      <c r="I53" s="40"/>
    </row>
    <row r="54" spans="1:13" x14ac:dyDescent="0.4">
      <c r="D54" s="40"/>
      <c r="I54" s="40"/>
    </row>
    <row r="55" spans="1:13" x14ac:dyDescent="0.4">
      <c r="D55" s="40"/>
      <c r="I55" s="40"/>
    </row>
    <row r="56" spans="1:13" x14ac:dyDescent="0.4">
      <c r="A56" s="40" t="s">
        <v>44</v>
      </c>
      <c r="B56" s="87" t="s">
        <v>27</v>
      </c>
      <c r="C56" s="87"/>
      <c r="D56" s="40"/>
      <c r="F56" s="40" t="s">
        <v>44</v>
      </c>
      <c r="G56" s="87" t="s">
        <v>27</v>
      </c>
      <c r="H56" s="87"/>
      <c r="I56" s="40"/>
      <c r="K56" s="40" t="s">
        <v>44</v>
      </c>
      <c r="L56" s="87" t="s">
        <v>27</v>
      </c>
      <c r="M56" s="87"/>
    </row>
    <row r="57" spans="1:13" x14ac:dyDescent="0.4">
      <c r="A57" s="48" t="s">
        <v>34</v>
      </c>
      <c r="B57" s="39" t="s">
        <v>28</v>
      </c>
      <c r="C57" s="39" t="s">
        <v>29</v>
      </c>
      <c r="D57" s="40"/>
      <c r="F57" s="48" t="s">
        <v>34</v>
      </c>
      <c r="G57" s="39" t="s">
        <v>28</v>
      </c>
      <c r="H57" s="39" t="s">
        <v>29</v>
      </c>
      <c r="I57" s="40"/>
      <c r="K57" s="48" t="s">
        <v>34</v>
      </c>
      <c r="L57" s="39" t="s">
        <v>28</v>
      </c>
      <c r="M57" s="39" t="s">
        <v>29</v>
      </c>
    </row>
    <row r="58" spans="1:13" x14ac:dyDescent="0.4">
      <c r="A58" s="52" t="s">
        <v>12</v>
      </c>
      <c r="B58" s="11">
        <v>0.16777128059025367</v>
      </c>
      <c r="C58" s="11">
        <v>0.17727020587079936</v>
      </c>
      <c r="D58" s="40"/>
      <c r="F58" s="52" t="s">
        <v>12</v>
      </c>
      <c r="G58" s="41">
        <v>5.1058985412321895E-3</v>
      </c>
      <c r="H58" s="41">
        <v>0.1101591700012657</v>
      </c>
      <c r="I58" s="40"/>
      <c r="K58" s="52" t="s">
        <v>12</v>
      </c>
      <c r="L58" s="11">
        <v>0</v>
      </c>
      <c r="M58" s="11">
        <v>0</v>
      </c>
    </row>
    <row r="59" spans="1:13" x14ac:dyDescent="0.4">
      <c r="A59" s="40" t="s">
        <v>40</v>
      </c>
      <c r="B59" s="11">
        <v>0.28665889235912917</v>
      </c>
      <c r="C59" s="11">
        <v>0.36829962117981951</v>
      </c>
      <c r="D59" s="40"/>
      <c r="F59" s="40" t="s">
        <v>40</v>
      </c>
      <c r="G59" s="41">
        <v>5.3825681505139458E-2</v>
      </c>
      <c r="H59" s="41">
        <v>0.83090924995236337</v>
      </c>
      <c r="I59" s="40"/>
      <c r="K59" s="40" t="s">
        <v>40</v>
      </c>
      <c r="L59" s="11">
        <v>8.619061047429509E-3</v>
      </c>
      <c r="M59" s="11">
        <v>0.9913809389525704</v>
      </c>
    </row>
    <row r="60" spans="1:13" x14ac:dyDescent="0.4">
      <c r="D60" s="40"/>
      <c r="I60" s="40"/>
    </row>
    <row r="61" spans="1:13" x14ac:dyDescent="0.4">
      <c r="D61" s="40"/>
      <c r="I61" s="40"/>
    </row>
    <row r="62" spans="1:13" x14ac:dyDescent="0.4">
      <c r="D62" s="40"/>
      <c r="I62" s="40"/>
    </row>
    <row r="63" spans="1:13" x14ac:dyDescent="0.4">
      <c r="A63" s="40" t="s">
        <v>44</v>
      </c>
      <c r="B63" s="87" t="s">
        <v>27</v>
      </c>
      <c r="C63" s="87"/>
      <c r="D63" s="40"/>
      <c r="F63" s="40" t="s">
        <v>44</v>
      </c>
      <c r="G63" s="87" t="s">
        <v>27</v>
      </c>
      <c r="H63" s="87"/>
      <c r="I63" s="40"/>
      <c r="K63" s="40" t="s">
        <v>44</v>
      </c>
      <c r="L63" s="87" t="s">
        <v>27</v>
      </c>
      <c r="M63" s="87"/>
    </row>
    <row r="64" spans="1:13" x14ac:dyDescent="0.4">
      <c r="A64" s="48" t="s">
        <v>34</v>
      </c>
      <c r="B64" s="39" t="s">
        <v>28</v>
      </c>
      <c r="C64" s="39" t="s">
        <v>29</v>
      </c>
      <c r="D64" s="40"/>
      <c r="F64" s="48" t="s">
        <v>34</v>
      </c>
      <c r="G64" s="39" t="s">
        <v>28</v>
      </c>
      <c r="H64" s="39" t="s">
        <v>29</v>
      </c>
      <c r="I64" s="40"/>
      <c r="K64" s="48" t="s">
        <v>34</v>
      </c>
      <c r="L64" s="39" t="s">
        <v>28</v>
      </c>
      <c r="M64" s="39" t="s">
        <v>29</v>
      </c>
    </row>
    <row r="65" spans="1:13" x14ac:dyDescent="0.4">
      <c r="A65" s="52" t="s">
        <v>13</v>
      </c>
      <c r="B65" s="11">
        <v>0.1266380902531884</v>
      </c>
      <c r="C65" s="11">
        <v>0.27499809293985245</v>
      </c>
      <c r="D65" s="40"/>
      <c r="F65" s="52" t="s">
        <v>13</v>
      </c>
      <c r="G65" s="41">
        <v>1.9474952650441121E-2</v>
      </c>
      <c r="H65" s="41">
        <v>0.37094888905569839</v>
      </c>
      <c r="I65" s="40"/>
      <c r="K65" s="52" t="s">
        <v>13</v>
      </c>
      <c r="L65" s="11">
        <v>4.1425512797757273E-3</v>
      </c>
      <c r="M65" s="11">
        <v>0.36617751954812539</v>
      </c>
    </row>
    <row r="66" spans="1:13" x14ac:dyDescent="0.4">
      <c r="A66" s="40" t="s">
        <v>41</v>
      </c>
      <c r="B66" s="11">
        <v>0.32779208269619492</v>
      </c>
      <c r="C66" s="11">
        <v>0.27057173411076585</v>
      </c>
      <c r="D66" s="40"/>
      <c r="F66" s="40" t="s">
        <v>41</v>
      </c>
      <c r="G66" s="41">
        <v>3.9456627395930539E-2</v>
      </c>
      <c r="H66" s="41">
        <v>0.57011953089793177</v>
      </c>
      <c r="I66" s="40"/>
      <c r="K66" s="40" t="s">
        <v>41</v>
      </c>
      <c r="L66" s="11">
        <v>4.4765097676537809E-3</v>
      </c>
      <c r="M66" s="11">
        <v>0.62520341940444579</v>
      </c>
    </row>
    <row r="67" spans="1:13" x14ac:dyDescent="0.4">
      <c r="D67" s="40"/>
      <c r="I67" s="40"/>
    </row>
    <row r="68" spans="1:13" x14ac:dyDescent="0.4">
      <c r="D68" s="40"/>
      <c r="I68" s="40"/>
    </row>
    <row r="69" spans="1:13" x14ac:dyDescent="0.4">
      <c r="D69" s="40"/>
      <c r="I69" s="40"/>
    </row>
    <row r="70" spans="1:13" x14ac:dyDescent="0.4">
      <c r="A70" s="40" t="s">
        <v>44</v>
      </c>
      <c r="B70" s="87" t="s">
        <v>27</v>
      </c>
      <c r="C70" s="87"/>
      <c r="D70" s="40"/>
      <c r="F70" s="40" t="s">
        <v>44</v>
      </c>
      <c r="G70" s="87" t="s">
        <v>27</v>
      </c>
      <c r="H70" s="87"/>
      <c r="I70" s="40"/>
      <c r="K70" s="40" t="s">
        <v>44</v>
      </c>
      <c r="L70" s="87" t="s">
        <v>27</v>
      </c>
      <c r="M70" s="87"/>
    </row>
    <row r="71" spans="1:13" x14ac:dyDescent="0.4">
      <c r="A71" s="48" t="s">
        <v>34</v>
      </c>
      <c r="B71" s="39" t="s">
        <v>28</v>
      </c>
      <c r="C71" s="39" t="s">
        <v>29</v>
      </c>
      <c r="D71" s="40"/>
      <c r="F71" s="48" t="s">
        <v>34</v>
      </c>
      <c r="G71" s="39" t="s">
        <v>28</v>
      </c>
      <c r="H71" s="39" t="s">
        <v>29</v>
      </c>
      <c r="I71" s="40"/>
      <c r="K71" s="48" t="s">
        <v>34</v>
      </c>
      <c r="L71" s="39" t="s">
        <v>28</v>
      </c>
      <c r="M71" s="39" t="s">
        <v>29</v>
      </c>
    </row>
    <row r="72" spans="1:13" x14ac:dyDescent="0.4">
      <c r="A72" s="52" t="s">
        <v>14</v>
      </c>
      <c r="B72" s="11">
        <v>0.155895736419362</v>
      </c>
      <c r="C72" s="11">
        <v>7.5757946663017967E-2</v>
      </c>
      <c r="D72" s="40"/>
      <c r="F72" s="52" t="s">
        <v>14</v>
      </c>
      <c r="G72" s="41">
        <v>2.6349411878816221E-2</v>
      </c>
      <c r="H72" s="41">
        <v>0.41393718684327141</v>
      </c>
      <c r="I72" s="40"/>
      <c r="K72" s="52" t="s">
        <v>14</v>
      </c>
      <c r="L72" s="11">
        <v>2.0820104176606283E-3</v>
      </c>
      <c r="M72" s="11">
        <v>0.29224781931625438</v>
      </c>
    </row>
    <row r="73" spans="1:13" x14ac:dyDescent="0.4">
      <c r="A73" s="40" t="s">
        <v>42</v>
      </c>
      <c r="B73" s="11">
        <v>0.29853443653002104</v>
      </c>
      <c r="C73" s="11">
        <v>0.46981188038760041</v>
      </c>
      <c r="D73" s="40"/>
      <c r="F73" s="40" t="s">
        <v>42</v>
      </c>
      <c r="G73" s="41">
        <v>3.2582168167555436E-2</v>
      </c>
      <c r="H73" s="41">
        <v>0.52713123311035914</v>
      </c>
      <c r="I73" s="40"/>
      <c r="K73" s="40" t="s">
        <v>42</v>
      </c>
      <c r="L73" s="11">
        <v>6.5370506297688811E-3</v>
      </c>
      <c r="M73" s="11">
        <v>0.69913311963631708</v>
      </c>
    </row>
    <row r="74" spans="1:13" x14ac:dyDescent="0.4">
      <c r="D74" s="40"/>
      <c r="I74" s="40"/>
    </row>
  </sheetData>
  <mergeCells count="30">
    <mergeCell ref="B63:C63"/>
    <mergeCell ref="G63:H63"/>
    <mergeCell ref="L63:M63"/>
    <mergeCell ref="B70:C70"/>
    <mergeCell ref="G70:H70"/>
    <mergeCell ref="L70:M70"/>
    <mergeCell ref="B49:C49"/>
    <mergeCell ref="G49:H49"/>
    <mergeCell ref="L49:M49"/>
    <mergeCell ref="B56:C56"/>
    <mergeCell ref="G56:H56"/>
    <mergeCell ref="L56:M56"/>
    <mergeCell ref="B31:C31"/>
    <mergeCell ref="G31:H31"/>
    <mergeCell ref="L31:M31"/>
    <mergeCell ref="B39:C39"/>
    <mergeCell ref="G39:H39"/>
    <mergeCell ref="L39:M39"/>
    <mergeCell ref="B12:C12"/>
    <mergeCell ref="G12:H12"/>
    <mergeCell ref="L12:M12"/>
    <mergeCell ref="B23:C23"/>
    <mergeCell ref="G23:H23"/>
    <mergeCell ref="L23:M23"/>
    <mergeCell ref="A1:C1"/>
    <mergeCell ref="F1:H1"/>
    <mergeCell ref="K1:M1"/>
    <mergeCell ref="B3:C3"/>
    <mergeCell ref="G3:H3"/>
    <mergeCell ref="L3:M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03C6-8A5E-4B5C-B134-63948AD056D9}">
  <dimension ref="A1:G60"/>
  <sheetViews>
    <sheetView showGridLines="0" topLeftCell="B1" workbookViewId="0">
      <selection activeCell="E9" sqref="E9"/>
    </sheetView>
  </sheetViews>
  <sheetFormatPr defaultRowHeight="13.9" x14ac:dyDescent="0.4"/>
  <cols>
    <col min="1" max="1" width="36.06640625" style="1" bestFit="1" customWidth="1"/>
    <col min="2" max="2" width="9.06640625" style="1"/>
    <col min="3" max="3" width="13.73046875" style="1" bestFit="1" customWidth="1"/>
    <col min="4" max="16384" width="9.06640625" style="1"/>
  </cols>
  <sheetData>
    <row r="1" spans="1:7" x14ac:dyDescent="0.4">
      <c r="B1" s="88" t="s">
        <v>0</v>
      </c>
      <c r="C1" s="88"/>
      <c r="D1" s="88"/>
      <c r="E1" s="88" t="s">
        <v>1</v>
      </c>
      <c r="F1" s="88"/>
      <c r="G1" s="88"/>
    </row>
    <row r="2" spans="1:7" x14ac:dyDescent="0.4"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</row>
    <row r="3" spans="1:7" x14ac:dyDescent="0.4">
      <c r="B3" s="3"/>
      <c r="C3" s="3"/>
      <c r="D3" s="3"/>
    </row>
    <row r="4" spans="1:7" x14ac:dyDescent="0.4">
      <c r="A4" s="4" t="s">
        <v>5</v>
      </c>
      <c r="B4" s="12">
        <v>0.60588667955684106</v>
      </c>
      <c r="C4" s="12">
        <v>0.17737507122606314</v>
      </c>
      <c r="D4" s="12">
        <v>9.3658354003152838E-3</v>
      </c>
      <c r="E4" s="12">
        <v>0.62633244953010792</v>
      </c>
      <c r="F4" s="12">
        <v>0.18588338138996935</v>
      </c>
      <c r="G4" s="12">
        <v>1.0517616768506599E-2</v>
      </c>
    </row>
    <row r="5" spans="1:7" x14ac:dyDescent="0.4">
      <c r="B5" s="5"/>
      <c r="C5" s="5"/>
      <c r="D5" s="5"/>
      <c r="E5" s="6"/>
      <c r="F5" s="6"/>
      <c r="G5" s="6"/>
    </row>
    <row r="6" spans="1:7" x14ac:dyDescent="0.4">
      <c r="A6" s="7" t="s">
        <v>6</v>
      </c>
      <c r="B6" s="5"/>
      <c r="C6" s="5"/>
      <c r="D6" s="5"/>
      <c r="E6" s="6"/>
      <c r="F6" s="6"/>
      <c r="G6" s="6"/>
    </row>
    <row r="7" spans="1:7" x14ac:dyDescent="0.4">
      <c r="A7" s="1" t="s">
        <v>7</v>
      </c>
      <c r="B7" s="12">
        <v>0.60588667955684106</v>
      </c>
      <c r="C7" s="12">
        <v>0.17737507122606314</v>
      </c>
      <c r="D7" s="12">
        <v>9.3658354003152838E-3</v>
      </c>
      <c r="E7" s="12">
        <v>0.62633244953010792</v>
      </c>
      <c r="F7" s="12">
        <v>0.18588338138996935</v>
      </c>
      <c r="G7" s="12">
        <v>1.0517616768506599E-2</v>
      </c>
    </row>
    <row r="8" spans="1:7" x14ac:dyDescent="0.4">
      <c r="A8" s="1" t="s">
        <v>8</v>
      </c>
      <c r="B8" s="12">
        <v>0.57619390759761369</v>
      </c>
      <c r="C8" s="12">
        <v>0.15546964242252612</v>
      </c>
      <c r="D8" s="12">
        <v>7.1322088776073545E-4</v>
      </c>
      <c r="E8" s="12">
        <v>0.59646939649616892</v>
      </c>
      <c r="F8" s="12">
        <v>0.16146650817855987</v>
      </c>
      <c r="G8" s="12">
        <v>4.1942649882175889E-4</v>
      </c>
    </row>
    <row r="9" spans="1:7" x14ac:dyDescent="0.4">
      <c r="A9" s="1" t="s">
        <v>9</v>
      </c>
      <c r="B9" s="12">
        <v>0.27308650992637784</v>
      </c>
      <c r="C9" s="12">
        <v>0.1105463919823374</v>
      </c>
      <c r="D9" s="12">
        <v>7.1322088776073545E-4</v>
      </c>
      <c r="E9" s="12">
        <v>0.27926971996123318</v>
      </c>
      <c r="F9" s="12">
        <v>0.11888139061501247</v>
      </c>
      <c r="G9" s="12">
        <v>4.1942649882175889E-4</v>
      </c>
    </row>
    <row r="10" spans="1:7" x14ac:dyDescent="0.4">
      <c r="B10" s="5"/>
      <c r="C10" s="5"/>
      <c r="D10" s="5"/>
      <c r="E10" s="5"/>
      <c r="F10" s="5"/>
      <c r="G10" s="5"/>
    </row>
    <row r="11" spans="1:7" x14ac:dyDescent="0.4">
      <c r="B11" s="5"/>
      <c r="C11" s="5"/>
      <c r="D11" s="5"/>
      <c r="E11" s="5"/>
      <c r="F11" s="5"/>
      <c r="G11" s="5"/>
    </row>
    <row r="12" spans="1:7" x14ac:dyDescent="0.4">
      <c r="A12" s="7" t="s">
        <v>10</v>
      </c>
      <c r="B12" s="5"/>
      <c r="C12" s="5"/>
      <c r="D12" s="5"/>
      <c r="E12" s="5"/>
      <c r="F12" s="5"/>
      <c r="G12" s="5"/>
    </row>
    <row r="13" spans="1:7" x14ac:dyDescent="0.4">
      <c r="A13" s="1" t="s">
        <v>11</v>
      </c>
      <c r="B13" s="12">
        <v>2.1668647263527543E-2</v>
      </c>
      <c r="C13" s="12">
        <v>0</v>
      </c>
      <c r="D13" s="12">
        <v>0</v>
      </c>
      <c r="E13" s="12">
        <v>2.1614039578193005E-2</v>
      </c>
      <c r="F13" s="12">
        <v>0</v>
      </c>
      <c r="G13" s="12">
        <v>0</v>
      </c>
    </row>
    <row r="14" spans="1:7" x14ac:dyDescent="0.4">
      <c r="A14" s="1" t="s">
        <v>12</v>
      </c>
      <c r="B14" s="12">
        <v>0.22524989590496161</v>
      </c>
      <c r="C14" s="12">
        <v>0</v>
      </c>
      <c r="D14" s="12">
        <v>0</v>
      </c>
      <c r="E14" s="12">
        <v>0.23858578166348268</v>
      </c>
      <c r="F14" s="12">
        <v>0</v>
      </c>
      <c r="G14" s="12">
        <v>0</v>
      </c>
    </row>
    <row r="15" spans="1:7" x14ac:dyDescent="0.4">
      <c r="A15" s="1" t="s">
        <v>13</v>
      </c>
      <c r="B15" s="12">
        <v>0.19946984952158295</v>
      </c>
      <c r="C15" s="12">
        <v>3.0923916219702939E-2</v>
      </c>
      <c r="D15" s="12">
        <v>9.3658354003152838E-3</v>
      </c>
      <c r="E15" s="12">
        <v>0.20757440744530425</v>
      </c>
      <c r="F15" s="12">
        <v>3.4469324855892103E-2</v>
      </c>
      <c r="G15" s="12">
        <v>1.0517616768506599E-2</v>
      </c>
    </row>
    <row r="16" spans="1:7" ht="14.25" thickBot="1" x14ac:dyDescent="0.45">
      <c r="A16" s="8" t="s">
        <v>14</v>
      </c>
      <c r="B16" s="12">
        <v>0.15949828686676923</v>
      </c>
      <c r="C16" s="12">
        <v>0.14645115500636022</v>
      </c>
      <c r="D16" s="12">
        <v>0</v>
      </c>
      <c r="E16" s="12">
        <v>0.16669690864612166</v>
      </c>
      <c r="F16" s="12">
        <v>0.15141405653407722</v>
      </c>
      <c r="G16" s="12">
        <v>0</v>
      </c>
    </row>
    <row r="17" spans="1:7" ht="14.25" thickTop="1" x14ac:dyDescent="0.4">
      <c r="B17" s="6"/>
      <c r="C17" s="6"/>
      <c r="D17" s="6"/>
      <c r="E17" s="5"/>
      <c r="F17" s="5"/>
      <c r="G17" s="5"/>
    </row>
    <row r="18" spans="1:7" x14ac:dyDescent="0.4">
      <c r="B18" s="6"/>
      <c r="C18" s="6"/>
      <c r="D18" s="6"/>
      <c r="E18" s="5"/>
      <c r="F18" s="5"/>
      <c r="G18" s="5"/>
    </row>
    <row r="19" spans="1:7" x14ac:dyDescent="0.4">
      <c r="B19" s="6"/>
      <c r="C19" s="6"/>
      <c r="D19" s="6"/>
      <c r="E19" s="5"/>
      <c r="F19" s="5"/>
      <c r="G19" s="5"/>
    </row>
    <row r="20" spans="1:7" x14ac:dyDescent="0.4">
      <c r="A20" s="4" t="s">
        <v>15</v>
      </c>
      <c r="B20" s="12">
        <v>0.79071769374630818</v>
      </c>
      <c r="C20" s="12">
        <v>0.28516612260207458</v>
      </c>
      <c r="D20" s="12">
        <v>6.000600160717974E-2</v>
      </c>
      <c r="E20" s="12">
        <v>0.79582373943378881</v>
      </c>
      <c r="F20" s="12">
        <v>0.28754911785748322</v>
      </c>
      <c r="G20" s="12">
        <v>6.5887525957471826E-2</v>
      </c>
    </row>
    <row r="21" spans="1:7" x14ac:dyDescent="0.4">
      <c r="B21" s="6"/>
      <c r="C21" s="6"/>
      <c r="D21" s="6"/>
      <c r="E21" s="6"/>
      <c r="F21" s="6"/>
      <c r="G21" s="6"/>
    </row>
    <row r="22" spans="1:7" x14ac:dyDescent="0.4">
      <c r="A22" s="7" t="s">
        <v>16</v>
      </c>
      <c r="B22" s="6"/>
      <c r="C22" s="6"/>
      <c r="D22" s="6"/>
      <c r="E22" s="6"/>
      <c r="F22" s="6"/>
      <c r="G22" s="6"/>
    </row>
    <row r="23" spans="1:7" x14ac:dyDescent="0.4">
      <c r="A23" s="1" t="s">
        <v>7</v>
      </c>
      <c r="B23" s="12">
        <v>0.79071769374630818</v>
      </c>
      <c r="C23" s="12">
        <v>0.28516612260207458</v>
      </c>
      <c r="D23" s="12">
        <v>6.000600160717974E-2</v>
      </c>
      <c r="E23" s="12">
        <v>0.79582373943378881</v>
      </c>
      <c r="F23" s="12">
        <v>0.28754911785748322</v>
      </c>
      <c r="G23" s="12">
        <v>6.5887525957471826E-2</v>
      </c>
    </row>
    <row r="24" spans="1:7" x14ac:dyDescent="0.4">
      <c r="A24" s="1" t="s">
        <v>8</v>
      </c>
      <c r="B24" s="12">
        <v>0.71784537956159666</v>
      </c>
      <c r="C24" s="12">
        <v>0.26326069379853756</v>
      </c>
      <c r="D24" s="12">
        <v>0</v>
      </c>
      <c r="E24" s="12">
        <v>0.73045949269732036</v>
      </c>
      <c r="F24" s="12">
        <v>0.26313224464607388</v>
      </c>
      <c r="G24" s="12">
        <v>0</v>
      </c>
    </row>
    <row r="25" spans="1:7" x14ac:dyDescent="0.4">
      <c r="A25" s="1" t="s">
        <v>9</v>
      </c>
      <c r="B25" s="12">
        <v>0.4030882455462364</v>
      </c>
      <c r="C25" s="12">
        <v>0.19266743561864372</v>
      </c>
      <c r="D25" s="12">
        <v>0</v>
      </c>
      <c r="E25" s="12">
        <v>0.40715095237409704</v>
      </c>
      <c r="F25" s="12">
        <v>0.19762535497260922</v>
      </c>
      <c r="G25" s="12">
        <v>0</v>
      </c>
    </row>
    <row r="26" spans="1:7" x14ac:dyDescent="0.4">
      <c r="B26" s="6"/>
      <c r="C26" s="6"/>
      <c r="D26" s="6"/>
      <c r="E26" s="6"/>
      <c r="F26" s="6"/>
      <c r="G26" s="6"/>
    </row>
    <row r="27" spans="1:7" x14ac:dyDescent="0.4">
      <c r="B27" s="6"/>
      <c r="C27" s="6"/>
      <c r="D27" s="6"/>
      <c r="E27" s="6"/>
      <c r="F27" s="6"/>
      <c r="G27" s="6"/>
    </row>
    <row r="28" spans="1:7" x14ac:dyDescent="0.4">
      <c r="A28" s="7" t="s">
        <v>17</v>
      </c>
      <c r="B28" s="6"/>
      <c r="C28" s="6"/>
      <c r="D28" s="6"/>
      <c r="E28" s="6"/>
      <c r="F28" s="6"/>
      <c r="G28" s="6"/>
    </row>
    <row r="29" spans="1:7" x14ac:dyDescent="0.4">
      <c r="A29" s="1" t="s">
        <v>11</v>
      </c>
      <c r="B29" s="12">
        <v>2.1668647263527543E-2</v>
      </c>
      <c r="C29" s="12">
        <v>8.00131697588213E-3</v>
      </c>
      <c r="D29" s="12">
        <v>0</v>
      </c>
      <c r="E29" s="12">
        <v>2.1614039578193005E-2</v>
      </c>
      <c r="F29" s="12">
        <v>8.9186632170773199E-3</v>
      </c>
      <c r="G29" s="12">
        <v>0</v>
      </c>
    </row>
    <row r="30" spans="1:7" x14ac:dyDescent="0.4">
      <c r="A30" s="1" t="s">
        <v>12</v>
      </c>
      <c r="B30" s="12">
        <v>0.23544849951207139</v>
      </c>
      <c r="C30" s="12">
        <v>0</v>
      </c>
      <c r="D30" s="12">
        <v>0</v>
      </c>
      <c r="E30" s="12">
        <v>0.24536108769747494</v>
      </c>
      <c r="F30" s="12">
        <v>0</v>
      </c>
      <c r="G30" s="12">
        <v>0</v>
      </c>
    </row>
    <row r="31" spans="1:7" x14ac:dyDescent="0.4">
      <c r="A31" s="1" t="s">
        <v>13</v>
      </c>
      <c r="B31" s="12">
        <v>0.3039117324731867</v>
      </c>
      <c r="C31" s="12">
        <v>0.10670969969218584</v>
      </c>
      <c r="D31" s="12">
        <v>6.000600160717974E-2</v>
      </c>
      <c r="E31" s="12">
        <v>0.3152167977186574</v>
      </c>
      <c r="F31" s="12">
        <v>0.11325261663444412</v>
      </c>
      <c r="G31" s="12">
        <v>6.5887525957471826E-2</v>
      </c>
    </row>
    <row r="32" spans="1:7" ht="14.25" thickBot="1" x14ac:dyDescent="0.45">
      <c r="A32" s="8" t="s">
        <v>14</v>
      </c>
      <c r="B32" s="12">
        <v>0.22968881449752374</v>
      </c>
      <c r="C32" s="12">
        <v>0.17045510593400656</v>
      </c>
      <c r="D32" s="12">
        <v>0</v>
      </c>
      <c r="E32" s="12">
        <v>0.23345012419327052</v>
      </c>
      <c r="F32" s="12">
        <v>0.17817004618530916</v>
      </c>
      <c r="G32" s="12">
        <v>0</v>
      </c>
    </row>
    <row r="33" spans="1:7" ht="14.25" thickTop="1" x14ac:dyDescent="0.4">
      <c r="B33" s="5"/>
      <c r="C33" s="5"/>
      <c r="D33" s="5"/>
      <c r="E33" s="6"/>
      <c r="F33" s="6"/>
      <c r="G33" s="6"/>
    </row>
    <row r="34" spans="1:7" x14ac:dyDescent="0.4">
      <c r="B34" s="5"/>
      <c r="C34" s="5"/>
      <c r="D34" s="5"/>
      <c r="E34" s="6"/>
      <c r="F34" s="6"/>
      <c r="G34" s="6"/>
    </row>
    <row r="35" spans="1:7" x14ac:dyDescent="0.4">
      <c r="B35" s="5"/>
      <c r="C35" s="5"/>
      <c r="D35" s="5"/>
      <c r="E35" s="6"/>
      <c r="F35" s="6"/>
      <c r="G35" s="6"/>
    </row>
    <row r="36" spans="1:7" x14ac:dyDescent="0.4">
      <c r="A36" s="4" t="s">
        <v>18</v>
      </c>
      <c r="B36" s="9"/>
      <c r="C36" s="9"/>
      <c r="D36" s="9"/>
      <c r="E36" s="10"/>
      <c r="F36" s="10"/>
      <c r="G36" s="10"/>
    </row>
    <row r="37" spans="1:7" x14ac:dyDescent="0.4">
      <c r="A37" s="7" t="s">
        <v>19</v>
      </c>
      <c r="B37" s="5"/>
      <c r="C37" s="5"/>
      <c r="D37" s="5"/>
      <c r="E37" s="6"/>
      <c r="F37" s="6"/>
      <c r="G37" s="6"/>
    </row>
    <row r="38" spans="1:7" x14ac:dyDescent="0.4">
      <c r="A38" s="1" t="s">
        <v>7</v>
      </c>
      <c r="B38" s="12">
        <v>1</v>
      </c>
      <c r="C38" s="12">
        <v>0.95397682594660571</v>
      </c>
      <c r="D38" s="12">
        <v>1</v>
      </c>
      <c r="E38" s="12">
        <v>1</v>
      </c>
      <c r="F38" s="12">
        <v>0.9566428931634321</v>
      </c>
      <c r="G38" s="12">
        <v>1</v>
      </c>
    </row>
    <row r="39" spans="1:7" x14ac:dyDescent="0.4">
      <c r="A39" s="1" t="s">
        <v>8</v>
      </c>
      <c r="B39" s="12">
        <v>0.90324124816365547</v>
      </c>
      <c r="C39" s="12">
        <v>0.93207139714306886</v>
      </c>
      <c r="D39" s="12">
        <v>0.31935886324054186</v>
      </c>
      <c r="E39" s="12">
        <v>0.91223647788658369</v>
      </c>
      <c r="F39" s="12">
        <v>0.94114468316910005</v>
      </c>
      <c r="G39" s="12">
        <v>0.33600810786527746</v>
      </c>
    </row>
    <row r="40" spans="1:7" x14ac:dyDescent="0.4">
      <c r="A40" s="1" t="s">
        <v>9</v>
      </c>
      <c r="B40" s="12">
        <v>0.52689570172887634</v>
      </c>
      <c r="C40" s="12">
        <v>0.7955694463950489</v>
      </c>
      <c r="D40" s="12">
        <v>2.4252074371303535E-2</v>
      </c>
      <c r="E40" s="12">
        <v>0.5367340886248787</v>
      </c>
      <c r="F40" s="12">
        <v>0.81763821045885776</v>
      </c>
      <c r="G40" s="12">
        <v>2.800198770214982E-2</v>
      </c>
    </row>
    <row r="41" spans="1:7" x14ac:dyDescent="0.4">
      <c r="B41" s="6"/>
      <c r="C41" s="6"/>
      <c r="D41" s="6"/>
      <c r="E41" s="6"/>
      <c r="F41" s="6"/>
      <c r="G41" s="6"/>
    </row>
    <row r="42" spans="1:7" x14ac:dyDescent="0.4">
      <c r="B42" s="6"/>
      <c r="C42" s="6"/>
      <c r="D42" s="6"/>
      <c r="E42" s="6"/>
      <c r="F42" s="6"/>
      <c r="G42" s="6"/>
    </row>
    <row r="43" spans="1:7" x14ac:dyDescent="0.4">
      <c r="A43" s="7" t="s">
        <v>20</v>
      </c>
      <c r="B43" s="6"/>
      <c r="C43" s="6"/>
      <c r="D43" s="6"/>
      <c r="E43" s="6"/>
      <c r="F43" s="6"/>
      <c r="G43" s="6"/>
    </row>
    <row r="44" spans="1:7" x14ac:dyDescent="0.4">
      <c r="A44" s="1" t="s">
        <v>11</v>
      </c>
      <c r="B44" s="12">
        <v>2.1668647263527543E-2</v>
      </c>
      <c r="C44" s="12">
        <v>8.00131697588213E-3</v>
      </c>
      <c r="D44" s="12">
        <v>0.33535009943818334</v>
      </c>
      <c r="E44" s="12">
        <v>2.1614039578193005E-2</v>
      </c>
      <c r="F44" s="12">
        <v>8.9186632170773199E-3</v>
      </c>
      <c r="G44" s="12">
        <v>0.33151576524993398</v>
      </c>
    </row>
    <row r="45" spans="1:7" x14ac:dyDescent="0.4">
      <c r="A45" s="1" t="s">
        <v>12</v>
      </c>
      <c r="B45" s="12">
        <v>0.34504148646105265</v>
      </c>
      <c r="C45" s="12">
        <v>0.11526506854249788</v>
      </c>
      <c r="D45" s="12">
        <v>0</v>
      </c>
      <c r="E45" s="12">
        <v>0.35876410808886006</v>
      </c>
      <c r="F45" s="12">
        <v>0.12452613343530382</v>
      </c>
      <c r="G45" s="12">
        <v>0</v>
      </c>
    </row>
    <row r="46" spans="1:7" x14ac:dyDescent="0.4">
      <c r="A46" s="1" t="s">
        <v>13</v>
      </c>
      <c r="B46" s="12">
        <v>0.40163618319304123</v>
      </c>
      <c r="C46" s="12">
        <v>0.39042384170613958</v>
      </c>
      <c r="D46" s="12">
        <v>0.37032007082790114</v>
      </c>
      <c r="E46" s="12">
        <v>0.41171964122653482</v>
      </c>
      <c r="F46" s="12">
        <v>0.40517721291130704</v>
      </c>
      <c r="G46" s="12">
        <v>0.38003099447267008</v>
      </c>
    </row>
    <row r="47" spans="1:7" ht="14.25" thickBot="1" x14ac:dyDescent="0.45">
      <c r="A47" s="8" t="s">
        <v>14</v>
      </c>
      <c r="B47" s="12">
        <v>0.23165368308237974</v>
      </c>
      <c r="C47" s="12">
        <v>0.44028659872208759</v>
      </c>
      <c r="D47" s="12">
        <v>0.29432982973391497</v>
      </c>
      <c r="E47" s="12">
        <v>0.23562568117666255</v>
      </c>
      <c r="F47" s="12">
        <v>0.45668531471987556</v>
      </c>
      <c r="G47" s="12">
        <v>0.31188945373707255</v>
      </c>
    </row>
    <row r="48" spans="1:7" ht="14.25" thickTop="1" x14ac:dyDescent="0.4"/>
    <row r="51" spans="1:3" x14ac:dyDescent="0.4">
      <c r="A51" s="4" t="s">
        <v>21</v>
      </c>
      <c r="B51" s="4" t="s">
        <v>0</v>
      </c>
      <c r="C51" s="4" t="s">
        <v>1</v>
      </c>
    </row>
    <row r="52" spans="1:3" x14ac:dyDescent="0.4">
      <c r="B52" s="12">
        <v>0.27163166096164665</v>
      </c>
      <c r="C52" s="12">
        <v>0.27272499829271335</v>
      </c>
    </row>
    <row r="53" spans="1:3" x14ac:dyDescent="0.4">
      <c r="A53" s="1" t="s">
        <v>22</v>
      </c>
      <c r="B53" s="5">
        <v>506</v>
      </c>
      <c r="C53" s="60">
        <v>447</v>
      </c>
    </row>
    <row r="54" spans="1:3" x14ac:dyDescent="0.4">
      <c r="A54" s="1" t="s">
        <v>23</v>
      </c>
      <c r="B54" s="5"/>
      <c r="C54" s="61">
        <v>111</v>
      </c>
    </row>
    <row r="57" spans="1:3" x14ac:dyDescent="0.4">
      <c r="A57" s="4" t="s">
        <v>24</v>
      </c>
      <c r="B57" s="4" t="s">
        <v>0</v>
      </c>
      <c r="C57" s="4" t="s">
        <v>1</v>
      </c>
    </row>
    <row r="58" spans="1:3" x14ac:dyDescent="0.4">
      <c r="B58" s="12">
        <v>1.3398416302084793E-2</v>
      </c>
      <c r="C58" s="12">
        <v>1.4835098070708954E-2</v>
      </c>
    </row>
    <row r="59" spans="1:3" x14ac:dyDescent="0.4">
      <c r="A59" s="1" t="s">
        <v>22</v>
      </c>
      <c r="B59" s="5">
        <v>491</v>
      </c>
      <c r="C59" s="60">
        <v>447</v>
      </c>
    </row>
    <row r="60" spans="1:3" x14ac:dyDescent="0.4">
      <c r="A60" s="1" t="s">
        <v>25</v>
      </c>
      <c r="B60" s="5">
        <v>122</v>
      </c>
      <c r="C60" s="61">
        <v>6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CG Germplasm</vt:lpstr>
      <vt:lpstr>Exotic germplasm </vt:lpstr>
      <vt:lpstr>Unconditional</vt:lpstr>
      <vt:lpstr>Related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cp:lastModifiedBy>Paola Mallia</cp:lastModifiedBy>
  <dcterms:created xsi:type="dcterms:W3CDTF">2020-07-01T10:55:15Z</dcterms:created>
  <dcterms:modified xsi:type="dcterms:W3CDTF">2020-07-16T16:45:50Z</dcterms:modified>
</cp:coreProperties>
</file>