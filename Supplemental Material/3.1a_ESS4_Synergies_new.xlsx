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Final tables\"/>
    </mc:Choice>
  </mc:AlternateContent>
  <xr:revisionPtr revIDLastSave="0" documentId="13_ncr:1_{4D263CD0-4B52-4034-934C-54E313855998}" xr6:coauthVersionLast="45" xr6:coauthVersionMax="45" xr10:uidLastSave="{00000000-0000-0000-0000-000000000000}"/>
  <bookViews>
    <workbookView xWindow="7185" yWindow="-13620" windowWidth="21840" windowHeight="13290" activeTab="2" xr2:uid="{00000000-000D-0000-FFFF-FFFF00000000}"/>
  </bookViews>
  <sheets>
    <sheet name="Table 1_ea_ess4" sheetId="1" r:id="rId1"/>
    <sheet name="Table 1_ea_oth regions" sheetId="2" r:id="rId2"/>
    <sheet name="Table 2_hh_ess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286" i="3" l="1"/>
  <c r="AF287" i="3"/>
  <c r="AF284" i="3"/>
  <c r="AF283" i="3"/>
  <c r="AF281" i="3"/>
  <c r="AF280" i="3"/>
  <c r="AF278" i="3"/>
  <c r="AF277" i="3"/>
  <c r="AF275" i="3"/>
  <c r="AF274" i="3"/>
  <c r="AF272" i="3"/>
  <c r="AF271" i="3"/>
  <c r="AF269" i="3"/>
  <c r="AF268" i="3"/>
  <c r="AF266" i="3"/>
  <c r="AF265" i="3"/>
  <c r="AF263" i="3"/>
  <c r="AF262" i="3"/>
  <c r="AF260" i="3"/>
  <c r="AF259" i="3"/>
  <c r="AF257" i="3"/>
  <c r="AF256" i="3"/>
  <c r="AF254" i="3"/>
  <c r="AF253" i="3"/>
  <c r="AF251" i="3"/>
  <c r="AF250" i="3"/>
  <c r="AF248" i="3"/>
  <c r="AF247" i="3"/>
  <c r="AF245" i="3"/>
  <c r="AF244" i="3"/>
  <c r="AF242" i="3"/>
  <c r="AF241" i="3"/>
  <c r="AF239" i="3"/>
  <c r="AF238" i="3"/>
  <c r="AF236" i="3"/>
  <c r="AF235" i="3"/>
  <c r="AF233" i="3"/>
  <c r="AF232" i="3"/>
  <c r="AF230" i="3"/>
  <c r="AF229" i="3"/>
  <c r="AF227" i="3"/>
  <c r="AF226" i="3"/>
  <c r="AF224" i="3"/>
  <c r="AF223" i="3"/>
  <c r="AF221" i="3"/>
  <c r="AF220" i="3"/>
  <c r="AF218" i="3"/>
  <c r="AF217" i="3"/>
  <c r="AF215" i="3"/>
  <c r="AF214" i="3"/>
  <c r="AF212" i="3"/>
  <c r="AF211" i="3"/>
  <c r="AF209" i="3"/>
  <c r="AF208" i="3"/>
  <c r="AF206" i="3"/>
  <c r="AF205" i="3"/>
  <c r="AF203" i="3"/>
  <c r="AF202" i="3"/>
  <c r="AF200" i="3"/>
  <c r="AF199" i="3"/>
  <c r="AF197" i="3"/>
  <c r="AF196" i="3"/>
  <c r="AF194" i="3"/>
  <c r="AF193" i="3"/>
  <c r="AF191" i="3"/>
  <c r="AF190" i="3"/>
  <c r="AF188" i="3"/>
  <c r="AF187" i="3"/>
  <c r="AF185" i="3"/>
  <c r="AF184" i="3"/>
  <c r="AF182" i="3"/>
  <c r="AF181" i="3"/>
  <c r="AF179" i="3"/>
  <c r="AF178" i="3"/>
  <c r="AF176" i="3"/>
  <c r="AF175" i="3"/>
  <c r="AF173" i="3"/>
  <c r="AF172" i="3"/>
  <c r="AF170" i="3"/>
  <c r="AF169" i="3"/>
  <c r="AF167" i="3"/>
  <c r="AF166" i="3"/>
  <c r="AF164" i="3"/>
  <c r="AF163" i="3"/>
  <c r="AF161" i="3"/>
  <c r="AF160" i="3"/>
  <c r="AF158" i="3"/>
  <c r="AF157" i="3"/>
  <c r="AF155" i="3"/>
  <c r="AF154" i="3"/>
  <c r="AF152" i="3"/>
  <c r="AF151" i="3"/>
  <c r="AF149" i="3"/>
  <c r="AF148" i="3"/>
  <c r="AF146" i="3"/>
  <c r="AF145" i="3"/>
  <c r="AF143" i="3"/>
  <c r="AF142" i="3"/>
  <c r="AF140" i="3"/>
  <c r="AF139" i="3"/>
  <c r="AF137" i="3"/>
  <c r="AF136" i="3"/>
  <c r="AF134" i="3"/>
  <c r="AF133" i="3"/>
  <c r="AF131" i="3"/>
  <c r="AF130" i="3"/>
  <c r="AF128" i="3"/>
  <c r="AF127" i="3"/>
  <c r="AF125" i="3"/>
  <c r="AF124" i="3"/>
  <c r="AF122" i="3"/>
  <c r="AF121" i="3"/>
  <c r="AF119" i="3"/>
  <c r="AF118" i="3"/>
  <c r="AF116" i="3"/>
  <c r="AF115" i="3"/>
  <c r="AF113" i="3"/>
  <c r="AF112" i="3"/>
  <c r="AF110" i="3"/>
  <c r="AF109" i="3"/>
  <c r="AF107" i="3"/>
  <c r="AF106" i="3"/>
  <c r="AF104" i="3"/>
  <c r="AF103" i="3"/>
  <c r="AF101" i="3"/>
  <c r="AF100" i="3"/>
  <c r="AF98" i="3"/>
  <c r="AF97" i="3"/>
  <c r="AF95" i="3"/>
  <c r="AF94" i="3"/>
  <c r="AF92" i="3"/>
  <c r="AF91" i="3"/>
  <c r="AF89" i="3"/>
  <c r="AF88" i="3"/>
  <c r="AF86" i="3"/>
  <c r="AF85" i="3"/>
  <c r="AF83" i="3"/>
  <c r="AF82" i="3"/>
  <c r="AF80" i="3"/>
  <c r="AF79" i="3"/>
  <c r="AF77" i="3"/>
  <c r="AF76" i="3"/>
  <c r="AF74" i="3"/>
  <c r="AF73" i="3"/>
  <c r="AF71" i="3"/>
  <c r="AF70" i="3"/>
  <c r="AF68" i="3"/>
  <c r="AF67" i="3"/>
  <c r="AF65" i="3"/>
  <c r="AF64" i="3"/>
  <c r="AF62" i="3"/>
  <c r="AF61" i="3"/>
  <c r="AF59" i="3"/>
  <c r="AF58" i="3"/>
  <c r="AF56" i="3"/>
  <c r="AF55" i="3"/>
  <c r="AF53" i="3"/>
  <c r="AF52" i="3"/>
  <c r="AF50" i="3"/>
  <c r="AF49" i="3"/>
  <c r="AF47" i="3"/>
  <c r="AF46" i="3"/>
  <c r="AF44" i="3"/>
  <c r="AF43" i="3"/>
  <c r="AF41" i="3"/>
  <c r="AF40" i="3"/>
  <c r="AF38" i="3"/>
  <c r="AF37" i="3"/>
  <c r="AF35" i="3"/>
  <c r="AF34" i="3"/>
  <c r="AF32" i="3"/>
  <c r="AF31" i="3"/>
  <c r="AF29" i="3"/>
  <c r="AF28" i="3"/>
  <c r="AF26" i="3"/>
  <c r="AF25" i="3"/>
  <c r="AF23" i="3"/>
  <c r="AF22" i="3"/>
  <c r="AF20" i="3"/>
  <c r="AF19" i="3"/>
  <c r="AF17" i="3"/>
  <c r="AF16" i="3"/>
  <c r="AF14" i="3"/>
  <c r="AF13" i="3"/>
  <c r="AF11" i="3"/>
  <c r="AF10" i="3"/>
  <c r="AF8" i="3"/>
  <c r="AF7" i="3"/>
  <c r="AF5" i="3"/>
  <c r="AF4" i="3"/>
  <c r="AK287" i="2"/>
  <c r="AK286" i="2"/>
  <c r="AK284" i="2"/>
  <c r="AK283" i="2"/>
  <c r="AK281" i="2"/>
  <c r="AK280" i="2"/>
  <c r="AK278" i="2"/>
  <c r="AK277" i="2"/>
  <c r="AK275" i="2"/>
  <c r="AK274" i="2"/>
  <c r="AK272" i="2"/>
  <c r="AK271" i="2"/>
  <c r="AK269" i="2"/>
  <c r="AK268" i="2"/>
  <c r="AK266" i="2"/>
  <c r="AK265" i="2"/>
  <c r="AK263" i="2"/>
  <c r="AK262" i="2"/>
  <c r="AK260" i="2"/>
  <c r="AK259" i="2"/>
  <c r="AK257" i="2"/>
  <c r="AK256" i="2"/>
  <c r="AK254" i="2"/>
  <c r="AK253" i="2"/>
  <c r="AK251" i="2"/>
  <c r="AK250" i="2"/>
  <c r="AK248" i="2"/>
  <c r="AK247" i="2"/>
  <c r="AK245" i="2"/>
  <c r="AK244" i="2"/>
  <c r="AK242" i="2"/>
  <c r="AK241" i="2"/>
  <c r="AK239" i="2"/>
  <c r="AK238" i="2"/>
  <c r="AK236" i="2"/>
  <c r="AK235" i="2"/>
  <c r="AK233" i="2"/>
  <c r="AK232" i="2"/>
  <c r="AK230" i="2"/>
  <c r="AK229" i="2"/>
  <c r="AK227" i="2"/>
  <c r="AK226" i="2"/>
  <c r="AK224" i="2"/>
  <c r="AK223" i="2"/>
  <c r="AK221" i="2"/>
  <c r="AK220" i="2"/>
  <c r="AK218" i="2"/>
  <c r="AK217" i="2"/>
  <c r="AK215" i="2"/>
  <c r="AK214" i="2"/>
  <c r="AK212" i="2"/>
  <c r="AK211" i="2"/>
  <c r="AK209" i="2"/>
  <c r="AK208" i="2"/>
  <c r="AK206" i="2"/>
  <c r="AK205" i="2"/>
  <c r="AK203" i="2"/>
  <c r="AK202" i="2"/>
  <c r="AK200" i="2"/>
  <c r="AK199" i="2"/>
  <c r="AK197" i="2"/>
  <c r="AK196" i="2"/>
  <c r="AK194" i="2"/>
  <c r="AK193" i="2"/>
  <c r="AK191" i="2"/>
  <c r="AK190" i="2"/>
  <c r="AK188" i="2"/>
  <c r="AK187" i="2"/>
  <c r="AK185" i="2"/>
  <c r="AK184" i="2"/>
  <c r="AK182" i="2"/>
  <c r="AK181" i="2"/>
  <c r="AK179" i="2"/>
  <c r="AK178" i="2"/>
  <c r="AK176" i="2"/>
  <c r="AK175" i="2"/>
  <c r="AK173" i="2"/>
  <c r="AK172" i="2"/>
  <c r="AK170" i="2"/>
  <c r="AK169" i="2"/>
  <c r="AK167" i="2"/>
  <c r="AK166" i="2"/>
  <c r="AK164" i="2"/>
  <c r="AK163" i="2"/>
  <c r="AK161" i="2"/>
  <c r="AK160" i="2"/>
  <c r="AK158" i="2"/>
  <c r="AK157" i="2"/>
  <c r="AK155" i="2"/>
  <c r="AK154" i="2"/>
  <c r="AK152" i="2"/>
  <c r="AK151" i="2"/>
  <c r="AK149" i="2"/>
  <c r="AK148" i="2"/>
  <c r="AK146" i="2"/>
  <c r="AK145" i="2"/>
  <c r="AK143" i="2"/>
  <c r="AK142" i="2"/>
  <c r="AK140" i="2"/>
  <c r="AK139" i="2"/>
  <c r="AK137" i="2"/>
  <c r="AK136" i="2"/>
  <c r="AK134" i="2"/>
  <c r="AK133" i="2"/>
  <c r="AK131" i="2"/>
  <c r="AK130" i="2"/>
  <c r="AK128" i="2"/>
  <c r="AK127" i="2"/>
  <c r="AK125" i="2"/>
  <c r="AK124" i="2"/>
  <c r="AK122" i="2"/>
  <c r="AK121" i="2"/>
  <c r="AK119" i="2"/>
  <c r="AK118" i="2"/>
  <c r="AK116" i="2"/>
  <c r="AK115" i="2"/>
  <c r="AK113" i="2"/>
  <c r="AK112" i="2"/>
  <c r="AK110" i="2"/>
  <c r="AK109" i="2"/>
  <c r="AK107" i="2"/>
  <c r="AK106" i="2"/>
  <c r="AK104" i="2"/>
  <c r="AK103" i="2"/>
  <c r="AK101" i="2"/>
  <c r="AK100" i="2"/>
  <c r="AK97" i="2"/>
  <c r="AK98" i="2"/>
  <c r="AK95" i="2"/>
  <c r="AK94" i="2"/>
  <c r="AK92" i="2"/>
  <c r="AK91" i="2"/>
  <c r="AK89" i="2"/>
  <c r="AK88" i="2"/>
  <c r="AK86" i="2"/>
  <c r="AK85" i="2"/>
  <c r="AK83" i="2"/>
  <c r="AK82" i="2"/>
  <c r="AK80" i="2"/>
  <c r="AK79" i="2"/>
  <c r="AK77" i="2"/>
  <c r="AK76" i="2"/>
  <c r="AK74" i="2"/>
  <c r="AK73" i="2"/>
  <c r="AK71" i="2"/>
  <c r="AK70" i="2"/>
  <c r="AK68" i="2"/>
  <c r="AK67" i="2"/>
  <c r="AK65" i="2"/>
  <c r="AK64" i="2"/>
  <c r="AK62" i="2"/>
  <c r="AK61" i="2"/>
  <c r="AK59" i="2"/>
  <c r="AK58" i="2"/>
  <c r="AK56" i="2"/>
  <c r="AK55" i="2"/>
  <c r="AK53" i="2"/>
  <c r="AK52" i="2"/>
  <c r="AK50" i="2"/>
  <c r="AK49" i="2"/>
  <c r="AK47" i="2"/>
  <c r="AK46" i="2"/>
  <c r="AK44" i="2"/>
  <c r="AK43" i="2"/>
  <c r="AK41" i="2"/>
  <c r="AK40" i="2"/>
  <c r="AK38" i="2"/>
  <c r="AK37" i="2"/>
  <c r="AK35" i="2"/>
  <c r="AK34" i="2"/>
  <c r="AK32" i="2"/>
  <c r="AK31" i="2"/>
  <c r="AK29" i="2"/>
  <c r="AK28" i="2"/>
  <c r="AK26" i="2"/>
  <c r="AK25" i="2"/>
  <c r="AK23" i="2"/>
  <c r="AK22" i="2"/>
  <c r="AK20" i="2"/>
  <c r="AK19" i="2"/>
  <c r="AK17" i="2"/>
  <c r="AK16" i="2"/>
  <c r="AK14" i="2"/>
  <c r="AK13" i="2"/>
  <c r="AK11" i="2"/>
  <c r="AK10" i="2"/>
  <c r="AK8" i="2"/>
  <c r="AK7" i="2"/>
  <c r="AK5" i="2"/>
  <c r="AK4" i="2"/>
  <c r="AF287" i="1"/>
  <c r="AF286" i="1"/>
  <c r="AF284" i="1"/>
  <c r="AF283" i="1"/>
  <c r="AF281" i="1"/>
  <c r="AF280" i="1"/>
  <c r="AF278" i="1"/>
  <c r="AF277" i="1"/>
  <c r="AF275" i="1"/>
  <c r="AF274" i="1"/>
  <c r="AF272" i="1"/>
  <c r="AF271" i="1"/>
  <c r="AF269" i="1"/>
  <c r="AF268" i="1"/>
  <c r="AF266" i="1"/>
  <c r="AF265" i="1"/>
  <c r="AF263" i="1"/>
  <c r="AF262" i="1"/>
  <c r="AF260" i="1"/>
  <c r="AF259" i="1"/>
  <c r="AF257" i="1"/>
  <c r="AF256" i="1"/>
  <c r="AF254" i="1"/>
  <c r="AF253" i="1"/>
  <c r="AF251" i="1"/>
  <c r="AF250" i="1"/>
  <c r="AF248" i="1"/>
  <c r="AF247" i="1"/>
  <c r="AF245" i="1"/>
  <c r="AF244" i="1"/>
  <c r="AF242" i="1"/>
  <c r="AF241" i="1"/>
  <c r="AF239" i="1"/>
  <c r="AF238" i="1"/>
  <c r="AF236" i="1"/>
  <c r="AF235" i="1"/>
  <c r="AF233" i="1"/>
  <c r="AF232" i="1"/>
  <c r="AF230" i="1"/>
  <c r="AF229" i="1"/>
  <c r="AF227" i="1"/>
  <c r="AF226" i="1"/>
  <c r="AF224" i="1"/>
  <c r="AF223" i="1"/>
  <c r="AF221" i="1"/>
  <c r="AF220" i="1"/>
  <c r="AF218" i="1"/>
  <c r="AF217" i="1"/>
  <c r="AF215" i="1"/>
  <c r="AF214" i="1"/>
  <c r="AF212" i="1"/>
  <c r="AF211" i="1"/>
  <c r="AF209" i="1"/>
  <c r="AF208" i="1"/>
  <c r="AF206" i="1"/>
  <c r="AF205" i="1"/>
  <c r="AF203" i="1"/>
  <c r="AF202" i="1"/>
  <c r="AF200" i="1"/>
  <c r="AF199" i="1"/>
  <c r="AF197" i="1"/>
  <c r="AF196" i="1"/>
  <c r="AF194" i="1"/>
  <c r="AF193" i="1"/>
  <c r="AF191" i="1"/>
  <c r="AF190" i="1"/>
  <c r="AF188" i="1"/>
  <c r="AF187" i="1"/>
  <c r="AF185" i="1"/>
  <c r="AF184" i="1"/>
  <c r="AF182" i="1"/>
  <c r="AF181" i="1"/>
  <c r="AF179" i="1"/>
  <c r="AF178" i="1"/>
  <c r="AF176" i="1"/>
  <c r="AF175" i="1"/>
  <c r="AF173" i="1"/>
  <c r="AF172" i="1"/>
  <c r="AF170" i="1"/>
  <c r="AF169" i="1"/>
  <c r="AF167" i="1"/>
  <c r="AF166" i="1"/>
  <c r="AF164" i="1"/>
  <c r="AF163" i="1"/>
  <c r="AF161" i="1"/>
  <c r="AF160" i="1"/>
  <c r="AF158" i="1"/>
  <c r="AF157" i="1"/>
  <c r="AF155" i="1"/>
  <c r="AF154" i="1"/>
  <c r="AF152" i="1"/>
  <c r="AF151" i="1"/>
  <c r="AF149" i="1"/>
  <c r="AF148" i="1"/>
  <c r="AF146" i="1"/>
  <c r="AF145" i="1"/>
  <c r="AF143" i="1"/>
  <c r="AF142" i="1"/>
  <c r="AF140" i="1"/>
  <c r="AF139" i="1"/>
  <c r="AF137" i="1"/>
  <c r="AF136" i="1"/>
  <c r="AF134" i="1"/>
  <c r="AF133" i="1"/>
  <c r="AF131" i="1"/>
  <c r="AF130" i="1"/>
  <c r="AF128" i="1"/>
  <c r="AF127" i="1"/>
  <c r="AF125" i="1"/>
  <c r="AF124" i="1"/>
  <c r="AF122" i="1"/>
  <c r="AF121" i="1"/>
  <c r="AF119" i="1"/>
  <c r="AF118" i="1"/>
  <c r="AF116" i="1"/>
  <c r="AF115" i="1"/>
  <c r="AF113" i="1"/>
  <c r="AF112" i="1"/>
  <c r="AF110" i="1"/>
  <c r="AF109" i="1"/>
  <c r="AF107" i="1"/>
  <c r="AF106" i="1"/>
  <c r="AF104" i="1"/>
  <c r="AF103" i="1"/>
  <c r="AF101" i="1"/>
  <c r="AF100" i="1"/>
  <c r="AF98" i="1"/>
  <c r="AF97" i="1"/>
  <c r="AF95" i="1"/>
  <c r="AF94" i="1"/>
  <c r="AF92" i="1"/>
  <c r="AF91" i="1"/>
  <c r="AF89" i="1"/>
  <c r="AF88" i="1"/>
  <c r="AF86" i="1"/>
  <c r="AF85" i="1"/>
  <c r="AF83" i="1"/>
  <c r="AF82" i="1"/>
  <c r="AF80" i="1"/>
  <c r="AF79" i="1"/>
  <c r="AF77" i="1"/>
  <c r="AF76" i="1"/>
  <c r="AF74" i="1"/>
  <c r="AF73" i="1"/>
  <c r="AF71" i="1"/>
  <c r="AF70" i="1"/>
  <c r="AF68" i="1"/>
  <c r="AF67" i="1"/>
  <c r="AF65" i="1"/>
  <c r="AF64" i="1"/>
  <c r="AF62" i="1"/>
  <c r="AF61" i="1"/>
  <c r="AF59" i="1"/>
  <c r="AF58" i="1"/>
  <c r="AF56" i="1"/>
  <c r="AF55" i="1"/>
  <c r="AF53" i="1"/>
  <c r="AF52" i="1"/>
  <c r="AF50" i="1"/>
  <c r="AF49" i="1"/>
  <c r="AF47" i="1"/>
  <c r="AF46" i="1"/>
  <c r="AF44" i="1"/>
  <c r="AF43" i="1"/>
  <c r="AF41" i="1"/>
  <c r="AF40" i="1"/>
  <c r="AF38" i="1"/>
  <c r="AF37" i="1"/>
  <c r="AF35" i="1"/>
  <c r="AF34" i="1"/>
  <c r="AF32" i="1"/>
  <c r="AF31" i="1"/>
  <c r="AF29" i="1"/>
  <c r="AF28" i="1"/>
  <c r="AF26" i="1"/>
  <c r="AF25" i="1"/>
  <c r="AF23" i="1"/>
  <c r="AF22" i="1"/>
  <c r="AF20" i="1"/>
  <c r="AF19" i="1"/>
  <c r="AF17" i="1"/>
  <c r="AF16" i="1"/>
  <c r="AF14" i="1"/>
  <c r="AF13" i="1"/>
  <c r="AF11" i="1"/>
  <c r="AF10" i="1"/>
  <c r="AF8" i="1"/>
  <c r="AF7" i="1"/>
  <c r="AF5" i="1"/>
  <c r="AF4" i="1"/>
</calcChain>
</file>

<file path=xl/sharedStrings.xml><?xml version="1.0" encoding="utf-8"?>
<sst xmlns="http://schemas.openxmlformats.org/spreadsheetml/2006/main" count="1072" uniqueCount="139">
  <si>
    <t>Table 1: ESS4 - EA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</si>
  <si>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</si>
  <si>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</si>
  <si>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</si>
  <si>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</si>
  <si>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</si>
  <si>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</si>
  <si>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</si>
  <si>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</si>
  <si>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</si>
  <si>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</si>
  <si>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</si>
  <si>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</si>
  <si>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</si>
  <si>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CA</t>
  </si>
  <si>
    <t>NRM - CA</t>
  </si>
  <si>
    <t>CA1 = Crop rotation with legume - Crop residue cover</t>
  </si>
  <si>
    <t>NRM &amp; CA1</t>
  </si>
  <si>
    <t xml:space="preserve">CA2 = Crop rotation with legume -Minimum tillage </t>
  </si>
  <si>
    <t>NRM &amp; CA2</t>
  </si>
  <si>
    <t>CA3 = Crop rotation with legume - Zero tillage</t>
  </si>
  <si>
    <t>NRM &amp; CA3</t>
  </si>
  <si>
    <t>CA4 = Crop residue cover - Minimum tillage</t>
  </si>
  <si>
    <t>NRM &amp; CA4</t>
  </si>
  <si>
    <t>CA5 = Crop residue cover - Zero tillage</t>
  </si>
  <si>
    <t>NRM &amp; CA5</t>
  </si>
  <si>
    <t>Crop varieties</t>
  </si>
  <si>
    <t>NRM &amp; Crop varieties</t>
  </si>
  <si>
    <t>Trees</t>
  </si>
  <si>
    <t>NRM &amp; Trees</t>
  </si>
  <si>
    <t>Feed and Forages</t>
  </si>
  <si>
    <t>NRM &amp; Feed and Forages</t>
  </si>
  <si>
    <t>Breeding</t>
  </si>
  <si>
    <t>NRM &amp; Breeding</t>
  </si>
  <si>
    <t>Breeding (excl. poultry)</t>
  </si>
  <si>
    <t>NRM &amp; Breeding (excl. poultry)</t>
  </si>
  <si>
    <t>PSNP</t>
  </si>
  <si>
    <t>NRM &amp; PSNP</t>
  </si>
  <si>
    <t>Crop rotation with legume</t>
  </si>
  <si>
    <t>NRM &amp; Crop rotation with legume</t>
  </si>
  <si>
    <t>Crop residue cover</t>
  </si>
  <si>
    <t>NRM &amp; Crop residue cover</t>
  </si>
  <si>
    <t>Minimum tillage</t>
  </si>
  <si>
    <t>NRM &amp; Minimum tillage</t>
  </si>
  <si>
    <t>Zero tillage</t>
  </si>
  <si>
    <t>NRM &amp; Zero tillage</t>
  </si>
  <si>
    <t>CA &amp; Crop varieties</t>
  </si>
  <si>
    <t>CA &amp; Trees</t>
  </si>
  <si>
    <t>CA &amp; Feed and Forages</t>
  </si>
  <si>
    <t>CA &amp; Breeding</t>
  </si>
  <si>
    <t>CA &amp; Breeding (excl. poultry)</t>
  </si>
  <si>
    <t>CA &amp; PSNP</t>
  </si>
  <si>
    <t>Crop varieties &amp; Trees</t>
  </si>
  <si>
    <t>Crop varieties &amp; Feed and Forages</t>
  </si>
  <si>
    <t>Crop varieties &amp; Breeding</t>
  </si>
  <si>
    <t>Crop varieties &amp; Breeding (excl. poultry)</t>
  </si>
  <si>
    <t>Crop varieties &amp; PSNP</t>
  </si>
  <si>
    <t>Crop varieties &amp; Crop rotation with legume</t>
  </si>
  <si>
    <t>Crop varieties &amp; Crop residue cover</t>
  </si>
  <si>
    <t>Crop varieties &amp; Minimum tillage</t>
  </si>
  <si>
    <t>Crop varieties &amp; Zero tillage</t>
  </si>
  <si>
    <t>Crop varieties &amp; CA1</t>
  </si>
  <si>
    <t>Crop varieties &amp; CA2</t>
  </si>
  <si>
    <t>Crop varieties &amp; CA3</t>
  </si>
  <si>
    <t>Crop varieties &amp; CA4</t>
  </si>
  <si>
    <t>Crop varieties &amp; CA5</t>
  </si>
  <si>
    <t>Trees &amp; Feed and Forages</t>
  </si>
  <si>
    <t>Trees &amp; Breeding</t>
  </si>
  <si>
    <t>Trees &amp; Breeding (excl. poultry)</t>
  </si>
  <si>
    <t>Trees &amp; PSNP</t>
  </si>
  <si>
    <t>Trees &amp; Crop rotation with legume</t>
  </si>
  <si>
    <t>Trees &amp; Crop residue cover</t>
  </si>
  <si>
    <t>Trees &amp; Minimum tillage</t>
  </si>
  <si>
    <t>Trees &amp; Zero tillage</t>
  </si>
  <si>
    <t>Trees &amp; CA1</t>
  </si>
  <si>
    <t>Trees &amp; CA2</t>
  </si>
  <si>
    <t>Trees &amp; CA3</t>
  </si>
  <si>
    <t>Trees &amp; CA4</t>
  </si>
  <si>
    <t>Trees &amp; CA5</t>
  </si>
  <si>
    <t>Feed and Forages &amp; Breeding</t>
  </si>
  <si>
    <t>Feed and Forages &amp; Breeding (excl. poultry)</t>
  </si>
  <si>
    <t>Feed and Forages &amp;  PSNP</t>
  </si>
  <si>
    <t>Feed and Forages &amp; Crop rotation with legume</t>
  </si>
  <si>
    <t>Feed and Forages &amp; Crop residue cover</t>
  </si>
  <si>
    <t>Feed and Forages &amp; Minimum tillage</t>
  </si>
  <si>
    <t>Feed and Forages &amp; Zero tillage</t>
  </si>
  <si>
    <t>Feed and Forages &amp; CA1</t>
  </si>
  <si>
    <t>Feed and Forages &amp; CA2</t>
  </si>
  <si>
    <t>Feed and Forages &amp; CA3</t>
  </si>
  <si>
    <t>Feed and Forages &amp; CA4</t>
  </si>
  <si>
    <t>Feed and Forages &amp; CA5</t>
  </si>
  <si>
    <t>Breeding &amp;  PSNP</t>
  </si>
  <si>
    <t>Breeding &amp; Crop rotation with legume</t>
  </si>
  <si>
    <t>Breeding &amp; Crop residue cover</t>
  </si>
  <si>
    <t>Breeding &amp; Minimum tillage</t>
  </si>
  <si>
    <t>Breeding &amp; Zero tillage</t>
  </si>
  <si>
    <t>Breeding &amp; CA1</t>
  </si>
  <si>
    <t>Breeding &amp; CA2</t>
  </si>
  <si>
    <t>Breeding &amp; CA3</t>
  </si>
  <si>
    <t>Breeding &amp; CA4</t>
  </si>
  <si>
    <t>Breeding &amp; CA5</t>
  </si>
  <si>
    <t>Breeding (excl. poultry) &amp;  PSNP</t>
  </si>
  <si>
    <t>Breeding (excl. poultry) &amp; Crop rotation with legume</t>
  </si>
  <si>
    <t>Breeding (excl. poultry) &amp; Crop residue cover</t>
  </si>
  <si>
    <t>Breeding (excl. poultry) &amp; Minimum tillage</t>
  </si>
  <si>
    <t>Breeding (excl. poultry) &amp; Zero tillage</t>
  </si>
  <si>
    <t>Breeding excl. poultry &amp; CA1</t>
  </si>
  <si>
    <t>Breeding excl. poultry &amp; CA2</t>
  </si>
  <si>
    <t>Breeding excl. poultry &amp; CA3</t>
  </si>
  <si>
    <t>Breeding excl. poultry &amp; CA4</t>
  </si>
  <si>
    <t>Breeding excl. poultry &amp; CA5</t>
  </si>
  <si>
    <t>PSNP &amp; Crop rotation with legume</t>
  </si>
  <si>
    <t>PSNP &amp; Crop residue cover</t>
  </si>
  <si>
    <t>PSNP &amp; Minimum tillage</t>
  </si>
  <si>
    <t>PSNP &amp; Zero tillage</t>
  </si>
  <si>
    <t>PSNP &amp; CA1</t>
  </si>
  <si>
    <t>PSNP &amp; CA2</t>
  </si>
  <si>
    <t>PSNP &amp; CA3</t>
  </si>
  <si>
    <t>PSNP &amp; CA4</t>
  </si>
  <si>
    <t>PSNP &amp; CA5</t>
  </si>
  <si>
    <t>Crop rotation with legume &amp; Crop residue cover</t>
  </si>
  <si>
    <t>Crop rotation with legume &amp; Minimum tillage</t>
  </si>
  <si>
    <t>Crop rotation with legume &amp; Zero tillage</t>
  </si>
  <si>
    <t>Crop residue cover &amp; Minimum tillage</t>
  </si>
  <si>
    <t>Crop residue cover &amp; Zero tillage</t>
  </si>
  <si>
    <t>Total No. of obs. per region</t>
  </si>
  <si>
    <t>.</t>
  </si>
  <si>
    <t>Point estimates are weighted sample means. CA1 = Crop rotation with legume - Crop residue cover</t>
  </si>
  <si>
    <t>CA2 = Crop rotation with legume -Minimum tillage</t>
  </si>
  <si>
    <t>CA3 = Crop rotation with legume - Zero  tillage</t>
  </si>
  <si>
    <t>CA5 = Crop residue cover - Zero tillage.</t>
  </si>
  <si>
    <t>Table 1_b: ESS4 - EA - Other regions</t>
  </si>
  <si>
    <t>Afar</t>
  </si>
  <si>
    <t>Somali</t>
  </si>
  <si>
    <t>Benshangul Gumuz</t>
  </si>
  <si>
    <t>Gambela</t>
  </si>
  <si>
    <t>Harar</t>
  </si>
  <si>
    <t>Dire Dawa</t>
  </si>
  <si>
    <t>Table 2: ESS4 - HH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</si>
</sst>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&quot;;\-#,##0&quot;&quot;"/>
    <numFmt numFmtId="165" formatCode="#,##0.000&quot;&quot;;\-#,##0.000&quot;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19" fillId="0" borderId="10" xfId="0" applyNumberFormat="1" applyFont="1" applyFill="1" applyBorder="1" applyAlignment="1" applyProtection="1">
      <alignment horizontal="left" vertical="center" wrapText="1"/>
    </xf>
    <xf numFmtId="164" fontId="19" fillId="0" borderId="10" xfId="0" applyNumberFormat="1" applyFont="1" applyFill="1" applyBorder="1" applyAlignment="1" applyProtection="1">
      <alignment horizontal="center"/>
    </xf>
    <xf numFmtId="165" fontId="19" fillId="0" borderId="10" xfId="0" applyNumberFormat="1" applyFont="1" applyFill="1" applyBorder="1" applyAlignment="1" applyProtection="1">
      <alignment horizontal="center"/>
    </xf>
    <xf numFmtId="164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0" xfId="0" applyNumberFormat="1" applyFont="1" applyFill="1" applyBorder="1" applyAlignment="1" applyProtection="1">
      <alignment horizontal="center"/>
    </xf>
    <xf numFmtId="164" fontId="19" fillId="0" borderId="0" xfId="0" applyNumberFormat="1" applyFont="1" applyFill="1" applyBorder="1" applyAlignment="1" applyProtection="1">
      <alignment horizontal="center"/>
    </xf>
    <xf numFmtId="164" fontId="19" fillId="0" borderId="11" xfId="0" applyNumberFormat="1" applyFont="1" applyFill="1" applyBorder="1" applyAlignment="1" applyProtection="1">
      <alignment horizontal="left" vertical="center" wrapText="1"/>
    </xf>
    <xf numFmtId="165" fontId="19" fillId="0" borderId="11" xfId="0" applyNumberFormat="1" applyFont="1" applyFill="1" applyBorder="1" applyAlignment="1" applyProtection="1">
      <alignment horizontal="center"/>
    </xf>
    <xf numFmtId="164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5" fontId="18" fillId="0" borderId="10" xfId="0" applyNumberFormat="1" applyFont="1" applyFill="1" applyBorder="1" applyAlignment="1" applyProtection="1">
      <alignment horizontal="center"/>
    </xf>
    <xf numFmtId="165" fontId="18" fillId="0" borderId="0" xfId="0" applyNumberFormat="1" applyFont="1" applyFill="1" applyBorder="1" applyAlignment="1" applyProtection="1">
      <alignment horizontal="center"/>
    </xf>
    <xf numFmtId="165" fontId="18" fillId="0" borderId="11" xfId="0" applyNumberFormat="1" applyFont="1" applyFill="1" applyBorder="1" applyAlignment="1" applyProtection="1">
      <alignment horizontal="center"/>
    </xf>
    <xf numFmtId="0" fontId="16" fillId="0" borderId="0" xfId="0" applyFont="1"/>
    <xf numFmtId="164" fontId="19" fillId="33" borderId="0" xfId="0" applyNumberFormat="1" applyFont="1" applyFill="1" applyBorder="1" applyAlignment="1" applyProtection="1">
      <alignment horizontal="left" vertical="center" wrapText="1"/>
    </xf>
    <xf numFmtId="165" fontId="19" fillId="33" borderId="0" xfId="0" applyNumberFormat="1" applyFont="1" applyFill="1" applyBorder="1" applyAlignment="1" applyProtection="1">
      <alignment horizontal="center"/>
    </xf>
    <xf numFmtId="164" fontId="19" fillId="33" borderId="0" xfId="0" applyNumberFormat="1" applyFont="1" applyFill="1" applyBorder="1" applyAlignment="1" applyProtection="1">
      <alignment horizontal="center"/>
    </xf>
    <xf numFmtId="0" fontId="0" fillId="33" borderId="0" xfId="0" applyFill="1"/>
    <xf numFmtId="0" fontId="18" fillId="0" borderId="0" xfId="0" applyNumberFormat="1" applyFont="1" applyFill="1" applyBorder="1" applyAlignment="1" applyProtection="1">
      <alignment horizontal="center" vertical="center" wrapText="1"/>
    </xf>
    <xf numFmtId="164" fontId="19" fillId="0" borderId="1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4"/>
  <sheetViews>
    <sheetView workbookViewId="0">
      <pane xSplit="1" ySplit="3" topLeftCell="AA181" activePane="bottomRight" state="frozen"/>
      <selection pane="topRight" activeCell="B1" sqref="B1"/>
      <selection pane="bottomLeft" activeCell="A4" sqref="A4"/>
      <selection pane="bottomRight" activeCell="A189" sqref="A189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7" width="9.796875" style="14" customWidth="1"/>
    <col min="28" max="28" width="9.796875" customWidth="1"/>
    <col min="29" max="30" width="5.33203125" customWidth="1"/>
    <col min="31" max="31" width="7.1328125" customWidth="1"/>
  </cols>
  <sheetData>
    <row r="1" spans="1:32" ht="12.75" customHeight="1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 spans="1:32" x14ac:dyDescent="0.45">
      <c r="A2" s="1" t="s">
        <v>1</v>
      </c>
      <c r="B2" s="20" t="s">
        <v>2</v>
      </c>
      <c r="C2" s="20"/>
      <c r="D2" s="20"/>
      <c r="E2" s="20"/>
      <c r="F2" s="20"/>
      <c r="G2" s="20" t="s">
        <v>3</v>
      </c>
      <c r="H2" s="20"/>
      <c r="I2" s="20"/>
      <c r="J2" s="20"/>
      <c r="K2" s="20"/>
      <c r="L2" s="20" t="s">
        <v>4</v>
      </c>
      <c r="M2" s="20"/>
      <c r="N2" s="20"/>
      <c r="O2" s="20"/>
      <c r="P2" s="20"/>
      <c r="Q2" s="20" t="s">
        <v>5</v>
      </c>
      <c r="R2" s="20"/>
      <c r="S2" s="20"/>
      <c r="T2" s="20"/>
      <c r="U2" s="20"/>
      <c r="V2" s="20" t="s">
        <v>6</v>
      </c>
      <c r="W2" s="20"/>
      <c r="X2" s="20"/>
      <c r="Y2" s="20"/>
      <c r="Z2" s="20"/>
      <c r="AA2" s="20" t="s">
        <v>7</v>
      </c>
      <c r="AB2" s="20"/>
      <c r="AC2" s="20"/>
      <c r="AD2" s="20"/>
      <c r="AE2" s="20"/>
    </row>
    <row r="3" spans="1:32" x14ac:dyDescent="0.45">
      <c r="A3" s="1" t="s">
        <v>1</v>
      </c>
      <c r="B3" s="3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3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3" t="s">
        <v>8</v>
      </c>
      <c r="M3" s="3" t="s">
        <v>9</v>
      </c>
      <c r="N3" s="2" t="s">
        <v>10</v>
      </c>
      <c r="O3" s="2" t="s">
        <v>11</v>
      </c>
      <c r="P3" s="2" t="s">
        <v>12</v>
      </c>
      <c r="Q3" s="3" t="s">
        <v>8</v>
      </c>
      <c r="R3" s="3" t="s">
        <v>9</v>
      </c>
      <c r="S3" s="2" t="s">
        <v>10</v>
      </c>
      <c r="T3" s="2" t="s">
        <v>11</v>
      </c>
      <c r="U3" s="2" t="s">
        <v>12</v>
      </c>
      <c r="V3" s="3" t="s">
        <v>8</v>
      </c>
      <c r="W3" s="3" t="s">
        <v>9</v>
      </c>
      <c r="X3" s="2" t="s">
        <v>10</v>
      </c>
      <c r="Y3" s="2" t="s">
        <v>11</v>
      </c>
      <c r="Z3" s="2" t="s">
        <v>12</v>
      </c>
      <c r="AA3" s="11" t="s">
        <v>8</v>
      </c>
      <c r="AB3" s="3" t="s">
        <v>9</v>
      </c>
      <c r="AC3" s="2" t="s">
        <v>10</v>
      </c>
      <c r="AD3" s="2" t="s">
        <v>11</v>
      </c>
      <c r="AE3" s="2" t="s">
        <v>12</v>
      </c>
    </row>
    <row r="4" spans="1:32" x14ac:dyDescent="0.45">
      <c r="A4" s="4" t="s">
        <v>13</v>
      </c>
      <c r="B4" s="5">
        <v>0.96325561164598017</v>
      </c>
      <c r="C4" s="5">
        <v>3.6529384722979195E-2</v>
      </c>
      <c r="D4" s="6">
        <v>0</v>
      </c>
      <c r="E4" s="6">
        <v>1</v>
      </c>
      <c r="F4" s="6">
        <v>34</v>
      </c>
      <c r="G4" s="5">
        <v>1</v>
      </c>
      <c r="H4" s="5">
        <v>0</v>
      </c>
      <c r="I4" s="6">
        <v>1</v>
      </c>
      <c r="J4" s="6">
        <v>1</v>
      </c>
      <c r="K4" s="6">
        <v>42</v>
      </c>
      <c r="L4" s="5">
        <v>0.87138830341056916</v>
      </c>
      <c r="M4" s="5">
        <v>5.1351274827289746E-2</v>
      </c>
      <c r="N4" s="6">
        <v>0</v>
      </c>
      <c r="O4" s="6">
        <v>1</v>
      </c>
      <c r="P4" s="6">
        <v>44</v>
      </c>
      <c r="Q4" s="5">
        <v>0.82965387968364745</v>
      </c>
      <c r="R4" s="5">
        <v>6.0325554878020847E-2</v>
      </c>
      <c r="S4" s="6">
        <v>0</v>
      </c>
      <c r="T4" s="6">
        <v>1</v>
      </c>
      <c r="U4" s="6">
        <v>40</v>
      </c>
      <c r="V4" s="5">
        <v>0.60508824197795641</v>
      </c>
      <c r="W4" s="5">
        <v>6.6968425129205825E-2</v>
      </c>
      <c r="X4" s="6">
        <v>0</v>
      </c>
      <c r="Y4" s="6">
        <v>1</v>
      </c>
      <c r="Z4" s="6">
        <v>104</v>
      </c>
      <c r="AA4" s="12">
        <v>0.89297215332906554</v>
      </c>
      <c r="AB4" s="5">
        <v>2.5694406419021171E-2</v>
      </c>
      <c r="AC4" s="6">
        <v>0</v>
      </c>
      <c r="AD4" s="6">
        <v>1</v>
      </c>
      <c r="AE4" s="6">
        <v>264</v>
      </c>
      <c r="AF4">
        <f>(AA6/AA5)-AA4</f>
        <v>4.2330377711273348E-2</v>
      </c>
    </row>
    <row r="5" spans="1:32" x14ac:dyDescent="0.45">
      <c r="A5" s="4" t="s">
        <v>14</v>
      </c>
      <c r="B5" s="5">
        <v>0.14125871494262252</v>
      </c>
      <c r="C5" s="5">
        <v>6.5074565286824301E-2</v>
      </c>
      <c r="D5" s="6">
        <v>0</v>
      </c>
      <c r="E5" s="6">
        <v>1</v>
      </c>
      <c r="F5" s="6">
        <v>34</v>
      </c>
      <c r="G5" s="5">
        <v>0.16404585106896458</v>
      </c>
      <c r="H5" s="5">
        <v>5.7710190044605751E-2</v>
      </c>
      <c r="I5" s="6">
        <v>0</v>
      </c>
      <c r="J5" s="6">
        <v>1</v>
      </c>
      <c r="K5" s="6">
        <v>42</v>
      </c>
      <c r="L5" s="5">
        <v>0.2086788055890173</v>
      </c>
      <c r="M5" s="5">
        <v>6.386461691065122E-2</v>
      </c>
      <c r="N5" s="6">
        <v>0</v>
      </c>
      <c r="O5" s="6">
        <v>1</v>
      </c>
      <c r="P5" s="6">
        <v>44</v>
      </c>
      <c r="Q5" s="5">
        <v>0.16962493166829462</v>
      </c>
      <c r="R5" s="5">
        <v>6.2751547279342637E-2</v>
      </c>
      <c r="S5" s="6">
        <v>0</v>
      </c>
      <c r="T5" s="6">
        <v>1</v>
      </c>
      <c r="U5" s="6">
        <v>40</v>
      </c>
      <c r="V5" s="5">
        <v>0.22453693331192012</v>
      </c>
      <c r="W5" s="5">
        <v>5.5524839390507182E-2</v>
      </c>
      <c r="X5" s="6">
        <v>0</v>
      </c>
      <c r="Y5" s="6">
        <v>1</v>
      </c>
      <c r="Z5" s="6">
        <v>104</v>
      </c>
      <c r="AA5" s="12">
        <v>0.1845600184715836</v>
      </c>
      <c r="AB5" s="5">
        <v>3.3763052095516929E-2</v>
      </c>
      <c r="AC5" s="6">
        <v>0</v>
      </c>
      <c r="AD5" s="6">
        <v>1</v>
      </c>
      <c r="AE5" s="6">
        <v>264</v>
      </c>
      <c r="AF5">
        <f>(AA6/AA4)-AA5</f>
        <v>8.748867770597496E-3</v>
      </c>
    </row>
    <row r="6" spans="1:32" x14ac:dyDescent="0.45">
      <c r="A6" s="4" t="s">
        <v>15</v>
      </c>
      <c r="B6" s="5">
        <v>0.14125871494262252</v>
      </c>
      <c r="C6" s="5">
        <v>6.5074565286824301E-2</v>
      </c>
      <c r="D6" s="6">
        <v>0</v>
      </c>
      <c r="E6" s="6">
        <v>1</v>
      </c>
      <c r="F6" s="6">
        <v>34</v>
      </c>
      <c r="G6" s="5">
        <v>0.16404585106896458</v>
      </c>
      <c r="H6" s="5">
        <v>5.7710190044605751E-2</v>
      </c>
      <c r="I6" s="6">
        <v>0</v>
      </c>
      <c r="J6" s="6">
        <v>1</v>
      </c>
      <c r="K6" s="6">
        <v>42</v>
      </c>
      <c r="L6" s="5">
        <v>0.18350968206178339</v>
      </c>
      <c r="M6" s="5">
        <v>6.071917456986059E-2</v>
      </c>
      <c r="N6" s="6">
        <v>0</v>
      </c>
      <c r="O6" s="6">
        <v>1</v>
      </c>
      <c r="P6" s="6">
        <v>44</v>
      </c>
      <c r="Q6" s="5">
        <v>0.16962493166829462</v>
      </c>
      <c r="R6" s="5">
        <v>6.2751547279342637E-2</v>
      </c>
      <c r="S6" s="6">
        <v>0</v>
      </c>
      <c r="T6" s="6">
        <v>1</v>
      </c>
      <c r="U6" s="6">
        <v>40</v>
      </c>
      <c r="V6" s="5">
        <v>0.18105021576533961</v>
      </c>
      <c r="W6" s="5">
        <v>5.1496402104148964E-2</v>
      </c>
      <c r="X6" s="6">
        <v>0</v>
      </c>
      <c r="Y6" s="6">
        <v>1</v>
      </c>
      <c r="Z6" s="6">
        <v>104</v>
      </c>
      <c r="AA6" s="12">
        <v>0.17261945240532384</v>
      </c>
      <c r="AB6" s="5">
        <v>3.2706701555799335E-2</v>
      </c>
      <c r="AC6" s="6">
        <v>0</v>
      </c>
      <c r="AD6" s="6">
        <v>1</v>
      </c>
      <c r="AE6" s="6">
        <v>264</v>
      </c>
    </row>
    <row r="7" spans="1:32" x14ac:dyDescent="0.45">
      <c r="A7" s="4" t="s">
        <v>13</v>
      </c>
      <c r="B7" s="5">
        <v>0.96325561164598017</v>
      </c>
      <c r="C7" s="5">
        <v>3.6529384722979195E-2</v>
      </c>
      <c r="D7" s="6">
        <v>0</v>
      </c>
      <c r="E7" s="6">
        <v>1</v>
      </c>
      <c r="F7" s="6">
        <v>34</v>
      </c>
      <c r="G7" s="5">
        <v>1</v>
      </c>
      <c r="H7" s="5">
        <v>0</v>
      </c>
      <c r="I7" s="6">
        <v>1</v>
      </c>
      <c r="J7" s="6">
        <v>1</v>
      </c>
      <c r="K7" s="6">
        <v>42</v>
      </c>
      <c r="L7" s="5">
        <v>0.87138830341056916</v>
      </c>
      <c r="M7" s="5">
        <v>5.1351274827289746E-2</v>
      </c>
      <c r="N7" s="6">
        <v>0</v>
      </c>
      <c r="O7" s="6">
        <v>1</v>
      </c>
      <c r="P7" s="6">
        <v>44</v>
      </c>
      <c r="Q7" s="5">
        <v>0.82965387968364745</v>
      </c>
      <c r="R7" s="5">
        <v>6.0325554878020847E-2</v>
      </c>
      <c r="S7" s="6">
        <v>0</v>
      </c>
      <c r="T7" s="6">
        <v>1</v>
      </c>
      <c r="U7" s="6">
        <v>40</v>
      </c>
      <c r="V7" s="5">
        <v>0.60508824197795641</v>
      </c>
      <c r="W7" s="5">
        <v>6.6968425129205825E-2</v>
      </c>
      <c r="X7" s="6">
        <v>0</v>
      </c>
      <c r="Y7" s="6">
        <v>1</v>
      </c>
      <c r="Z7" s="6">
        <v>104</v>
      </c>
      <c r="AA7" s="12">
        <v>0.89297215332906554</v>
      </c>
      <c r="AB7" s="5">
        <v>2.5694406419021171E-2</v>
      </c>
      <c r="AC7" s="6">
        <v>0</v>
      </c>
      <c r="AD7" s="6">
        <v>1</v>
      </c>
      <c r="AE7" s="6">
        <v>264</v>
      </c>
      <c r="AF7">
        <f>(AA9/AA8)-AA7</f>
        <v>1.8608863091242989E-2</v>
      </c>
    </row>
    <row r="8" spans="1:32" ht="39.4" x14ac:dyDescent="0.45">
      <c r="A8" s="4" t="s">
        <v>16</v>
      </c>
      <c r="B8" s="5">
        <v>0.95226292316662886</v>
      </c>
      <c r="C8" s="5">
        <v>3.3757095360377097E-2</v>
      </c>
      <c r="D8" s="6">
        <v>0</v>
      </c>
      <c r="E8" s="6">
        <v>1</v>
      </c>
      <c r="F8" s="6">
        <v>34</v>
      </c>
      <c r="G8" s="5">
        <v>0.96979725445447418</v>
      </c>
      <c r="H8" s="5">
        <v>3.0016012175185333E-2</v>
      </c>
      <c r="I8" s="6">
        <v>0</v>
      </c>
      <c r="J8" s="6">
        <v>1</v>
      </c>
      <c r="K8" s="6">
        <v>42</v>
      </c>
      <c r="L8" s="5">
        <v>0.87135789190493673</v>
      </c>
      <c r="M8" s="5">
        <v>5.1043606748041002E-2</v>
      </c>
      <c r="N8" s="6">
        <v>0</v>
      </c>
      <c r="O8" s="6">
        <v>1</v>
      </c>
      <c r="P8" s="6">
        <v>44</v>
      </c>
      <c r="Q8" s="5">
        <v>0.94904190046407078</v>
      </c>
      <c r="R8" s="5">
        <v>3.5591246809232757E-2</v>
      </c>
      <c r="S8" s="6">
        <v>0</v>
      </c>
      <c r="T8" s="6">
        <v>1</v>
      </c>
      <c r="U8" s="6">
        <v>40</v>
      </c>
      <c r="V8" s="5">
        <v>0.6502146518916736</v>
      </c>
      <c r="W8" s="5">
        <v>6.6144933824160743E-2</v>
      </c>
      <c r="X8" s="6">
        <v>0</v>
      </c>
      <c r="Y8" s="6">
        <v>1</v>
      </c>
      <c r="Z8" s="6">
        <v>104</v>
      </c>
      <c r="AA8" s="12">
        <v>0.9123329679672284</v>
      </c>
      <c r="AB8" s="5">
        <v>2.4254307094762586E-2</v>
      </c>
      <c r="AC8" s="6">
        <v>0</v>
      </c>
      <c r="AD8" s="6">
        <v>1</v>
      </c>
      <c r="AE8" s="6">
        <v>264</v>
      </c>
      <c r="AF8">
        <f>(AA9/AA7)-AA8</f>
        <v>1.9012327799065476E-2</v>
      </c>
    </row>
    <row r="9" spans="1:32" x14ac:dyDescent="0.45">
      <c r="A9" s="4" t="s">
        <v>17</v>
      </c>
      <c r="B9" s="5">
        <v>0.91551853481260903</v>
      </c>
      <c r="C9" s="5">
        <v>4.8715204488338028E-2</v>
      </c>
      <c r="D9" s="6">
        <v>0</v>
      </c>
      <c r="E9" s="6">
        <v>1</v>
      </c>
      <c r="F9" s="6">
        <v>34</v>
      </c>
      <c r="G9" s="5">
        <v>0.96979725445447418</v>
      </c>
      <c r="H9" s="5">
        <v>3.0016012175185333E-2</v>
      </c>
      <c r="I9" s="6">
        <v>0</v>
      </c>
      <c r="J9" s="6">
        <v>1</v>
      </c>
      <c r="K9" s="6">
        <v>42</v>
      </c>
      <c r="L9" s="5">
        <v>0.76719000032947471</v>
      </c>
      <c r="M9" s="5">
        <v>6.4726305307900522E-2</v>
      </c>
      <c r="N9" s="6">
        <v>0</v>
      </c>
      <c r="O9" s="6">
        <v>1</v>
      </c>
      <c r="P9" s="6">
        <v>44</v>
      </c>
      <c r="Q9" s="5">
        <v>0.80372755728885703</v>
      </c>
      <c r="R9" s="5">
        <v>6.3964434930692413E-2</v>
      </c>
      <c r="S9" s="6">
        <v>0</v>
      </c>
      <c r="T9" s="6">
        <v>1</v>
      </c>
      <c r="U9" s="6">
        <v>40</v>
      </c>
      <c r="V9" s="5">
        <v>0.56621867866814157</v>
      </c>
      <c r="W9" s="5">
        <v>6.7051417536787047E-2</v>
      </c>
      <c r="X9" s="6">
        <v>0</v>
      </c>
      <c r="Y9" s="6">
        <v>1</v>
      </c>
      <c r="Z9" s="6">
        <v>104</v>
      </c>
      <c r="AA9" s="12">
        <v>0.83166541425332285</v>
      </c>
      <c r="AB9" s="5">
        <v>3.2061008946658226E-2</v>
      </c>
      <c r="AC9" s="6">
        <v>0</v>
      </c>
      <c r="AD9" s="6">
        <v>1</v>
      </c>
      <c r="AE9" s="6">
        <v>264</v>
      </c>
    </row>
    <row r="10" spans="1:32" x14ac:dyDescent="0.45">
      <c r="A10" s="4" t="s">
        <v>13</v>
      </c>
      <c r="B10" s="5">
        <v>0.96325561164598017</v>
      </c>
      <c r="C10" s="5">
        <v>3.6529384722979195E-2</v>
      </c>
      <c r="D10" s="6">
        <v>0</v>
      </c>
      <c r="E10" s="6">
        <v>1</v>
      </c>
      <c r="F10" s="6">
        <v>34</v>
      </c>
      <c r="G10" s="5">
        <v>1</v>
      </c>
      <c r="H10" s="5">
        <v>0</v>
      </c>
      <c r="I10" s="6">
        <v>1</v>
      </c>
      <c r="J10" s="6">
        <v>1</v>
      </c>
      <c r="K10" s="6">
        <v>42</v>
      </c>
      <c r="L10" s="5">
        <v>0.87138830341056916</v>
      </c>
      <c r="M10" s="5">
        <v>5.1351274827289746E-2</v>
      </c>
      <c r="N10" s="6">
        <v>0</v>
      </c>
      <c r="O10" s="6">
        <v>1</v>
      </c>
      <c r="P10" s="6">
        <v>44</v>
      </c>
      <c r="Q10" s="5">
        <v>0.82965387968364745</v>
      </c>
      <c r="R10" s="5">
        <v>6.0325554878020847E-2</v>
      </c>
      <c r="S10" s="6">
        <v>0</v>
      </c>
      <c r="T10" s="6">
        <v>1</v>
      </c>
      <c r="U10" s="6">
        <v>40</v>
      </c>
      <c r="V10" s="5">
        <v>0.60508824197795641</v>
      </c>
      <c r="W10" s="5">
        <v>6.6968425129205825E-2</v>
      </c>
      <c r="X10" s="6">
        <v>0</v>
      </c>
      <c r="Y10" s="6">
        <v>1</v>
      </c>
      <c r="Z10" s="6">
        <v>104</v>
      </c>
      <c r="AA10" s="12">
        <v>0.89297215332906554</v>
      </c>
      <c r="AB10" s="5">
        <v>2.5694406419021171E-2</v>
      </c>
      <c r="AC10" s="6">
        <v>0</v>
      </c>
      <c r="AD10" s="6">
        <v>1</v>
      </c>
      <c r="AE10" s="6">
        <v>264</v>
      </c>
      <c r="AF10">
        <f>(AA12/AA11)-AA10</f>
        <v>1.9166980181524185E-2</v>
      </c>
    </row>
    <row r="11" spans="1:32" ht="39.4" x14ac:dyDescent="0.45">
      <c r="A11" s="4" t="s">
        <v>18</v>
      </c>
      <c r="B11" s="5">
        <v>0.95343656614872163</v>
      </c>
      <c r="C11" s="5">
        <v>3.2998861160736311E-2</v>
      </c>
      <c r="D11" s="6">
        <v>0</v>
      </c>
      <c r="E11" s="6">
        <v>1</v>
      </c>
      <c r="F11" s="6">
        <v>34</v>
      </c>
      <c r="G11" s="5">
        <v>0.96979725445447418</v>
      </c>
      <c r="H11" s="5">
        <v>3.0016012175185333E-2</v>
      </c>
      <c r="I11" s="6">
        <v>0</v>
      </c>
      <c r="J11" s="6">
        <v>1</v>
      </c>
      <c r="K11" s="6">
        <v>42</v>
      </c>
      <c r="L11" s="5">
        <v>0.87593051101785058</v>
      </c>
      <c r="M11" s="5">
        <v>5.2578277384873313E-2</v>
      </c>
      <c r="N11" s="6">
        <v>0</v>
      </c>
      <c r="O11" s="6">
        <v>1</v>
      </c>
      <c r="P11" s="6">
        <v>44</v>
      </c>
      <c r="Q11" s="5">
        <v>0.9749682228588612</v>
      </c>
      <c r="R11" s="5">
        <v>2.5049499255806983E-2</v>
      </c>
      <c r="S11" s="6">
        <v>0</v>
      </c>
      <c r="T11" s="6">
        <v>1</v>
      </c>
      <c r="U11" s="6">
        <v>40</v>
      </c>
      <c r="V11" s="5">
        <v>0.64843100359019867</v>
      </c>
      <c r="W11" s="5">
        <v>6.691909310816567E-2</v>
      </c>
      <c r="X11" s="6">
        <v>0</v>
      </c>
      <c r="Y11" s="6">
        <v>1</v>
      </c>
      <c r="Z11" s="6">
        <v>104</v>
      </c>
      <c r="AA11" s="12">
        <v>0.920016663772251</v>
      </c>
      <c r="AB11" s="5">
        <v>2.4310884334046948E-2</v>
      </c>
      <c r="AC11" s="6">
        <v>0</v>
      </c>
      <c r="AD11" s="6">
        <v>1</v>
      </c>
      <c r="AE11" s="6">
        <v>264</v>
      </c>
      <c r="AF11">
        <f>(AA12/AA10)-AA11</f>
        <v>1.9747470394742006E-2</v>
      </c>
    </row>
    <row r="12" spans="1:32" x14ac:dyDescent="0.45">
      <c r="A12" s="4" t="s">
        <v>19</v>
      </c>
      <c r="B12" s="5">
        <v>0.9166921777947018</v>
      </c>
      <c r="C12" s="5">
        <v>4.8238282084524159E-2</v>
      </c>
      <c r="D12" s="6">
        <v>0</v>
      </c>
      <c r="E12" s="6">
        <v>1</v>
      </c>
      <c r="F12" s="6">
        <v>34</v>
      </c>
      <c r="G12" s="5">
        <v>0.96979725445447418</v>
      </c>
      <c r="H12" s="5">
        <v>3.0016012175185333E-2</v>
      </c>
      <c r="I12" s="6">
        <v>0</v>
      </c>
      <c r="J12" s="6">
        <v>1</v>
      </c>
      <c r="K12" s="6">
        <v>42</v>
      </c>
      <c r="L12" s="5">
        <v>0.77176261944238855</v>
      </c>
      <c r="M12" s="5">
        <v>6.5594745252410394E-2</v>
      </c>
      <c r="N12" s="6">
        <v>0</v>
      </c>
      <c r="O12" s="6">
        <v>1</v>
      </c>
      <c r="P12" s="6">
        <v>44</v>
      </c>
      <c r="Q12" s="5">
        <v>0.82965387968364745</v>
      </c>
      <c r="R12" s="5">
        <v>6.0325554878020847E-2</v>
      </c>
      <c r="S12" s="6">
        <v>0</v>
      </c>
      <c r="T12" s="6">
        <v>1</v>
      </c>
      <c r="U12" s="6">
        <v>40</v>
      </c>
      <c r="V12" s="5">
        <v>0.55958260045287023</v>
      </c>
      <c r="W12" s="5">
        <v>6.7374496286803573E-2</v>
      </c>
      <c r="X12" s="6">
        <v>0</v>
      </c>
      <c r="Y12" s="6">
        <v>1</v>
      </c>
      <c r="Z12" s="6">
        <v>104</v>
      </c>
      <c r="AA12" s="12">
        <v>0.83918320250852463</v>
      </c>
      <c r="AB12" s="5">
        <v>3.2095441888854728E-2</v>
      </c>
      <c r="AC12" s="6">
        <v>0</v>
      </c>
      <c r="AD12" s="6">
        <v>1</v>
      </c>
      <c r="AE12" s="6">
        <v>264</v>
      </c>
    </row>
    <row r="13" spans="1:32" x14ac:dyDescent="0.45">
      <c r="A13" s="4" t="s">
        <v>13</v>
      </c>
      <c r="B13" s="5">
        <v>0.96325561164598017</v>
      </c>
      <c r="C13" s="5">
        <v>3.6529384722979195E-2</v>
      </c>
      <c r="D13" s="6">
        <v>0</v>
      </c>
      <c r="E13" s="6">
        <v>1</v>
      </c>
      <c r="F13" s="6">
        <v>34</v>
      </c>
      <c r="G13" s="5">
        <v>1</v>
      </c>
      <c r="H13" s="5">
        <v>0</v>
      </c>
      <c r="I13" s="6">
        <v>1</v>
      </c>
      <c r="J13" s="6">
        <v>1</v>
      </c>
      <c r="K13" s="6">
        <v>42</v>
      </c>
      <c r="L13" s="5">
        <v>0.87138830341056916</v>
      </c>
      <c r="M13" s="5">
        <v>5.1351274827289746E-2</v>
      </c>
      <c r="N13" s="6">
        <v>0</v>
      </c>
      <c r="O13" s="6">
        <v>1</v>
      </c>
      <c r="P13" s="6">
        <v>44</v>
      </c>
      <c r="Q13" s="5">
        <v>0.82965387968364745</v>
      </c>
      <c r="R13" s="5">
        <v>6.0325554878020847E-2</v>
      </c>
      <c r="S13" s="6">
        <v>0</v>
      </c>
      <c r="T13" s="6">
        <v>1</v>
      </c>
      <c r="U13" s="6">
        <v>40</v>
      </c>
      <c r="V13" s="5">
        <v>0.60508824197795641</v>
      </c>
      <c r="W13" s="5">
        <v>6.6968425129205825E-2</v>
      </c>
      <c r="X13" s="6">
        <v>0</v>
      </c>
      <c r="Y13" s="6">
        <v>1</v>
      </c>
      <c r="Z13" s="6">
        <v>104</v>
      </c>
      <c r="AA13" s="12">
        <v>0.89297215332906554</v>
      </c>
      <c r="AB13" s="5">
        <v>2.5694406419021171E-2</v>
      </c>
      <c r="AC13" s="6">
        <v>0</v>
      </c>
      <c r="AD13" s="6">
        <v>1</v>
      </c>
      <c r="AE13" s="6">
        <v>264</v>
      </c>
      <c r="AF13">
        <f>(AA15/AA14)-AA13</f>
        <v>2.4476332400416467E-2</v>
      </c>
    </row>
    <row r="14" spans="1:32" ht="39.4" x14ac:dyDescent="0.45">
      <c r="A14" s="4" t="s">
        <v>20</v>
      </c>
      <c r="B14" s="5">
        <v>0.90678716876013998</v>
      </c>
      <c r="C14" s="5">
        <v>4.9177473357267902E-2</v>
      </c>
      <c r="D14" s="6">
        <v>0</v>
      </c>
      <c r="E14" s="6">
        <v>1</v>
      </c>
      <c r="F14" s="6">
        <v>34</v>
      </c>
      <c r="G14" s="5">
        <v>0.89891076629469935</v>
      </c>
      <c r="H14" s="5">
        <v>4.8893744591203998E-2</v>
      </c>
      <c r="I14" s="6">
        <v>0</v>
      </c>
      <c r="J14" s="6">
        <v>1</v>
      </c>
      <c r="K14" s="6">
        <v>42</v>
      </c>
      <c r="L14" s="5">
        <v>0.84039888724151057</v>
      </c>
      <c r="M14" s="5">
        <v>5.7315203821004336E-2</v>
      </c>
      <c r="N14" s="6">
        <v>0</v>
      </c>
      <c r="O14" s="6">
        <v>1</v>
      </c>
      <c r="P14" s="6">
        <v>44</v>
      </c>
      <c r="Q14" s="5">
        <v>0.94871856326789294</v>
      </c>
      <c r="R14" s="5">
        <v>3.5809222533905935E-2</v>
      </c>
      <c r="S14" s="6">
        <v>0</v>
      </c>
      <c r="T14" s="6">
        <v>1</v>
      </c>
      <c r="U14" s="6">
        <v>40</v>
      </c>
      <c r="V14" s="5">
        <v>0.49530541673349471</v>
      </c>
      <c r="W14" s="5">
        <v>6.7368955173709583E-2</v>
      </c>
      <c r="X14" s="6">
        <v>0</v>
      </c>
      <c r="Y14" s="6">
        <v>1</v>
      </c>
      <c r="Z14" s="6">
        <v>104</v>
      </c>
      <c r="AA14" s="12">
        <v>0.87236824792352818</v>
      </c>
      <c r="AB14" s="5">
        <v>2.8607368369315354E-2</v>
      </c>
      <c r="AC14" s="6">
        <v>0</v>
      </c>
      <c r="AD14" s="6">
        <v>1</v>
      </c>
      <c r="AE14" s="6">
        <v>264</v>
      </c>
      <c r="AF14">
        <f>(AA15/AA13)-AA14</f>
        <v>2.3911580145183686E-2</v>
      </c>
    </row>
    <row r="15" spans="1:32" x14ac:dyDescent="0.45">
      <c r="A15" s="4" t="s">
        <v>21</v>
      </c>
      <c r="B15" s="5">
        <v>0.90678716876013998</v>
      </c>
      <c r="C15" s="5">
        <v>4.9177473357267902E-2</v>
      </c>
      <c r="D15" s="6">
        <v>0</v>
      </c>
      <c r="E15" s="6">
        <v>1</v>
      </c>
      <c r="F15" s="6">
        <v>34</v>
      </c>
      <c r="G15" s="5">
        <v>0.89891076629469935</v>
      </c>
      <c r="H15" s="5">
        <v>4.8893744591203998E-2</v>
      </c>
      <c r="I15" s="6">
        <v>0</v>
      </c>
      <c r="J15" s="6">
        <v>1</v>
      </c>
      <c r="K15" s="6">
        <v>42</v>
      </c>
      <c r="L15" s="5">
        <v>0.73623099566604855</v>
      </c>
      <c r="M15" s="5">
        <v>6.8422797351213441E-2</v>
      </c>
      <c r="N15" s="6">
        <v>0</v>
      </c>
      <c r="O15" s="6">
        <v>1</v>
      </c>
      <c r="P15" s="6">
        <v>44</v>
      </c>
      <c r="Q15" s="5">
        <v>0.82965387968364745</v>
      </c>
      <c r="R15" s="5">
        <v>6.0325554878020847E-2</v>
      </c>
      <c r="S15" s="6">
        <v>0</v>
      </c>
      <c r="T15" s="6">
        <v>1</v>
      </c>
      <c r="U15" s="6">
        <v>40</v>
      </c>
      <c r="V15" s="5">
        <v>0.4303438003315338</v>
      </c>
      <c r="W15" s="5">
        <v>6.6036705547393146E-2</v>
      </c>
      <c r="X15" s="6">
        <v>0</v>
      </c>
      <c r="Y15" s="6">
        <v>1</v>
      </c>
      <c r="Z15" s="6">
        <v>104</v>
      </c>
      <c r="AA15" s="12">
        <v>0.80035292805592229</v>
      </c>
      <c r="AB15" s="5">
        <v>3.4468716472932294E-2</v>
      </c>
      <c r="AC15" s="6">
        <v>0</v>
      </c>
      <c r="AD15" s="6">
        <v>1</v>
      </c>
      <c r="AE15" s="6">
        <v>264</v>
      </c>
    </row>
    <row r="16" spans="1:32" x14ac:dyDescent="0.45">
      <c r="A16" s="4" t="s">
        <v>13</v>
      </c>
      <c r="B16" s="5">
        <v>0.96325561164598017</v>
      </c>
      <c r="C16" s="5">
        <v>3.6529384722979195E-2</v>
      </c>
      <c r="D16" s="6">
        <v>0</v>
      </c>
      <c r="E16" s="6">
        <v>1</v>
      </c>
      <c r="F16" s="6">
        <v>34</v>
      </c>
      <c r="G16" s="5">
        <v>1</v>
      </c>
      <c r="H16" s="5">
        <v>0</v>
      </c>
      <c r="I16" s="6">
        <v>1</v>
      </c>
      <c r="J16" s="6">
        <v>1</v>
      </c>
      <c r="K16" s="6">
        <v>42</v>
      </c>
      <c r="L16" s="5">
        <v>0.87138830341056916</v>
      </c>
      <c r="M16" s="5">
        <v>5.1351274827289746E-2</v>
      </c>
      <c r="N16" s="6">
        <v>0</v>
      </c>
      <c r="O16" s="6">
        <v>1</v>
      </c>
      <c r="P16" s="6">
        <v>44</v>
      </c>
      <c r="Q16" s="5">
        <v>0.82965387968364745</v>
      </c>
      <c r="R16" s="5">
        <v>6.0325554878020847E-2</v>
      </c>
      <c r="S16" s="6">
        <v>0</v>
      </c>
      <c r="T16" s="6">
        <v>1</v>
      </c>
      <c r="U16" s="6">
        <v>40</v>
      </c>
      <c r="V16" s="5">
        <v>0.60508824197795641</v>
      </c>
      <c r="W16" s="5">
        <v>6.6968425129205825E-2</v>
      </c>
      <c r="X16" s="6">
        <v>0</v>
      </c>
      <c r="Y16" s="6">
        <v>1</v>
      </c>
      <c r="Z16" s="6">
        <v>104</v>
      </c>
      <c r="AA16" s="12">
        <v>0.89297215332906554</v>
      </c>
      <c r="AB16" s="5">
        <v>2.5694406419021171E-2</v>
      </c>
      <c r="AC16" s="6">
        <v>0</v>
      </c>
      <c r="AD16" s="6">
        <v>1</v>
      </c>
      <c r="AE16" s="6">
        <v>264</v>
      </c>
      <c r="AF16">
        <f>(AA18/AA17)-AA16</f>
        <v>1.8220027606344003E-2</v>
      </c>
    </row>
    <row r="17" spans="1:32" ht="26.25" x14ac:dyDescent="0.45">
      <c r="A17" s="4" t="s">
        <v>22</v>
      </c>
      <c r="B17" s="5">
        <v>0.84952162550522947</v>
      </c>
      <c r="C17" s="5">
        <v>6.1545774275045921E-2</v>
      </c>
      <c r="D17" s="6">
        <v>0</v>
      </c>
      <c r="E17" s="6">
        <v>1</v>
      </c>
      <c r="F17" s="6">
        <v>34</v>
      </c>
      <c r="G17" s="5">
        <v>0.96979725445447418</v>
      </c>
      <c r="H17" s="5">
        <v>3.0016012175185333E-2</v>
      </c>
      <c r="I17" s="6">
        <v>0</v>
      </c>
      <c r="J17" s="6">
        <v>1</v>
      </c>
      <c r="K17" s="6">
        <v>42</v>
      </c>
      <c r="L17" s="5">
        <v>0.86468560906249525</v>
      </c>
      <c r="M17" s="5">
        <v>5.2374794839710012E-2</v>
      </c>
      <c r="N17" s="6">
        <v>0</v>
      </c>
      <c r="O17" s="6">
        <v>1</v>
      </c>
      <c r="P17" s="6">
        <v>44</v>
      </c>
      <c r="Q17" s="5">
        <v>0.9749682228588612</v>
      </c>
      <c r="R17" s="5">
        <v>2.5049499255806983E-2</v>
      </c>
      <c r="S17" s="6">
        <v>0</v>
      </c>
      <c r="T17" s="6">
        <v>1</v>
      </c>
      <c r="U17" s="6">
        <v>40</v>
      </c>
      <c r="V17" s="5">
        <v>0.67616365127076683</v>
      </c>
      <c r="W17" s="5">
        <v>6.6180623554006821E-2</v>
      </c>
      <c r="X17" s="6">
        <v>0</v>
      </c>
      <c r="Y17" s="6">
        <v>1</v>
      </c>
      <c r="Z17" s="6">
        <v>104</v>
      </c>
      <c r="AA17" s="12">
        <v>0.91020657995142884</v>
      </c>
      <c r="AB17" s="5">
        <v>2.4389856620021973E-2</v>
      </c>
      <c r="AC17" s="6">
        <v>0</v>
      </c>
      <c r="AD17" s="6">
        <v>1</v>
      </c>
      <c r="AE17" s="6">
        <v>264</v>
      </c>
      <c r="AF17">
        <f>(AA18/AA16)-AA17</f>
        <v>1.857167544627758E-2</v>
      </c>
    </row>
    <row r="18" spans="1:32" x14ac:dyDescent="0.45">
      <c r="A18" s="4" t="s">
        <v>23</v>
      </c>
      <c r="B18" s="5">
        <v>0.81277723715120975</v>
      </c>
      <c r="C18" s="5">
        <v>6.8984814083315901E-2</v>
      </c>
      <c r="D18" s="6">
        <v>0</v>
      </c>
      <c r="E18" s="6">
        <v>1</v>
      </c>
      <c r="F18" s="6">
        <v>34</v>
      </c>
      <c r="G18" s="5">
        <v>0.96979725445447418</v>
      </c>
      <c r="H18" s="5">
        <v>3.0016012175185333E-2</v>
      </c>
      <c r="I18" s="6">
        <v>0</v>
      </c>
      <c r="J18" s="6">
        <v>1</v>
      </c>
      <c r="K18" s="6">
        <v>42</v>
      </c>
      <c r="L18" s="5">
        <v>0.76051771748703345</v>
      </c>
      <c r="M18" s="5">
        <v>6.5505606479501863E-2</v>
      </c>
      <c r="N18" s="6">
        <v>0</v>
      </c>
      <c r="O18" s="6">
        <v>1</v>
      </c>
      <c r="P18" s="6">
        <v>44</v>
      </c>
      <c r="Q18" s="5">
        <v>0.82965387968364745</v>
      </c>
      <c r="R18" s="5">
        <v>6.0325554878020847E-2</v>
      </c>
      <c r="S18" s="6">
        <v>0</v>
      </c>
      <c r="T18" s="6">
        <v>1</v>
      </c>
      <c r="U18" s="6">
        <v>40</v>
      </c>
      <c r="V18" s="5">
        <v>0.58731524813343827</v>
      </c>
      <c r="W18" s="5">
        <v>6.7026919796109849E-2</v>
      </c>
      <c r="X18" s="6">
        <v>0</v>
      </c>
      <c r="Y18" s="6">
        <v>1</v>
      </c>
      <c r="Z18" s="6">
        <v>104</v>
      </c>
      <c r="AA18" s="12">
        <v>0.82937311868770269</v>
      </c>
      <c r="AB18" s="5">
        <v>3.2144399525849111E-2</v>
      </c>
      <c r="AC18" s="6">
        <v>0</v>
      </c>
      <c r="AD18" s="6">
        <v>1</v>
      </c>
      <c r="AE18" s="6">
        <v>264</v>
      </c>
    </row>
    <row r="19" spans="1:32" x14ac:dyDescent="0.45">
      <c r="A19" s="4" t="s">
        <v>13</v>
      </c>
      <c r="B19" s="5">
        <v>0.96325561164598017</v>
      </c>
      <c r="C19" s="5">
        <v>3.6529384722979195E-2</v>
      </c>
      <c r="D19" s="6">
        <v>0</v>
      </c>
      <c r="E19" s="6">
        <v>1</v>
      </c>
      <c r="F19" s="6">
        <v>34</v>
      </c>
      <c r="G19" s="5">
        <v>1</v>
      </c>
      <c r="H19" s="5">
        <v>0</v>
      </c>
      <c r="I19" s="6">
        <v>1</v>
      </c>
      <c r="J19" s="6">
        <v>1</v>
      </c>
      <c r="K19" s="6">
        <v>42</v>
      </c>
      <c r="L19" s="5">
        <v>0.87138830341056916</v>
      </c>
      <c r="M19" s="5">
        <v>5.1351274827289746E-2</v>
      </c>
      <c r="N19" s="6">
        <v>0</v>
      </c>
      <c r="O19" s="6">
        <v>1</v>
      </c>
      <c r="P19" s="6">
        <v>44</v>
      </c>
      <c r="Q19" s="5">
        <v>0.82965387968364745</v>
      </c>
      <c r="R19" s="5">
        <v>6.0325554878020847E-2</v>
      </c>
      <c r="S19" s="6">
        <v>0</v>
      </c>
      <c r="T19" s="6">
        <v>1</v>
      </c>
      <c r="U19" s="6">
        <v>40</v>
      </c>
      <c r="V19" s="5">
        <v>0.60508824197795641</v>
      </c>
      <c r="W19" s="5">
        <v>6.6968425129205825E-2</v>
      </c>
      <c r="X19" s="6">
        <v>0</v>
      </c>
      <c r="Y19" s="6">
        <v>1</v>
      </c>
      <c r="Z19" s="6">
        <v>104</v>
      </c>
      <c r="AA19" s="12">
        <v>0.89297215332906554</v>
      </c>
      <c r="AB19" s="5">
        <v>2.5694406419021171E-2</v>
      </c>
      <c r="AC19" s="6">
        <v>0</v>
      </c>
      <c r="AD19" s="6">
        <v>1</v>
      </c>
      <c r="AE19" s="6">
        <v>264</v>
      </c>
      <c r="AF19">
        <f>(AA21/AA20)-AA19</f>
        <v>1.2860811389978521E-2</v>
      </c>
    </row>
    <row r="20" spans="1:32" ht="26.25" x14ac:dyDescent="0.45">
      <c r="A20" s="4" t="s">
        <v>24</v>
      </c>
      <c r="B20" s="5">
        <v>0.59113064078982813</v>
      </c>
      <c r="C20" s="5">
        <v>8.9609791547363538E-2</v>
      </c>
      <c r="D20" s="6">
        <v>0</v>
      </c>
      <c r="E20" s="6">
        <v>1</v>
      </c>
      <c r="F20" s="6">
        <v>34</v>
      </c>
      <c r="G20" s="5">
        <v>0.71909384928754405</v>
      </c>
      <c r="H20" s="5">
        <v>7.2403474018022274E-2</v>
      </c>
      <c r="I20" s="6">
        <v>0</v>
      </c>
      <c r="J20" s="6">
        <v>1</v>
      </c>
      <c r="K20" s="6">
        <v>42</v>
      </c>
      <c r="L20" s="5">
        <v>0.69739462956204068</v>
      </c>
      <c r="M20" s="5">
        <v>7.1809022935466635E-2</v>
      </c>
      <c r="N20" s="6">
        <v>0</v>
      </c>
      <c r="O20" s="6">
        <v>1</v>
      </c>
      <c r="P20" s="6">
        <v>44</v>
      </c>
      <c r="Q20" s="5">
        <v>0.9233668457535289</v>
      </c>
      <c r="R20" s="5">
        <v>4.3202567197263397E-2</v>
      </c>
      <c r="S20" s="6">
        <v>0</v>
      </c>
      <c r="T20" s="6">
        <v>1</v>
      </c>
      <c r="U20" s="6">
        <v>40</v>
      </c>
      <c r="V20" s="5">
        <v>0.65121302184637453</v>
      </c>
      <c r="W20" s="5">
        <v>6.6128687462899488E-2</v>
      </c>
      <c r="X20" s="6">
        <v>0</v>
      </c>
      <c r="Y20" s="6">
        <v>1</v>
      </c>
      <c r="Z20" s="6">
        <v>104</v>
      </c>
      <c r="AA20" s="12">
        <v>0.74577850242169597</v>
      </c>
      <c r="AB20" s="5">
        <v>3.7735522277039836E-2</v>
      </c>
      <c r="AC20" s="6">
        <v>0</v>
      </c>
      <c r="AD20" s="6">
        <v>1</v>
      </c>
      <c r="AE20" s="6">
        <v>264</v>
      </c>
      <c r="AF20">
        <f>(AA21/AA19)-AA20</f>
        <v>1.0740891104598305E-2</v>
      </c>
    </row>
    <row r="21" spans="1:32" x14ac:dyDescent="0.45">
      <c r="A21" s="4" t="s">
        <v>25</v>
      </c>
      <c r="B21" s="5">
        <v>0.5543862524358083</v>
      </c>
      <c r="C21" s="5">
        <v>9.0981049454066432E-2</v>
      </c>
      <c r="D21" s="6">
        <v>0</v>
      </c>
      <c r="E21" s="6">
        <v>1</v>
      </c>
      <c r="F21" s="6">
        <v>34</v>
      </c>
      <c r="G21" s="5">
        <v>0.71909384928754405</v>
      </c>
      <c r="H21" s="5">
        <v>7.2403474018022274E-2</v>
      </c>
      <c r="I21" s="6">
        <v>0</v>
      </c>
      <c r="J21" s="6">
        <v>1</v>
      </c>
      <c r="K21" s="6">
        <v>42</v>
      </c>
      <c r="L21" s="5">
        <v>0.61876178429581408</v>
      </c>
      <c r="M21" s="5">
        <v>7.5650822679427077E-2</v>
      </c>
      <c r="N21" s="6">
        <v>0</v>
      </c>
      <c r="O21" s="6">
        <v>1</v>
      </c>
      <c r="P21" s="6">
        <v>44</v>
      </c>
      <c r="Q21" s="5">
        <v>0.77805250257831504</v>
      </c>
      <c r="R21" s="5">
        <v>6.7123734829869899E-2</v>
      </c>
      <c r="S21" s="6">
        <v>0</v>
      </c>
      <c r="T21" s="6">
        <v>1</v>
      </c>
      <c r="U21" s="6">
        <v>40</v>
      </c>
      <c r="V21" s="5">
        <v>0.56236461870904619</v>
      </c>
      <c r="W21" s="5">
        <v>6.7052525680788108E-2</v>
      </c>
      <c r="X21" s="6">
        <v>0</v>
      </c>
      <c r="Y21" s="6">
        <v>1</v>
      </c>
      <c r="Z21" s="6">
        <v>104</v>
      </c>
      <c r="AA21" s="12">
        <v>0.67555075187237368</v>
      </c>
      <c r="AB21" s="5">
        <v>4.0259540661647775E-2</v>
      </c>
      <c r="AC21" s="6">
        <v>0</v>
      </c>
      <c r="AD21" s="6">
        <v>1</v>
      </c>
      <c r="AE21" s="6">
        <v>264</v>
      </c>
    </row>
    <row r="22" spans="1:32" x14ac:dyDescent="0.45">
      <c r="A22" s="4" t="s">
        <v>13</v>
      </c>
      <c r="B22" s="5">
        <v>0.96325561164598017</v>
      </c>
      <c r="C22" s="5">
        <v>3.6529384722979195E-2</v>
      </c>
      <c r="D22" s="6">
        <v>0</v>
      </c>
      <c r="E22" s="6">
        <v>1</v>
      </c>
      <c r="F22" s="6">
        <v>34</v>
      </c>
      <c r="G22" s="5">
        <v>1</v>
      </c>
      <c r="H22" s="5">
        <v>0</v>
      </c>
      <c r="I22" s="6">
        <v>1</v>
      </c>
      <c r="J22" s="6">
        <v>1</v>
      </c>
      <c r="K22" s="6">
        <v>42</v>
      </c>
      <c r="L22" s="5">
        <v>0.87138830341056916</v>
      </c>
      <c r="M22" s="5">
        <v>5.1351274827289746E-2</v>
      </c>
      <c r="N22" s="6">
        <v>0</v>
      </c>
      <c r="O22" s="6">
        <v>1</v>
      </c>
      <c r="P22" s="6">
        <v>44</v>
      </c>
      <c r="Q22" s="5">
        <v>0.82965387968364745</v>
      </c>
      <c r="R22" s="5">
        <v>6.0325554878020847E-2</v>
      </c>
      <c r="S22" s="6">
        <v>0</v>
      </c>
      <c r="T22" s="6">
        <v>1</v>
      </c>
      <c r="U22" s="6">
        <v>40</v>
      </c>
      <c r="V22" s="5">
        <v>0.60508824197795641</v>
      </c>
      <c r="W22" s="5">
        <v>6.6968425129205825E-2</v>
      </c>
      <c r="X22" s="6">
        <v>0</v>
      </c>
      <c r="Y22" s="6">
        <v>1</v>
      </c>
      <c r="Z22" s="6">
        <v>104</v>
      </c>
      <c r="AA22" s="12">
        <v>0.89297215332906554</v>
      </c>
      <c r="AB22" s="5">
        <v>2.5694406419021171E-2</v>
      </c>
      <c r="AC22" s="6">
        <v>0</v>
      </c>
      <c r="AD22" s="6">
        <v>1</v>
      </c>
      <c r="AE22" s="6">
        <v>264</v>
      </c>
      <c r="AF22">
        <f>(AA24/AA23)-AA22</f>
        <v>3.0679196000501063E-2</v>
      </c>
    </row>
    <row r="23" spans="1:32" x14ac:dyDescent="0.45">
      <c r="A23" s="4" t="s">
        <v>26</v>
      </c>
      <c r="B23" s="5">
        <v>0.24902179290487914</v>
      </c>
      <c r="C23" s="5">
        <v>7.8614835918954476E-2</v>
      </c>
      <c r="D23" s="6">
        <v>0</v>
      </c>
      <c r="E23" s="6">
        <v>1</v>
      </c>
      <c r="F23" s="6">
        <v>34</v>
      </c>
      <c r="G23" s="5">
        <v>0.52007076896689197</v>
      </c>
      <c r="H23" s="5">
        <v>7.9207874917171434E-2</v>
      </c>
      <c r="I23" s="6">
        <v>0</v>
      </c>
      <c r="J23" s="6">
        <v>1</v>
      </c>
      <c r="K23" s="6">
        <v>42</v>
      </c>
      <c r="L23" s="5">
        <v>0.40284945544057527</v>
      </c>
      <c r="M23" s="5">
        <v>7.7077845130646777E-2</v>
      </c>
      <c r="N23" s="6">
        <v>0</v>
      </c>
      <c r="O23" s="6">
        <v>1</v>
      </c>
      <c r="P23" s="6">
        <v>44</v>
      </c>
      <c r="Q23" s="5">
        <v>0.56237744430379144</v>
      </c>
      <c r="R23" s="5">
        <v>8.1477344007092639E-2</v>
      </c>
      <c r="S23" s="6">
        <v>0</v>
      </c>
      <c r="T23" s="6">
        <v>1</v>
      </c>
      <c r="U23" s="6">
        <v>40</v>
      </c>
      <c r="V23" s="5">
        <v>0.30849368526502607</v>
      </c>
      <c r="W23" s="5">
        <v>6.0369974510870769E-2</v>
      </c>
      <c r="X23" s="6">
        <v>0</v>
      </c>
      <c r="Y23" s="6">
        <v>1</v>
      </c>
      <c r="Z23" s="6">
        <v>104</v>
      </c>
      <c r="AA23" s="12">
        <v>0.45769735338375289</v>
      </c>
      <c r="AB23" s="5">
        <v>4.2866116015874249E-2</v>
      </c>
      <c r="AC23" s="6">
        <v>0</v>
      </c>
      <c r="AD23" s="6">
        <v>1</v>
      </c>
      <c r="AE23" s="6">
        <v>264</v>
      </c>
      <c r="AF23">
        <f>(AA24/AA22)-AA23</f>
        <v>1.5724775695436843E-2</v>
      </c>
    </row>
    <row r="24" spans="1:32" x14ac:dyDescent="0.45">
      <c r="A24" s="4" t="s">
        <v>27</v>
      </c>
      <c r="B24" s="5">
        <v>0.24902179290487914</v>
      </c>
      <c r="C24" s="5">
        <v>7.8614835918954476E-2</v>
      </c>
      <c r="D24" s="6">
        <v>0</v>
      </c>
      <c r="E24" s="6">
        <v>1</v>
      </c>
      <c r="F24" s="6">
        <v>34</v>
      </c>
      <c r="G24" s="5">
        <v>0.52007076896689197</v>
      </c>
      <c r="H24" s="5">
        <v>7.9207874917171434E-2</v>
      </c>
      <c r="I24" s="6">
        <v>0</v>
      </c>
      <c r="J24" s="6">
        <v>1</v>
      </c>
      <c r="K24" s="6">
        <v>42</v>
      </c>
      <c r="L24" s="5">
        <v>0.34513102905619863</v>
      </c>
      <c r="M24" s="5">
        <v>7.5202398209374494E-2</v>
      </c>
      <c r="N24" s="6">
        <v>0</v>
      </c>
      <c r="O24" s="6">
        <v>1</v>
      </c>
      <c r="P24" s="6">
        <v>44</v>
      </c>
      <c r="Q24" s="5">
        <v>0.51879779522541969</v>
      </c>
      <c r="R24" s="5">
        <v>8.2184413141018417E-2</v>
      </c>
      <c r="S24" s="6">
        <v>0</v>
      </c>
      <c r="T24" s="6">
        <v>1</v>
      </c>
      <c r="U24" s="6">
        <v>40</v>
      </c>
      <c r="V24" s="5">
        <v>0.27159154099458543</v>
      </c>
      <c r="W24" s="5">
        <v>5.9410939677914998E-2</v>
      </c>
      <c r="X24" s="6">
        <v>0</v>
      </c>
      <c r="Y24" s="6">
        <v>1</v>
      </c>
      <c r="Z24" s="6">
        <v>104</v>
      </c>
      <c r="AA24" s="12">
        <v>0.42275277803747485</v>
      </c>
      <c r="AB24" s="5">
        <v>4.2539670610135735E-2</v>
      </c>
      <c r="AC24" s="6">
        <v>0</v>
      </c>
      <c r="AD24" s="6">
        <v>1</v>
      </c>
      <c r="AE24" s="6">
        <v>264</v>
      </c>
    </row>
    <row r="25" spans="1:32" x14ac:dyDescent="0.45">
      <c r="A25" s="4" t="s">
        <v>13</v>
      </c>
      <c r="B25" s="5">
        <v>0.96325561164598017</v>
      </c>
      <c r="C25" s="5">
        <v>3.6529384722979195E-2</v>
      </c>
      <c r="D25" s="6">
        <v>0</v>
      </c>
      <c r="E25" s="6">
        <v>1</v>
      </c>
      <c r="F25" s="6">
        <v>34</v>
      </c>
      <c r="G25" s="5">
        <v>1</v>
      </c>
      <c r="H25" s="5">
        <v>0</v>
      </c>
      <c r="I25" s="6">
        <v>1</v>
      </c>
      <c r="J25" s="6">
        <v>1</v>
      </c>
      <c r="K25" s="6">
        <v>42</v>
      </c>
      <c r="L25" s="5">
        <v>0.87138830341056916</v>
      </c>
      <c r="M25" s="5">
        <v>5.1351274827289746E-2</v>
      </c>
      <c r="N25" s="6">
        <v>0</v>
      </c>
      <c r="O25" s="6">
        <v>1</v>
      </c>
      <c r="P25" s="6">
        <v>44</v>
      </c>
      <c r="Q25" s="5">
        <v>0.82965387968364745</v>
      </c>
      <c r="R25" s="5">
        <v>6.0325554878020847E-2</v>
      </c>
      <c r="S25" s="6">
        <v>0</v>
      </c>
      <c r="T25" s="6">
        <v>1</v>
      </c>
      <c r="U25" s="6">
        <v>40</v>
      </c>
      <c r="V25" s="5">
        <v>0.60508824197795641</v>
      </c>
      <c r="W25" s="5">
        <v>6.6968425129205825E-2</v>
      </c>
      <c r="X25" s="6">
        <v>0</v>
      </c>
      <c r="Y25" s="6">
        <v>1</v>
      </c>
      <c r="Z25" s="6">
        <v>104</v>
      </c>
      <c r="AA25" s="12">
        <v>0.89297215332906554</v>
      </c>
      <c r="AB25" s="5">
        <v>2.5694406419021171E-2</v>
      </c>
      <c r="AC25" s="6">
        <v>0</v>
      </c>
      <c r="AD25" s="6">
        <v>1</v>
      </c>
      <c r="AE25" s="6">
        <v>264</v>
      </c>
      <c r="AF25">
        <f>(AA27/AA26)-AA25</f>
        <v>3.6271420210268746E-3</v>
      </c>
    </row>
    <row r="26" spans="1:32" x14ac:dyDescent="0.45">
      <c r="A26" s="4" t="s">
        <v>28</v>
      </c>
      <c r="B26" s="5">
        <v>0.16060683353603622</v>
      </c>
      <c r="C26" s="5">
        <v>6.3104178008598577E-2</v>
      </c>
      <c r="D26" s="6">
        <v>0</v>
      </c>
      <c r="E26" s="6">
        <v>1</v>
      </c>
      <c r="F26" s="6">
        <v>34</v>
      </c>
      <c r="G26" s="5">
        <v>0.18650001607317804</v>
      </c>
      <c r="H26" s="5">
        <v>6.08550634427708E-2</v>
      </c>
      <c r="I26" s="6">
        <v>0</v>
      </c>
      <c r="J26" s="6">
        <v>1</v>
      </c>
      <c r="K26" s="6">
        <v>42</v>
      </c>
      <c r="L26" s="5">
        <v>0.3982476541522913</v>
      </c>
      <c r="M26" s="5">
        <v>7.606739370062203E-2</v>
      </c>
      <c r="N26" s="6">
        <v>0</v>
      </c>
      <c r="O26" s="6">
        <v>1</v>
      </c>
      <c r="P26" s="6">
        <v>44</v>
      </c>
      <c r="Q26" s="5">
        <v>0.69537622401646959</v>
      </c>
      <c r="R26" s="5">
        <v>7.7013327808946444E-2</v>
      </c>
      <c r="S26" s="6">
        <v>0</v>
      </c>
      <c r="T26" s="6">
        <v>1</v>
      </c>
      <c r="U26" s="6">
        <v>40</v>
      </c>
      <c r="V26" s="5">
        <v>0.40152770724557457</v>
      </c>
      <c r="W26" s="5">
        <v>6.4202011804989259E-2</v>
      </c>
      <c r="X26" s="6">
        <v>0</v>
      </c>
      <c r="Y26" s="6">
        <v>1</v>
      </c>
      <c r="Z26" s="6">
        <v>104</v>
      </c>
      <c r="AA26" s="12">
        <v>0.39366660028274569</v>
      </c>
      <c r="AB26" s="5">
        <v>4.1749939332123578E-2</v>
      </c>
      <c r="AC26" s="6">
        <v>0</v>
      </c>
      <c r="AD26" s="6">
        <v>1</v>
      </c>
      <c r="AE26" s="6">
        <v>264</v>
      </c>
      <c r="AF26">
        <f>(AA27/AA25)-AA26</f>
        <v>1.5990248551839836E-3</v>
      </c>
    </row>
    <row r="27" spans="1:32" x14ac:dyDescent="0.45">
      <c r="A27" s="4" t="s">
        <v>29</v>
      </c>
      <c r="B27" s="5">
        <v>0.16060683353603622</v>
      </c>
      <c r="C27" s="5">
        <v>6.3104178008598577E-2</v>
      </c>
      <c r="D27" s="6">
        <v>0</v>
      </c>
      <c r="E27" s="6">
        <v>1</v>
      </c>
      <c r="F27" s="6">
        <v>34</v>
      </c>
      <c r="G27" s="5">
        <v>0.18650001607317804</v>
      </c>
      <c r="H27" s="5">
        <v>6.08550634427708E-2</v>
      </c>
      <c r="I27" s="6">
        <v>0</v>
      </c>
      <c r="J27" s="6">
        <v>1</v>
      </c>
      <c r="K27" s="6">
        <v>42</v>
      </c>
      <c r="L27" s="5">
        <v>0.34245448919599192</v>
      </c>
      <c r="M27" s="5">
        <v>7.3762060982600144E-2</v>
      </c>
      <c r="N27" s="6">
        <v>0</v>
      </c>
      <c r="O27" s="6">
        <v>1</v>
      </c>
      <c r="P27" s="6">
        <v>44</v>
      </c>
      <c r="Q27" s="5">
        <v>0.62777982602299687</v>
      </c>
      <c r="R27" s="5">
        <v>8.0024200331440865E-2</v>
      </c>
      <c r="S27" s="6">
        <v>0</v>
      </c>
      <c r="T27" s="6">
        <v>1</v>
      </c>
      <c r="U27" s="6">
        <v>40</v>
      </c>
      <c r="V27" s="5">
        <v>0.32925881725647932</v>
      </c>
      <c r="W27" s="5">
        <v>6.1090244100511011E-2</v>
      </c>
      <c r="X27" s="6">
        <v>0</v>
      </c>
      <c r="Y27" s="6">
        <v>1</v>
      </c>
      <c r="Z27" s="6">
        <v>104</v>
      </c>
      <c r="AA27" s="12">
        <v>0.3529611964163763</v>
      </c>
      <c r="AB27" s="5">
        <v>4.0807842589045726E-2</v>
      </c>
      <c r="AC27" s="6">
        <v>0</v>
      </c>
      <c r="AD27" s="6">
        <v>1</v>
      </c>
      <c r="AE27" s="6">
        <v>264</v>
      </c>
    </row>
    <row r="28" spans="1:32" x14ac:dyDescent="0.45">
      <c r="A28" s="4" t="s">
        <v>13</v>
      </c>
      <c r="B28" s="5">
        <v>0.96325561164598017</v>
      </c>
      <c r="C28" s="5">
        <v>3.6529384722979195E-2</v>
      </c>
      <c r="D28" s="6">
        <v>0</v>
      </c>
      <c r="E28" s="6">
        <v>1</v>
      </c>
      <c r="F28" s="6">
        <v>34</v>
      </c>
      <c r="G28" s="5">
        <v>1</v>
      </c>
      <c r="H28" s="5">
        <v>0</v>
      </c>
      <c r="I28" s="6">
        <v>1</v>
      </c>
      <c r="J28" s="6">
        <v>1</v>
      </c>
      <c r="K28" s="6">
        <v>42</v>
      </c>
      <c r="L28" s="5">
        <v>0.87138830341056916</v>
      </c>
      <c r="M28" s="5">
        <v>5.1351274827289746E-2</v>
      </c>
      <c r="N28" s="6">
        <v>0</v>
      </c>
      <c r="O28" s="6">
        <v>1</v>
      </c>
      <c r="P28" s="6">
        <v>44</v>
      </c>
      <c r="Q28" s="5">
        <v>0.82965387968364745</v>
      </c>
      <c r="R28" s="5">
        <v>6.0325554878020847E-2</v>
      </c>
      <c r="S28" s="6">
        <v>0</v>
      </c>
      <c r="T28" s="6">
        <v>1</v>
      </c>
      <c r="U28" s="6">
        <v>40</v>
      </c>
      <c r="V28" s="5">
        <v>0.60508824197795641</v>
      </c>
      <c r="W28" s="5">
        <v>6.6968425129205825E-2</v>
      </c>
      <c r="X28" s="6">
        <v>0</v>
      </c>
      <c r="Y28" s="6">
        <v>1</v>
      </c>
      <c r="Z28" s="6">
        <v>104</v>
      </c>
      <c r="AA28" s="12">
        <v>0.89297215332906554</v>
      </c>
      <c r="AB28" s="5">
        <v>2.5694406419021171E-2</v>
      </c>
      <c r="AC28" s="6">
        <v>0</v>
      </c>
      <c r="AD28" s="6">
        <v>1</v>
      </c>
      <c r="AE28" s="6">
        <v>264</v>
      </c>
      <c r="AF28">
        <f>(AA30/AA29)-AA28</f>
        <v>0.10326179119475176</v>
      </c>
    </row>
    <row r="29" spans="1:32" x14ac:dyDescent="0.45">
      <c r="A29" s="4" t="s">
        <v>30</v>
      </c>
      <c r="B29" s="5">
        <v>9.7944886332647418E-2</v>
      </c>
      <c r="C29" s="5">
        <v>5.0745074390485048E-2</v>
      </c>
      <c r="D29" s="6">
        <v>0</v>
      </c>
      <c r="E29" s="6">
        <v>1</v>
      </c>
      <c r="F29" s="6">
        <v>34</v>
      </c>
      <c r="G29" s="5">
        <v>0.19686198014165318</v>
      </c>
      <c r="H29" s="5">
        <v>6.361507673733699E-2</v>
      </c>
      <c r="I29" s="6">
        <v>0</v>
      </c>
      <c r="J29" s="6">
        <v>1</v>
      </c>
      <c r="K29" s="6">
        <v>42</v>
      </c>
      <c r="L29" s="5">
        <v>0.18448659651104984</v>
      </c>
      <c r="M29" s="5">
        <v>6.0019935102142451E-2</v>
      </c>
      <c r="N29" s="6">
        <v>0</v>
      </c>
      <c r="O29" s="6">
        <v>1</v>
      </c>
      <c r="P29" s="6">
        <v>44</v>
      </c>
      <c r="Q29" s="5">
        <v>0.12570203484365922</v>
      </c>
      <c r="R29" s="5">
        <v>5.3202553266984524E-2</v>
      </c>
      <c r="S29" s="6">
        <v>0</v>
      </c>
      <c r="T29" s="6">
        <v>1</v>
      </c>
      <c r="U29" s="6">
        <v>40</v>
      </c>
      <c r="V29" s="5">
        <v>7.1219747701667446E-2</v>
      </c>
      <c r="W29" s="5">
        <v>2.7252423041304919E-2</v>
      </c>
      <c r="X29" s="6">
        <v>0</v>
      </c>
      <c r="Y29" s="6">
        <v>1</v>
      </c>
      <c r="Z29" s="6">
        <v>104</v>
      </c>
      <c r="AA29" s="12">
        <v>0.16577578610959048</v>
      </c>
      <c r="AB29" s="5">
        <v>3.241187199883435E-2</v>
      </c>
      <c r="AC29" s="6">
        <v>0</v>
      </c>
      <c r="AD29" s="6">
        <v>1</v>
      </c>
      <c r="AE29" s="6">
        <v>264</v>
      </c>
      <c r="AF29">
        <f>(AA30/AA28)-AA29</f>
        <v>1.917003183870411E-2</v>
      </c>
    </row>
    <row r="30" spans="1:32" ht="26.25" x14ac:dyDescent="0.45">
      <c r="A30" s="4" t="s">
        <v>31</v>
      </c>
      <c r="B30" s="5">
        <v>9.7944886332647418E-2</v>
      </c>
      <c r="C30" s="5">
        <v>5.0745074390485048E-2</v>
      </c>
      <c r="D30" s="6">
        <v>0</v>
      </c>
      <c r="E30" s="6">
        <v>1</v>
      </c>
      <c r="F30" s="6">
        <v>34</v>
      </c>
      <c r="G30" s="5">
        <v>0.19686198014165318</v>
      </c>
      <c r="H30" s="5">
        <v>6.361507673733699E-2</v>
      </c>
      <c r="I30" s="6">
        <v>0</v>
      </c>
      <c r="J30" s="6">
        <v>1</v>
      </c>
      <c r="K30" s="6">
        <v>42</v>
      </c>
      <c r="L30" s="5">
        <v>0.18448659651104984</v>
      </c>
      <c r="M30" s="5">
        <v>6.0019935102142451E-2</v>
      </c>
      <c r="N30" s="6">
        <v>0</v>
      </c>
      <c r="O30" s="6">
        <v>1</v>
      </c>
      <c r="P30" s="6">
        <v>44</v>
      </c>
      <c r="Q30" s="5">
        <v>0.12570203484365922</v>
      </c>
      <c r="R30" s="5">
        <v>5.3202553266984524E-2</v>
      </c>
      <c r="S30" s="6">
        <v>0</v>
      </c>
      <c r="T30" s="6">
        <v>1</v>
      </c>
      <c r="U30" s="6">
        <v>40</v>
      </c>
      <c r="V30" s="5">
        <v>5.2959741068861046E-2</v>
      </c>
      <c r="W30" s="5">
        <v>2.4376527963588471E-2</v>
      </c>
      <c r="X30" s="6">
        <v>0</v>
      </c>
      <c r="Y30" s="6">
        <v>1</v>
      </c>
      <c r="Z30" s="6">
        <v>104</v>
      </c>
      <c r="AA30" s="12">
        <v>0.16515146530249397</v>
      </c>
      <c r="AB30" s="5">
        <v>3.2410958361836405E-2</v>
      </c>
      <c r="AC30" s="6">
        <v>0</v>
      </c>
      <c r="AD30" s="6">
        <v>1</v>
      </c>
      <c r="AE30" s="6">
        <v>264</v>
      </c>
    </row>
    <row r="31" spans="1:32" x14ac:dyDescent="0.45">
      <c r="A31" s="4" t="s">
        <v>13</v>
      </c>
      <c r="B31" s="5">
        <v>0.96325561164598017</v>
      </c>
      <c r="C31" s="5">
        <v>3.6529384722979195E-2</v>
      </c>
      <c r="D31" s="6">
        <v>0</v>
      </c>
      <c r="E31" s="6">
        <v>1</v>
      </c>
      <c r="F31" s="6">
        <v>34</v>
      </c>
      <c r="G31" s="5">
        <v>1</v>
      </c>
      <c r="H31" s="5">
        <v>0</v>
      </c>
      <c r="I31" s="6">
        <v>1</v>
      </c>
      <c r="J31" s="6">
        <v>1</v>
      </c>
      <c r="K31" s="6">
        <v>42</v>
      </c>
      <c r="L31" s="5">
        <v>0.87138830341056916</v>
      </c>
      <c r="M31" s="5">
        <v>5.1351274827289746E-2</v>
      </c>
      <c r="N31" s="6">
        <v>0</v>
      </c>
      <c r="O31" s="6">
        <v>1</v>
      </c>
      <c r="P31" s="6">
        <v>44</v>
      </c>
      <c r="Q31" s="5">
        <v>0.82965387968364745</v>
      </c>
      <c r="R31" s="5">
        <v>6.0325554878020847E-2</v>
      </c>
      <c r="S31" s="6">
        <v>0</v>
      </c>
      <c r="T31" s="6">
        <v>1</v>
      </c>
      <c r="U31" s="6">
        <v>40</v>
      </c>
      <c r="V31" s="5">
        <v>0.60508824197795641</v>
      </c>
      <c r="W31" s="5">
        <v>6.6968425129205825E-2</v>
      </c>
      <c r="X31" s="6">
        <v>0</v>
      </c>
      <c r="Y31" s="6">
        <v>1</v>
      </c>
      <c r="Z31" s="6">
        <v>104</v>
      </c>
      <c r="AA31" s="12">
        <v>0.89297215332906554</v>
      </c>
      <c r="AB31" s="5">
        <v>2.5694406419021171E-2</v>
      </c>
      <c r="AC31" s="6">
        <v>0</v>
      </c>
      <c r="AD31" s="6">
        <v>1</v>
      </c>
      <c r="AE31" s="6">
        <v>264</v>
      </c>
      <c r="AF31">
        <f>(AA33/AA32)-AA31</f>
        <v>2.9941944185397418E-2</v>
      </c>
    </row>
    <row r="32" spans="1:32" x14ac:dyDescent="0.45">
      <c r="A32" s="4" t="s">
        <v>32</v>
      </c>
      <c r="B32" s="5">
        <v>0.88886175204661999</v>
      </c>
      <c r="C32" s="5">
        <v>6.1457033964244352E-2</v>
      </c>
      <c r="D32" s="6">
        <v>0</v>
      </c>
      <c r="E32" s="6">
        <v>1</v>
      </c>
      <c r="F32" s="6">
        <v>34</v>
      </c>
      <c r="G32" s="5">
        <v>0.60873909731901421</v>
      </c>
      <c r="H32" s="5">
        <v>7.7439164761967633E-2</v>
      </c>
      <c r="I32" s="6">
        <v>0</v>
      </c>
      <c r="J32" s="6">
        <v>1</v>
      </c>
      <c r="K32" s="6">
        <v>42</v>
      </c>
      <c r="L32" s="5">
        <v>0.4867159180448013</v>
      </c>
      <c r="M32" s="5">
        <v>7.8217992076327084E-2</v>
      </c>
      <c r="N32" s="6">
        <v>0</v>
      </c>
      <c r="O32" s="6">
        <v>1</v>
      </c>
      <c r="P32" s="6">
        <v>44</v>
      </c>
      <c r="Q32" s="5">
        <v>0.64300167798766439</v>
      </c>
      <c r="R32" s="5">
        <v>7.9764129090886995E-2</v>
      </c>
      <c r="S32" s="6">
        <v>0</v>
      </c>
      <c r="T32" s="6">
        <v>1</v>
      </c>
      <c r="U32" s="6">
        <v>40</v>
      </c>
      <c r="V32" s="5">
        <v>0.21962332207176813</v>
      </c>
      <c r="W32" s="5">
        <v>4.9938905008240317E-2</v>
      </c>
      <c r="X32" s="6">
        <v>0</v>
      </c>
      <c r="Y32" s="6">
        <v>1</v>
      </c>
      <c r="Z32" s="6">
        <v>104</v>
      </c>
      <c r="AA32" s="12">
        <v>0.56879903245024355</v>
      </c>
      <c r="AB32" s="5">
        <v>4.2838805073454271E-2</v>
      </c>
      <c r="AC32" s="6">
        <v>0</v>
      </c>
      <c r="AD32" s="6">
        <v>1</v>
      </c>
      <c r="AE32" s="6">
        <v>264</v>
      </c>
      <c r="AF32">
        <f>(AA33/AA31)-AA32</f>
        <v>1.9072206024387972E-2</v>
      </c>
    </row>
    <row r="33" spans="1:32" x14ac:dyDescent="0.45">
      <c r="A33" s="4" t="s">
        <v>33</v>
      </c>
      <c r="B33" s="5">
        <v>0.85211736369260016</v>
      </c>
      <c r="C33" s="5">
        <v>6.8994608141228625E-2</v>
      </c>
      <c r="D33" s="6">
        <v>0</v>
      </c>
      <c r="E33" s="6">
        <v>1</v>
      </c>
      <c r="F33" s="6">
        <v>34</v>
      </c>
      <c r="G33" s="5">
        <v>0.60873909731901421</v>
      </c>
      <c r="H33" s="5">
        <v>7.7439164761967633E-2</v>
      </c>
      <c r="I33" s="6">
        <v>0</v>
      </c>
      <c r="J33" s="6">
        <v>1</v>
      </c>
      <c r="K33" s="6">
        <v>42</v>
      </c>
      <c r="L33" s="5">
        <v>0.44026645285371591</v>
      </c>
      <c r="M33" s="5">
        <v>7.767263341502155E-2</v>
      </c>
      <c r="N33" s="6">
        <v>0</v>
      </c>
      <c r="O33" s="6">
        <v>1</v>
      </c>
      <c r="P33" s="6">
        <v>44</v>
      </c>
      <c r="Q33" s="5">
        <v>0.54756916641354703</v>
      </c>
      <c r="R33" s="5">
        <v>8.2142514345284787E-2</v>
      </c>
      <c r="S33" s="6">
        <v>0</v>
      </c>
      <c r="T33" s="6">
        <v>1</v>
      </c>
      <c r="U33" s="6">
        <v>40</v>
      </c>
      <c r="V33" s="5">
        <v>0.18634558295453202</v>
      </c>
      <c r="W33" s="5">
        <v>4.8045092097974529E-2</v>
      </c>
      <c r="X33" s="6">
        <v>0</v>
      </c>
      <c r="Y33" s="6">
        <v>1</v>
      </c>
      <c r="Z33" s="6">
        <v>104</v>
      </c>
      <c r="AA33" s="12">
        <v>0.52495264570091626</v>
      </c>
      <c r="AB33" s="5">
        <v>4.3002180379980243E-2</v>
      </c>
      <c r="AC33" s="6">
        <v>0</v>
      </c>
      <c r="AD33" s="6">
        <v>1</v>
      </c>
      <c r="AE33" s="6">
        <v>264</v>
      </c>
    </row>
    <row r="34" spans="1:32" x14ac:dyDescent="0.45">
      <c r="A34" s="4" t="s">
        <v>13</v>
      </c>
      <c r="B34" s="5">
        <v>0.96325561164598017</v>
      </c>
      <c r="C34" s="5">
        <v>3.6529384722979195E-2</v>
      </c>
      <c r="D34" s="6">
        <v>0</v>
      </c>
      <c r="E34" s="6">
        <v>1</v>
      </c>
      <c r="F34" s="6">
        <v>34</v>
      </c>
      <c r="G34" s="5">
        <v>1</v>
      </c>
      <c r="H34" s="5">
        <v>0</v>
      </c>
      <c r="I34" s="6">
        <v>1</v>
      </c>
      <c r="J34" s="6">
        <v>1</v>
      </c>
      <c r="K34" s="6">
        <v>42</v>
      </c>
      <c r="L34" s="5">
        <v>0.87138830341056916</v>
      </c>
      <c r="M34" s="5">
        <v>5.1351274827289746E-2</v>
      </c>
      <c r="N34" s="6">
        <v>0</v>
      </c>
      <c r="O34" s="6">
        <v>1</v>
      </c>
      <c r="P34" s="6">
        <v>44</v>
      </c>
      <c r="Q34" s="5">
        <v>0.82965387968364745</v>
      </c>
      <c r="R34" s="5">
        <v>6.0325554878020847E-2</v>
      </c>
      <c r="S34" s="6">
        <v>0</v>
      </c>
      <c r="T34" s="6">
        <v>1</v>
      </c>
      <c r="U34" s="6">
        <v>40</v>
      </c>
      <c r="V34" s="5">
        <v>0.60508824197795641</v>
      </c>
      <c r="W34" s="5">
        <v>6.6968425129205825E-2</v>
      </c>
      <c r="X34" s="6">
        <v>0</v>
      </c>
      <c r="Y34" s="6">
        <v>1</v>
      </c>
      <c r="Z34" s="6">
        <v>104</v>
      </c>
      <c r="AA34" s="12">
        <v>0.89297215332906554</v>
      </c>
      <c r="AB34" s="5">
        <v>2.5694406419021171E-2</v>
      </c>
      <c r="AC34" s="6">
        <v>0</v>
      </c>
      <c r="AD34" s="6">
        <v>1</v>
      </c>
      <c r="AE34" s="6">
        <v>264</v>
      </c>
      <c r="AF34">
        <f>(AA36/AA35)-AA34</f>
        <v>6.169285604717778E-2</v>
      </c>
    </row>
    <row r="35" spans="1:32" x14ac:dyDescent="0.45">
      <c r="A35" s="4" t="s">
        <v>34</v>
      </c>
      <c r="B35" s="5">
        <v>0.19862121171774996</v>
      </c>
      <c r="C35" s="5">
        <v>7.0449908333518482E-2</v>
      </c>
      <c r="D35" s="6">
        <v>0</v>
      </c>
      <c r="E35" s="6">
        <v>1</v>
      </c>
      <c r="F35" s="6">
        <v>34</v>
      </c>
      <c r="G35" s="5">
        <v>0.27373543444507736</v>
      </c>
      <c r="H35" s="5">
        <v>7.1059953576424029E-2</v>
      </c>
      <c r="I35" s="6">
        <v>0</v>
      </c>
      <c r="J35" s="6">
        <v>1</v>
      </c>
      <c r="K35" s="6">
        <v>42</v>
      </c>
      <c r="L35" s="5">
        <v>0.16023885887947467</v>
      </c>
      <c r="M35" s="5">
        <v>5.6132837285575506E-2</v>
      </c>
      <c r="N35" s="6">
        <v>0</v>
      </c>
      <c r="O35" s="6">
        <v>1</v>
      </c>
      <c r="P35" s="6">
        <v>44</v>
      </c>
      <c r="Q35" s="5">
        <v>0.27853232036598929</v>
      </c>
      <c r="R35" s="5">
        <v>7.2602815976202259E-2</v>
      </c>
      <c r="S35" s="6">
        <v>0</v>
      </c>
      <c r="T35" s="6">
        <v>1</v>
      </c>
      <c r="U35" s="6">
        <v>40</v>
      </c>
      <c r="V35" s="5">
        <v>5.7747988593625371E-2</v>
      </c>
      <c r="W35" s="5">
        <v>2.8391611186991999E-2</v>
      </c>
      <c r="X35" s="6">
        <v>0</v>
      </c>
      <c r="Y35" s="6">
        <v>1</v>
      </c>
      <c r="Z35" s="6">
        <v>104</v>
      </c>
      <c r="AA35" s="12">
        <v>0.21587935616398435</v>
      </c>
      <c r="AB35" s="5">
        <v>3.4528579839839389E-2</v>
      </c>
      <c r="AC35" s="6">
        <v>0</v>
      </c>
      <c r="AD35" s="6">
        <v>1</v>
      </c>
      <c r="AE35" s="6">
        <v>264</v>
      </c>
      <c r="AF35">
        <f>(AA36/AA34)-AA35</f>
        <v>1.4914478568823025E-2</v>
      </c>
    </row>
    <row r="36" spans="1:32" ht="26.25" x14ac:dyDescent="0.45">
      <c r="A36" s="4" t="s">
        <v>35</v>
      </c>
      <c r="B36" s="5">
        <v>0.19862121171774996</v>
      </c>
      <c r="C36" s="5">
        <v>7.0449908333518482E-2</v>
      </c>
      <c r="D36" s="6">
        <v>0</v>
      </c>
      <c r="E36" s="6">
        <v>1</v>
      </c>
      <c r="F36" s="6">
        <v>34</v>
      </c>
      <c r="G36" s="5">
        <v>0.27373543444507736</v>
      </c>
      <c r="H36" s="5">
        <v>7.1059953576424029E-2</v>
      </c>
      <c r="I36" s="6">
        <v>0</v>
      </c>
      <c r="J36" s="6">
        <v>1</v>
      </c>
      <c r="K36" s="6">
        <v>42</v>
      </c>
      <c r="L36" s="5">
        <v>0.16023885887947467</v>
      </c>
      <c r="M36" s="5">
        <v>5.6132837285575506E-2</v>
      </c>
      <c r="N36" s="6">
        <v>0</v>
      </c>
      <c r="O36" s="6">
        <v>1</v>
      </c>
      <c r="P36" s="6">
        <v>44</v>
      </c>
      <c r="Q36" s="5">
        <v>0.23495267128761757</v>
      </c>
      <c r="R36" s="5">
        <v>6.8865192311415871E-2</v>
      </c>
      <c r="S36" s="6">
        <v>0</v>
      </c>
      <c r="T36" s="6">
        <v>1</v>
      </c>
      <c r="U36" s="6">
        <v>40</v>
      </c>
      <c r="V36" s="5">
        <v>5.5503029997500543E-2</v>
      </c>
      <c r="W36" s="5">
        <v>2.8335752969865423E-2</v>
      </c>
      <c r="X36" s="6">
        <v>0</v>
      </c>
      <c r="Y36" s="6">
        <v>1</v>
      </c>
      <c r="Z36" s="6">
        <v>104</v>
      </c>
      <c r="AA36" s="12">
        <v>0.20609246757642749</v>
      </c>
      <c r="AB36" s="5">
        <v>3.4082060024914318E-2</v>
      </c>
      <c r="AC36" s="6">
        <v>0</v>
      </c>
      <c r="AD36" s="6">
        <v>1</v>
      </c>
      <c r="AE36" s="6">
        <v>264</v>
      </c>
    </row>
    <row r="37" spans="1:32" x14ac:dyDescent="0.45">
      <c r="A37" s="4" t="s">
        <v>13</v>
      </c>
      <c r="B37" s="5">
        <v>0.96325561164598017</v>
      </c>
      <c r="C37" s="5">
        <v>3.6529384722979195E-2</v>
      </c>
      <c r="D37" s="6">
        <v>0</v>
      </c>
      <c r="E37" s="6">
        <v>1</v>
      </c>
      <c r="F37" s="6">
        <v>34</v>
      </c>
      <c r="G37" s="5">
        <v>1</v>
      </c>
      <c r="H37" s="5">
        <v>0</v>
      </c>
      <c r="I37" s="6">
        <v>1</v>
      </c>
      <c r="J37" s="6">
        <v>1</v>
      </c>
      <c r="K37" s="6">
        <v>42</v>
      </c>
      <c r="L37" s="5">
        <v>0.87138830341056916</v>
      </c>
      <c r="M37" s="5">
        <v>5.1351274827289746E-2</v>
      </c>
      <c r="N37" s="6">
        <v>0</v>
      </c>
      <c r="O37" s="6">
        <v>1</v>
      </c>
      <c r="P37" s="6">
        <v>44</v>
      </c>
      <c r="Q37" s="5">
        <v>0.82965387968364745</v>
      </c>
      <c r="R37" s="5">
        <v>6.0325554878020847E-2</v>
      </c>
      <c r="S37" s="6">
        <v>0</v>
      </c>
      <c r="T37" s="6">
        <v>1</v>
      </c>
      <c r="U37" s="6">
        <v>40</v>
      </c>
      <c r="V37" s="5">
        <v>0.60508824197795641</v>
      </c>
      <c r="W37" s="5">
        <v>6.6968425129205825E-2</v>
      </c>
      <c r="X37" s="6">
        <v>0</v>
      </c>
      <c r="Y37" s="6">
        <v>1</v>
      </c>
      <c r="Z37" s="6">
        <v>104</v>
      </c>
      <c r="AA37" s="12">
        <v>0.89297215332906554</v>
      </c>
      <c r="AB37" s="5">
        <v>2.5694406419021171E-2</v>
      </c>
      <c r="AC37" s="6">
        <v>0</v>
      </c>
      <c r="AD37" s="6">
        <v>1</v>
      </c>
      <c r="AE37" s="6">
        <v>264</v>
      </c>
      <c r="AF37">
        <f>(AA39/AA38)-AA37</f>
        <v>8.7250082714133148E-3</v>
      </c>
    </row>
    <row r="38" spans="1:32" x14ac:dyDescent="0.45">
      <c r="A38" s="4" t="s">
        <v>36</v>
      </c>
      <c r="B38" s="5">
        <v>0.76064468833586119</v>
      </c>
      <c r="C38" s="5">
        <v>7.7815769808775942E-2</v>
      </c>
      <c r="D38" s="6">
        <v>0</v>
      </c>
      <c r="E38" s="6">
        <v>1</v>
      </c>
      <c r="F38" s="6">
        <v>34</v>
      </c>
      <c r="G38" s="5">
        <v>0.47021854293445042</v>
      </c>
      <c r="H38" s="5">
        <v>7.9243117363754292E-2</v>
      </c>
      <c r="I38" s="6">
        <v>0</v>
      </c>
      <c r="J38" s="6">
        <v>1</v>
      </c>
      <c r="K38" s="6">
        <v>42</v>
      </c>
      <c r="L38" s="5">
        <v>0.2445206682606792</v>
      </c>
      <c r="M38" s="5">
        <v>6.7154542896761538E-2</v>
      </c>
      <c r="N38" s="6">
        <v>0</v>
      </c>
      <c r="O38" s="6">
        <v>1</v>
      </c>
      <c r="P38" s="6">
        <v>42</v>
      </c>
      <c r="Q38" s="5">
        <v>0.35160809189742964</v>
      </c>
      <c r="R38" s="5">
        <v>7.902438279457083E-2</v>
      </c>
      <c r="S38" s="6">
        <v>0</v>
      </c>
      <c r="T38" s="6">
        <v>1</v>
      </c>
      <c r="U38" s="6">
        <v>40</v>
      </c>
      <c r="V38" s="5">
        <v>0.42925514319553509</v>
      </c>
      <c r="W38" s="5">
        <v>6.917480911456024E-2</v>
      </c>
      <c r="X38" s="6">
        <v>0</v>
      </c>
      <c r="Y38" s="6">
        <v>1</v>
      </c>
      <c r="Z38" s="6">
        <v>100</v>
      </c>
      <c r="AA38" s="12">
        <v>0.36787839094902408</v>
      </c>
      <c r="AB38" s="5">
        <v>4.0690017630809268E-2</v>
      </c>
      <c r="AC38" s="6">
        <v>0</v>
      </c>
      <c r="AD38" s="6">
        <v>1</v>
      </c>
      <c r="AE38" s="6">
        <v>258</v>
      </c>
      <c r="AF38">
        <f>(AA39/AA37)-AA38</f>
        <v>3.5944480373081289E-3</v>
      </c>
    </row>
    <row r="39" spans="1:32" x14ac:dyDescent="0.45">
      <c r="A39" s="4" t="s">
        <v>37</v>
      </c>
      <c r="B39" s="5">
        <v>0.76064468833586119</v>
      </c>
      <c r="C39" s="5">
        <v>7.7815769808775942E-2</v>
      </c>
      <c r="D39" s="6">
        <v>0</v>
      </c>
      <c r="E39" s="6">
        <v>1</v>
      </c>
      <c r="F39" s="6">
        <v>34</v>
      </c>
      <c r="G39" s="5">
        <v>0.47021854293445042</v>
      </c>
      <c r="H39" s="5">
        <v>7.9243117363754292E-2</v>
      </c>
      <c r="I39" s="6">
        <v>0</v>
      </c>
      <c r="J39" s="6">
        <v>1</v>
      </c>
      <c r="K39" s="6">
        <v>42</v>
      </c>
      <c r="L39" s="5">
        <v>0.18681214905677074</v>
      </c>
      <c r="M39" s="5">
        <v>6.1187907838058692E-2</v>
      </c>
      <c r="N39" s="6">
        <v>0</v>
      </c>
      <c r="O39" s="6">
        <v>1</v>
      </c>
      <c r="P39" s="6">
        <v>42</v>
      </c>
      <c r="Q39" s="5">
        <v>0.32535843230646144</v>
      </c>
      <c r="R39" s="5">
        <v>7.7637397329492389E-2</v>
      </c>
      <c r="S39" s="6">
        <v>0</v>
      </c>
      <c r="T39" s="6">
        <v>1</v>
      </c>
      <c r="U39" s="6">
        <v>40</v>
      </c>
      <c r="V39" s="5">
        <v>0.22106450634553909</v>
      </c>
      <c r="W39" s="5">
        <v>5.8070871316351469E-2</v>
      </c>
      <c r="X39" s="6">
        <v>0</v>
      </c>
      <c r="Y39" s="6">
        <v>1</v>
      </c>
      <c r="Z39" s="6">
        <v>100</v>
      </c>
      <c r="AA39" s="12">
        <v>0.3317149009328863</v>
      </c>
      <c r="AB39" s="5">
        <v>3.947366603067571E-2</v>
      </c>
      <c r="AC39" s="6">
        <v>0</v>
      </c>
      <c r="AD39" s="6">
        <v>1</v>
      </c>
      <c r="AE39" s="6">
        <v>258</v>
      </c>
    </row>
    <row r="40" spans="1:32" x14ac:dyDescent="0.45">
      <c r="A40" s="4" t="s">
        <v>13</v>
      </c>
      <c r="B40" s="5">
        <v>0.96325561164598017</v>
      </c>
      <c r="C40" s="5">
        <v>3.6529384722979195E-2</v>
      </c>
      <c r="D40" s="6">
        <v>0</v>
      </c>
      <c r="E40" s="6">
        <v>1</v>
      </c>
      <c r="F40" s="6">
        <v>34</v>
      </c>
      <c r="G40" s="5">
        <v>1</v>
      </c>
      <c r="H40" s="5">
        <v>0</v>
      </c>
      <c r="I40" s="6">
        <v>1</v>
      </c>
      <c r="J40" s="6">
        <v>1</v>
      </c>
      <c r="K40" s="6">
        <v>42</v>
      </c>
      <c r="L40" s="5">
        <v>0.87138830341056916</v>
      </c>
      <c r="M40" s="5">
        <v>5.1351274827289746E-2</v>
      </c>
      <c r="N40" s="6">
        <v>0</v>
      </c>
      <c r="O40" s="6">
        <v>1</v>
      </c>
      <c r="P40" s="6">
        <v>44</v>
      </c>
      <c r="Q40" s="5">
        <v>0.82965387968364745</v>
      </c>
      <c r="R40" s="5">
        <v>6.0325554878020847E-2</v>
      </c>
      <c r="S40" s="6">
        <v>0</v>
      </c>
      <c r="T40" s="6">
        <v>1</v>
      </c>
      <c r="U40" s="6">
        <v>40</v>
      </c>
      <c r="V40" s="5">
        <v>0.60508824197795641</v>
      </c>
      <c r="W40" s="5">
        <v>6.6968425129205825E-2</v>
      </c>
      <c r="X40" s="6">
        <v>0</v>
      </c>
      <c r="Y40" s="6">
        <v>1</v>
      </c>
      <c r="Z40" s="6">
        <v>104</v>
      </c>
      <c r="AA40" s="12">
        <v>0.89297215332906554</v>
      </c>
      <c r="AB40" s="5">
        <v>2.5694406419021171E-2</v>
      </c>
      <c r="AC40" s="6">
        <v>0</v>
      </c>
      <c r="AD40" s="6">
        <v>1</v>
      </c>
      <c r="AE40" s="6">
        <v>264</v>
      </c>
      <c r="AF40">
        <f>(AA42/AA41)-AA40</f>
        <v>2.1429767828922031E-2</v>
      </c>
    </row>
    <row r="41" spans="1:32" ht="26.25" x14ac:dyDescent="0.45">
      <c r="A41" s="4" t="s">
        <v>38</v>
      </c>
      <c r="B41" s="5">
        <v>0.84000868272823959</v>
      </c>
      <c r="C41" s="5">
        <v>6.5933157962881336E-2</v>
      </c>
      <c r="D41" s="6">
        <v>0</v>
      </c>
      <c r="E41" s="6">
        <v>1</v>
      </c>
      <c r="F41" s="6">
        <v>34</v>
      </c>
      <c r="G41" s="5">
        <v>0.8757010716140059</v>
      </c>
      <c r="H41" s="5">
        <v>5.3035240634634946E-2</v>
      </c>
      <c r="I41" s="6">
        <v>0</v>
      </c>
      <c r="J41" s="6">
        <v>1</v>
      </c>
      <c r="K41" s="6">
        <v>42</v>
      </c>
      <c r="L41" s="5">
        <v>0.72424862259728484</v>
      </c>
      <c r="M41" s="5">
        <v>6.9698543042307798E-2</v>
      </c>
      <c r="N41" s="6">
        <v>0</v>
      </c>
      <c r="O41" s="6">
        <v>1</v>
      </c>
      <c r="P41" s="6">
        <v>44</v>
      </c>
      <c r="Q41" s="5">
        <v>0.76619872916446996</v>
      </c>
      <c r="R41" s="5">
        <v>6.9319636379783084E-2</v>
      </c>
      <c r="S41" s="6">
        <v>0</v>
      </c>
      <c r="T41" s="6">
        <v>1</v>
      </c>
      <c r="U41" s="6">
        <v>40</v>
      </c>
      <c r="V41" s="5">
        <v>0.41945825525041158</v>
      </c>
      <c r="W41" s="5">
        <v>6.5895940178938919E-2</v>
      </c>
      <c r="X41" s="6">
        <v>0</v>
      </c>
      <c r="Y41" s="6">
        <v>1</v>
      </c>
      <c r="Z41" s="6">
        <v>104</v>
      </c>
      <c r="AA41" s="12">
        <v>0.77070805751749982</v>
      </c>
      <c r="AB41" s="5">
        <v>3.6116125764874885E-2</v>
      </c>
      <c r="AC41" s="6">
        <v>0</v>
      </c>
      <c r="AD41" s="6">
        <v>1</v>
      </c>
      <c r="AE41" s="6">
        <v>264</v>
      </c>
      <c r="AF41">
        <f>(AA42/AA40)-AA41</f>
        <v>1.8495643649027893E-2</v>
      </c>
    </row>
    <row r="42" spans="1:32" ht="26.25" x14ac:dyDescent="0.45">
      <c r="A42" s="4" t="s">
        <v>39</v>
      </c>
      <c r="B42" s="5">
        <v>0.84000868272823959</v>
      </c>
      <c r="C42" s="5">
        <v>6.5933157962881336E-2</v>
      </c>
      <c r="D42" s="6">
        <v>0</v>
      </c>
      <c r="E42" s="6">
        <v>1</v>
      </c>
      <c r="F42" s="6">
        <v>34</v>
      </c>
      <c r="G42" s="5">
        <v>0.8757010716140059</v>
      </c>
      <c r="H42" s="5">
        <v>5.3035240634634946E-2</v>
      </c>
      <c r="I42" s="6">
        <v>0</v>
      </c>
      <c r="J42" s="6">
        <v>1</v>
      </c>
      <c r="K42" s="6">
        <v>42</v>
      </c>
      <c r="L42" s="5">
        <v>0.62008073102182293</v>
      </c>
      <c r="M42" s="5">
        <v>7.5592738930008438E-2</v>
      </c>
      <c r="N42" s="6">
        <v>0</v>
      </c>
      <c r="O42" s="6">
        <v>1</v>
      </c>
      <c r="P42" s="6">
        <v>44</v>
      </c>
      <c r="Q42" s="5">
        <v>0.67183057570608029</v>
      </c>
      <c r="R42" s="5">
        <v>7.6639866318220243E-2</v>
      </c>
      <c r="S42" s="6">
        <v>0</v>
      </c>
      <c r="T42" s="6">
        <v>1</v>
      </c>
      <c r="U42" s="6">
        <v>40</v>
      </c>
      <c r="V42" s="5">
        <v>0.37033349033541862</v>
      </c>
      <c r="W42" s="5">
        <v>6.4342089014173584E-2</v>
      </c>
      <c r="X42" s="6">
        <v>0</v>
      </c>
      <c r="Y42" s="6">
        <v>1</v>
      </c>
      <c r="Z42" s="6">
        <v>104</v>
      </c>
      <c r="AA42" s="12">
        <v>0.7047369284459426</v>
      </c>
      <c r="AB42" s="5">
        <v>3.9363829124469722E-2</v>
      </c>
      <c r="AC42" s="6">
        <v>0</v>
      </c>
      <c r="AD42" s="6">
        <v>1</v>
      </c>
      <c r="AE42" s="6">
        <v>264</v>
      </c>
    </row>
    <row r="43" spans="1:32" x14ac:dyDescent="0.45">
      <c r="A43" s="4" t="s">
        <v>13</v>
      </c>
      <c r="B43" s="5">
        <v>0.96325561164598017</v>
      </c>
      <c r="C43" s="5">
        <v>3.6529384722979195E-2</v>
      </c>
      <c r="D43" s="6">
        <v>0</v>
      </c>
      <c r="E43" s="6">
        <v>1</v>
      </c>
      <c r="F43" s="6">
        <v>34</v>
      </c>
      <c r="G43" s="5">
        <v>1</v>
      </c>
      <c r="H43" s="5">
        <v>0</v>
      </c>
      <c r="I43" s="6">
        <v>1</v>
      </c>
      <c r="J43" s="6">
        <v>1</v>
      </c>
      <c r="K43" s="6">
        <v>42</v>
      </c>
      <c r="L43" s="5">
        <v>0.87138830341056916</v>
      </c>
      <c r="M43" s="5">
        <v>5.1351274827289746E-2</v>
      </c>
      <c r="N43" s="6">
        <v>0</v>
      </c>
      <c r="O43" s="6">
        <v>1</v>
      </c>
      <c r="P43" s="6">
        <v>44</v>
      </c>
      <c r="Q43" s="5">
        <v>0.82965387968364745</v>
      </c>
      <c r="R43" s="5">
        <v>6.0325554878020847E-2</v>
      </c>
      <c r="S43" s="6">
        <v>0</v>
      </c>
      <c r="T43" s="6">
        <v>1</v>
      </c>
      <c r="U43" s="6">
        <v>40</v>
      </c>
      <c r="V43" s="5">
        <v>0.60508824197795641</v>
      </c>
      <c r="W43" s="5">
        <v>6.6968425129205825E-2</v>
      </c>
      <c r="X43" s="6">
        <v>0</v>
      </c>
      <c r="Y43" s="6">
        <v>1</v>
      </c>
      <c r="Z43" s="6">
        <v>104</v>
      </c>
      <c r="AA43" s="12">
        <v>0.89297215332906554</v>
      </c>
      <c r="AB43" s="5">
        <v>2.5694406419021171E-2</v>
      </c>
      <c r="AC43" s="6">
        <v>0</v>
      </c>
      <c r="AD43" s="6">
        <v>1</v>
      </c>
      <c r="AE43" s="6">
        <v>264</v>
      </c>
      <c r="AF43">
        <f>(AA45/AA44)-AA43</f>
        <v>-2.2226967696860056E-3</v>
      </c>
    </row>
    <row r="44" spans="1:32" x14ac:dyDescent="0.45">
      <c r="A44" s="4" t="s">
        <v>40</v>
      </c>
      <c r="B44" s="5">
        <v>0.47314926338671726</v>
      </c>
      <c r="C44" s="5">
        <v>9.1986997587208227E-2</v>
      </c>
      <c r="D44" s="6">
        <v>0</v>
      </c>
      <c r="E44" s="6">
        <v>1</v>
      </c>
      <c r="F44" s="6">
        <v>34</v>
      </c>
      <c r="G44" s="5">
        <v>0.59916532039375925</v>
      </c>
      <c r="H44" s="5">
        <v>7.8188563211038412E-2</v>
      </c>
      <c r="I44" s="6">
        <v>0</v>
      </c>
      <c r="J44" s="6">
        <v>1</v>
      </c>
      <c r="K44" s="6">
        <v>42</v>
      </c>
      <c r="L44" s="5">
        <v>0.5544767542723662</v>
      </c>
      <c r="M44" s="5">
        <v>7.7775688570457788E-2</v>
      </c>
      <c r="N44" s="6">
        <v>0</v>
      </c>
      <c r="O44" s="6">
        <v>1</v>
      </c>
      <c r="P44" s="6">
        <v>44</v>
      </c>
      <c r="Q44" s="5">
        <v>0.89744052335873858</v>
      </c>
      <c r="R44" s="5">
        <v>4.9355060283969104E-2</v>
      </c>
      <c r="S44" s="6">
        <v>0</v>
      </c>
      <c r="T44" s="6">
        <v>1</v>
      </c>
      <c r="U44" s="6">
        <v>40</v>
      </c>
      <c r="V44" s="5">
        <v>0.64636059193257822</v>
      </c>
      <c r="W44" s="5">
        <v>6.6126331124485585E-2</v>
      </c>
      <c r="X44" s="6">
        <v>0</v>
      </c>
      <c r="Y44" s="6">
        <v>1</v>
      </c>
      <c r="Z44" s="6">
        <v>104</v>
      </c>
      <c r="AA44" s="12">
        <v>0.6412951441068232</v>
      </c>
      <c r="AB44" s="5">
        <v>4.1660786160429293E-2</v>
      </c>
      <c r="AC44" s="6">
        <v>0</v>
      </c>
      <c r="AD44" s="6">
        <v>1</v>
      </c>
      <c r="AE44" s="6">
        <v>264</v>
      </c>
      <c r="AF44">
        <f>(AA45/AA43)-AA44</f>
        <v>-1.5962475872373094E-3</v>
      </c>
    </row>
    <row r="45" spans="1:32" ht="26.25" x14ac:dyDescent="0.45">
      <c r="A45" s="4" t="s">
        <v>41</v>
      </c>
      <c r="B45" s="5">
        <v>0.43640487503269754</v>
      </c>
      <c r="C45" s="5">
        <v>9.1643261596754608E-2</v>
      </c>
      <c r="D45" s="6">
        <v>0</v>
      </c>
      <c r="E45" s="6">
        <v>1</v>
      </c>
      <c r="F45" s="6">
        <v>34</v>
      </c>
      <c r="G45" s="5">
        <v>0.59916532039375925</v>
      </c>
      <c r="H45" s="5">
        <v>7.8188563211038412E-2</v>
      </c>
      <c r="I45" s="6">
        <v>0</v>
      </c>
      <c r="J45" s="6">
        <v>1</v>
      </c>
      <c r="K45" s="6">
        <v>42</v>
      </c>
      <c r="L45" s="5">
        <v>0.4758439090061396</v>
      </c>
      <c r="M45" s="5">
        <v>7.8230170220729534E-2</v>
      </c>
      <c r="N45" s="6">
        <v>0</v>
      </c>
      <c r="O45" s="6">
        <v>1</v>
      </c>
      <c r="P45" s="6">
        <v>44</v>
      </c>
      <c r="Q45" s="5">
        <v>0.75212618018352484</v>
      </c>
      <c r="R45" s="5">
        <v>6.9914754300530055E-2</v>
      </c>
      <c r="S45" s="6">
        <v>0</v>
      </c>
      <c r="T45" s="6">
        <v>1</v>
      </c>
      <c r="U45" s="6">
        <v>40</v>
      </c>
      <c r="V45" s="5">
        <v>0.56236461870904619</v>
      </c>
      <c r="W45" s="5">
        <v>6.7052525680788108E-2</v>
      </c>
      <c r="X45" s="6">
        <v>0</v>
      </c>
      <c r="Y45" s="6">
        <v>1</v>
      </c>
      <c r="Z45" s="6">
        <v>104</v>
      </c>
      <c r="AA45" s="12">
        <v>0.57123330110732173</v>
      </c>
      <c r="AB45" s="5">
        <v>4.2675582799436659E-2</v>
      </c>
      <c r="AC45" s="6">
        <v>0</v>
      </c>
      <c r="AD45" s="6">
        <v>1</v>
      </c>
      <c r="AE45" s="6">
        <v>264</v>
      </c>
    </row>
    <row r="46" spans="1:32" x14ac:dyDescent="0.45">
      <c r="A46" s="4" t="s">
        <v>13</v>
      </c>
      <c r="B46" s="5">
        <v>0.96325561164598017</v>
      </c>
      <c r="C46" s="5">
        <v>3.6529384722979195E-2</v>
      </c>
      <c r="D46" s="6">
        <v>0</v>
      </c>
      <c r="E46" s="6">
        <v>1</v>
      </c>
      <c r="F46" s="6">
        <v>34</v>
      </c>
      <c r="G46" s="5">
        <v>1</v>
      </c>
      <c r="H46" s="5">
        <v>0</v>
      </c>
      <c r="I46" s="6">
        <v>1</v>
      </c>
      <c r="J46" s="6">
        <v>1</v>
      </c>
      <c r="K46" s="6">
        <v>42</v>
      </c>
      <c r="L46" s="5">
        <v>0.87138830341056916</v>
      </c>
      <c r="M46" s="5">
        <v>5.1351274827289746E-2</v>
      </c>
      <c r="N46" s="6">
        <v>0</v>
      </c>
      <c r="O46" s="6">
        <v>1</v>
      </c>
      <c r="P46" s="6">
        <v>44</v>
      </c>
      <c r="Q46" s="5">
        <v>0.82965387968364745</v>
      </c>
      <c r="R46" s="5">
        <v>6.0325554878020847E-2</v>
      </c>
      <c r="S46" s="6">
        <v>0</v>
      </c>
      <c r="T46" s="6">
        <v>1</v>
      </c>
      <c r="U46" s="6">
        <v>40</v>
      </c>
      <c r="V46" s="5">
        <v>0.60508824197795641</v>
      </c>
      <c r="W46" s="5">
        <v>6.6968425129205825E-2</v>
      </c>
      <c r="X46" s="6">
        <v>0</v>
      </c>
      <c r="Y46" s="6">
        <v>1</v>
      </c>
      <c r="Z46" s="6">
        <v>104</v>
      </c>
      <c r="AA46" s="12">
        <v>0.89297215332906554</v>
      </c>
      <c r="AB46" s="5">
        <v>2.5694406419021171E-2</v>
      </c>
      <c r="AC46" s="6">
        <v>0</v>
      </c>
      <c r="AD46" s="6">
        <v>1</v>
      </c>
      <c r="AE46" s="6">
        <v>264</v>
      </c>
      <c r="AF46">
        <f>(AA48/AA47)-AA46</f>
        <v>2.3398249675306904E-2</v>
      </c>
    </row>
    <row r="47" spans="1:32" x14ac:dyDescent="0.45">
      <c r="A47" s="4" t="s">
        <v>42</v>
      </c>
      <c r="B47" s="5">
        <v>0.70676339075737993</v>
      </c>
      <c r="C47" s="5">
        <v>8.2311257529143506E-2</v>
      </c>
      <c r="D47" s="6">
        <v>0</v>
      </c>
      <c r="E47" s="6">
        <v>1</v>
      </c>
      <c r="F47" s="6">
        <v>34</v>
      </c>
      <c r="G47" s="5">
        <v>0.89745945595635757</v>
      </c>
      <c r="H47" s="5">
        <v>4.9322035621993304E-2</v>
      </c>
      <c r="I47" s="6">
        <v>0</v>
      </c>
      <c r="J47" s="6">
        <v>1</v>
      </c>
      <c r="K47" s="6">
        <v>42</v>
      </c>
      <c r="L47" s="5">
        <v>0.74627430949051987</v>
      </c>
      <c r="M47" s="5">
        <v>6.7544644640920845E-2</v>
      </c>
      <c r="N47" s="6">
        <v>0</v>
      </c>
      <c r="O47" s="6">
        <v>1</v>
      </c>
      <c r="P47" s="6">
        <v>44</v>
      </c>
      <c r="Q47" s="5">
        <v>0.87908303986713809</v>
      </c>
      <c r="R47" s="5">
        <v>5.2789569621478863E-2</v>
      </c>
      <c r="S47" s="6">
        <v>0</v>
      </c>
      <c r="T47" s="6">
        <v>1</v>
      </c>
      <c r="U47" s="6">
        <v>40</v>
      </c>
      <c r="V47" s="5">
        <v>0.5866426892711829</v>
      </c>
      <c r="W47" s="5">
        <v>6.7909303410161284E-2</v>
      </c>
      <c r="X47" s="6">
        <v>0</v>
      </c>
      <c r="Y47" s="6">
        <v>1</v>
      </c>
      <c r="Z47" s="6">
        <v>104</v>
      </c>
      <c r="AA47" s="12">
        <v>0.80877290183625294</v>
      </c>
      <c r="AB47" s="5">
        <v>3.3808580537463842E-2</v>
      </c>
      <c r="AC47" s="6">
        <v>0</v>
      </c>
      <c r="AD47" s="6">
        <v>1</v>
      </c>
      <c r="AE47" s="6">
        <v>264</v>
      </c>
      <c r="AF47">
        <f>(AA48/AA46)-AA47</f>
        <v>2.1192004943533349E-2</v>
      </c>
    </row>
    <row r="48" spans="1:32" x14ac:dyDescent="0.45">
      <c r="A48" s="4" t="s">
        <v>43</v>
      </c>
      <c r="B48" s="5">
        <v>0.6700190024033601</v>
      </c>
      <c r="C48" s="5">
        <v>8.5630105041416188E-2</v>
      </c>
      <c r="D48" s="6">
        <v>0</v>
      </c>
      <c r="E48" s="6">
        <v>1</v>
      </c>
      <c r="F48" s="6">
        <v>34</v>
      </c>
      <c r="G48" s="5">
        <v>0.89745945595635757</v>
      </c>
      <c r="H48" s="5">
        <v>4.9322035621993304E-2</v>
      </c>
      <c r="I48" s="6">
        <v>0</v>
      </c>
      <c r="J48" s="6">
        <v>1</v>
      </c>
      <c r="K48" s="6">
        <v>42</v>
      </c>
      <c r="L48" s="5">
        <v>0.6649460982249854</v>
      </c>
      <c r="M48" s="5">
        <v>7.3230813670838876E-2</v>
      </c>
      <c r="N48" s="6">
        <v>0</v>
      </c>
      <c r="O48" s="6">
        <v>1</v>
      </c>
      <c r="P48" s="6">
        <v>44</v>
      </c>
      <c r="Q48" s="5">
        <v>0.75041890496857311</v>
      </c>
      <c r="R48" s="5">
        <v>7.0503536801652056E-2</v>
      </c>
      <c r="S48" s="6">
        <v>0</v>
      </c>
      <c r="T48" s="6">
        <v>1</v>
      </c>
      <c r="U48" s="6">
        <v>40</v>
      </c>
      <c r="V48" s="5">
        <v>0.49779428613385435</v>
      </c>
      <c r="W48" s="5">
        <v>6.7430400097943516E-2</v>
      </c>
      <c r="X48" s="6">
        <v>0</v>
      </c>
      <c r="Y48" s="6">
        <v>1</v>
      </c>
      <c r="Z48" s="6">
        <v>104</v>
      </c>
      <c r="AA48" s="12">
        <v>0.74113554999470288</v>
      </c>
      <c r="AB48" s="5">
        <v>3.7559219037309445E-2</v>
      </c>
      <c r="AC48" s="6">
        <v>0</v>
      </c>
      <c r="AD48" s="6">
        <v>1</v>
      </c>
      <c r="AE48" s="6">
        <v>264</v>
      </c>
    </row>
    <row r="49" spans="1:32" x14ac:dyDescent="0.45">
      <c r="A49" s="4" t="s">
        <v>13</v>
      </c>
      <c r="B49" s="5">
        <v>0.96325561164598017</v>
      </c>
      <c r="C49" s="5">
        <v>3.6529384722979195E-2</v>
      </c>
      <c r="D49" s="6">
        <v>0</v>
      </c>
      <c r="E49" s="6">
        <v>1</v>
      </c>
      <c r="F49" s="6">
        <v>34</v>
      </c>
      <c r="G49" s="5">
        <v>1</v>
      </c>
      <c r="H49" s="5">
        <v>0</v>
      </c>
      <c r="I49" s="6">
        <v>1</v>
      </c>
      <c r="J49" s="6">
        <v>1</v>
      </c>
      <c r="K49" s="6">
        <v>42</v>
      </c>
      <c r="L49" s="5">
        <v>0.87138830341056916</v>
      </c>
      <c r="M49" s="5">
        <v>5.1351274827289746E-2</v>
      </c>
      <c r="N49" s="6">
        <v>0</v>
      </c>
      <c r="O49" s="6">
        <v>1</v>
      </c>
      <c r="P49" s="6">
        <v>44</v>
      </c>
      <c r="Q49" s="5">
        <v>0.82965387968364745</v>
      </c>
      <c r="R49" s="5">
        <v>6.0325554878020847E-2</v>
      </c>
      <c r="S49" s="6">
        <v>0</v>
      </c>
      <c r="T49" s="6">
        <v>1</v>
      </c>
      <c r="U49" s="6">
        <v>40</v>
      </c>
      <c r="V49" s="5">
        <v>0.60508824197795641</v>
      </c>
      <c r="W49" s="5">
        <v>6.6968425129205825E-2</v>
      </c>
      <c r="X49" s="6">
        <v>0</v>
      </c>
      <c r="Y49" s="6">
        <v>1</v>
      </c>
      <c r="Z49" s="6">
        <v>104</v>
      </c>
      <c r="AA49" s="12">
        <v>0.89297215332906554</v>
      </c>
      <c r="AB49" s="5">
        <v>2.5694406419021171E-2</v>
      </c>
      <c r="AC49" s="6">
        <v>0</v>
      </c>
      <c r="AD49" s="6">
        <v>1</v>
      </c>
      <c r="AE49" s="6">
        <v>264</v>
      </c>
      <c r="AF49">
        <f>(AA51/AA50)-AA49</f>
        <v>8.9099449932089847E-2</v>
      </c>
    </row>
    <row r="50" spans="1:32" x14ac:dyDescent="0.45">
      <c r="A50" s="4" t="s">
        <v>44</v>
      </c>
      <c r="B50" s="5">
        <v>0.26296232107028095</v>
      </c>
      <c r="C50" s="5">
        <v>8.0971230867118368E-2</v>
      </c>
      <c r="D50" s="6">
        <v>0</v>
      </c>
      <c r="E50" s="6">
        <v>1</v>
      </c>
      <c r="F50" s="6">
        <v>34</v>
      </c>
      <c r="G50" s="5">
        <v>0.35571464744938486</v>
      </c>
      <c r="H50" s="5">
        <v>7.5377725145722718E-2</v>
      </c>
      <c r="I50" s="6">
        <v>0</v>
      </c>
      <c r="J50" s="6">
        <v>1</v>
      </c>
      <c r="K50" s="6">
        <v>42</v>
      </c>
      <c r="L50" s="5">
        <v>0.33138587150846482</v>
      </c>
      <c r="M50" s="5">
        <v>7.3951973163393067E-2</v>
      </c>
      <c r="N50" s="6">
        <v>0</v>
      </c>
      <c r="O50" s="6">
        <v>1</v>
      </c>
      <c r="P50" s="6">
        <v>44</v>
      </c>
      <c r="Q50" s="5">
        <v>0.48486364033758289</v>
      </c>
      <c r="R50" s="5">
        <v>8.2351680282883519E-2</v>
      </c>
      <c r="S50" s="6">
        <v>0</v>
      </c>
      <c r="T50" s="6">
        <v>1</v>
      </c>
      <c r="U50" s="6">
        <v>40</v>
      </c>
      <c r="V50" s="5">
        <v>0.24869923971566638</v>
      </c>
      <c r="W50" s="5">
        <v>5.4351819960247037E-2</v>
      </c>
      <c r="X50" s="6">
        <v>0</v>
      </c>
      <c r="Y50" s="6">
        <v>1</v>
      </c>
      <c r="Z50" s="6">
        <v>104</v>
      </c>
      <c r="AA50" s="12">
        <v>0.3652932886037854</v>
      </c>
      <c r="AB50" s="5">
        <v>4.1360781021304437E-2</v>
      </c>
      <c r="AC50" s="6">
        <v>0</v>
      </c>
      <c r="AD50" s="6">
        <v>1</v>
      </c>
      <c r="AE50" s="6">
        <v>264</v>
      </c>
      <c r="AF50">
        <f>(AA51/AA49)-AA50</f>
        <v>3.6448427822908303E-2</v>
      </c>
    </row>
    <row r="51" spans="1:32" x14ac:dyDescent="0.45">
      <c r="A51" s="4" t="s">
        <v>45</v>
      </c>
      <c r="B51" s="5">
        <v>0.26296232107028095</v>
      </c>
      <c r="C51" s="5">
        <v>8.0971230867118368E-2</v>
      </c>
      <c r="D51" s="6">
        <v>0</v>
      </c>
      <c r="E51" s="6">
        <v>1</v>
      </c>
      <c r="F51" s="6">
        <v>34</v>
      </c>
      <c r="G51" s="5">
        <v>0.35571464744938486</v>
      </c>
      <c r="H51" s="5">
        <v>7.5377725145722718E-2</v>
      </c>
      <c r="I51" s="6">
        <v>0</v>
      </c>
      <c r="J51" s="6">
        <v>1</v>
      </c>
      <c r="K51" s="6">
        <v>42</v>
      </c>
      <c r="L51" s="5">
        <v>0.33138587150846482</v>
      </c>
      <c r="M51" s="5">
        <v>7.3951973163393067E-2</v>
      </c>
      <c r="N51" s="6">
        <v>0</v>
      </c>
      <c r="O51" s="6">
        <v>1</v>
      </c>
      <c r="P51" s="6">
        <v>44</v>
      </c>
      <c r="Q51" s="5">
        <v>0.46016711021172707</v>
      </c>
      <c r="R51" s="5">
        <v>8.2222184692750555E-2</v>
      </c>
      <c r="S51" s="6">
        <v>0</v>
      </c>
      <c r="T51" s="6">
        <v>1</v>
      </c>
      <c r="U51" s="6">
        <v>40</v>
      </c>
      <c r="V51" s="5">
        <v>0.21809423479891346</v>
      </c>
      <c r="W51" s="5">
        <v>5.3215386169966121E-2</v>
      </c>
      <c r="X51" s="6">
        <v>0</v>
      </c>
      <c r="Y51" s="6">
        <v>1</v>
      </c>
      <c r="Z51" s="6">
        <v>104</v>
      </c>
      <c r="AA51" s="12">
        <v>0.35874416559965949</v>
      </c>
      <c r="AB51" s="5">
        <v>4.125957689952052E-2</v>
      </c>
      <c r="AC51" s="6">
        <v>0</v>
      </c>
      <c r="AD51" s="6">
        <v>1</v>
      </c>
      <c r="AE51" s="6">
        <v>264</v>
      </c>
    </row>
    <row r="52" spans="1:32" x14ac:dyDescent="0.45">
      <c r="A52" s="4" t="s">
        <v>14</v>
      </c>
      <c r="B52" s="5">
        <v>0.14125871494262252</v>
      </c>
      <c r="C52" s="5">
        <v>6.5074565286824301E-2</v>
      </c>
      <c r="D52" s="6">
        <v>0</v>
      </c>
      <c r="E52" s="6">
        <v>1</v>
      </c>
      <c r="F52" s="6">
        <v>34</v>
      </c>
      <c r="G52" s="5">
        <v>0.16404585106896458</v>
      </c>
      <c r="H52" s="5">
        <v>5.7710190044605751E-2</v>
      </c>
      <c r="I52" s="6">
        <v>0</v>
      </c>
      <c r="J52" s="6">
        <v>1</v>
      </c>
      <c r="K52" s="6">
        <v>42</v>
      </c>
      <c r="L52" s="5">
        <v>0.2086788055890173</v>
      </c>
      <c r="M52" s="5">
        <v>6.386461691065122E-2</v>
      </c>
      <c r="N52" s="6">
        <v>0</v>
      </c>
      <c r="O52" s="6">
        <v>1</v>
      </c>
      <c r="P52" s="6">
        <v>44</v>
      </c>
      <c r="Q52" s="5">
        <v>0.16962493166829462</v>
      </c>
      <c r="R52" s="5">
        <v>6.2751547279342637E-2</v>
      </c>
      <c r="S52" s="6">
        <v>0</v>
      </c>
      <c r="T52" s="6">
        <v>1</v>
      </c>
      <c r="U52" s="6">
        <v>40</v>
      </c>
      <c r="V52" s="5">
        <v>0.22453693331192012</v>
      </c>
      <c r="W52" s="5">
        <v>5.5524839390507182E-2</v>
      </c>
      <c r="X52" s="6">
        <v>0</v>
      </c>
      <c r="Y52" s="6">
        <v>1</v>
      </c>
      <c r="Z52" s="6">
        <v>104</v>
      </c>
      <c r="AA52" s="12">
        <v>0.1845600184715836</v>
      </c>
      <c r="AB52" s="5">
        <v>3.3763052095516929E-2</v>
      </c>
      <c r="AC52" s="6">
        <v>0</v>
      </c>
      <c r="AD52" s="6">
        <v>1</v>
      </c>
      <c r="AE52" s="6">
        <v>264</v>
      </c>
      <c r="AF52">
        <f>(AA54/AA53)-AA52</f>
        <v>-1.44667456932418E-3</v>
      </c>
    </row>
    <row r="53" spans="1:32" x14ac:dyDescent="0.45">
      <c r="A53" s="4" t="s">
        <v>26</v>
      </c>
      <c r="B53" s="5">
        <v>0.24902179290487914</v>
      </c>
      <c r="C53" s="5">
        <v>7.8614835918954476E-2</v>
      </c>
      <c r="D53" s="6">
        <v>0</v>
      </c>
      <c r="E53" s="6">
        <v>1</v>
      </c>
      <c r="F53" s="6">
        <v>34</v>
      </c>
      <c r="G53" s="5">
        <v>0.52007076896689197</v>
      </c>
      <c r="H53" s="5">
        <v>7.9207874917171434E-2</v>
      </c>
      <c r="I53" s="6">
        <v>0</v>
      </c>
      <c r="J53" s="6">
        <v>1</v>
      </c>
      <c r="K53" s="6">
        <v>42</v>
      </c>
      <c r="L53" s="5">
        <v>0.40284945544057527</v>
      </c>
      <c r="M53" s="5">
        <v>7.7077845130646777E-2</v>
      </c>
      <c r="N53" s="6">
        <v>0</v>
      </c>
      <c r="O53" s="6">
        <v>1</v>
      </c>
      <c r="P53" s="6">
        <v>44</v>
      </c>
      <c r="Q53" s="5">
        <v>0.56237744430379144</v>
      </c>
      <c r="R53" s="5">
        <v>8.1477344007092639E-2</v>
      </c>
      <c r="S53" s="6">
        <v>0</v>
      </c>
      <c r="T53" s="6">
        <v>1</v>
      </c>
      <c r="U53" s="6">
        <v>40</v>
      </c>
      <c r="V53" s="5">
        <v>0.30849368526502607</v>
      </c>
      <c r="W53" s="5">
        <v>6.0369974510870769E-2</v>
      </c>
      <c r="X53" s="6">
        <v>0</v>
      </c>
      <c r="Y53" s="6">
        <v>1</v>
      </c>
      <c r="Z53" s="6">
        <v>104</v>
      </c>
      <c r="AA53" s="12">
        <v>0.45769735338375289</v>
      </c>
      <c r="AB53" s="5">
        <v>4.2866116015874249E-2</v>
      </c>
      <c r="AC53" s="6">
        <v>0</v>
      </c>
      <c r="AD53" s="6">
        <v>1</v>
      </c>
      <c r="AE53" s="6">
        <v>264</v>
      </c>
      <c r="AF53">
        <f>(AA54/AA52)-AA53</f>
        <v>-3.5876628484907136E-3</v>
      </c>
    </row>
    <row r="54" spans="1:32" x14ac:dyDescent="0.45">
      <c r="A54" s="4" t="s">
        <v>46</v>
      </c>
      <c r="B54" s="5">
        <v>3.117894201919922E-2</v>
      </c>
      <c r="C54" s="5">
        <v>3.117582031590807E-2</v>
      </c>
      <c r="D54" s="6">
        <v>0</v>
      </c>
      <c r="E54" s="6">
        <v>1</v>
      </c>
      <c r="F54" s="6">
        <v>34</v>
      </c>
      <c r="G54" s="5">
        <v>9.6973180705821588E-2</v>
      </c>
      <c r="H54" s="5">
        <v>4.6686622027675158E-2</v>
      </c>
      <c r="I54" s="6">
        <v>0</v>
      </c>
      <c r="J54" s="6">
        <v>1</v>
      </c>
      <c r="K54" s="6">
        <v>42</v>
      </c>
      <c r="L54" s="5">
        <v>4.7095216624764062E-2</v>
      </c>
      <c r="M54" s="5">
        <v>3.2971020216374602E-2</v>
      </c>
      <c r="N54" s="6">
        <v>0</v>
      </c>
      <c r="O54" s="6">
        <v>1</v>
      </c>
      <c r="P54" s="6">
        <v>44</v>
      </c>
      <c r="Q54" s="5">
        <v>0.14440872324232515</v>
      </c>
      <c r="R54" s="5">
        <v>5.9162173394952243E-2</v>
      </c>
      <c r="S54" s="6">
        <v>0</v>
      </c>
      <c r="T54" s="6">
        <v>1</v>
      </c>
      <c r="U54" s="6">
        <v>40</v>
      </c>
      <c r="V54" s="5">
        <v>0.12150788786144283</v>
      </c>
      <c r="W54" s="5">
        <v>4.2530264642681025E-2</v>
      </c>
      <c r="X54" s="6">
        <v>0</v>
      </c>
      <c r="Y54" s="6">
        <v>1</v>
      </c>
      <c r="Z54" s="6">
        <v>104</v>
      </c>
      <c r="AA54" s="12">
        <v>8.3810492873313103E-2</v>
      </c>
      <c r="AB54" s="5">
        <v>2.2944423557693713E-2</v>
      </c>
      <c r="AC54" s="6">
        <v>0</v>
      </c>
      <c r="AD54" s="6">
        <v>1</v>
      </c>
      <c r="AE54" s="6">
        <v>264</v>
      </c>
    </row>
    <row r="55" spans="1:32" x14ac:dyDescent="0.45">
      <c r="A55" s="4" t="s">
        <v>14</v>
      </c>
      <c r="B55" s="5">
        <v>0.14125871494262252</v>
      </c>
      <c r="C55" s="5">
        <v>6.5074565286824301E-2</v>
      </c>
      <c r="D55" s="6">
        <v>0</v>
      </c>
      <c r="E55" s="6">
        <v>1</v>
      </c>
      <c r="F55" s="6">
        <v>34</v>
      </c>
      <c r="G55" s="5">
        <v>0.16404585106896458</v>
      </c>
      <c r="H55" s="5">
        <v>5.7710190044605751E-2</v>
      </c>
      <c r="I55" s="6">
        <v>0</v>
      </c>
      <c r="J55" s="6">
        <v>1</v>
      </c>
      <c r="K55" s="6">
        <v>42</v>
      </c>
      <c r="L55" s="5">
        <v>0.2086788055890173</v>
      </c>
      <c r="M55" s="5">
        <v>6.386461691065122E-2</v>
      </c>
      <c r="N55" s="6">
        <v>0</v>
      </c>
      <c r="O55" s="6">
        <v>1</v>
      </c>
      <c r="P55" s="6">
        <v>44</v>
      </c>
      <c r="Q55" s="5">
        <v>0.16962493166829462</v>
      </c>
      <c r="R55" s="5">
        <v>6.2751547279342637E-2</v>
      </c>
      <c r="S55" s="6">
        <v>0</v>
      </c>
      <c r="T55" s="6">
        <v>1</v>
      </c>
      <c r="U55" s="6">
        <v>40</v>
      </c>
      <c r="V55" s="5">
        <v>0.22453693331192012</v>
      </c>
      <c r="W55" s="5">
        <v>5.5524839390507182E-2</v>
      </c>
      <c r="X55" s="6">
        <v>0</v>
      </c>
      <c r="Y55" s="6">
        <v>1</v>
      </c>
      <c r="Z55" s="6">
        <v>104</v>
      </c>
      <c r="AA55" s="12">
        <v>0.1845600184715836</v>
      </c>
      <c r="AB55" s="5">
        <v>3.3763052095516929E-2</v>
      </c>
      <c r="AC55" s="6">
        <v>0</v>
      </c>
      <c r="AD55" s="6">
        <v>1</v>
      </c>
      <c r="AE55" s="6">
        <v>264</v>
      </c>
      <c r="AF55">
        <f>(AA57/AA56)-AA55</f>
        <v>7.0578008954743365E-3</v>
      </c>
    </row>
    <row r="56" spans="1:32" x14ac:dyDescent="0.45">
      <c r="A56" s="4" t="s">
        <v>28</v>
      </c>
      <c r="B56" s="5">
        <v>0.16060683353603622</v>
      </c>
      <c r="C56" s="5">
        <v>6.3104178008598577E-2</v>
      </c>
      <c r="D56" s="6">
        <v>0</v>
      </c>
      <c r="E56" s="6">
        <v>1</v>
      </c>
      <c r="F56" s="6">
        <v>34</v>
      </c>
      <c r="G56" s="5">
        <v>0.18650001607317804</v>
      </c>
      <c r="H56" s="5">
        <v>6.08550634427708E-2</v>
      </c>
      <c r="I56" s="6">
        <v>0</v>
      </c>
      <c r="J56" s="6">
        <v>1</v>
      </c>
      <c r="K56" s="6">
        <v>42</v>
      </c>
      <c r="L56" s="5">
        <v>0.3982476541522913</v>
      </c>
      <c r="M56" s="5">
        <v>7.606739370062203E-2</v>
      </c>
      <c r="N56" s="6">
        <v>0</v>
      </c>
      <c r="O56" s="6">
        <v>1</v>
      </c>
      <c r="P56" s="6">
        <v>44</v>
      </c>
      <c r="Q56" s="5">
        <v>0.69537622401646959</v>
      </c>
      <c r="R56" s="5">
        <v>7.7013327808946444E-2</v>
      </c>
      <c r="S56" s="6">
        <v>0</v>
      </c>
      <c r="T56" s="6">
        <v>1</v>
      </c>
      <c r="U56" s="6">
        <v>40</v>
      </c>
      <c r="V56" s="5">
        <v>0.40152770724557457</v>
      </c>
      <c r="W56" s="5">
        <v>6.4202011804989259E-2</v>
      </c>
      <c r="X56" s="6">
        <v>0</v>
      </c>
      <c r="Y56" s="6">
        <v>1</v>
      </c>
      <c r="Z56" s="6">
        <v>104</v>
      </c>
      <c r="AA56" s="12">
        <v>0.39366660028274569</v>
      </c>
      <c r="AB56" s="5">
        <v>4.1749939332123578E-2</v>
      </c>
      <c r="AC56" s="6">
        <v>0</v>
      </c>
      <c r="AD56" s="6">
        <v>1</v>
      </c>
      <c r="AE56" s="6">
        <v>264</v>
      </c>
      <c r="AF56">
        <f>(AA57/AA55)-AA56</f>
        <v>1.505429240310624E-2</v>
      </c>
    </row>
    <row r="57" spans="1:32" x14ac:dyDescent="0.45">
      <c r="A57" s="4" t="s">
        <v>47</v>
      </c>
      <c r="B57" s="5">
        <v>2.4801431151635741E-2</v>
      </c>
      <c r="C57" s="5">
        <v>2.4961396695214931E-2</v>
      </c>
      <c r="D57" s="6">
        <v>0</v>
      </c>
      <c r="E57" s="6">
        <v>1</v>
      </c>
      <c r="F57" s="6">
        <v>34</v>
      </c>
      <c r="G57" s="5">
        <v>0</v>
      </c>
      <c r="H57" s="5">
        <v>0</v>
      </c>
      <c r="I57" s="6">
        <v>0</v>
      </c>
      <c r="J57" s="6">
        <v>0</v>
      </c>
      <c r="K57" s="6">
        <v>42</v>
      </c>
      <c r="L57" s="5">
        <v>0.10398366445395633</v>
      </c>
      <c r="M57" s="5">
        <v>4.562620443025079E-2</v>
      </c>
      <c r="N57" s="6">
        <v>0</v>
      </c>
      <c r="O57" s="6">
        <v>1</v>
      </c>
      <c r="P57" s="6">
        <v>44</v>
      </c>
      <c r="Q57" s="5">
        <v>0.11133427255978268</v>
      </c>
      <c r="R57" s="5">
        <v>5.1687063201629746E-2</v>
      </c>
      <c r="S57" s="6">
        <v>0</v>
      </c>
      <c r="T57" s="6">
        <v>1</v>
      </c>
      <c r="U57" s="6">
        <v>40</v>
      </c>
      <c r="V57" s="5">
        <v>0.17505577590946117</v>
      </c>
      <c r="W57" s="5">
        <v>5.043943960964456E-2</v>
      </c>
      <c r="X57" s="6">
        <v>0</v>
      </c>
      <c r="Y57" s="6">
        <v>1</v>
      </c>
      <c r="Z57" s="6">
        <v>104</v>
      </c>
      <c r="AA57" s="12">
        <v>7.5433535503822965E-2</v>
      </c>
      <c r="AB57" s="5">
        <v>2.2369846567888187E-2</v>
      </c>
      <c r="AC57" s="6">
        <v>0</v>
      </c>
      <c r="AD57" s="6">
        <v>1</v>
      </c>
      <c r="AE57" s="6">
        <v>264</v>
      </c>
    </row>
    <row r="58" spans="1:32" x14ac:dyDescent="0.45">
      <c r="A58" s="4" t="s">
        <v>14</v>
      </c>
      <c r="B58" s="5">
        <v>0.14125871494262252</v>
      </c>
      <c r="C58" s="5">
        <v>6.5074565286824301E-2</v>
      </c>
      <c r="D58" s="6">
        <v>0</v>
      </c>
      <c r="E58" s="6">
        <v>1</v>
      </c>
      <c r="F58" s="6">
        <v>34</v>
      </c>
      <c r="G58" s="5">
        <v>0.16404585106896458</v>
      </c>
      <c r="H58" s="5">
        <v>5.7710190044605751E-2</v>
      </c>
      <c r="I58" s="6">
        <v>0</v>
      </c>
      <c r="J58" s="6">
        <v>1</v>
      </c>
      <c r="K58" s="6">
        <v>42</v>
      </c>
      <c r="L58" s="5">
        <v>0.2086788055890173</v>
      </c>
      <c r="M58" s="5">
        <v>6.386461691065122E-2</v>
      </c>
      <c r="N58" s="6">
        <v>0</v>
      </c>
      <c r="O58" s="6">
        <v>1</v>
      </c>
      <c r="P58" s="6">
        <v>44</v>
      </c>
      <c r="Q58" s="5">
        <v>0.16962493166829462</v>
      </c>
      <c r="R58" s="5">
        <v>6.2751547279342637E-2</v>
      </c>
      <c r="S58" s="6">
        <v>0</v>
      </c>
      <c r="T58" s="6">
        <v>1</v>
      </c>
      <c r="U58" s="6">
        <v>40</v>
      </c>
      <c r="V58" s="5">
        <v>0.22453693331192012</v>
      </c>
      <c r="W58" s="5">
        <v>5.5524839390507182E-2</v>
      </c>
      <c r="X58" s="6">
        <v>0</v>
      </c>
      <c r="Y58" s="6">
        <v>1</v>
      </c>
      <c r="Z58" s="6">
        <v>104</v>
      </c>
      <c r="AA58" s="12">
        <v>0.1845600184715836</v>
      </c>
      <c r="AB58" s="5">
        <v>3.3763052095516929E-2</v>
      </c>
      <c r="AC58" s="6">
        <v>0</v>
      </c>
      <c r="AD58" s="6">
        <v>1</v>
      </c>
      <c r="AE58" s="6">
        <v>264</v>
      </c>
      <c r="AF58">
        <f>(AA60/AA59)-AA58</f>
        <v>-5.6686213003145358E-2</v>
      </c>
    </row>
    <row r="59" spans="1:32" x14ac:dyDescent="0.45">
      <c r="A59" s="4" t="s">
        <v>30</v>
      </c>
      <c r="B59" s="5">
        <v>9.7944886332647418E-2</v>
      </c>
      <c r="C59" s="5">
        <v>5.0745074390485048E-2</v>
      </c>
      <c r="D59" s="6">
        <v>0</v>
      </c>
      <c r="E59" s="6">
        <v>1</v>
      </c>
      <c r="F59" s="6">
        <v>34</v>
      </c>
      <c r="G59" s="5">
        <v>0.19686198014165318</v>
      </c>
      <c r="H59" s="5">
        <v>6.361507673733699E-2</v>
      </c>
      <c r="I59" s="6">
        <v>0</v>
      </c>
      <c r="J59" s="6">
        <v>1</v>
      </c>
      <c r="K59" s="6">
        <v>42</v>
      </c>
      <c r="L59" s="5">
        <v>0.18448659651104984</v>
      </c>
      <c r="M59" s="5">
        <v>6.0019935102142451E-2</v>
      </c>
      <c r="N59" s="6">
        <v>0</v>
      </c>
      <c r="O59" s="6">
        <v>1</v>
      </c>
      <c r="P59" s="6">
        <v>44</v>
      </c>
      <c r="Q59" s="5">
        <v>0.12570203484365922</v>
      </c>
      <c r="R59" s="5">
        <v>5.3202553266984524E-2</v>
      </c>
      <c r="S59" s="6">
        <v>0</v>
      </c>
      <c r="T59" s="6">
        <v>1</v>
      </c>
      <c r="U59" s="6">
        <v>40</v>
      </c>
      <c r="V59" s="5">
        <v>7.1219747701667446E-2</v>
      </c>
      <c r="W59" s="5">
        <v>2.7252423041304919E-2</v>
      </c>
      <c r="X59" s="6">
        <v>0</v>
      </c>
      <c r="Y59" s="6">
        <v>1</v>
      </c>
      <c r="Z59" s="6">
        <v>104</v>
      </c>
      <c r="AA59" s="12">
        <v>0.16577578610959048</v>
      </c>
      <c r="AB59" s="5">
        <v>3.241187199883435E-2</v>
      </c>
      <c r="AC59" s="6">
        <v>0</v>
      </c>
      <c r="AD59" s="6">
        <v>1</v>
      </c>
      <c r="AE59" s="6">
        <v>264</v>
      </c>
      <c r="AF59">
        <f>(AA60/AA58)-AA59</f>
        <v>-5.0916778184105921E-2</v>
      </c>
    </row>
    <row r="60" spans="1:32" x14ac:dyDescent="0.45">
      <c r="A60" s="4" t="s">
        <v>48</v>
      </c>
      <c r="B60" s="5">
        <v>3.117894201919922E-2</v>
      </c>
      <c r="C60" s="5">
        <v>3.117582031590807E-2</v>
      </c>
      <c r="D60" s="6">
        <v>0</v>
      </c>
      <c r="E60" s="6">
        <v>1</v>
      </c>
      <c r="F60" s="6">
        <v>34</v>
      </c>
      <c r="G60" s="5">
        <v>2.3465792278478736E-2</v>
      </c>
      <c r="H60" s="5">
        <v>2.3483097076224847E-2</v>
      </c>
      <c r="I60" s="6">
        <v>0</v>
      </c>
      <c r="J60" s="6">
        <v>1</v>
      </c>
      <c r="K60" s="6">
        <v>42</v>
      </c>
      <c r="L60" s="5">
        <v>0</v>
      </c>
      <c r="M60" s="5">
        <v>0</v>
      </c>
      <c r="N60" s="6">
        <v>0</v>
      </c>
      <c r="O60" s="6">
        <v>0</v>
      </c>
      <c r="P60" s="6">
        <v>44</v>
      </c>
      <c r="Q60" s="5">
        <v>5.5711589731646256E-2</v>
      </c>
      <c r="R60" s="5">
        <v>3.7818340186798687E-2</v>
      </c>
      <c r="S60" s="6">
        <v>0</v>
      </c>
      <c r="T60" s="6">
        <v>1</v>
      </c>
      <c r="U60" s="6">
        <v>40</v>
      </c>
      <c r="V60" s="5">
        <v>1.8850082109446744E-2</v>
      </c>
      <c r="W60" s="5">
        <v>1.8754070891494938E-2</v>
      </c>
      <c r="X60" s="6">
        <v>0</v>
      </c>
      <c r="Y60" s="6">
        <v>1</v>
      </c>
      <c r="Z60" s="6">
        <v>104</v>
      </c>
      <c r="AA60" s="12">
        <v>2.1198380624355199E-2</v>
      </c>
      <c r="AB60" s="5">
        <v>1.0757708555268339E-2</v>
      </c>
      <c r="AC60" s="6">
        <v>0</v>
      </c>
      <c r="AD60" s="6">
        <v>1</v>
      </c>
      <c r="AE60" s="6">
        <v>264</v>
      </c>
    </row>
    <row r="61" spans="1:32" x14ac:dyDescent="0.45">
      <c r="A61" s="4" t="s">
        <v>14</v>
      </c>
      <c r="B61" s="5">
        <v>0.14125871494262252</v>
      </c>
      <c r="C61" s="5">
        <v>6.5074565286824301E-2</v>
      </c>
      <c r="D61" s="6">
        <v>0</v>
      </c>
      <c r="E61" s="6">
        <v>1</v>
      </c>
      <c r="F61" s="6">
        <v>34</v>
      </c>
      <c r="G61" s="5">
        <v>0.16404585106896458</v>
      </c>
      <c r="H61" s="5">
        <v>5.7710190044605751E-2</v>
      </c>
      <c r="I61" s="6">
        <v>0</v>
      </c>
      <c r="J61" s="6">
        <v>1</v>
      </c>
      <c r="K61" s="6">
        <v>42</v>
      </c>
      <c r="L61" s="5">
        <v>0.2086788055890173</v>
      </c>
      <c r="M61" s="5">
        <v>6.386461691065122E-2</v>
      </c>
      <c r="N61" s="6">
        <v>0</v>
      </c>
      <c r="O61" s="6">
        <v>1</v>
      </c>
      <c r="P61" s="6">
        <v>44</v>
      </c>
      <c r="Q61" s="5">
        <v>0.16962493166829462</v>
      </c>
      <c r="R61" s="5">
        <v>6.2751547279342637E-2</v>
      </c>
      <c r="S61" s="6">
        <v>0</v>
      </c>
      <c r="T61" s="6">
        <v>1</v>
      </c>
      <c r="U61" s="6">
        <v>40</v>
      </c>
      <c r="V61" s="5">
        <v>0.22453693331192012</v>
      </c>
      <c r="W61" s="5">
        <v>5.5524839390507182E-2</v>
      </c>
      <c r="X61" s="6">
        <v>0</v>
      </c>
      <c r="Y61" s="6">
        <v>1</v>
      </c>
      <c r="Z61" s="6">
        <v>104</v>
      </c>
      <c r="AA61" s="12">
        <v>0.1845600184715836</v>
      </c>
      <c r="AB61" s="5">
        <v>3.3763052095516929E-2</v>
      </c>
      <c r="AC61" s="6">
        <v>0</v>
      </c>
      <c r="AD61" s="6">
        <v>1</v>
      </c>
      <c r="AE61" s="6">
        <v>264</v>
      </c>
      <c r="AF61">
        <f>(AA63/AA62)-AA61</f>
        <v>7.8393109589164345E-4</v>
      </c>
    </row>
    <row r="62" spans="1:32" x14ac:dyDescent="0.45">
      <c r="A62" s="4" t="s">
        <v>32</v>
      </c>
      <c r="B62" s="5">
        <v>0.88886175204661999</v>
      </c>
      <c r="C62" s="5">
        <v>6.1457033964244352E-2</v>
      </c>
      <c r="D62" s="6">
        <v>0</v>
      </c>
      <c r="E62" s="6">
        <v>1</v>
      </c>
      <c r="F62" s="6">
        <v>34</v>
      </c>
      <c r="G62" s="5">
        <v>0.60873909731901421</v>
      </c>
      <c r="H62" s="5">
        <v>7.7439164761967633E-2</v>
      </c>
      <c r="I62" s="6">
        <v>0</v>
      </c>
      <c r="J62" s="6">
        <v>1</v>
      </c>
      <c r="K62" s="6">
        <v>42</v>
      </c>
      <c r="L62" s="5">
        <v>0.4867159180448013</v>
      </c>
      <c r="M62" s="5">
        <v>7.8217992076327084E-2</v>
      </c>
      <c r="N62" s="6">
        <v>0</v>
      </c>
      <c r="O62" s="6">
        <v>1</v>
      </c>
      <c r="P62" s="6">
        <v>44</v>
      </c>
      <c r="Q62" s="5">
        <v>0.64300167798766439</v>
      </c>
      <c r="R62" s="5">
        <v>7.9764129090886995E-2</v>
      </c>
      <c r="S62" s="6">
        <v>0</v>
      </c>
      <c r="T62" s="6">
        <v>1</v>
      </c>
      <c r="U62" s="6">
        <v>40</v>
      </c>
      <c r="V62" s="5">
        <v>0.21962332207176813</v>
      </c>
      <c r="W62" s="5">
        <v>4.9938905008240317E-2</v>
      </c>
      <c r="X62" s="6">
        <v>0</v>
      </c>
      <c r="Y62" s="6">
        <v>1</v>
      </c>
      <c r="Z62" s="6">
        <v>104</v>
      </c>
      <c r="AA62" s="12">
        <v>0.56879903245024355</v>
      </c>
      <c r="AB62" s="5">
        <v>4.2838805073454271E-2</v>
      </c>
      <c r="AC62" s="6">
        <v>0</v>
      </c>
      <c r="AD62" s="6">
        <v>1</v>
      </c>
      <c r="AE62" s="6">
        <v>264</v>
      </c>
      <c r="AF62">
        <f>(AA63/AA61)-AA62</f>
        <v>2.416012159857206E-3</v>
      </c>
    </row>
    <row r="63" spans="1:32" x14ac:dyDescent="0.45">
      <c r="A63" s="4" t="s">
        <v>49</v>
      </c>
      <c r="B63" s="5">
        <v>0.14125871494262252</v>
      </c>
      <c r="C63" s="5">
        <v>6.5074565286824301E-2</v>
      </c>
      <c r="D63" s="6">
        <v>0</v>
      </c>
      <c r="E63" s="6">
        <v>1</v>
      </c>
      <c r="F63" s="6">
        <v>34</v>
      </c>
      <c r="G63" s="5">
        <v>9.4016441406353957E-2</v>
      </c>
      <c r="H63" s="5">
        <v>4.5407844085507132E-2</v>
      </c>
      <c r="I63" s="6">
        <v>0</v>
      </c>
      <c r="J63" s="6">
        <v>1</v>
      </c>
      <c r="K63" s="6">
        <v>42</v>
      </c>
      <c r="L63" s="5">
        <v>9.4060280924904774E-2</v>
      </c>
      <c r="M63" s="5">
        <v>4.6861760361821533E-2</v>
      </c>
      <c r="N63" s="6">
        <v>0</v>
      </c>
      <c r="O63" s="6">
        <v>1</v>
      </c>
      <c r="P63" s="6">
        <v>44</v>
      </c>
      <c r="Q63" s="5">
        <v>0.13655048098575215</v>
      </c>
      <c r="R63" s="5">
        <v>5.6246141759809874E-2</v>
      </c>
      <c r="S63" s="6">
        <v>0</v>
      </c>
      <c r="T63" s="6">
        <v>1</v>
      </c>
      <c r="U63" s="6">
        <v>40</v>
      </c>
      <c r="V63" s="5">
        <v>6.8979663020871579E-2</v>
      </c>
      <c r="W63" s="5">
        <v>3.34421856076626E-2</v>
      </c>
      <c r="X63" s="6">
        <v>0</v>
      </c>
      <c r="Y63" s="6">
        <v>1</v>
      </c>
      <c r="Z63" s="6">
        <v>104</v>
      </c>
      <c r="AA63" s="12">
        <v>0.10542345918448665</v>
      </c>
      <c r="AB63" s="5">
        <v>2.6246075871145077E-2</v>
      </c>
      <c r="AC63" s="6">
        <v>0</v>
      </c>
      <c r="AD63" s="6">
        <v>1</v>
      </c>
      <c r="AE63" s="6">
        <v>264</v>
      </c>
    </row>
    <row r="64" spans="1:32" x14ac:dyDescent="0.45">
      <c r="A64" s="4" t="s">
        <v>14</v>
      </c>
      <c r="B64" s="5">
        <v>0.14125871494262252</v>
      </c>
      <c r="C64" s="5">
        <v>6.5074565286824301E-2</v>
      </c>
      <c r="D64" s="6">
        <v>0</v>
      </c>
      <c r="E64" s="6">
        <v>1</v>
      </c>
      <c r="F64" s="6">
        <v>34</v>
      </c>
      <c r="G64" s="5">
        <v>0.16404585106896458</v>
      </c>
      <c r="H64" s="5">
        <v>5.7710190044605751E-2</v>
      </c>
      <c r="I64" s="6">
        <v>0</v>
      </c>
      <c r="J64" s="6">
        <v>1</v>
      </c>
      <c r="K64" s="6">
        <v>42</v>
      </c>
      <c r="L64" s="5">
        <v>0.2086788055890173</v>
      </c>
      <c r="M64" s="5">
        <v>6.386461691065122E-2</v>
      </c>
      <c r="N64" s="6">
        <v>0</v>
      </c>
      <c r="O64" s="6">
        <v>1</v>
      </c>
      <c r="P64" s="6">
        <v>44</v>
      </c>
      <c r="Q64" s="5">
        <v>0.16962493166829462</v>
      </c>
      <c r="R64" s="5">
        <v>6.2751547279342637E-2</v>
      </c>
      <c r="S64" s="6">
        <v>0</v>
      </c>
      <c r="T64" s="6">
        <v>1</v>
      </c>
      <c r="U64" s="6">
        <v>40</v>
      </c>
      <c r="V64" s="5">
        <v>0.22453693331192012</v>
      </c>
      <c r="W64" s="5">
        <v>5.5524839390507182E-2</v>
      </c>
      <c r="X64" s="6">
        <v>0</v>
      </c>
      <c r="Y64" s="6">
        <v>1</v>
      </c>
      <c r="Z64" s="6">
        <v>104</v>
      </c>
      <c r="AA64" s="12">
        <v>0.1845600184715836</v>
      </c>
      <c r="AB64" s="5">
        <v>3.3763052095516929E-2</v>
      </c>
      <c r="AC64" s="6">
        <v>0</v>
      </c>
      <c r="AD64" s="6">
        <v>1</v>
      </c>
      <c r="AE64" s="6">
        <v>264</v>
      </c>
      <c r="AF64">
        <f>(AA66/AA65)-AA64</f>
        <v>-6.4205497347554638E-2</v>
      </c>
    </row>
    <row r="65" spans="1:32" x14ac:dyDescent="0.45">
      <c r="A65" s="4" t="s">
        <v>34</v>
      </c>
      <c r="B65" s="5">
        <v>0.19862121171774996</v>
      </c>
      <c r="C65" s="5">
        <v>7.0449908333518482E-2</v>
      </c>
      <c r="D65" s="6">
        <v>0</v>
      </c>
      <c r="E65" s="6">
        <v>1</v>
      </c>
      <c r="F65" s="6">
        <v>34</v>
      </c>
      <c r="G65" s="5">
        <v>0.27373543444507736</v>
      </c>
      <c r="H65" s="5">
        <v>7.1059953576424029E-2</v>
      </c>
      <c r="I65" s="6">
        <v>0</v>
      </c>
      <c r="J65" s="6">
        <v>1</v>
      </c>
      <c r="K65" s="6">
        <v>42</v>
      </c>
      <c r="L65" s="5">
        <v>0.16023885887947467</v>
      </c>
      <c r="M65" s="5">
        <v>5.6132837285575506E-2</v>
      </c>
      <c r="N65" s="6">
        <v>0</v>
      </c>
      <c r="O65" s="6">
        <v>1</v>
      </c>
      <c r="P65" s="6">
        <v>44</v>
      </c>
      <c r="Q65" s="5">
        <v>0.27853232036598929</v>
      </c>
      <c r="R65" s="5">
        <v>7.2602815976202259E-2</v>
      </c>
      <c r="S65" s="6">
        <v>0</v>
      </c>
      <c r="T65" s="6">
        <v>1</v>
      </c>
      <c r="U65" s="6">
        <v>40</v>
      </c>
      <c r="V65" s="5">
        <v>5.7747988593625371E-2</v>
      </c>
      <c r="W65" s="5">
        <v>2.8391611186991999E-2</v>
      </c>
      <c r="X65" s="6">
        <v>0</v>
      </c>
      <c r="Y65" s="6">
        <v>1</v>
      </c>
      <c r="Z65" s="6">
        <v>104</v>
      </c>
      <c r="AA65" s="12">
        <v>0.21587935616398435</v>
      </c>
      <c r="AB65" s="5">
        <v>3.4528579839839389E-2</v>
      </c>
      <c r="AC65" s="6">
        <v>0</v>
      </c>
      <c r="AD65" s="6">
        <v>1</v>
      </c>
      <c r="AE65" s="6">
        <v>264</v>
      </c>
      <c r="AF65">
        <f>(AA66/AA64)-AA65</f>
        <v>-7.5100997195189367E-2</v>
      </c>
    </row>
    <row r="66" spans="1:32" ht="26.25" x14ac:dyDescent="0.45">
      <c r="A66" s="4" t="s">
        <v>50</v>
      </c>
      <c r="B66" s="5">
        <v>0</v>
      </c>
      <c r="C66" s="5">
        <v>0</v>
      </c>
      <c r="D66" s="6">
        <v>0</v>
      </c>
      <c r="E66" s="6">
        <v>0</v>
      </c>
      <c r="F66" s="6">
        <v>34</v>
      </c>
      <c r="G66" s="5">
        <v>2.3245212866779455E-2</v>
      </c>
      <c r="H66" s="5">
        <v>2.3267603010456363E-2</v>
      </c>
      <c r="I66" s="6">
        <v>0</v>
      </c>
      <c r="J66" s="6">
        <v>1</v>
      </c>
      <c r="K66" s="6">
        <v>42</v>
      </c>
      <c r="L66" s="5">
        <v>0</v>
      </c>
      <c r="M66" s="5">
        <v>0</v>
      </c>
      <c r="N66" s="6">
        <v>0</v>
      </c>
      <c r="O66" s="6">
        <v>0</v>
      </c>
      <c r="P66" s="6">
        <v>44</v>
      </c>
      <c r="Q66" s="5">
        <v>8.2522526926885303E-2</v>
      </c>
      <c r="R66" s="5">
        <v>4.4444565432204548E-2</v>
      </c>
      <c r="S66" s="6">
        <v>0</v>
      </c>
      <c r="T66" s="6">
        <v>1</v>
      </c>
      <c r="U66" s="6">
        <v>40</v>
      </c>
      <c r="V66" s="5">
        <v>3.9200702454823023E-2</v>
      </c>
      <c r="W66" s="5">
        <v>2.7276662808993577E-2</v>
      </c>
      <c r="X66" s="6">
        <v>0</v>
      </c>
      <c r="Y66" s="6">
        <v>1</v>
      </c>
      <c r="Z66" s="6">
        <v>104</v>
      </c>
      <c r="AA66" s="12">
        <v>2.5982056531680026E-2</v>
      </c>
      <c r="AB66" s="5">
        <v>1.1910288445566769E-2</v>
      </c>
      <c r="AC66" s="6">
        <v>0</v>
      </c>
      <c r="AD66" s="6">
        <v>1</v>
      </c>
      <c r="AE66" s="6">
        <v>264</v>
      </c>
    </row>
    <row r="67" spans="1:32" x14ac:dyDescent="0.45">
      <c r="A67" s="4" t="s">
        <v>14</v>
      </c>
      <c r="B67" s="5">
        <v>0.14125871494262252</v>
      </c>
      <c r="C67" s="5">
        <v>6.5074565286824301E-2</v>
      </c>
      <c r="D67" s="6">
        <v>0</v>
      </c>
      <c r="E67" s="6">
        <v>1</v>
      </c>
      <c r="F67" s="6">
        <v>34</v>
      </c>
      <c r="G67" s="5">
        <v>0.16404585106896458</v>
      </c>
      <c r="H67" s="5">
        <v>5.7710190044605751E-2</v>
      </c>
      <c r="I67" s="6">
        <v>0</v>
      </c>
      <c r="J67" s="6">
        <v>1</v>
      </c>
      <c r="K67" s="6">
        <v>42</v>
      </c>
      <c r="L67" s="5">
        <v>0.2086788055890173</v>
      </c>
      <c r="M67" s="5">
        <v>6.386461691065122E-2</v>
      </c>
      <c r="N67" s="6">
        <v>0</v>
      </c>
      <c r="O67" s="6">
        <v>1</v>
      </c>
      <c r="P67" s="6">
        <v>44</v>
      </c>
      <c r="Q67" s="5">
        <v>0.16962493166829462</v>
      </c>
      <c r="R67" s="5">
        <v>6.2751547279342637E-2</v>
      </c>
      <c r="S67" s="6">
        <v>0</v>
      </c>
      <c r="T67" s="6">
        <v>1</v>
      </c>
      <c r="U67" s="6">
        <v>40</v>
      </c>
      <c r="V67" s="5">
        <v>0.22453693331192012</v>
      </c>
      <c r="W67" s="5">
        <v>5.5524839390507182E-2</v>
      </c>
      <c r="X67" s="6">
        <v>0</v>
      </c>
      <c r="Y67" s="6">
        <v>1</v>
      </c>
      <c r="Z67" s="6">
        <v>104</v>
      </c>
      <c r="AA67" s="12">
        <v>0.1845600184715836</v>
      </c>
      <c r="AB67" s="5">
        <v>3.3763052095516929E-2</v>
      </c>
      <c r="AC67" s="6">
        <v>0</v>
      </c>
      <c r="AD67" s="6">
        <v>1</v>
      </c>
      <c r="AE67" s="6">
        <v>264</v>
      </c>
      <c r="AF67">
        <f>(AA69/AA68)-AA67</f>
        <v>-2.5471295032586688E-2</v>
      </c>
    </row>
    <row r="68" spans="1:32" x14ac:dyDescent="0.45">
      <c r="A68" s="4" t="s">
        <v>36</v>
      </c>
      <c r="B68" s="5">
        <v>0.76064468833586119</v>
      </c>
      <c r="C68" s="5">
        <v>7.7815769808775942E-2</v>
      </c>
      <c r="D68" s="6">
        <v>0</v>
      </c>
      <c r="E68" s="6">
        <v>1</v>
      </c>
      <c r="F68" s="6">
        <v>34</v>
      </c>
      <c r="G68" s="5">
        <v>0.47021854293445042</v>
      </c>
      <c r="H68" s="5">
        <v>7.9243117363754292E-2</v>
      </c>
      <c r="I68" s="6">
        <v>0</v>
      </c>
      <c r="J68" s="6">
        <v>1</v>
      </c>
      <c r="K68" s="6">
        <v>42</v>
      </c>
      <c r="L68" s="5">
        <v>0.2445206682606792</v>
      </c>
      <c r="M68" s="5">
        <v>6.7154542896761538E-2</v>
      </c>
      <c r="N68" s="6">
        <v>0</v>
      </c>
      <c r="O68" s="6">
        <v>1</v>
      </c>
      <c r="P68" s="6">
        <v>42</v>
      </c>
      <c r="Q68" s="5">
        <v>0.35160809189742964</v>
      </c>
      <c r="R68" s="5">
        <v>7.902438279457083E-2</v>
      </c>
      <c r="S68" s="6">
        <v>0</v>
      </c>
      <c r="T68" s="6">
        <v>1</v>
      </c>
      <c r="U68" s="6">
        <v>40</v>
      </c>
      <c r="V68" s="5">
        <v>0.42925514319553509</v>
      </c>
      <c r="W68" s="5">
        <v>6.917480911456024E-2</v>
      </c>
      <c r="X68" s="6">
        <v>0</v>
      </c>
      <c r="Y68" s="6">
        <v>1</v>
      </c>
      <c r="Z68" s="6">
        <v>100</v>
      </c>
      <c r="AA68" s="12">
        <v>0.36787839094902408</v>
      </c>
      <c r="AB68" s="5">
        <v>4.0690017630809268E-2</v>
      </c>
      <c r="AC68" s="6">
        <v>0</v>
      </c>
      <c r="AD68" s="6">
        <v>1</v>
      </c>
      <c r="AE68" s="6">
        <v>258</v>
      </c>
      <c r="AF68">
        <f>(AA69/AA67)-AA68</f>
        <v>-5.0771229378797411E-2</v>
      </c>
    </row>
    <row r="69" spans="1:32" x14ac:dyDescent="0.45">
      <c r="A69" s="4" t="s">
        <v>51</v>
      </c>
      <c r="B69" s="5">
        <v>8.7930752930715408E-2</v>
      </c>
      <c r="C69" s="5">
        <v>4.9753833993337875E-2</v>
      </c>
      <c r="D69" s="6">
        <v>0</v>
      </c>
      <c r="E69" s="6">
        <v>1</v>
      </c>
      <c r="F69" s="6">
        <v>34</v>
      </c>
      <c r="G69" s="5">
        <v>9.6973180705821588E-2</v>
      </c>
      <c r="H69" s="5">
        <v>4.6686622027675158E-2</v>
      </c>
      <c r="I69" s="6">
        <v>0</v>
      </c>
      <c r="J69" s="6">
        <v>1</v>
      </c>
      <c r="K69" s="6">
        <v>42</v>
      </c>
      <c r="L69" s="5">
        <v>4.3891070370903638E-2</v>
      </c>
      <c r="M69" s="5">
        <v>3.1236248509536994E-2</v>
      </c>
      <c r="N69" s="6">
        <v>0</v>
      </c>
      <c r="O69" s="6">
        <v>1</v>
      </c>
      <c r="P69" s="6">
        <v>42</v>
      </c>
      <c r="Q69" s="5">
        <v>3.2049683239986172E-2</v>
      </c>
      <c r="R69" s="5">
        <v>2.9678028410606034E-2</v>
      </c>
      <c r="S69" s="6">
        <v>0</v>
      </c>
      <c r="T69" s="6">
        <v>1</v>
      </c>
      <c r="U69" s="6">
        <v>40</v>
      </c>
      <c r="V69" s="5">
        <v>4.7030604905261439E-2</v>
      </c>
      <c r="W69" s="5">
        <v>2.3388984029070074E-2</v>
      </c>
      <c r="X69" s="6">
        <v>0</v>
      </c>
      <c r="Y69" s="6">
        <v>1</v>
      </c>
      <c r="Z69" s="6">
        <v>100</v>
      </c>
      <c r="AA69" s="12">
        <v>5.8525303596872476E-2</v>
      </c>
      <c r="AB69" s="5">
        <v>1.9415096411102693E-2</v>
      </c>
      <c r="AC69" s="6">
        <v>0</v>
      </c>
      <c r="AD69" s="6">
        <v>1</v>
      </c>
      <c r="AE69" s="6">
        <v>258</v>
      </c>
    </row>
    <row r="70" spans="1:32" x14ac:dyDescent="0.45">
      <c r="A70" s="4" t="s">
        <v>26</v>
      </c>
      <c r="B70" s="5">
        <v>0.24902179290487914</v>
      </c>
      <c r="C70" s="5">
        <v>7.8614835918954476E-2</v>
      </c>
      <c r="D70" s="6">
        <v>0</v>
      </c>
      <c r="E70" s="6">
        <v>1</v>
      </c>
      <c r="F70" s="6">
        <v>34</v>
      </c>
      <c r="G70" s="5">
        <v>0.52007076896689197</v>
      </c>
      <c r="H70" s="5">
        <v>7.9207874917171434E-2</v>
      </c>
      <c r="I70" s="6">
        <v>0</v>
      </c>
      <c r="J70" s="6">
        <v>1</v>
      </c>
      <c r="K70" s="6">
        <v>42</v>
      </c>
      <c r="L70" s="5">
        <v>0.40284945544057527</v>
      </c>
      <c r="M70" s="5">
        <v>7.7077845130646777E-2</v>
      </c>
      <c r="N70" s="6">
        <v>0</v>
      </c>
      <c r="O70" s="6">
        <v>1</v>
      </c>
      <c r="P70" s="6">
        <v>44</v>
      </c>
      <c r="Q70" s="5">
        <v>0.56237744430379144</v>
      </c>
      <c r="R70" s="5">
        <v>8.1477344007092639E-2</v>
      </c>
      <c r="S70" s="6">
        <v>0</v>
      </c>
      <c r="T70" s="6">
        <v>1</v>
      </c>
      <c r="U70" s="6">
        <v>40</v>
      </c>
      <c r="V70" s="5">
        <v>0.30849368526502607</v>
      </c>
      <c r="W70" s="5">
        <v>6.0369974510870769E-2</v>
      </c>
      <c r="X70" s="6">
        <v>0</v>
      </c>
      <c r="Y70" s="6">
        <v>1</v>
      </c>
      <c r="Z70" s="6">
        <v>104</v>
      </c>
      <c r="AA70" s="12">
        <v>0.45769735338375289</v>
      </c>
      <c r="AB70" s="5">
        <v>4.2866116015874249E-2</v>
      </c>
      <c r="AC70" s="6">
        <v>0</v>
      </c>
      <c r="AD70" s="6">
        <v>1</v>
      </c>
      <c r="AE70" s="6">
        <v>264</v>
      </c>
      <c r="AF70">
        <f>(AA72/AA71)-AA70</f>
        <v>-1.0476487164479853E-2</v>
      </c>
    </row>
    <row r="71" spans="1:32" x14ac:dyDescent="0.45">
      <c r="A71" s="4" t="s">
        <v>28</v>
      </c>
      <c r="B71" s="5">
        <v>0.16060683353603622</v>
      </c>
      <c r="C71" s="5">
        <v>6.3104178008598577E-2</v>
      </c>
      <c r="D71" s="6">
        <v>0</v>
      </c>
      <c r="E71" s="6">
        <v>1</v>
      </c>
      <c r="F71" s="6">
        <v>34</v>
      </c>
      <c r="G71" s="5">
        <v>0.18650001607317804</v>
      </c>
      <c r="H71" s="5">
        <v>6.08550634427708E-2</v>
      </c>
      <c r="I71" s="6">
        <v>0</v>
      </c>
      <c r="J71" s="6">
        <v>1</v>
      </c>
      <c r="K71" s="6">
        <v>42</v>
      </c>
      <c r="L71" s="5">
        <v>0.3982476541522913</v>
      </c>
      <c r="M71" s="5">
        <v>7.606739370062203E-2</v>
      </c>
      <c r="N71" s="6">
        <v>0</v>
      </c>
      <c r="O71" s="6">
        <v>1</v>
      </c>
      <c r="P71" s="6">
        <v>44</v>
      </c>
      <c r="Q71" s="5">
        <v>0.69537622401646959</v>
      </c>
      <c r="R71" s="5">
        <v>7.7013327808946444E-2</v>
      </c>
      <c r="S71" s="6">
        <v>0</v>
      </c>
      <c r="T71" s="6">
        <v>1</v>
      </c>
      <c r="U71" s="6">
        <v>40</v>
      </c>
      <c r="V71" s="5">
        <v>0.40152770724557457</v>
      </c>
      <c r="W71" s="5">
        <v>6.4202011804989259E-2</v>
      </c>
      <c r="X71" s="6">
        <v>0</v>
      </c>
      <c r="Y71" s="6">
        <v>1</v>
      </c>
      <c r="Z71" s="6">
        <v>104</v>
      </c>
      <c r="AA71" s="12">
        <v>0.39366660028274569</v>
      </c>
      <c r="AB71" s="5">
        <v>4.1749939332123578E-2</v>
      </c>
      <c r="AC71" s="6">
        <v>0</v>
      </c>
      <c r="AD71" s="6">
        <v>1</v>
      </c>
      <c r="AE71" s="6">
        <v>264</v>
      </c>
      <c r="AF71">
        <f>(AA72/AA70)-AA71</f>
        <v>-9.0108519406024712E-3</v>
      </c>
    </row>
    <row r="72" spans="1:32" x14ac:dyDescent="0.45">
      <c r="A72" s="4" t="s">
        <v>52</v>
      </c>
      <c r="B72" s="5">
        <v>2.357564786548759E-2</v>
      </c>
      <c r="C72" s="5">
        <v>2.3757272411676529E-2</v>
      </c>
      <c r="D72" s="6">
        <v>0</v>
      </c>
      <c r="E72" s="6">
        <v>1</v>
      </c>
      <c r="F72" s="6">
        <v>34</v>
      </c>
      <c r="G72" s="5">
        <v>5.0870625007041467E-2</v>
      </c>
      <c r="H72" s="5">
        <v>3.5564636185284805E-2</v>
      </c>
      <c r="I72" s="6">
        <v>0</v>
      </c>
      <c r="J72" s="6">
        <v>1</v>
      </c>
      <c r="K72" s="6">
        <v>42</v>
      </c>
      <c r="L72" s="5">
        <v>0.17389117153870653</v>
      </c>
      <c r="M72" s="5">
        <v>5.8287910240789692E-2</v>
      </c>
      <c r="N72" s="6">
        <v>0</v>
      </c>
      <c r="O72" s="6">
        <v>1</v>
      </c>
      <c r="P72" s="6">
        <v>44</v>
      </c>
      <c r="Q72" s="5">
        <v>0.35879015826738719</v>
      </c>
      <c r="R72" s="5">
        <v>7.8446047156204207E-2</v>
      </c>
      <c r="S72" s="6">
        <v>0</v>
      </c>
      <c r="T72" s="6">
        <v>1</v>
      </c>
      <c r="U72" s="6">
        <v>40</v>
      </c>
      <c r="V72" s="5">
        <v>0.25795870060034021</v>
      </c>
      <c r="W72" s="5">
        <v>5.693358803412274E-2</v>
      </c>
      <c r="X72" s="6">
        <v>0</v>
      </c>
      <c r="Y72" s="6">
        <v>1</v>
      </c>
      <c r="Z72" s="6">
        <v>104</v>
      </c>
      <c r="AA72" s="12">
        <v>0.17605591798004586</v>
      </c>
      <c r="AB72" s="5">
        <v>3.2217587811653223E-2</v>
      </c>
      <c r="AC72" s="6">
        <v>0</v>
      </c>
      <c r="AD72" s="6">
        <v>1</v>
      </c>
      <c r="AE72" s="6">
        <v>264</v>
      </c>
    </row>
    <row r="73" spans="1:32" x14ac:dyDescent="0.45">
      <c r="A73" s="4" t="s">
        <v>26</v>
      </c>
      <c r="B73" s="5">
        <v>0.24902179290487914</v>
      </c>
      <c r="C73" s="5">
        <v>7.8614835918954476E-2</v>
      </c>
      <c r="D73" s="6">
        <v>0</v>
      </c>
      <c r="E73" s="6">
        <v>1</v>
      </c>
      <c r="F73" s="6">
        <v>34</v>
      </c>
      <c r="G73" s="5">
        <v>0.52007076896689197</v>
      </c>
      <c r="H73" s="5">
        <v>7.9207874917171434E-2</v>
      </c>
      <c r="I73" s="6">
        <v>0</v>
      </c>
      <c r="J73" s="6">
        <v>1</v>
      </c>
      <c r="K73" s="6">
        <v>42</v>
      </c>
      <c r="L73" s="5">
        <v>0.40284945544057527</v>
      </c>
      <c r="M73" s="5">
        <v>7.7077845130646777E-2</v>
      </c>
      <c r="N73" s="6">
        <v>0</v>
      </c>
      <c r="O73" s="6">
        <v>1</v>
      </c>
      <c r="P73" s="6">
        <v>44</v>
      </c>
      <c r="Q73" s="5">
        <v>0.56237744430379144</v>
      </c>
      <c r="R73" s="5">
        <v>8.1477344007092639E-2</v>
      </c>
      <c r="S73" s="6">
        <v>0</v>
      </c>
      <c r="T73" s="6">
        <v>1</v>
      </c>
      <c r="U73" s="6">
        <v>40</v>
      </c>
      <c r="V73" s="5">
        <v>0.30849368526502607</v>
      </c>
      <c r="W73" s="5">
        <v>6.0369974510870769E-2</v>
      </c>
      <c r="X73" s="6">
        <v>0</v>
      </c>
      <c r="Y73" s="6">
        <v>1</v>
      </c>
      <c r="Z73" s="6">
        <v>104</v>
      </c>
      <c r="AA73" s="12">
        <v>0.45769735338375289</v>
      </c>
      <c r="AB73" s="5">
        <v>4.2866116015874249E-2</v>
      </c>
      <c r="AC73" s="6">
        <v>0</v>
      </c>
      <c r="AD73" s="6">
        <v>1</v>
      </c>
      <c r="AE73" s="6">
        <v>264</v>
      </c>
      <c r="AF73">
        <f>(AA75/AA74)-AA73</f>
        <v>0.12864922352749392</v>
      </c>
    </row>
    <row r="74" spans="1:32" x14ac:dyDescent="0.45">
      <c r="A74" s="4" t="s">
        <v>30</v>
      </c>
      <c r="B74" s="5">
        <v>9.7944886332647418E-2</v>
      </c>
      <c r="C74" s="5">
        <v>5.0745074390485048E-2</v>
      </c>
      <c r="D74" s="6">
        <v>0</v>
      </c>
      <c r="E74" s="6">
        <v>1</v>
      </c>
      <c r="F74" s="6">
        <v>34</v>
      </c>
      <c r="G74" s="5">
        <v>0.19686198014165318</v>
      </c>
      <c r="H74" s="5">
        <v>6.361507673733699E-2</v>
      </c>
      <c r="I74" s="6">
        <v>0</v>
      </c>
      <c r="J74" s="6">
        <v>1</v>
      </c>
      <c r="K74" s="6">
        <v>42</v>
      </c>
      <c r="L74" s="5">
        <v>0.18448659651104984</v>
      </c>
      <c r="M74" s="5">
        <v>6.0019935102142451E-2</v>
      </c>
      <c r="N74" s="6">
        <v>0</v>
      </c>
      <c r="O74" s="6">
        <v>1</v>
      </c>
      <c r="P74" s="6">
        <v>44</v>
      </c>
      <c r="Q74" s="5">
        <v>0.12570203484365922</v>
      </c>
      <c r="R74" s="5">
        <v>5.3202553266984524E-2</v>
      </c>
      <c r="S74" s="6">
        <v>0</v>
      </c>
      <c r="T74" s="6">
        <v>1</v>
      </c>
      <c r="U74" s="6">
        <v>40</v>
      </c>
      <c r="V74" s="5">
        <v>7.1219747701667446E-2</v>
      </c>
      <c r="W74" s="5">
        <v>2.7252423041304919E-2</v>
      </c>
      <c r="X74" s="6">
        <v>0</v>
      </c>
      <c r="Y74" s="6">
        <v>1</v>
      </c>
      <c r="Z74" s="6">
        <v>104</v>
      </c>
      <c r="AA74" s="12">
        <v>0.16577578610959048</v>
      </c>
      <c r="AB74" s="5">
        <v>3.241187199883435E-2</v>
      </c>
      <c r="AC74" s="6">
        <v>0</v>
      </c>
      <c r="AD74" s="6">
        <v>1</v>
      </c>
      <c r="AE74" s="6">
        <v>264</v>
      </c>
      <c r="AF74">
        <f>(AA75/AA73)-AA74</f>
        <v>4.6596131712339922E-2</v>
      </c>
    </row>
    <row r="75" spans="1:32" ht="26.25" x14ac:dyDescent="0.45">
      <c r="A75" s="4" t="s">
        <v>53</v>
      </c>
      <c r="B75" s="5">
        <v>6.3523076459219049E-2</v>
      </c>
      <c r="C75" s="5">
        <v>4.4174764743558276E-2</v>
      </c>
      <c r="D75" s="6">
        <v>0</v>
      </c>
      <c r="E75" s="6">
        <v>1</v>
      </c>
      <c r="F75" s="6">
        <v>34</v>
      </c>
      <c r="G75" s="5">
        <v>0.11964944844428045</v>
      </c>
      <c r="H75" s="5">
        <v>5.1627667512788369E-2</v>
      </c>
      <c r="I75" s="6">
        <v>0</v>
      </c>
      <c r="J75" s="6">
        <v>1</v>
      </c>
      <c r="K75" s="6">
        <v>42</v>
      </c>
      <c r="L75" s="5">
        <v>9.0957890622099163E-2</v>
      </c>
      <c r="M75" s="5">
        <v>4.4249289548126902E-2</v>
      </c>
      <c r="N75" s="6">
        <v>0</v>
      </c>
      <c r="O75" s="6">
        <v>1</v>
      </c>
      <c r="P75" s="6">
        <v>44</v>
      </c>
      <c r="Q75" s="5">
        <v>0.10117116771658363</v>
      </c>
      <c r="R75" s="5">
        <v>4.8421832121232848E-2</v>
      </c>
      <c r="S75" s="6">
        <v>0</v>
      </c>
      <c r="T75" s="6">
        <v>1</v>
      </c>
      <c r="U75" s="6">
        <v>40</v>
      </c>
      <c r="V75" s="5">
        <v>2.8241571565647324E-2</v>
      </c>
      <c r="W75" s="5">
        <v>1.9525234439272805E-2</v>
      </c>
      <c r="X75" s="6">
        <v>0</v>
      </c>
      <c r="Y75" s="6">
        <v>1</v>
      </c>
      <c r="Z75" s="6">
        <v>104</v>
      </c>
      <c r="AA75" s="12">
        <v>9.7202064720129405E-2</v>
      </c>
      <c r="AB75" s="5">
        <v>2.5354680937702052E-2</v>
      </c>
      <c r="AC75" s="6">
        <v>0</v>
      </c>
      <c r="AD75" s="6">
        <v>1</v>
      </c>
      <c r="AE75" s="6">
        <v>264</v>
      </c>
    </row>
    <row r="76" spans="1:32" x14ac:dyDescent="0.45">
      <c r="A76" s="4" t="s">
        <v>26</v>
      </c>
      <c r="B76" s="5">
        <v>0.24902179290487914</v>
      </c>
      <c r="C76" s="5">
        <v>7.8614835918954476E-2</v>
      </c>
      <c r="D76" s="6">
        <v>0</v>
      </c>
      <c r="E76" s="6">
        <v>1</v>
      </c>
      <c r="F76" s="6">
        <v>34</v>
      </c>
      <c r="G76" s="5">
        <v>0.52007076896689197</v>
      </c>
      <c r="H76" s="5">
        <v>7.9207874917171434E-2</v>
      </c>
      <c r="I76" s="6">
        <v>0</v>
      </c>
      <c r="J76" s="6">
        <v>1</v>
      </c>
      <c r="K76" s="6">
        <v>42</v>
      </c>
      <c r="L76" s="5">
        <v>0.40284945544057527</v>
      </c>
      <c r="M76" s="5">
        <v>7.7077845130646777E-2</v>
      </c>
      <c r="N76" s="6">
        <v>0</v>
      </c>
      <c r="O76" s="6">
        <v>1</v>
      </c>
      <c r="P76" s="6">
        <v>44</v>
      </c>
      <c r="Q76" s="5">
        <v>0.56237744430379144</v>
      </c>
      <c r="R76" s="5">
        <v>8.1477344007092639E-2</v>
      </c>
      <c r="S76" s="6">
        <v>0</v>
      </c>
      <c r="T76" s="6">
        <v>1</v>
      </c>
      <c r="U76" s="6">
        <v>40</v>
      </c>
      <c r="V76" s="5">
        <v>0.30849368526502607</v>
      </c>
      <c r="W76" s="5">
        <v>6.0369974510870769E-2</v>
      </c>
      <c r="X76" s="6">
        <v>0</v>
      </c>
      <c r="Y76" s="6">
        <v>1</v>
      </c>
      <c r="Z76" s="6">
        <v>104</v>
      </c>
      <c r="AA76" s="12">
        <v>0.45769735338375289</v>
      </c>
      <c r="AB76" s="5">
        <v>4.2866116015874249E-2</v>
      </c>
      <c r="AC76" s="6">
        <v>0</v>
      </c>
      <c r="AD76" s="6">
        <v>1</v>
      </c>
      <c r="AE76" s="6">
        <v>264</v>
      </c>
      <c r="AF76">
        <f>(AA78/AA77)-AA76</f>
        <v>-3.0085665306462783E-2</v>
      </c>
    </row>
    <row r="77" spans="1:32" x14ac:dyDescent="0.45">
      <c r="A77" s="4" t="s">
        <v>32</v>
      </c>
      <c r="B77" s="5">
        <v>0.88886175204661999</v>
      </c>
      <c r="C77" s="5">
        <v>6.1457033964244352E-2</v>
      </c>
      <c r="D77" s="6">
        <v>0</v>
      </c>
      <c r="E77" s="6">
        <v>1</v>
      </c>
      <c r="F77" s="6">
        <v>34</v>
      </c>
      <c r="G77" s="5">
        <v>0.60873909731901421</v>
      </c>
      <c r="H77" s="5">
        <v>7.7439164761967633E-2</v>
      </c>
      <c r="I77" s="6">
        <v>0</v>
      </c>
      <c r="J77" s="6">
        <v>1</v>
      </c>
      <c r="K77" s="6">
        <v>42</v>
      </c>
      <c r="L77" s="5">
        <v>0.4867159180448013</v>
      </c>
      <c r="M77" s="5">
        <v>7.8217992076327084E-2</v>
      </c>
      <c r="N77" s="6">
        <v>0</v>
      </c>
      <c r="O77" s="6">
        <v>1</v>
      </c>
      <c r="P77" s="6">
        <v>44</v>
      </c>
      <c r="Q77" s="5">
        <v>0.64300167798766439</v>
      </c>
      <c r="R77" s="5">
        <v>7.9764129090886995E-2</v>
      </c>
      <c r="S77" s="6">
        <v>0</v>
      </c>
      <c r="T77" s="6">
        <v>1</v>
      </c>
      <c r="U77" s="6">
        <v>40</v>
      </c>
      <c r="V77" s="5">
        <v>0.21962332207176813</v>
      </c>
      <c r="W77" s="5">
        <v>4.9938905008240317E-2</v>
      </c>
      <c r="X77" s="6">
        <v>0</v>
      </c>
      <c r="Y77" s="6">
        <v>1</v>
      </c>
      <c r="Z77" s="6">
        <v>104</v>
      </c>
      <c r="AA77" s="12">
        <v>0.56879903245024355</v>
      </c>
      <c r="AB77" s="5">
        <v>4.2838805073454271E-2</v>
      </c>
      <c r="AC77" s="6">
        <v>0</v>
      </c>
      <c r="AD77" s="6">
        <v>1</v>
      </c>
      <c r="AE77" s="6">
        <v>264</v>
      </c>
      <c r="AF77">
        <f>(AA78/AA76)-AA77</f>
        <v>-3.7388674394605692E-2</v>
      </c>
    </row>
    <row r="78" spans="1:32" ht="26.25" x14ac:dyDescent="0.45">
      <c r="A78" s="4" t="s">
        <v>54</v>
      </c>
      <c r="B78" s="5">
        <v>0.21667765846485929</v>
      </c>
      <c r="C78" s="5">
        <v>7.4753310749334168E-2</v>
      </c>
      <c r="D78" s="6">
        <v>0</v>
      </c>
      <c r="E78" s="6">
        <v>1</v>
      </c>
      <c r="F78" s="6">
        <v>34</v>
      </c>
      <c r="G78" s="5">
        <v>0.29530960673578122</v>
      </c>
      <c r="H78" s="5">
        <v>7.2480427849830206E-2</v>
      </c>
      <c r="I78" s="6">
        <v>0</v>
      </c>
      <c r="J78" s="6">
        <v>1</v>
      </c>
      <c r="K78" s="6">
        <v>42</v>
      </c>
      <c r="L78" s="5">
        <v>0.16372937491311118</v>
      </c>
      <c r="M78" s="5">
        <v>5.7699862067293425E-2</v>
      </c>
      <c r="N78" s="6">
        <v>0</v>
      </c>
      <c r="O78" s="6">
        <v>1</v>
      </c>
      <c r="P78" s="6">
        <v>44</v>
      </c>
      <c r="Q78" s="5">
        <v>0.35907436865293524</v>
      </c>
      <c r="R78" s="5">
        <v>7.8455247940388231E-2</v>
      </c>
      <c r="S78" s="6">
        <v>0</v>
      </c>
      <c r="T78" s="6">
        <v>1</v>
      </c>
      <c r="U78" s="6">
        <v>40</v>
      </c>
      <c r="V78" s="5">
        <v>8.9549817056218034E-2</v>
      </c>
      <c r="W78" s="5">
        <v>3.80254621126467E-2</v>
      </c>
      <c r="X78" s="6">
        <v>0</v>
      </c>
      <c r="Y78" s="6">
        <v>1</v>
      </c>
      <c r="Z78" s="6">
        <v>104</v>
      </c>
      <c r="AA78" s="12">
        <v>0.24322511444277795</v>
      </c>
      <c r="AB78" s="5">
        <v>3.6093490514538737E-2</v>
      </c>
      <c r="AC78" s="6">
        <v>0</v>
      </c>
      <c r="AD78" s="6">
        <v>1</v>
      </c>
      <c r="AE78" s="6">
        <v>264</v>
      </c>
    </row>
    <row r="79" spans="1:32" x14ac:dyDescent="0.45">
      <c r="A79" s="4" t="s">
        <v>26</v>
      </c>
      <c r="B79" s="5">
        <v>0.24902179290487914</v>
      </c>
      <c r="C79" s="5">
        <v>7.8614835918954476E-2</v>
      </c>
      <c r="D79" s="6">
        <v>0</v>
      </c>
      <c r="E79" s="6">
        <v>1</v>
      </c>
      <c r="F79" s="6">
        <v>34</v>
      </c>
      <c r="G79" s="5">
        <v>0.52007076896689197</v>
      </c>
      <c r="H79" s="5">
        <v>7.9207874917171434E-2</v>
      </c>
      <c r="I79" s="6">
        <v>0</v>
      </c>
      <c r="J79" s="6">
        <v>1</v>
      </c>
      <c r="K79" s="6">
        <v>42</v>
      </c>
      <c r="L79" s="5">
        <v>0.40284945544057527</v>
      </c>
      <c r="M79" s="5">
        <v>7.7077845130646777E-2</v>
      </c>
      <c r="N79" s="6">
        <v>0</v>
      </c>
      <c r="O79" s="6">
        <v>1</v>
      </c>
      <c r="P79" s="6">
        <v>44</v>
      </c>
      <c r="Q79" s="5">
        <v>0.56237744430379144</v>
      </c>
      <c r="R79" s="5">
        <v>8.1477344007092639E-2</v>
      </c>
      <c r="S79" s="6">
        <v>0</v>
      </c>
      <c r="T79" s="6">
        <v>1</v>
      </c>
      <c r="U79" s="6">
        <v>40</v>
      </c>
      <c r="V79" s="5">
        <v>0.30849368526502607</v>
      </c>
      <c r="W79" s="5">
        <v>6.0369974510870769E-2</v>
      </c>
      <c r="X79" s="6">
        <v>0</v>
      </c>
      <c r="Y79" s="6">
        <v>1</v>
      </c>
      <c r="Z79" s="6">
        <v>104</v>
      </c>
      <c r="AA79" s="12">
        <v>0.45769735338375289</v>
      </c>
      <c r="AB79" s="5">
        <v>4.2866116015874249E-2</v>
      </c>
      <c r="AC79" s="6">
        <v>0</v>
      </c>
      <c r="AD79" s="6">
        <v>1</v>
      </c>
      <c r="AE79" s="6">
        <v>264</v>
      </c>
      <c r="AF79">
        <f>(AA81/AA80)-AA79</f>
        <v>0.11603555611706756</v>
      </c>
    </row>
    <row r="80" spans="1:32" x14ac:dyDescent="0.45">
      <c r="A80" s="4" t="s">
        <v>34</v>
      </c>
      <c r="B80" s="5">
        <v>0.19862121171774996</v>
      </c>
      <c r="C80" s="5">
        <v>7.0449908333518482E-2</v>
      </c>
      <c r="D80" s="6">
        <v>0</v>
      </c>
      <c r="E80" s="6">
        <v>1</v>
      </c>
      <c r="F80" s="6">
        <v>34</v>
      </c>
      <c r="G80" s="5">
        <v>0.27373543444507736</v>
      </c>
      <c r="H80" s="5">
        <v>7.1059953576424029E-2</v>
      </c>
      <c r="I80" s="6">
        <v>0</v>
      </c>
      <c r="J80" s="6">
        <v>1</v>
      </c>
      <c r="K80" s="6">
        <v>42</v>
      </c>
      <c r="L80" s="5">
        <v>0.16023885887947467</v>
      </c>
      <c r="M80" s="5">
        <v>5.6132837285575506E-2</v>
      </c>
      <c r="N80" s="6">
        <v>0</v>
      </c>
      <c r="O80" s="6">
        <v>1</v>
      </c>
      <c r="P80" s="6">
        <v>44</v>
      </c>
      <c r="Q80" s="5">
        <v>0.27853232036598929</v>
      </c>
      <c r="R80" s="5">
        <v>7.2602815976202259E-2</v>
      </c>
      <c r="S80" s="6">
        <v>0</v>
      </c>
      <c r="T80" s="6">
        <v>1</v>
      </c>
      <c r="U80" s="6">
        <v>40</v>
      </c>
      <c r="V80" s="5">
        <v>5.7747988593625371E-2</v>
      </c>
      <c r="W80" s="5">
        <v>2.8391611186991999E-2</v>
      </c>
      <c r="X80" s="6">
        <v>0</v>
      </c>
      <c r="Y80" s="6">
        <v>1</v>
      </c>
      <c r="Z80" s="6">
        <v>104</v>
      </c>
      <c r="AA80" s="12">
        <v>0.21587935616398435</v>
      </c>
      <c r="AB80" s="5">
        <v>3.4528579839839389E-2</v>
      </c>
      <c r="AC80" s="6">
        <v>0</v>
      </c>
      <c r="AD80" s="6">
        <v>1</v>
      </c>
      <c r="AE80" s="6">
        <v>264</v>
      </c>
      <c r="AF80">
        <f>(AA81/AA79)-AA80</f>
        <v>5.4729792430500912E-2</v>
      </c>
    </row>
    <row r="81" spans="1:32" ht="26.25" x14ac:dyDescent="0.45">
      <c r="A81" s="4" t="s">
        <v>55</v>
      </c>
      <c r="B81" s="5">
        <v>3.5538501878236581E-2</v>
      </c>
      <c r="C81" s="5">
        <v>3.5374940336456995E-2</v>
      </c>
      <c r="D81" s="6">
        <v>0</v>
      </c>
      <c r="E81" s="6">
        <v>1</v>
      </c>
      <c r="F81" s="6">
        <v>34</v>
      </c>
      <c r="G81" s="5">
        <v>0.17333844177693702</v>
      </c>
      <c r="H81" s="5">
        <v>6.0287383603610932E-2</v>
      </c>
      <c r="I81" s="6">
        <v>0</v>
      </c>
      <c r="J81" s="6">
        <v>1</v>
      </c>
      <c r="K81" s="6">
        <v>42</v>
      </c>
      <c r="L81" s="5">
        <v>6.8423087814402053E-2</v>
      </c>
      <c r="M81" s="5">
        <v>3.9090286254302851E-2</v>
      </c>
      <c r="N81" s="6">
        <v>0</v>
      </c>
      <c r="O81" s="6">
        <v>1</v>
      </c>
      <c r="P81" s="6">
        <v>44</v>
      </c>
      <c r="Q81" s="5">
        <v>0.20271600127281486</v>
      </c>
      <c r="R81" s="5">
        <v>6.4781016282891041E-2</v>
      </c>
      <c r="S81" s="6">
        <v>0</v>
      </c>
      <c r="T81" s="6">
        <v>1</v>
      </c>
      <c r="U81" s="6">
        <v>40</v>
      </c>
      <c r="V81" s="5">
        <v>4.5273656091200043E-2</v>
      </c>
      <c r="W81" s="5">
        <v>2.7586118395512331E-2</v>
      </c>
      <c r="X81" s="6">
        <v>0</v>
      </c>
      <c r="Y81" s="6">
        <v>1</v>
      </c>
      <c r="Z81" s="6">
        <v>104</v>
      </c>
      <c r="AA81" s="12">
        <v>0.12385709111312662</v>
      </c>
      <c r="AB81" s="5">
        <v>2.7391626465399457E-2</v>
      </c>
      <c r="AC81" s="6">
        <v>0</v>
      </c>
      <c r="AD81" s="6">
        <v>1</v>
      </c>
      <c r="AE81" s="6">
        <v>264</v>
      </c>
    </row>
    <row r="82" spans="1:32" x14ac:dyDescent="0.45">
      <c r="A82" s="4" t="s">
        <v>26</v>
      </c>
      <c r="B82" s="5">
        <v>0.24902179290487914</v>
      </c>
      <c r="C82" s="5">
        <v>7.8614835918954476E-2</v>
      </c>
      <c r="D82" s="6">
        <v>0</v>
      </c>
      <c r="E82" s="6">
        <v>1</v>
      </c>
      <c r="F82" s="6">
        <v>34</v>
      </c>
      <c r="G82" s="5">
        <v>0.52007076896689197</v>
      </c>
      <c r="H82" s="5">
        <v>7.9207874917171434E-2</v>
      </c>
      <c r="I82" s="6">
        <v>0</v>
      </c>
      <c r="J82" s="6">
        <v>1</v>
      </c>
      <c r="K82" s="6">
        <v>42</v>
      </c>
      <c r="L82" s="5">
        <v>0.40284945544057527</v>
      </c>
      <c r="M82" s="5">
        <v>7.7077845130646777E-2</v>
      </c>
      <c r="N82" s="6">
        <v>0</v>
      </c>
      <c r="O82" s="6">
        <v>1</v>
      </c>
      <c r="P82" s="6">
        <v>44</v>
      </c>
      <c r="Q82" s="5">
        <v>0.56237744430379144</v>
      </c>
      <c r="R82" s="5">
        <v>8.1477344007092639E-2</v>
      </c>
      <c r="S82" s="6">
        <v>0</v>
      </c>
      <c r="T82" s="6">
        <v>1</v>
      </c>
      <c r="U82" s="6">
        <v>40</v>
      </c>
      <c r="V82" s="5">
        <v>0.30849368526502607</v>
      </c>
      <c r="W82" s="5">
        <v>6.0369974510870769E-2</v>
      </c>
      <c r="X82" s="6">
        <v>0</v>
      </c>
      <c r="Y82" s="6">
        <v>1</v>
      </c>
      <c r="Z82" s="6">
        <v>104</v>
      </c>
      <c r="AA82" s="12">
        <v>0.45769735338375289</v>
      </c>
      <c r="AB82" s="5">
        <v>4.2866116015874249E-2</v>
      </c>
      <c r="AC82" s="6">
        <v>0</v>
      </c>
      <c r="AD82" s="6">
        <v>1</v>
      </c>
      <c r="AE82" s="6">
        <v>264</v>
      </c>
      <c r="AF82">
        <f>(AA84/AA83)-AA82</f>
        <v>9.4699362048861924E-2</v>
      </c>
    </row>
    <row r="83" spans="1:32" x14ac:dyDescent="0.45">
      <c r="A83" s="4" t="s">
        <v>36</v>
      </c>
      <c r="B83" s="5">
        <v>0.76064468833586119</v>
      </c>
      <c r="C83" s="5">
        <v>7.7815769808775942E-2</v>
      </c>
      <c r="D83" s="6">
        <v>0</v>
      </c>
      <c r="E83" s="6">
        <v>1</v>
      </c>
      <c r="F83" s="6">
        <v>34</v>
      </c>
      <c r="G83" s="5">
        <v>0.47021854293445042</v>
      </c>
      <c r="H83" s="5">
        <v>7.9243117363754292E-2</v>
      </c>
      <c r="I83" s="6">
        <v>0</v>
      </c>
      <c r="J83" s="6">
        <v>1</v>
      </c>
      <c r="K83" s="6">
        <v>42</v>
      </c>
      <c r="L83" s="5">
        <v>0.2445206682606792</v>
      </c>
      <c r="M83" s="5">
        <v>6.7154542896761538E-2</v>
      </c>
      <c r="N83" s="6">
        <v>0</v>
      </c>
      <c r="O83" s="6">
        <v>1</v>
      </c>
      <c r="P83" s="6">
        <v>42</v>
      </c>
      <c r="Q83" s="5">
        <v>0.35160809189742964</v>
      </c>
      <c r="R83" s="5">
        <v>7.902438279457083E-2</v>
      </c>
      <c r="S83" s="6">
        <v>0</v>
      </c>
      <c r="T83" s="6">
        <v>1</v>
      </c>
      <c r="U83" s="6">
        <v>40</v>
      </c>
      <c r="V83" s="5">
        <v>0.42925514319553509</v>
      </c>
      <c r="W83" s="5">
        <v>6.917480911456024E-2</v>
      </c>
      <c r="X83" s="6">
        <v>0</v>
      </c>
      <c r="Y83" s="6">
        <v>1</v>
      </c>
      <c r="Z83" s="6">
        <v>100</v>
      </c>
      <c r="AA83" s="12">
        <v>0.36787839094902408</v>
      </c>
      <c r="AB83" s="5">
        <v>4.0690017630809268E-2</v>
      </c>
      <c r="AC83" s="6">
        <v>0</v>
      </c>
      <c r="AD83" s="6">
        <v>1</v>
      </c>
      <c r="AE83" s="6">
        <v>258</v>
      </c>
      <c r="AF83">
        <f>(AA84/AA82)-AA83</f>
        <v>7.6115469484100085E-2</v>
      </c>
    </row>
    <row r="84" spans="1:32" x14ac:dyDescent="0.45">
      <c r="A84" s="4" t="s">
        <v>56</v>
      </c>
      <c r="B84" s="5">
        <v>0.18990764316115494</v>
      </c>
      <c r="C84" s="5">
        <v>7.1451865205830883E-2</v>
      </c>
      <c r="D84" s="6">
        <v>0</v>
      </c>
      <c r="E84" s="6">
        <v>1</v>
      </c>
      <c r="F84" s="6">
        <v>34</v>
      </c>
      <c r="G84" s="5">
        <v>0.37798916917380065</v>
      </c>
      <c r="H84" s="5">
        <v>7.741107716655396E-2</v>
      </c>
      <c r="I84" s="6">
        <v>0</v>
      </c>
      <c r="J84" s="6">
        <v>1</v>
      </c>
      <c r="K84" s="6">
        <v>42</v>
      </c>
      <c r="L84" s="5">
        <v>8.7962742346879577E-2</v>
      </c>
      <c r="M84" s="5">
        <v>4.4690132587281162E-2</v>
      </c>
      <c r="N84" s="6">
        <v>0</v>
      </c>
      <c r="O84" s="6">
        <v>1</v>
      </c>
      <c r="P84" s="6">
        <v>42</v>
      </c>
      <c r="Q84" s="5">
        <v>0.22300326587913608</v>
      </c>
      <c r="R84" s="5">
        <v>6.9743973918538357E-2</v>
      </c>
      <c r="S84" s="6">
        <v>0</v>
      </c>
      <c r="T84" s="6">
        <v>1</v>
      </c>
      <c r="U84" s="6">
        <v>40</v>
      </c>
      <c r="V84" s="5">
        <v>4.8051401811672258E-2</v>
      </c>
      <c r="W84" s="5">
        <v>2.3216455077341634E-2</v>
      </c>
      <c r="X84" s="6">
        <v>0</v>
      </c>
      <c r="Y84" s="6">
        <v>1</v>
      </c>
      <c r="Z84" s="6">
        <v>100</v>
      </c>
      <c r="AA84" s="12">
        <v>0.2032148148388763</v>
      </c>
      <c r="AB84" s="5">
        <v>3.3977885026859701E-2</v>
      </c>
      <c r="AC84" s="6">
        <v>0</v>
      </c>
      <c r="AD84" s="6">
        <v>1</v>
      </c>
      <c r="AE84" s="6">
        <v>258</v>
      </c>
    </row>
    <row r="85" spans="1:32" x14ac:dyDescent="0.45">
      <c r="A85" s="4" t="s">
        <v>26</v>
      </c>
      <c r="B85" s="5">
        <v>0.24902179290487914</v>
      </c>
      <c r="C85" s="5">
        <v>7.8614835918954476E-2</v>
      </c>
      <c r="D85" s="6">
        <v>0</v>
      </c>
      <c r="E85" s="6">
        <v>1</v>
      </c>
      <c r="F85" s="6">
        <v>34</v>
      </c>
      <c r="G85" s="5">
        <v>0.52007076896689197</v>
      </c>
      <c r="H85" s="5">
        <v>7.9207874917171434E-2</v>
      </c>
      <c r="I85" s="6">
        <v>0</v>
      </c>
      <c r="J85" s="6">
        <v>1</v>
      </c>
      <c r="K85" s="6">
        <v>42</v>
      </c>
      <c r="L85" s="5">
        <v>0.40284945544057527</v>
      </c>
      <c r="M85" s="5">
        <v>7.7077845130646777E-2</v>
      </c>
      <c r="N85" s="6">
        <v>0</v>
      </c>
      <c r="O85" s="6">
        <v>1</v>
      </c>
      <c r="P85" s="6">
        <v>44</v>
      </c>
      <c r="Q85" s="5">
        <v>0.56237744430379144</v>
      </c>
      <c r="R85" s="5">
        <v>8.1477344007092639E-2</v>
      </c>
      <c r="S85" s="6">
        <v>0</v>
      </c>
      <c r="T85" s="6">
        <v>1</v>
      </c>
      <c r="U85" s="6">
        <v>40</v>
      </c>
      <c r="V85" s="5">
        <v>0.30849368526502607</v>
      </c>
      <c r="W85" s="5">
        <v>6.0369974510870769E-2</v>
      </c>
      <c r="X85" s="6">
        <v>0</v>
      </c>
      <c r="Y85" s="6">
        <v>1</v>
      </c>
      <c r="Z85" s="6">
        <v>104</v>
      </c>
      <c r="AA85" s="12">
        <v>0.45769735338375289</v>
      </c>
      <c r="AB85" s="5">
        <v>4.2866116015874249E-2</v>
      </c>
      <c r="AC85" s="6">
        <v>0</v>
      </c>
      <c r="AD85" s="6">
        <v>1</v>
      </c>
      <c r="AE85" s="6">
        <v>264</v>
      </c>
      <c r="AF85">
        <f>(AA87/AA86)-AA85</f>
        <v>7.7847295395337357E-2</v>
      </c>
    </row>
    <row r="86" spans="1:32" ht="26.25" x14ac:dyDescent="0.45">
      <c r="A86" s="4" t="s">
        <v>38</v>
      </c>
      <c r="B86" s="5">
        <v>0.84000868272823959</v>
      </c>
      <c r="C86" s="5">
        <v>6.5933157962881336E-2</v>
      </c>
      <c r="D86" s="6">
        <v>0</v>
      </c>
      <c r="E86" s="6">
        <v>1</v>
      </c>
      <c r="F86" s="6">
        <v>34</v>
      </c>
      <c r="G86" s="5">
        <v>0.8757010716140059</v>
      </c>
      <c r="H86" s="5">
        <v>5.3035240634634946E-2</v>
      </c>
      <c r="I86" s="6">
        <v>0</v>
      </c>
      <c r="J86" s="6">
        <v>1</v>
      </c>
      <c r="K86" s="6">
        <v>42</v>
      </c>
      <c r="L86" s="5">
        <v>0.72424862259728484</v>
      </c>
      <c r="M86" s="5">
        <v>6.9698543042307798E-2</v>
      </c>
      <c r="N86" s="6">
        <v>0</v>
      </c>
      <c r="O86" s="6">
        <v>1</v>
      </c>
      <c r="P86" s="6">
        <v>44</v>
      </c>
      <c r="Q86" s="5">
        <v>0.76619872916446996</v>
      </c>
      <c r="R86" s="5">
        <v>6.9319636379783084E-2</v>
      </c>
      <c r="S86" s="6">
        <v>0</v>
      </c>
      <c r="T86" s="6">
        <v>1</v>
      </c>
      <c r="U86" s="6">
        <v>40</v>
      </c>
      <c r="V86" s="5">
        <v>0.41945825525041158</v>
      </c>
      <c r="W86" s="5">
        <v>6.5895940178938919E-2</v>
      </c>
      <c r="X86" s="6">
        <v>0</v>
      </c>
      <c r="Y86" s="6">
        <v>1</v>
      </c>
      <c r="Z86" s="6">
        <v>104</v>
      </c>
      <c r="AA86" s="12">
        <v>0.77070805751749982</v>
      </c>
      <c r="AB86" s="5">
        <v>3.6116125764874885E-2</v>
      </c>
      <c r="AC86" s="6">
        <v>0</v>
      </c>
      <c r="AD86" s="6">
        <v>1</v>
      </c>
      <c r="AE86" s="6">
        <v>264</v>
      </c>
      <c r="AF86">
        <f>(AA87/AA85)-AA86</f>
        <v>0.13108561230160087</v>
      </c>
    </row>
    <row r="87" spans="1:32" ht="26.25" x14ac:dyDescent="0.45">
      <c r="A87" s="4" t="s">
        <v>57</v>
      </c>
      <c r="B87" s="5">
        <v>0.24902179290487914</v>
      </c>
      <c r="C87" s="5">
        <v>7.8614835918954476E-2</v>
      </c>
      <c r="D87" s="6">
        <v>0</v>
      </c>
      <c r="E87" s="6">
        <v>1</v>
      </c>
      <c r="F87" s="6">
        <v>34</v>
      </c>
      <c r="G87" s="5">
        <v>0.49686107428619841</v>
      </c>
      <c r="H87" s="5">
        <v>7.931777061614495E-2</v>
      </c>
      <c r="I87" s="6">
        <v>0</v>
      </c>
      <c r="J87" s="6">
        <v>1</v>
      </c>
      <c r="K87" s="6">
        <v>42</v>
      </c>
      <c r="L87" s="5">
        <v>0.32744760445745291</v>
      </c>
      <c r="M87" s="5">
        <v>7.3766639277437721E-2</v>
      </c>
      <c r="N87" s="6">
        <v>0</v>
      </c>
      <c r="O87" s="6">
        <v>1</v>
      </c>
      <c r="P87" s="6">
        <v>44</v>
      </c>
      <c r="Q87" s="5">
        <v>0.53719438431141631</v>
      </c>
      <c r="R87" s="5">
        <v>8.196897190339246E-2</v>
      </c>
      <c r="S87" s="6">
        <v>0</v>
      </c>
      <c r="T87" s="6">
        <v>1</v>
      </c>
      <c r="U87" s="6">
        <v>40</v>
      </c>
      <c r="V87" s="5">
        <v>0.256572439371061</v>
      </c>
      <c r="W87" s="5">
        <v>5.7731482754816758E-2</v>
      </c>
      <c r="X87" s="6">
        <v>0</v>
      </c>
      <c r="Y87" s="6">
        <v>1</v>
      </c>
      <c r="Z87" s="6">
        <v>104</v>
      </c>
      <c r="AA87" s="12">
        <v>0.41274857597442433</v>
      </c>
      <c r="AB87" s="5">
        <v>4.2279835159449802E-2</v>
      </c>
      <c r="AC87" s="6">
        <v>0</v>
      </c>
      <c r="AD87" s="6">
        <v>1</v>
      </c>
      <c r="AE87" s="6">
        <v>264</v>
      </c>
    </row>
    <row r="88" spans="1:32" x14ac:dyDescent="0.45">
      <c r="A88" s="4" t="s">
        <v>26</v>
      </c>
      <c r="B88" s="5">
        <v>0.24902179290487914</v>
      </c>
      <c r="C88" s="5">
        <v>7.8614835918954476E-2</v>
      </c>
      <c r="D88" s="6">
        <v>0</v>
      </c>
      <c r="E88" s="6">
        <v>1</v>
      </c>
      <c r="F88" s="6">
        <v>34</v>
      </c>
      <c r="G88" s="5">
        <v>0.52007076896689197</v>
      </c>
      <c r="H88" s="5">
        <v>7.9207874917171434E-2</v>
      </c>
      <c r="I88" s="6">
        <v>0</v>
      </c>
      <c r="J88" s="6">
        <v>1</v>
      </c>
      <c r="K88" s="6">
        <v>42</v>
      </c>
      <c r="L88" s="5">
        <v>0.40284945544057527</v>
      </c>
      <c r="M88" s="5">
        <v>7.7077845130646777E-2</v>
      </c>
      <c r="N88" s="6">
        <v>0</v>
      </c>
      <c r="O88" s="6">
        <v>1</v>
      </c>
      <c r="P88" s="6">
        <v>44</v>
      </c>
      <c r="Q88" s="5">
        <v>0.56237744430379144</v>
      </c>
      <c r="R88" s="5">
        <v>8.1477344007092639E-2</v>
      </c>
      <c r="S88" s="6">
        <v>0</v>
      </c>
      <c r="T88" s="6">
        <v>1</v>
      </c>
      <c r="U88" s="6">
        <v>40</v>
      </c>
      <c r="V88" s="5">
        <v>0.30849368526502607</v>
      </c>
      <c r="W88" s="5">
        <v>6.0369974510870769E-2</v>
      </c>
      <c r="X88" s="6">
        <v>0</v>
      </c>
      <c r="Y88" s="6">
        <v>1</v>
      </c>
      <c r="Z88" s="6">
        <v>104</v>
      </c>
      <c r="AA88" s="12">
        <v>0.45769735338375289</v>
      </c>
      <c r="AB88" s="5">
        <v>4.2866116015874249E-2</v>
      </c>
      <c r="AC88" s="6">
        <v>0</v>
      </c>
      <c r="AD88" s="6">
        <v>1</v>
      </c>
      <c r="AE88" s="6">
        <v>264</v>
      </c>
      <c r="AF88">
        <f>(AA90/AA89)-AA88</f>
        <v>1.1901568560038878E-2</v>
      </c>
    </row>
    <row r="89" spans="1:32" x14ac:dyDescent="0.45">
      <c r="A89" s="4" t="s">
        <v>40</v>
      </c>
      <c r="B89" s="5">
        <v>0.47314926338671726</v>
      </c>
      <c r="C89" s="5">
        <v>9.1986997587208227E-2</v>
      </c>
      <c r="D89" s="6">
        <v>0</v>
      </c>
      <c r="E89" s="6">
        <v>1</v>
      </c>
      <c r="F89" s="6">
        <v>34</v>
      </c>
      <c r="G89" s="5">
        <v>0.59916532039375925</v>
      </c>
      <c r="H89" s="5">
        <v>7.8188563211038412E-2</v>
      </c>
      <c r="I89" s="6">
        <v>0</v>
      </c>
      <c r="J89" s="6">
        <v>1</v>
      </c>
      <c r="K89" s="6">
        <v>42</v>
      </c>
      <c r="L89" s="5">
        <v>0.5544767542723662</v>
      </c>
      <c r="M89" s="5">
        <v>7.7775688570457788E-2</v>
      </c>
      <c r="N89" s="6">
        <v>0</v>
      </c>
      <c r="O89" s="6">
        <v>1</v>
      </c>
      <c r="P89" s="6">
        <v>44</v>
      </c>
      <c r="Q89" s="5">
        <v>0.89744052335873858</v>
      </c>
      <c r="R89" s="5">
        <v>4.9355060283969104E-2</v>
      </c>
      <c r="S89" s="6">
        <v>0</v>
      </c>
      <c r="T89" s="6">
        <v>1</v>
      </c>
      <c r="U89" s="6">
        <v>40</v>
      </c>
      <c r="V89" s="5">
        <v>0.64636059193257822</v>
      </c>
      <c r="W89" s="5">
        <v>6.6126331124485585E-2</v>
      </c>
      <c r="X89" s="6">
        <v>0</v>
      </c>
      <c r="Y89" s="6">
        <v>1</v>
      </c>
      <c r="Z89" s="6">
        <v>104</v>
      </c>
      <c r="AA89" s="12">
        <v>0.6412951441068232</v>
      </c>
      <c r="AB89" s="5">
        <v>4.1660786160429293E-2</v>
      </c>
      <c r="AC89" s="6">
        <v>0</v>
      </c>
      <c r="AD89" s="6">
        <v>1</v>
      </c>
      <c r="AE89" s="6">
        <v>264</v>
      </c>
      <c r="AF89">
        <f>(AA90/AA88)-AA89</f>
        <v>1.6675687697079611E-2</v>
      </c>
    </row>
    <row r="90" spans="1:32" ht="26.25" x14ac:dyDescent="0.45">
      <c r="A90" s="4" t="s">
        <v>58</v>
      </c>
      <c r="B90" s="5">
        <v>3.117894201919922E-2</v>
      </c>
      <c r="C90" s="5">
        <v>3.117582031590807E-2</v>
      </c>
      <c r="D90" s="6">
        <v>0</v>
      </c>
      <c r="E90" s="6">
        <v>1</v>
      </c>
      <c r="F90" s="6">
        <v>34</v>
      </c>
      <c r="G90" s="5">
        <v>0.27210045401606936</v>
      </c>
      <c r="H90" s="5">
        <v>7.0544016675318927E-2</v>
      </c>
      <c r="I90" s="6">
        <v>0</v>
      </c>
      <c r="J90" s="6">
        <v>1</v>
      </c>
      <c r="K90" s="6">
        <v>42</v>
      </c>
      <c r="L90" s="5">
        <v>0.23293073851715751</v>
      </c>
      <c r="M90" s="5">
        <v>6.6555281322203758E-2</v>
      </c>
      <c r="N90" s="6">
        <v>0</v>
      </c>
      <c r="O90" s="6">
        <v>1</v>
      </c>
      <c r="P90" s="6">
        <v>44</v>
      </c>
      <c r="Q90" s="5">
        <v>0.53459571999605193</v>
      </c>
      <c r="R90" s="5">
        <v>8.2039967839084904E-2</v>
      </c>
      <c r="S90" s="6">
        <v>0</v>
      </c>
      <c r="T90" s="6">
        <v>1</v>
      </c>
      <c r="U90" s="6">
        <v>40</v>
      </c>
      <c r="V90" s="5">
        <v>0.29978719539213428</v>
      </c>
      <c r="W90" s="5">
        <v>6.017506367114378E-2</v>
      </c>
      <c r="X90" s="6">
        <v>0</v>
      </c>
      <c r="Y90" s="6">
        <v>1</v>
      </c>
      <c r="Z90" s="6">
        <v>104</v>
      </c>
      <c r="AA90" s="12">
        <v>0.30115150832035276</v>
      </c>
      <c r="AB90" s="5">
        <v>3.9263767973930247E-2</v>
      </c>
      <c r="AC90" s="6">
        <v>0</v>
      </c>
      <c r="AD90" s="6">
        <v>1</v>
      </c>
      <c r="AE90" s="6">
        <v>264</v>
      </c>
    </row>
    <row r="91" spans="1:32" x14ac:dyDescent="0.45">
      <c r="A91" s="4" t="s">
        <v>26</v>
      </c>
      <c r="B91" s="5">
        <v>0.24902179290487914</v>
      </c>
      <c r="C91" s="5">
        <v>7.8614835918954476E-2</v>
      </c>
      <c r="D91" s="6">
        <v>0</v>
      </c>
      <c r="E91" s="6">
        <v>1</v>
      </c>
      <c r="F91" s="6">
        <v>34</v>
      </c>
      <c r="G91" s="5">
        <v>0.52007076896689197</v>
      </c>
      <c r="H91" s="5">
        <v>7.9207874917171434E-2</v>
      </c>
      <c r="I91" s="6">
        <v>0</v>
      </c>
      <c r="J91" s="6">
        <v>1</v>
      </c>
      <c r="K91" s="6">
        <v>42</v>
      </c>
      <c r="L91" s="5">
        <v>0.40284945544057527</v>
      </c>
      <c r="M91" s="5">
        <v>7.7077845130646777E-2</v>
      </c>
      <c r="N91" s="6">
        <v>0</v>
      </c>
      <c r="O91" s="6">
        <v>1</v>
      </c>
      <c r="P91" s="6">
        <v>44</v>
      </c>
      <c r="Q91" s="5">
        <v>0.56237744430379144</v>
      </c>
      <c r="R91" s="5">
        <v>8.1477344007092639E-2</v>
      </c>
      <c r="S91" s="6">
        <v>0</v>
      </c>
      <c r="T91" s="6">
        <v>1</v>
      </c>
      <c r="U91" s="6">
        <v>40</v>
      </c>
      <c r="V91" s="5">
        <v>0.30849368526502607</v>
      </c>
      <c r="W91" s="5">
        <v>6.0369974510870769E-2</v>
      </c>
      <c r="X91" s="6">
        <v>0</v>
      </c>
      <c r="Y91" s="6">
        <v>1</v>
      </c>
      <c r="Z91" s="6">
        <v>104</v>
      </c>
      <c r="AA91" s="12">
        <v>0.45769735338375289</v>
      </c>
      <c r="AB91" s="5">
        <v>4.2866116015874249E-2</v>
      </c>
      <c r="AC91" s="6">
        <v>0</v>
      </c>
      <c r="AD91" s="6">
        <v>1</v>
      </c>
      <c r="AE91" s="6">
        <v>264</v>
      </c>
      <c r="AF91">
        <f>(AA93/AA92)-AA91</f>
        <v>-1.3874276126947249E-3</v>
      </c>
    </row>
    <row r="92" spans="1:32" x14ac:dyDescent="0.45">
      <c r="A92" s="4" t="s">
        <v>42</v>
      </c>
      <c r="B92" s="5">
        <v>0.70676339075737993</v>
      </c>
      <c r="C92" s="5">
        <v>8.2311257529143506E-2</v>
      </c>
      <c r="D92" s="6">
        <v>0</v>
      </c>
      <c r="E92" s="6">
        <v>1</v>
      </c>
      <c r="F92" s="6">
        <v>34</v>
      </c>
      <c r="G92" s="5">
        <v>0.89745945595635757</v>
      </c>
      <c r="H92" s="5">
        <v>4.9322035621993304E-2</v>
      </c>
      <c r="I92" s="6">
        <v>0</v>
      </c>
      <c r="J92" s="6">
        <v>1</v>
      </c>
      <c r="K92" s="6">
        <v>42</v>
      </c>
      <c r="L92" s="5">
        <v>0.74627430949051987</v>
      </c>
      <c r="M92" s="5">
        <v>6.7544644640920845E-2</v>
      </c>
      <c r="N92" s="6">
        <v>0</v>
      </c>
      <c r="O92" s="6">
        <v>1</v>
      </c>
      <c r="P92" s="6">
        <v>44</v>
      </c>
      <c r="Q92" s="5">
        <v>0.87908303986713809</v>
      </c>
      <c r="R92" s="5">
        <v>5.2789569621478863E-2</v>
      </c>
      <c r="S92" s="6">
        <v>0</v>
      </c>
      <c r="T92" s="6">
        <v>1</v>
      </c>
      <c r="U92" s="6">
        <v>40</v>
      </c>
      <c r="V92" s="5">
        <v>0.5866426892711829</v>
      </c>
      <c r="W92" s="5">
        <v>6.7909303410161284E-2</v>
      </c>
      <c r="X92" s="6">
        <v>0</v>
      </c>
      <c r="Y92" s="6">
        <v>1</v>
      </c>
      <c r="Z92" s="6">
        <v>104</v>
      </c>
      <c r="AA92" s="12">
        <v>0.80877290183625294</v>
      </c>
      <c r="AB92" s="5">
        <v>3.3808580537463842E-2</v>
      </c>
      <c r="AC92" s="6">
        <v>0</v>
      </c>
      <c r="AD92" s="6">
        <v>1</v>
      </c>
      <c r="AE92" s="6">
        <v>264</v>
      </c>
      <c r="AF92">
        <f>(AA93/AA91)-AA92</f>
        <v>-2.451650305843156E-3</v>
      </c>
    </row>
    <row r="93" spans="1:32" ht="26.25" x14ac:dyDescent="0.45">
      <c r="A93" s="4" t="s">
        <v>59</v>
      </c>
      <c r="B93" s="5">
        <v>0.22305994586272274</v>
      </c>
      <c r="C93" s="5">
        <v>7.6190083161952776E-2</v>
      </c>
      <c r="D93" s="6">
        <v>0</v>
      </c>
      <c r="E93" s="6">
        <v>1</v>
      </c>
      <c r="F93" s="6">
        <v>34</v>
      </c>
      <c r="G93" s="5">
        <v>0.49644727647148801</v>
      </c>
      <c r="H93" s="5">
        <v>7.931790031390748E-2</v>
      </c>
      <c r="I93" s="6">
        <v>0</v>
      </c>
      <c r="J93" s="6">
        <v>1</v>
      </c>
      <c r="K93" s="6">
        <v>42</v>
      </c>
      <c r="L93" s="5">
        <v>0.26332550175566227</v>
      </c>
      <c r="M93" s="5">
        <v>6.9940283429136718E-2</v>
      </c>
      <c r="N93" s="6">
        <v>0</v>
      </c>
      <c r="O93" s="6">
        <v>1</v>
      </c>
      <c r="P93" s="6">
        <v>44</v>
      </c>
      <c r="Q93" s="5">
        <v>0.46649226131206817</v>
      </c>
      <c r="R93" s="5">
        <v>8.231614721366215E-2</v>
      </c>
      <c r="S93" s="6">
        <v>0</v>
      </c>
      <c r="T93" s="6">
        <v>1</v>
      </c>
      <c r="U93" s="6">
        <v>40</v>
      </c>
      <c r="V93" s="5">
        <v>0.26595090932348731</v>
      </c>
      <c r="W93" s="5">
        <v>5.7059964188966895E-2</v>
      </c>
      <c r="X93" s="6">
        <v>0</v>
      </c>
      <c r="Y93" s="6">
        <v>1</v>
      </c>
      <c r="Z93" s="6">
        <v>104</v>
      </c>
      <c r="AA93" s="12">
        <v>0.36905110280254388</v>
      </c>
      <c r="AB93" s="5">
        <v>4.1395147045494352E-2</v>
      </c>
      <c r="AC93" s="6">
        <v>0</v>
      </c>
      <c r="AD93" s="6">
        <v>1</v>
      </c>
      <c r="AE93" s="6">
        <v>264</v>
      </c>
    </row>
    <row r="94" spans="1:32" x14ac:dyDescent="0.45">
      <c r="A94" s="4" t="s">
        <v>26</v>
      </c>
      <c r="B94" s="5">
        <v>0.24902179290487914</v>
      </c>
      <c r="C94" s="5">
        <v>7.8614835918954476E-2</v>
      </c>
      <c r="D94" s="6">
        <v>0</v>
      </c>
      <c r="E94" s="6">
        <v>1</v>
      </c>
      <c r="F94" s="6">
        <v>34</v>
      </c>
      <c r="G94" s="5">
        <v>0.52007076896689197</v>
      </c>
      <c r="H94" s="5">
        <v>7.9207874917171434E-2</v>
      </c>
      <c r="I94" s="6">
        <v>0</v>
      </c>
      <c r="J94" s="6">
        <v>1</v>
      </c>
      <c r="K94" s="6">
        <v>42</v>
      </c>
      <c r="L94" s="5">
        <v>0.40284945544057527</v>
      </c>
      <c r="M94" s="5">
        <v>7.7077845130646777E-2</v>
      </c>
      <c r="N94" s="6">
        <v>0</v>
      </c>
      <c r="O94" s="6">
        <v>1</v>
      </c>
      <c r="P94" s="6">
        <v>44</v>
      </c>
      <c r="Q94" s="5">
        <v>0.56237744430379144</v>
      </c>
      <c r="R94" s="5">
        <v>8.1477344007092639E-2</v>
      </c>
      <c r="S94" s="6">
        <v>0</v>
      </c>
      <c r="T94" s="6">
        <v>1</v>
      </c>
      <c r="U94" s="6">
        <v>40</v>
      </c>
      <c r="V94" s="5">
        <v>0.30849368526502607</v>
      </c>
      <c r="W94" s="5">
        <v>6.0369974510870769E-2</v>
      </c>
      <c r="X94" s="6">
        <v>0</v>
      </c>
      <c r="Y94" s="6">
        <v>1</v>
      </c>
      <c r="Z94" s="6">
        <v>104</v>
      </c>
      <c r="AA94" s="12">
        <v>0.45769735338375289</v>
      </c>
      <c r="AB94" s="5">
        <v>4.2866116015874249E-2</v>
      </c>
      <c r="AC94" s="6">
        <v>0</v>
      </c>
      <c r="AD94" s="6">
        <v>1</v>
      </c>
      <c r="AE94" s="6">
        <v>264</v>
      </c>
      <c r="AF94">
        <f>(AA96/AA95)-AA94</f>
        <v>2.4968925636625006E-2</v>
      </c>
    </row>
    <row r="95" spans="1:32" x14ac:dyDescent="0.45">
      <c r="A95" s="4" t="s">
        <v>44</v>
      </c>
      <c r="B95" s="5">
        <v>0.26296232107028095</v>
      </c>
      <c r="C95" s="5">
        <v>8.0971230867118368E-2</v>
      </c>
      <c r="D95" s="6">
        <v>0</v>
      </c>
      <c r="E95" s="6">
        <v>1</v>
      </c>
      <c r="F95" s="6">
        <v>34</v>
      </c>
      <c r="G95" s="5">
        <v>0.35571464744938486</v>
      </c>
      <c r="H95" s="5">
        <v>7.5377725145722718E-2</v>
      </c>
      <c r="I95" s="6">
        <v>0</v>
      </c>
      <c r="J95" s="6">
        <v>1</v>
      </c>
      <c r="K95" s="6">
        <v>42</v>
      </c>
      <c r="L95" s="5">
        <v>0.33138587150846482</v>
      </c>
      <c r="M95" s="5">
        <v>7.3951973163393067E-2</v>
      </c>
      <c r="N95" s="6">
        <v>0</v>
      </c>
      <c r="O95" s="6">
        <v>1</v>
      </c>
      <c r="P95" s="6">
        <v>44</v>
      </c>
      <c r="Q95" s="5">
        <v>0.48486364033758289</v>
      </c>
      <c r="R95" s="5">
        <v>8.2351680282883519E-2</v>
      </c>
      <c r="S95" s="6">
        <v>0</v>
      </c>
      <c r="T95" s="6">
        <v>1</v>
      </c>
      <c r="U95" s="6">
        <v>40</v>
      </c>
      <c r="V95" s="5">
        <v>0.24869923971566638</v>
      </c>
      <c r="W95" s="5">
        <v>5.4351819960247037E-2</v>
      </c>
      <c r="X95" s="6">
        <v>0</v>
      </c>
      <c r="Y95" s="6">
        <v>1</v>
      </c>
      <c r="Z95" s="6">
        <v>104</v>
      </c>
      <c r="AA95" s="12">
        <v>0.3652932886037854</v>
      </c>
      <c r="AB95" s="5">
        <v>4.1360781021304437E-2</v>
      </c>
      <c r="AC95" s="6">
        <v>0</v>
      </c>
      <c r="AD95" s="6">
        <v>1</v>
      </c>
      <c r="AE95" s="6">
        <v>264</v>
      </c>
      <c r="AF95">
        <f>(AA96/AA94)-AA95</f>
        <v>1.9927974001323734E-2</v>
      </c>
    </row>
    <row r="96" spans="1:32" ht="26.25" x14ac:dyDescent="0.45">
      <c r="A96" s="4" t="s">
        <v>60</v>
      </c>
      <c r="B96" s="5">
        <v>9.4761101408606163E-2</v>
      </c>
      <c r="C96" s="5">
        <v>5.3727454448238253E-2</v>
      </c>
      <c r="D96" s="6">
        <v>0</v>
      </c>
      <c r="E96" s="6">
        <v>1</v>
      </c>
      <c r="F96" s="6">
        <v>34</v>
      </c>
      <c r="G96" s="5">
        <v>0.24012549298686958</v>
      </c>
      <c r="H96" s="5">
        <v>6.7173554307026942E-2</v>
      </c>
      <c r="I96" s="6">
        <v>0</v>
      </c>
      <c r="J96" s="6">
        <v>1</v>
      </c>
      <c r="K96" s="6">
        <v>42</v>
      </c>
      <c r="L96" s="5">
        <v>9.2482831092643727E-2</v>
      </c>
      <c r="M96" s="5">
        <v>4.4711479943290007E-2</v>
      </c>
      <c r="N96" s="6">
        <v>0</v>
      </c>
      <c r="O96" s="6">
        <v>1</v>
      </c>
      <c r="P96" s="6">
        <v>44</v>
      </c>
      <c r="Q96" s="5">
        <v>0.27757310044049027</v>
      </c>
      <c r="R96" s="5">
        <v>7.4777828328681697E-2</v>
      </c>
      <c r="S96" s="6">
        <v>0</v>
      </c>
      <c r="T96" s="6">
        <v>1</v>
      </c>
      <c r="U96" s="6">
        <v>40</v>
      </c>
      <c r="V96" s="5">
        <v>0.17236938041548627</v>
      </c>
      <c r="W96" s="5">
        <v>4.924722632788496E-2</v>
      </c>
      <c r="X96" s="6">
        <v>0</v>
      </c>
      <c r="Y96" s="6">
        <v>1</v>
      </c>
      <c r="Z96" s="6">
        <v>104</v>
      </c>
      <c r="AA96" s="12">
        <v>0.17631475236150612</v>
      </c>
      <c r="AB96" s="5">
        <v>3.1579243342287865E-2</v>
      </c>
      <c r="AC96" s="6">
        <v>0</v>
      </c>
      <c r="AD96" s="6">
        <v>1</v>
      </c>
      <c r="AE96" s="6">
        <v>264</v>
      </c>
    </row>
    <row r="97" spans="1:32" x14ac:dyDescent="0.45">
      <c r="A97" s="4" t="s">
        <v>26</v>
      </c>
      <c r="B97" s="5">
        <v>0.24902179290487914</v>
      </c>
      <c r="C97" s="5">
        <v>7.8614835918954476E-2</v>
      </c>
      <c r="D97" s="6">
        <v>0</v>
      </c>
      <c r="E97" s="6">
        <v>1</v>
      </c>
      <c r="F97" s="6">
        <v>34</v>
      </c>
      <c r="G97" s="5">
        <v>0.52007076896689197</v>
      </c>
      <c r="H97" s="5">
        <v>7.9207874917171434E-2</v>
      </c>
      <c r="I97" s="6">
        <v>0</v>
      </c>
      <c r="J97" s="6">
        <v>1</v>
      </c>
      <c r="K97" s="6">
        <v>42</v>
      </c>
      <c r="L97" s="5">
        <v>0.40284945544057527</v>
      </c>
      <c r="M97" s="5">
        <v>7.7077845130646777E-2</v>
      </c>
      <c r="N97" s="6">
        <v>0</v>
      </c>
      <c r="O97" s="6">
        <v>1</v>
      </c>
      <c r="P97" s="6">
        <v>44</v>
      </c>
      <c r="Q97" s="5">
        <v>0.56237744430379144</v>
      </c>
      <c r="R97" s="5">
        <v>8.1477344007092639E-2</v>
      </c>
      <c r="S97" s="6">
        <v>0</v>
      </c>
      <c r="T97" s="6">
        <v>1</v>
      </c>
      <c r="U97" s="6">
        <v>40</v>
      </c>
      <c r="V97" s="5">
        <v>0.30849368526502607</v>
      </c>
      <c r="W97" s="5">
        <v>6.0369974510870769E-2</v>
      </c>
      <c r="X97" s="6">
        <v>0</v>
      </c>
      <c r="Y97" s="6">
        <v>1</v>
      </c>
      <c r="Z97" s="6">
        <v>104</v>
      </c>
      <c r="AA97" s="12">
        <v>0.45769735338375289</v>
      </c>
      <c r="AB97" s="5">
        <v>4.2866116015874249E-2</v>
      </c>
      <c r="AC97" s="6">
        <v>0</v>
      </c>
      <c r="AD97" s="6">
        <v>1</v>
      </c>
      <c r="AE97" s="6">
        <v>264</v>
      </c>
      <c r="AF97">
        <f>(AA99/AA98)-AA97</f>
        <v>4.3798769082761868E-2</v>
      </c>
    </row>
    <row r="98" spans="1:32" ht="39.4" x14ac:dyDescent="0.45">
      <c r="A98" s="4" t="s">
        <v>16</v>
      </c>
      <c r="B98" s="5">
        <v>0.95226292316662886</v>
      </c>
      <c r="C98" s="5">
        <v>3.3757095360377097E-2</v>
      </c>
      <c r="D98" s="6">
        <v>0</v>
      </c>
      <c r="E98" s="6">
        <v>1</v>
      </c>
      <c r="F98" s="6">
        <v>34</v>
      </c>
      <c r="G98" s="5">
        <v>0.96979725445447418</v>
      </c>
      <c r="H98" s="5">
        <v>3.0016012175185333E-2</v>
      </c>
      <c r="I98" s="6">
        <v>0</v>
      </c>
      <c r="J98" s="6">
        <v>1</v>
      </c>
      <c r="K98" s="6">
        <v>42</v>
      </c>
      <c r="L98" s="5">
        <v>0.87135789190493673</v>
      </c>
      <c r="M98" s="5">
        <v>5.1043606748041002E-2</v>
      </c>
      <c r="N98" s="6">
        <v>0</v>
      </c>
      <c r="O98" s="6">
        <v>1</v>
      </c>
      <c r="P98" s="6">
        <v>44</v>
      </c>
      <c r="Q98" s="5">
        <v>0.94904190046407078</v>
      </c>
      <c r="R98" s="5">
        <v>3.5591246809232757E-2</v>
      </c>
      <c r="S98" s="6">
        <v>0</v>
      </c>
      <c r="T98" s="6">
        <v>1</v>
      </c>
      <c r="U98" s="6">
        <v>40</v>
      </c>
      <c r="V98" s="5">
        <v>0.6502146518916736</v>
      </c>
      <c r="W98" s="5">
        <v>6.6144933824160743E-2</v>
      </c>
      <c r="X98" s="6">
        <v>0</v>
      </c>
      <c r="Y98" s="6">
        <v>1</v>
      </c>
      <c r="Z98" s="6">
        <v>104</v>
      </c>
      <c r="AA98" s="12">
        <v>0.9123329679672284</v>
      </c>
      <c r="AB98" s="5">
        <v>2.4254307094762586E-2</v>
      </c>
      <c r="AC98" s="6">
        <v>0</v>
      </c>
      <c r="AD98" s="6">
        <v>1</v>
      </c>
      <c r="AE98" s="6">
        <v>264</v>
      </c>
      <c r="AF98">
        <f>(AA99/AA97)-AA98</f>
        <v>8.7304548945215443E-2</v>
      </c>
    </row>
    <row r="99" spans="1:32" x14ac:dyDescent="0.45">
      <c r="A99" s="4" t="s">
        <v>61</v>
      </c>
      <c r="B99" s="5">
        <v>0.24902179290487914</v>
      </c>
      <c r="C99" s="5">
        <v>7.8614835918954476E-2</v>
      </c>
      <c r="D99" s="6">
        <v>0</v>
      </c>
      <c r="E99" s="6">
        <v>1</v>
      </c>
      <c r="F99" s="6">
        <v>34</v>
      </c>
      <c r="G99" s="5">
        <v>0.52007076896689197</v>
      </c>
      <c r="H99" s="5">
        <v>7.9207874917171434E-2</v>
      </c>
      <c r="I99" s="6">
        <v>0</v>
      </c>
      <c r="J99" s="6">
        <v>1</v>
      </c>
      <c r="K99" s="6">
        <v>42</v>
      </c>
      <c r="L99" s="5">
        <v>0.40284945544057527</v>
      </c>
      <c r="M99" s="5">
        <v>7.7077845130646777E-2</v>
      </c>
      <c r="N99" s="6">
        <v>0</v>
      </c>
      <c r="O99" s="6">
        <v>1</v>
      </c>
      <c r="P99" s="6">
        <v>44</v>
      </c>
      <c r="Q99" s="5">
        <v>0.56237744430379144</v>
      </c>
      <c r="R99" s="5">
        <v>8.1477344007092639E-2</v>
      </c>
      <c r="S99" s="6">
        <v>0</v>
      </c>
      <c r="T99" s="6">
        <v>1</v>
      </c>
      <c r="U99" s="6">
        <v>40</v>
      </c>
      <c r="V99" s="5">
        <v>0.30364125535122971</v>
      </c>
      <c r="W99" s="5">
        <v>6.0246277279502006E-2</v>
      </c>
      <c r="X99" s="6">
        <v>0</v>
      </c>
      <c r="Y99" s="6">
        <v>1</v>
      </c>
      <c r="Z99" s="6">
        <v>104</v>
      </c>
      <c r="AA99" s="12">
        <v>0.45753144583393207</v>
      </c>
      <c r="AB99" s="5">
        <v>4.286632831461068E-2</v>
      </c>
      <c r="AC99" s="6">
        <v>0</v>
      </c>
      <c r="AD99" s="6">
        <v>1</v>
      </c>
      <c r="AE99" s="6">
        <v>264</v>
      </c>
    </row>
    <row r="100" spans="1:32" x14ac:dyDescent="0.45">
      <c r="A100" s="4" t="s">
        <v>26</v>
      </c>
      <c r="B100" s="5">
        <v>0.24902179290487914</v>
      </c>
      <c r="C100" s="5">
        <v>7.8614835918954476E-2</v>
      </c>
      <c r="D100" s="6">
        <v>0</v>
      </c>
      <c r="E100" s="6">
        <v>1</v>
      </c>
      <c r="F100" s="6">
        <v>34</v>
      </c>
      <c r="G100" s="5">
        <v>0.52007076896689197</v>
      </c>
      <c r="H100" s="5">
        <v>7.9207874917171434E-2</v>
      </c>
      <c r="I100" s="6">
        <v>0</v>
      </c>
      <c r="J100" s="6">
        <v>1</v>
      </c>
      <c r="K100" s="6">
        <v>42</v>
      </c>
      <c r="L100" s="5">
        <v>0.40284945544057527</v>
      </c>
      <c r="M100" s="5">
        <v>7.7077845130646777E-2</v>
      </c>
      <c r="N100" s="6">
        <v>0</v>
      </c>
      <c r="O100" s="6">
        <v>1</v>
      </c>
      <c r="P100" s="6">
        <v>44</v>
      </c>
      <c r="Q100" s="5">
        <v>0.56237744430379144</v>
      </c>
      <c r="R100" s="5">
        <v>8.1477344007092639E-2</v>
      </c>
      <c r="S100" s="6">
        <v>0</v>
      </c>
      <c r="T100" s="6">
        <v>1</v>
      </c>
      <c r="U100" s="6">
        <v>40</v>
      </c>
      <c r="V100" s="5">
        <v>0.30849368526502607</v>
      </c>
      <c r="W100" s="5">
        <v>6.0369974510870769E-2</v>
      </c>
      <c r="X100" s="6">
        <v>0</v>
      </c>
      <c r="Y100" s="6">
        <v>1</v>
      </c>
      <c r="Z100" s="6">
        <v>104</v>
      </c>
      <c r="AA100" s="12">
        <v>0.45769735338375289</v>
      </c>
      <c r="AB100" s="5">
        <v>4.2866116015874249E-2</v>
      </c>
      <c r="AC100" s="6">
        <v>0</v>
      </c>
      <c r="AD100" s="6">
        <v>1</v>
      </c>
      <c r="AE100" s="6">
        <v>264</v>
      </c>
      <c r="AF100">
        <f>(AA102/AA101)-AA100</f>
        <v>1.5990578712656189E-2</v>
      </c>
    </row>
    <row r="101" spans="1:32" ht="39.4" x14ac:dyDescent="0.45">
      <c r="A101" s="4" t="s">
        <v>18</v>
      </c>
      <c r="B101" s="5">
        <v>0.95343656614872163</v>
      </c>
      <c r="C101" s="5">
        <v>3.2998861160736311E-2</v>
      </c>
      <c r="D101" s="6">
        <v>0</v>
      </c>
      <c r="E101" s="6">
        <v>1</v>
      </c>
      <c r="F101" s="6">
        <v>34</v>
      </c>
      <c r="G101" s="5">
        <v>0.96979725445447418</v>
      </c>
      <c r="H101" s="5">
        <v>3.0016012175185333E-2</v>
      </c>
      <c r="I101" s="6">
        <v>0</v>
      </c>
      <c r="J101" s="6">
        <v>1</v>
      </c>
      <c r="K101" s="6">
        <v>42</v>
      </c>
      <c r="L101" s="5">
        <v>0.87593051101785058</v>
      </c>
      <c r="M101" s="5">
        <v>5.2578277384873313E-2</v>
      </c>
      <c r="N101" s="6">
        <v>0</v>
      </c>
      <c r="O101" s="6">
        <v>1</v>
      </c>
      <c r="P101" s="6">
        <v>44</v>
      </c>
      <c r="Q101" s="5">
        <v>0.9749682228588612</v>
      </c>
      <c r="R101" s="5">
        <v>2.5049499255806983E-2</v>
      </c>
      <c r="S101" s="6">
        <v>0</v>
      </c>
      <c r="T101" s="6">
        <v>1</v>
      </c>
      <c r="U101" s="6">
        <v>40</v>
      </c>
      <c r="V101" s="5">
        <v>0.64843100359019867</v>
      </c>
      <c r="W101" s="5">
        <v>6.691909310816567E-2</v>
      </c>
      <c r="X101" s="6">
        <v>0</v>
      </c>
      <c r="Y101" s="6">
        <v>1</v>
      </c>
      <c r="Z101" s="6">
        <v>104</v>
      </c>
      <c r="AA101" s="12">
        <v>0.920016663772251</v>
      </c>
      <c r="AB101" s="5">
        <v>2.4310884334046948E-2</v>
      </c>
      <c r="AC101" s="6">
        <v>0</v>
      </c>
      <c r="AD101" s="6">
        <v>1</v>
      </c>
      <c r="AE101" s="6">
        <v>264</v>
      </c>
      <c r="AF101">
        <f>(AA102/AA100)-AA101</f>
        <v>3.2142634800578995E-2</v>
      </c>
    </row>
    <row r="102" spans="1:32" x14ac:dyDescent="0.45">
      <c r="A102" s="4" t="s">
        <v>62</v>
      </c>
      <c r="B102" s="5">
        <v>0.24902179290487914</v>
      </c>
      <c r="C102" s="5">
        <v>7.8614835918954476E-2</v>
      </c>
      <c r="D102" s="6">
        <v>0</v>
      </c>
      <c r="E102" s="6">
        <v>1</v>
      </c>
      <c r="F102" s="6">
        <v>34</v>
      </c>
      <c r="G102" s="5">
        <v>0.52007076896689197</v>
      </c>
      <c r="H102" s="5">
        <v>7.9207874917171434E-2</v>
      </c>
      <c r="I102" s="6">
        <v>0</v>
      </c>
      <c r="J102" s="6">
        <v>1</v>
      </c>
      <c r="K102" s="6">
        <v>42</v>
      </c>
      <c r="L102" s="5">
        <v>0.35012976973075993</v>
      </c>
      <c r="M102" s="5">
        <v>7.4871372152106153E-2</v>
      </c>
      <c r="N102" s="6">
        <v>0</v>
      </c>
      <c r="O102" s="6">
        <v>1</v>
      </c>
      <c r="P102" s="6">
        <v>44</v>
      </c>
      <c r="Q102" s="5">
        <v>0.56237744430379144</v>
      </c>
      <c r="R102" s="5">
        <v>8.1477344007092639E-2</v>
      </c>
      <c r="S102" s="6">
        <v>0</v>
      </c>
      <c r="T102" s="6">
        <v>1</v>
      </c>
      <c r="U102" s="6">
        <v>40</v>
      </c>
      <c r="V102" s="5">
        <v>0.30849368526502607</v>
      </c>
      <c r="W102" s="5">
        <v>6.0369974510870769E-2</v>
      </c>
      <c r="X102" s="6">
        <v>0</v>
      </c>
      <c r="Y102" s="6">
        <v>1</v>
      </c>
      <c r="Z102" s="6">
        <v>104</v>
      </c>
      <c r="AA102" s="12">
        <v>0.43580079095651486</v>
      </c>
      <c r="AB102" s="5">
        <v>4.2574434087175837E-2</v>
      </c>
      <c r="AC102" s="6">
        <v>0</v>
      </c>
      <c r="AD102" s="6">
        <v>1</v>
      </c>
      <c r="AE102" s="6">
        <v>264</v>
      </c>
    </row>
    <row r="103" spans="1:32" x14ac:dyDescent="0.45">
      <c r="A103" s="4" t="s">
        <v>26</v>
      </c>
      <c r="B103" s="5">
        <v>0.24902179290487914</v>
      </c>
      <c r="C103" s="5">
        <v>7.8614835918954476E-2</v>
      </c>
      <c r="D103" s="6">
        <v>0</v>
      </c>
      <c r="E103" s="6">
        <v>1</v>
      </c>
      <c r="F103" s="6">
        <v>34</v>
      </c>
      <c r="G103" s="5">
        <v>0.52007076896689197</v>
      </c>
      <c r="H103" s="5">
        <v>7.9207874917171434E-2</v>
      </c>
      <c r="I103" s="6">
        <v>0</v>
      </c>
      <c r="J103" s="6">
        <v>1</v>
      </c>
      <c r="K103" s="6">
        <v>42</v>
      </c>
      <c r="L103" s="5">
        <v>0.40284945544057527</v>
      </c>
      <c r="M103" s="5">
        <v>7.7077845130646777E-2</v>
      </c>
      <c r="N103" s="6">
        <v>0</v>
      </c>
      <c r="O103" s="6">
        <v>1</v>
      </c>
      <c r="P103" s="6">
        <v>44</v>
      </c>
      <c r="Q103" s="5">
        <v>0.56237744430379144</v>
      </c>
      <c r="R103" s="5">
        <v>8.1477344007092639E-2</v>
      </c>
      <c r="S103" s="6">
        <v>0</v>
      </c>
      <c r="T103" s="6">
        <v>1</v>
      </c>
      <c r="U103" s="6">
        <v>40</v>
      </c>
      <c r="V103" s="5">
        <v>0.30849368526502607</v>
      </c>
      <c r="W103" s="5">
        <v>6.0369974510870769E-2</v>
      </c>
      <c r="X103" s="6">
        <v>0</v>
      </c>
      <c r="Y103" s="6">
        <v>1</v>
      </c>
      <c r="Z103" s="6">
        <v>104</v>
      </c>
      <c r="AA103" s="12">
        <v>0.45769735338375289</v>
      </c>
      <c r="AB103" s="5">
        <v>4.2866116015874249E-2</v>
      </c>
      <c r="AC103" s="6">
        <v>0</v>
      </c>
      <c r="AD103" s="6">
        <v>1</v>
      </c>
      <c r="AE103" s="6">
        <v>264</v>
      </c>
      <c r="AF103">
        <f>(AA105/AA104)-AA103</f>
        <v>4.1337537579243355E-2</v>
      </c>
    </row>
    <row r="104" spans="1:32" ht="39.4" x14ac:dyDescent="0.45">
      <c r="A104" s="4" t="s">
        <v>20</v>
      </c>
      <c r="B104" s="5">
        <v>0.90678716876013998</v>
      </c>
      <c r="C104" s="5">
        <v>4.9177473357267902E-2</v>
      </c>
      <c r="D104" s="6">
        <v>0</v>
      </c>
      <c r="E104" s="6">
        <v>1</v>
      </c>
      <c r="F104" s="6">
        <v>34</v>
      </c>
      <c r="G104" s="5">
        <v>0.89891076629469935</v>
      </c>
      <c r="H104" s="5">
        <v>4.8893744591203998E-2</v>
      </c>
      <c r="I104" s="6">
        <v>0</v>
      </c>
      <c r="J104" s="6">
        <v>1</v>
      </c>
      <c r="K104" s="6">
        <v>42</v>
      </c>
      <c r="L104" s="5">
        <v>0.84039888724151057</v>
      </c>
      <c r="M104" s="5">
        <v>5.7315203821004336E-2</v>
      </c>
      <c r="N104" s="6">
        <v>0</v>
      </c>
      <c r="O104" s="6">
        <v>1</v>
      </c>
      <c r="P104" s="6">
        <v>44</v>
      </c>
      <c r="Q104" s="5">
        <v>0.94871856326789294</v>
      </c>
      <c r="R104" s="5">
        <v>3.5809222533905935E-2</v>
      </c>
      <c r="S104" s="6">
        <v>0</v>
      </c>
      <c r="T104" s="6">
        <v>1</v>
      </c>
      <c r="U104" s="6">
        <v>40</v>
      </c>
      <c r="V104" s="5">
        <v>0.49530541673349471</v>
      </c>
      <c r="W104" s="5">
        <v>6.7368955173709583E-2</v>
      </c>
      <c r="X104" s="6">
        <v>0</v>
      </c>
      <c r="Y104" s="6">
        <v>1</v>
      </c>
      <c r="Z104" s="6">
        <v>104</v>
      </c>
      <c r="AA104" s="12">
        <v>0.87236824792352818</v>
      </c>
      <c r="AB104" s="5">
        <v>2.8607368369315354E-2</v>
      </c>
      <c r="AC104" s="6">
        <v>0</v>
      </c>
      <c r="AD104" s="6">
        <v>1</v>
      </c>
      <c r="AE104" s="6">
        <v>264</v>
      </c>
      <c r="AF104">
        <f>(AA105/AA103)-AA104</f>
        <v>7.8789084019985522E-2</v>
      </c>
    </row>
    <row r="105" spans="1:32" x14ac:dyDescent="0.45">
      <c r="A105" s="4" t="s">
        <v>63</v>
      </c>
      <c r="B105" s="5">
        <v>0.24902179290487914</v>
      </c>
      <c r="C105" s="5">
        <v>7.8614835918954476E-2</v>
      </c>
      <c r="D105" s="6">
        <v>0</v>
      </c>
      <c r="E105" s="6">
        <v>1</v>
      </c>
      <c r="F105" s="6">
        <v>34</v>
      </c>
      <c r="G105" s="5">
        <v>0.52007076896689197</v>
      </c>
      <c r="H105" s="5">
        <v>7.9207874917171434E-2</v>
      </c>
      <c r="I105" s="6">
        <v>0</v>
      </c>
      <c r="J105" s="6">
        <v>1</v>
      </c>
      <c r="K105" s="6">
        <v>42</v>
      </c>
      <c r="L105" s="5">
        <v>0.35012976973075993</v>
      </c>
      <c r="M105" s="5">
        <v>7.4871372152106153E-2</v>
      </c>
      <c r="N105" s="6">
        <v>0</v>
      </c>
      <c r="O105" s="6">
        <v>1</v>
      </c>
      <c r="P105" s="6">
        <v>44</v>
      </c>
      <c r="Q105" s="5">
        <v>0.56237744430379144</v>
      </c>
      <c r="R105" s="5">
        <v>8.1477344007092639E-2</v>
      </c>
      <c r="S105" s="6">
        <v>0</v>
      </c>
      <c r="T105" s="6">
        <v>1</v>
      </c>
      <c r="U105" s="6">
        <v>40</v>
      </c>
      <c r="V105" s="5">
        <v>0.2950807206009386</v>
      </c>
      <c r="W105" s="5">
        <v>5.9944910694651944E-2</v>
      </c>
      <c r="X105" s="6">
        <v>0</v>
      </c>
      <c r="Y105" s="6">
        <v>1</v>
      </c>
      <c r="Z105" s="6">
        <v>104</v>
      </c>
      <c r="AA105" s="12">
        <v>0.43534219348209796</v>
      </c>
      <c r="AB105" s="5">
        <v>4.2574078231165283E-2</v>
      </c>
      <c r="AC105" s="6">
        <v>0</v>
      </c>
      <c r="AD105" s="6">
        <v>1</v>
      </c>
      <c r="AE105" s="6">
        <v>264</v>
      </c>
    </row>
    <row r="106" spans="1:32" x14ac:dyDescent="0.45">
      <c r="A106" s="4" t="s">
        <v>26</v>
      </c>
      <c r="B106" s="5">
        <v>0.24902179290487914</v>
      </c>
      <c r="C106" s="5">
        <v>7.8614835918954476E-2</v>
      </c>
      <c r="D106" s="6">
        <v>0</v>
      </c>
      <c r="E106" s="6">
        <v>1</v>
      </c>
      <c r="F106" s="6">
        <v>34</v>
      </c>
      <c r="G106" s="5">
        <v>0.52007076896689197</v>
      </c>
      <c r="H106" s="5">
        <v>7.9207874917171434E-2</v>
      </c>
      <c r="I106" s="6">
        <v>0</v>
      </c>
      <c r="J106" s="6">
        <v>1</v>
      </c>
      <c r="K106" s="6">
        <v>42</v>
      </c>
      <c r="L106" s="5">
        <v>0.40284945544057527</v>
      </c>
      <c r="M106" s="5">
        <v>7.7077845130646777E-2</v>
      </c>
      <c r="N106" s="6">
        <v>0</v>
      </c>
      <c r="O106" s="6">
        <v>1</v>
      </c>
      <c r="P106" s="6">
        <v>44</v>
      </c>
      <c r="Q106" s="5">
        <v>0.56237744430379144</v>
      </c>
      <c r="R106" s="5">
        <v>8.1477344007092639E-2</v>
      </c>
      <c r="S106" s="6">
        <v>0</v>
      </c>
      <c r="T106" s="6">
        <v>1</v>
      </c>
      <c r="U106" s="6">
        <v>40</v>
      </c>
      <c r="V106" s="5">
        <v>0.30849368526502607</v>
      </c>
      <c r="W106" s="5">
        <v>6.0369974510870769E-2</v>
      </c>
      <c r="X106" s="6">
        <v>0</v>
      </c>
      <c r="Y106" s="6">
        <v>1</v>
      </c>
      <c r="Z106" s="6">
        <v>104</v>
      </c>
      <c r="AA106" s="12">
        <v>0.45769735338375289</v>
      </c>
      <c r="AB106" s="5">
        <v>4.2866116015874249E-2</v>
      </c>
      <c r="AC106" s="6">
        <v>0</v>
      </c>
      <c r="AD106" s="6">
        <v>1</v>
      </c>
      <c r="AE106" s="6">
        <v>264</v>
      </c>
      <c r="AF106">
        <f>(AA108/AA107)-AA106</f>
        <v>1.4169054675703063E-2</v>
      </c>
    </row>
    <row r="107" spans="1:32" ht="26.25" x14ac:dyDescent="0.45">
      <c r="A107" s="4" t="s">
        <v>22</v>
      </c>
      <c r="B107" s="5">
        <v>0.84952162550522947</v>
      </c>
      <c r="C107" s="5">
        <v>6.1545774275045921E-2</v>
      </c>
      <c r="D107" s="6">
        <v>0</v>
      </c>
      <c r="E107" s="6">
        <v>1</v>
      </c>
      <c r="F107" s="6">
        <v>34</v>
      </c>
      <c r="G107" s="5">
        <v>0.96979725445447418</v>
      </c>
      <c r="H107" s="5">
        <v>3.0016012175185333E-2</v>
      </c>
      <c r="I107" s="6">
        <v>0</v>
      </c>
      <c r="J107" s="6">
        <v>1</v>
      </c>
      <c r="K107" s="6">
        <v>42</v>
      </c>
      <c r="L107" s="5">
        <v>0.86468560906249525</v>
      </c>
      <c r="M107" s="5">
        <v>5.2374794839710012E-2</v>
      </c>
      <c r="N107" s="6">
        <v>0</v>
      </c>
      <c r="O107" s="6">
        <v>1</v>
      </c>
      <c r="P107" s="6">
        <v>44</v>
      </c>
      <c r="Q107" s="5">
        <v>0.9749682228588612</v>
      </c>
      <c r="R107" s="5">
        <v>2.5049499255806983E-2</v>
      </c>
      <c r="S107" s="6">
        <v>0</v>
      </c>
      <c r="T107" s="6">
        <v>1</v>
      </c>
      <c r="U107" s="6">
        <v>40</v>
      </c>
      <c r="V107" s="5">
        <v>0.67616365127076683</v>
      </c>
      <c r="W107" s="5">
        <v>6.6180623554006821E-2</v>
      </c>
      <c r="X107" s="6">
        <v>0</v>
      </c>
      <c r="Y107" s="6">
        <v>1</v>
      </c>
      <c r="Z107" s="6">
        <v>104</v>
      </c>
      <c r="AA107" s="12">
        <v>0.91020657995142884</v>
      </c>
      <c r="AB107" s="5">
        <v>2.4389856620021973E-2</v>
      </c>
      <c r="AC107" s="6">
        <v>0</v>
      </c>
      <c r="AD107" s="6">
        <v>1</v>
      </c>
      <c r="AE107" s="6">
        <v>264</v>
      </c>
      <c r="AF107">
        <f>(AA108/AA106)-AA107</f>
        <v>2.8177499175319309E-2</v>
      </c>
    </row>
    <row r="108" spans="1:32" x14ac:dyDescent="0.45">
      <c r="A108" s="4" t="s">
        <v>64</v>
      </c>
      <c r="B108" s="5">
        <v>0.22305994586272274</v>
      </c>
      <c r="C108" s="5">
        <v>7.6190083161952776E-2</v>
      </c>
      <c r="D108" s="6">
        <v>0</v>
      </c>
      <c r="E108" s="6">
        <v>1</v>
      </c>
      <c r="F108" s="6">
        <v>34</v>
      </c>
      <c r="G108" s="5">
        <v>0.52007076896689197</v>
      </c>
      <c r="H108" s="5">
        <v>7.9207874917171434E-2</v>
      </c>
      <c r="I108" s="6">
        <v>0</v>
      </c>
      <c r="J108" s="6">
        <v>1</v>
      </c>
      <c r="K108" s="6">
        <v>42</v>
      </c>
      <c r="L108" s="5">
        <v>0.33888486777540477</v>
      </c>
      <c r="M108" s="5">
        <v>7.497122097130629E-2</v>
      </c>
      <c r="N108" s="6">
        <v>0</v>
      </c>
      <c r="O108" s="6">
        <v>1</v>
      </c>
      <c r="P108" s="6">
        <v>44</v>
      </c>
      <c r="Q108" s="5">
        <v>0.56237744430379144</v>
      </c>
      <c r="R108" s="5">
        <v>8.1477344007092639E-2</v>
      </c>
      <c r="S108" s="6">
        <v>0</v>
      </c>
      <c r="T108" s="6">
        <v>1</v>
      </c>
      <c r="U108" s="6">
        <v>40</v>
      </c>
      <c r="V108" s="5">
        <v>0.30517514944520252</v>
      </c>
      <c r="W108" s="5">
        <v>6.0301659756589347E-2</v>
      </c>
      <c r="X108" s="6">
        <v>0</v>
      </c>
      <c r="Y108" s="6">
        <v>1</v>
      </c>
      <c r="Z108" s="6">
        <v>104</v>
      </c>
      <c r="AA108" s="12">
        <v>0.42949590947376276</v>
      </c>
      <c r="AB108" s="5">
        <v>4.257932610152642E-2</v>
      </c>
      <c r="AC108" s="6">
        <v>0</v>
      </c>
      <c r="AD108" s="6">
        <v>1</v>
      </c>
      <c r="AE108" s="6">
        <v>264</v>
      </c>
    </row>
    <row r="109" spans="1:32" x14ac:dyDescent="0.45">
      <c r="A109" s="4" t="s">
        <v>26</v>
      </c>
      <c r="B109" s="5">
        <v>0.24902179290487914</v>
      </c>
      <c r="C109" s="5">
        <v>7.8614835918954476E-2</v>
      </c>
      <c r="D109" s="6">
        <v>0</v>
      </c>
      <c r="E109" s="6">
        <v>1</v>
      </c>
      <c r="F109" s="6">
        <v>34</v>
      </c>
      <c r="G109" s="5">
        <v>0.52007076896689197</v>
      </c>
      <c r="H109" s="5">
        <v>7.9207874917171434E-2</v>
      </c>
      <c r="I109" s="6">
        <v>0</v>
      </c>
      <c r="J109" s="6">
        <v>1</v>
      </c>
      <c r="K109" s="6">
        <v>42</v>
      </c>
      <c r="L109" s="5">
        <v>0.40284945544057527</v>
      </c>
      <c r="M109" s="5">
        <v>7.7077845130646777E-2</v>
      </c>
      <c r="N109" s="6">
        <v>0</v>
      </c>
      <c r="O109" s="6">
        <v>1</v>
      </c>
      <c r="P109" s="6">
        <v>44</v>
      </c>
      <c r="Q109" s="5">
        <v>0.56237744430379144</v>
      </c>
      <c r="R109" s="5">
        <v>8.1477344007092639E-2</v>
      </c>
      <c r="S109" s="6">
        <v>0</v>
      </c>
      <c r="T109" s="6">
        <v>1</v>
      </c>
      <c r="U109" s="6">
        <v>40</v>
      </c>
      <c r="V109" s="5">
        <v>0.30849368526502607</v>
      </c>
      <c r="W109" s="5">
        <v>6.0369974510870769E-2</v>
      </c>
      <c r="X109" s="6">
        <v>0</v>
      </c>
      <c r="Y109" s="6">
        <v>1</v>
      </c>
      <c r="Z109" s="6">
        <v>104</v>
      </c>
      <c r="AA109" s="12">
        <v>0.45769735338375289</v>
      </c>
      <c r="AB109" s="5">
        <v>4.2866116015874249E-2</v>
      </c>
      <c r="AC109" s="6">
        <v>0</v>
      </c>
      <c r="AD109" s="6">
        <v>1</v>
      </c>
      <c r="AE109" s="6">
        <v>264</v>
      </c>
      <c r="AF109">
        <f>(AA111/AA110)-AA109</f>
        <v>2.0494380060015471E-4</v>
      </c>
    </row>
    <row r="110" spans="1:32" ht="26.25" x14ac:dyDescent="0.45">
      <c r="A110" s="4" t="s">
        <v>24</v>
      </c>
      <c r="B110" s="5">
        <v>0.59113064078982813</v>
      </c>
      <c r="C110" s="5">
        <v>8.9609791547363538E-2</v>
      </c>
      <c r="D110" s="6">
        <v>0</v>
      </c>
      <c r="E110" s="6">
        <v>1</v>
      </c>
      <c r="F110" s="6">
        <v>34</v>
      </c>
      <c r="G110" s="5">
        <v>0.71909384928754405</v>
      </c>
      <c r="H110" s="5">
        <v>7.2403474018022274E-2</v>
      </c>
      <c r="I110" s="6">
        <v>0</v>
      </c>
      <c r="J110" s="6">
        <v>1</v>
      </c>
      <c r="K110" s="6">
        <v>42</v>
      </c>
      <c r="L110" s="5">
        <v>0.69739462956204068</v>
      </c>
      <c r="M110" s="5">
        <v>7.1809022935466635E-2</v>
      </c>
      <c r="N110" s="6">
        <v>0</v>
      </c>
      <c r="O110" s="6">
        <v>1</v>
      </c>
      <c r="P110" s="6">
        <v>44</v>
      </c>
      <c r="Q110" s="5">
        <v>0.9233668457535289</v>
      </c>
      <c r="R110" s="5">
        <v>4.3202567197263397E-2</v>
      </c>
      <c r="S110" s="6">
        <v>0</v>
      </c>
      <c r="T110" s="6">
        <v>1</v>
      </c>
      <c r="U110" s="6">
        <v>40</v>
      </c>
      <c r="V110" s="5">
        <v>0.65121302184637453</v>
      </c>
      <c r="W110" s="5">
        <v>6.6128687462899488E-2</v>
      </c>
      <c r="X110" s="6">
        <v>0</v>
      </c>
      <c r="Y110" s="6">
        <v>1</v>
      </c>
      <c r="Z110" s="6">
        <v>104</v>
      </c>
      <c r="AA110" s="12">
        <v>0.74577850242169597</v>
      </c>
      <c r="AB110" s="5">
        <v>3.7735522277039836E-2</v>
      </c>
      <c r="AC110" s="6">
        <v>0</v>
      </c>
      <c r="AD110" s="6">
        <v>1</v>
      </c>
      <c r="AE110" s="6">
        <v>264</v>
      </c>
      <c r="AF110">
        <f>(AA111/AA109)-AA110</f>
        <v>3.339383100257054E-4</v>
      </c>
    </row>
    <row r="111" spans="1:32" x14ac:dyDescent="0.45">
      <c r="A111" s="4" t="s">
        <v>65</v>
      </c>
      <c r="B111" s="5">
        <v>0.12594004342780538</v>
      </c>
      <c r="C111" s="5">
        <v>6.0575270552500782E-2</v>
      </c>
      <c r="D111" s="6">
        <v>0</v>
      </c>
      <c r="E111" s="6">
        <v>1</v>
      </c>
      <c r="F111" s="6">
        <v>34</v>
      </c>
      <c r="G111" s="5">
        <v>0.36617978627179149</v>
      </c>
      <c r="H111" s="5">
        <v>7.6315970054639429E-2</v>
      </c>
      <c r="I111" s="6">
        <v>0</v>
      </c>
      <c r="J111" s="6">
        <v>1</v>
      </c>
      <c r="K111" s="6">
        <v>42</v>
      </c>
      <c r="L111" s="5">
        <v>0.2553476438579384</v>
      </c>
      <c r="M111" s="5">
        <v>6.8476767062688182E-2</v>
      </c>
      <c r="N111" s="6">
        <v>0</v>
      </c>
      <c r="O111" s="6">
        <v>1</v>
      </c>
      <c r="P111" s="6">
        <v>44</v>
      </c>
      <c r="Q111" s="5">
        <v>0.53459571999605193</v>
      </c>
      <c r="R111" s="5">
        <v>8.2039967839084904E-2</v>
      </c>
      <c r="S111" s="6">
        <v>0</v>
      </c>
      <c r="T111" s="6">
        <v>1</v>
      </c>
      <c r="U111" s="6">
        <v>40</v>
      </c>
      <c r="V111" s="5">
        <v>0.30463962530593064</v>
      </c>
      <c r="W111" s="5">
        <v>6.0295700994636894E-2</v>
      </c>
      <c r="X111" s="6">
        <v>0</v>
      </c>
      <c r="Y111" s="6">
        <v>1</v>
      </c>
      <c r="Z111" s="6">
        <v>104</v>
      </c>
      <c r="AA111" s="12">
        <v>0.34149368944960118</v>
      </c>
      <c r="AB111" s="5">
        <v>4.0488713007521347E-2</v>
      </c>
      <c r="AC111" s="6">
        <v>0</v>
      </c>
      <c r="AD111" s="6">
        <v>1</v>
      </c>
      <c r="AE111" s="6">
        <v>264</v>
      </c>
    </row>
    <row r="112" spans="1:32" x14ac:dyDescent="0.45">
      <c r="A112" s="4" t="s">
        <v>28</v>
      </c>
      <c r="B112" s="5">
        <v>0.16060683353603622</v>
      </c>
      <c r="C112" s="5">
        <v>6.3104178008598577E-2</v>
      </c>
      <c r="D112" s="6">
        <v>0</v>
      </c>
      <c r="E112" s="6">
        <v>1</v>
      </c>
      <c r="F112" s="6">
        <v>34</v>
      </c>
      <c r="G112" s="5">
        <v>0.18650001607317804</v>
      </c>
      <c r="H112" s="5">
        <v>6.08550634427708E-2</v>
      </c>
      <c r="I112" s="6">
        <v>0</v>
      </c>
      <c r="J112" s="6">
        <v>1</v>
      </c>
      <c r="K112" s="6">
        <v>42</v>
      </c>
      <c r="L112" s="5">
        <v>0.3982476541522913</v>
      </c>
      <c r="M112" s="5">
        <v>7.606739370062203E-2</v>
      </c>
      <c r="N112" s="6">
        <v>0</v>
      </c>
      <c r="O112" s="6">
        <v>1</v>
      </c>
      <c r="P112" s="6">
        <v>44</v>
      </c>
      <c r="Q112" s="5">
        <v>0.69537622401646959</v>
      </c>
      <c r="R112" s="5">
        <v>7.7013327808946444E-2</v>
      </c>
      <c r="S112" s="6">
        <v>0</v>
      </c>
      <c r="T112" s="6">
        <v>1</v>
      </c>
      <c r="U112" s="6">
        <v>40</v>
      </c>
      <c r="V112" s="5">
        <v>0.40152770724557457</v>
      </c>
      <c r="W112" s="5">
        <v>6.4202011804989259E-2</v>
      </c>
      <c r="X112" s="6">
        <v>0</v>
      </c>
      <c r="Y112" s="6">
        <v>1</v>
      </c>
      <c r="Z112" s="6">
        <v>104</v>
      </c>
      <c r="AA112" s="12">
        <v>0.39366660028274569</v>
      </c>
      <c r="AB112" s="5">
        <v>4.1749939332123578E-2</v>
      </c>
      <c r="AC112" s="6">
        <v>0</v>
      </c>
      <c r="AD112" s="6">
        <v>1</v>
      </c>
      <c r="AE112" s="6">
        <v>264</v>
      </c>
      <c r="AF112">
        <f>(AA114/AA113)-AA112</f>
        <v>-5.4717097340688581E-2</v>
      </c>
    </row>
    <row r="113" spans="1:32" x14ac:dyDescent="0.45">
      <c r="A113" s="4" t="s">
        <v>30</v>
      </c>
      <c r="B113" s="5">
        <v>9.7944886332647418E-2</v>
      </c>
      <c r="C113" s="5">
        <v>5.0745074390485048E-2</v>
      </c>
      <c r="D113" s="6">
        <v>0</v>
      </c>
      <c r="E113" s="6">
        <v>1</v>
      </c>
      <c r="F113" s="6">
        <v>34</v>
      </c>
      <c r="G113" s="5">
        <v>0.19686198014165318</v>
      </c>
      <c r="H113" s="5">
        <v>6.361507673733699E-2</v>
      </c>
      <c r="I113" s="6">
        <v>0</v>
      </c>
      <c r="J113" s="6">
        <v>1</v>
      </c>
      <c r="K113" s="6">
        <v>42</v>
      </c>
      <c r="L113" s="5">
        <v>0.18448659651104984</v>
      </c>
      <c r="M113" s="5">
        <v>6.0019935102142451E-2</v>
      </c>
      <c r="N113" s="6">
        <v>0</v>
      </c>
      <c r="O113" s="6">
        <v>1</v>
      </c>
      <c r="P113" s="6">
        <v>44</v>
      </c>
      <c r="Q113" s="5">
        <v>0.12570203484365922</v>
      </c>
      <c r="R113" s="5">
        <v>5.3202553266984524E-2</v>
      </c>
      <c r="S113" s="6">
        <v>0</v>
      </c>
      <c r="T113" s="6">
        <v>1</v>
      </c>
      <c r="U113" s="6">
        <v>40</v>
      </c>
      <c r="V113" s="5">
        <v>7.1219747701667446E-2</v>
      </c>
      <c r="W113" s="5">
        <v>2.7252423041304919E-2</v>
      </c>
      <c r="X113" s="6">
        <v>0</v>
      </c>
      <c r="Y113" s="6">
        <v>1</v>
      </c>
      <c r="Z113" s="6">
        <v>104</v>
      </c>
      <c r="AA113" s="12">
        <v>0.16577578610959048</v>
      </c>
      <c r="AB113" s="5">
        <v>3.241187199883435E-2</v>
      </c>
      <c r="AC113" s="6">
        <v>0</v>
      </c>
      <c r="AD113" s="6">
        <v>1</v>
      </c>
      <c r="AE113" s="6">
        <v>264</v>
      </c>
      <c r="AF113">
        <f>(AA114/AA112)-AA113</f>
        <v>-2.3041756193623447E-2</v>
      </c>
    </row>
    <row r="114" spans="1:32" ht="26.25" x14ac:dyDescent="0.45">
      <c r="A114" s="4" t="s">
        <v>66</v>
      </c>
      <c r="B114" s="5">
        <v>2.4516800838866534E-2</v>
      </c>
      <c r="C114" s="5">
        <v>2.4682073136293149E-2</v>
      </c>
      <c r="D114" s="6">
        <v>0</v>
      </c>
      <c r="E114" s="6">
        <v>1</v>
      </c>
      <c r="F114" s="6">
        <v>34</v>
      </c>
      <c r="G114" s="5">
        <v>2.5168954621271552E-2</v>
      </c>
      <c r="H114" s="5">
        <v>2.5143597134685593E-2</v>
      </c>
      <c r="I114" s="6">
        <v>0</v>
      </c>
      <c r="J114" s="6">
        <v>1</v>
      </c>
      <c r="K114" s="6">
        <v>42</v>
      </c>
      <c r="L114" s="5">
        <v>4.5600171658236259E-2</v>
      </c>
      <c r="M114" s="5">
        <v>3.2266085903234897E-2</v>
      </c>
      <c r="N114" s="6">
        <v>0</v>
      </c>
      <c r="O114" s="6">
        <v>1</v>
      </c>
      <c r="P114" s="6">
        <v>44</v>
      </c>
      <c r="Q114" s="5">
        <v>0.12570203484365922</v>
      </c>
      <c r="R114" s="5">
        <v>5.3202553266984524E-2</v>
      </c>
      <c r="S114" s="6">
        <v>0</v>
      </c>
      <c r="T114" s="6">
        <v>1</v>
      </c>
      <c r="U114" s="6">
        <v>40</v>
      </c>
      <c r="V114" s="5">
        <v>3.0224724724615033E-2</v>
      </c>
      <c r="W114" s="5">
        <v>1.9950458479565582E-2</v>
      </c>
      <c r="X114" s="6">
        <v>0</v>
      </c>
      <c r="Y114" s="6">
        <v>1</v>
      </c>
      <c r="Z114" s="6">
        <v>104</v>
      </c>
      <c r="AA114" s="12">
        <v>5.6189620301674466E-2</v>
      </c>
      <c r="AB114" s="5">
        <v>1.9195526753527602E-2</v>
      </c>
      <c r="AC114" s="6">
        <v>0</v>
      </c>
      <c r="AD114" s="6">
        <v>1</v>
      </c>
      <c r="AE114" s="6">
        <v>264</v>
      </c>
    </row>
    <row r="115" spans="1:32" x14ac:dyDescent="0.45">
      <c r="A115" s="4" t="s">
        <v>28</v>
      </c>
      <c r="B115" s="5">
        <v>0.16060683353603622</v>
      </c>
      <c r="C115" s="5">
        <v>6.3104178008598577E-2</v>
      </c>
      <c r="D115" s="6">
        <v>0</v>
      </c>
      <c r="E115" s="6">
        <v>1</v>
      </c>
      <c r="F115" s="6">
        <v>34</v>
      </c>
      <c r="G115" s="5">
        <v>0.18650001607317804</v>
      </c>
      <c r="H115" s="5">
        <v>6.08550634427708E-2</v>
      </c>
      <c r="I115" s="6">
        <v>0</v>
      </c>
      <c r="J115" s="6">
        <v>1</v>
      </c>
      <c r="K115" s="6">
        <v>42</v>
      </c>
      <c r="L115" s="5">
        <v>0.3982476541522913</v>
      </c>
      <c r="M115" s="5">
        <v>7.606739370062203E-2</v>
      </c>
      <c r="N115" s="6">
        <v>0</v>
      </c>
      <c r="O115" s="6">
        <v>1</v>
      </c>
      <c r="P115" s="6">
        <v>44</v>
      </c>
      <c r="Q115" s="5">
        <v>0.69537622401646959</v>
      </c>
      <c r="R115" s="5">
        <v>7.7013327808946444E-2</v>
      </c>
      <c r="S115" s="6">
        <v>0</v>
      </c>
      <c r="T115" s="6">
        <v>1</v>
      </c>
      <c r="U115" s="6">
        <v>40</v>
      </c>
      <c r="V115" s="5">
        <v>0.40152770724557457</v>
      </c>
      <c r="W115" s="5">
        <v>6.4202011804989259E-2</v>
      </c>
      <c r="X115" s="6">
        <v>0</v>
      </c>
      <c r="Y115" s="6">
        <v>1</v>
      </c>
      <c r="Z115" s="6">
        <v>104</v>
      </c>
      <c r="AA115" s="12">
        <v>0.39366660028274569</v>
      </c>
      <c r="AB115" s="5">
        <v>4.1749939332123578E-2</v>
      </c>
      <c r="AC115" s="6">
        <v>0</v>
      </c>
      <c r="AD115" s="6">
        <v>1</v>
      </c>
      <c r="AE115" s="6">
        <v>264</v>
      </c>
      <c r="AF115">
        <f>(AA117/AA116)-AA115</f>
        <v>2.484721045923538E-2</v>
      </c>
    </row>
    <row r="116" spans="1:32" x14ac:dyDescent="0.45">
      <c r="A116" s="4" t="s">
        <v>32</v>
      </c>
      <c r="B116" s="5">
        <v>0.88886175204661999</v>
      </c>
      <c r="C116" s="5">
        <v>6.1457033964244352E-2</v>
      </c>
      <c r="D116" s="6">
        <v>0</v>
      </c>
      <c r="E116" s="6">
        <v>1</v>
      </c>
      <c r="F116" s="6">
        <v>34</v>
      </c>
      <c r="G116" s="5">
        <v>0.60873909731901421</v>
      </c>
      <c r="H116" s="5">
        <v>7.7439164761967633E-2</v>
      </c>
      <c r="I116" s="6">
        <v>0</v>
      </c>
      <c r="J116" s="6">
        <v>1</v>
      </c>
      <c r="K116" s="6">
        <v>42</v>
      </c>
      <c r="L116" s="5">
        <v>0.4867159180448013</v>
      </c>
      <c r="M116" s="5">
        <v>7.8217992076327084E-2</v>
      </c>
      <c r="N116" s="6">
        <v>0</v>
      </c>
      <c r="O116" s="6">
        <v>1</v>
      </c>
      <c r="P116" s="6">
        <v>44</v>
      </c>
      <c r="Q116" s="5">
        <v>0.64300167798766439</v>
      </c>
      <c r="R116" s="5">
        <v>7.9764129090886995E-2</v>
      </c>
      <c r="S116" s="6">
        <v>0</v>
      </c>
      <c r="T116" s="6">
        <v>1</v>
      </c>
      <c r="U116" s="6">
        <v>40</v>
      </c>
      <c r="V116" s="5">
        <v>0.21962332207176813</v>
      </c>
      <c r="W116" s="5">
        <v>4.9938905008240317E-2</v>
      </c>
      <c r="X116" s="6">
        <v>0</v>
      </c>
      <c r="Y116" s="6">
        <v>1</v>
      </c>
      <c r="Z116" s="6">
        <v>104</v>
      </c>
      <c r="AA116" s="12">
        <v>0.56879903245024355</v>
      </c>
      <c r="AB116" s="5">
        <v>4.2838805073454271E-2</v>
      </c>
      <c r="AC116" s="6">
        <v>0</v>
      </c>
      <c r="AD116" s="6">
        <v>1</v>
      </c>
      <c r="AE116" s="6">
        <v>264</v>
      </c>
      <c r="AF116">
        <f>(AA117/AA115)-AA116</f>
        <v>3.5901113424785747E-2</v>
      </c>
    </row>
    <row r="117" spans="1:32" x14ac:dyDescent="0.45">
      <c r="A117" s="4" t="s">
        <v>67</v>
      </c>
      <c r="B117" s="5">
        <v>0.16060683353603622</v>
      </c>
      <c r="C117" s="5">
        <v>6.3104178008598577E-2</v>
      </c>
      <c r="D117" s="6">
        <v>0</v>
      </c>
      <c r="E117" s="6">
        <v>1</v>
      </c>
      <c r="F117" s="6">
        <v>34</v>
      </c>
      <c r="G117" s="5">
        <v>0.11395177814201457</v>
      </c>
      <c r="H117" s="5">
        <v>4.8945348502587652E-2</v>
      </c>
      <c r="I117" s="6">
        <v>0</v>
      </c>
      <c r="J117" s="6">
        <v>1</v>
      </c>
      <c r="K117" s="6">
        <v>42</v>
      </c>
      <c r="L117" s="5">
        <v>0.17741268453536854</v>
      </c>
      <c r="M117" s="5">
        <v>5.8589300128201106E-2</v>
      </c>
      <c r="N117" s="6">
        <v>0</v>
      </c>
      <c r="O117" s="6">
        <v>1</v>
      </c>
      <c r="P117" s="6">
        <v>44</v>
      </c>
      <c r="Q117" s="5">
        <v>0.53636316828818409</v>
      </c>
      <c r="R117" s="5">
        <v>8.2351613824240319E-2</v>
      </c>
      <c r="S117" s="6">
        <v>0</v>
      </c>
      <c r="T117" s="6">
        <v>1</v>
      </c>
      <c r="U117" s="6">
        <v>40</v>
      </c>
      <c r="V117" s="5">
        <v>0.13993679365533465</v>
      </c>
      <c r="W117" s="5">
        <v>4.3319722476968615E-2</v>
      </c>
      <c r="X117" s="6">
        <v>0</v>
      </c>
      <c r="Y117" s="6">
        <v>1</v>
      </c>
      <c r="Z117" s="6">
        <v>104</v>
      </c>
      <c r="AA117" s="12">
        <v>0.23805025061710317</v>
      </c>
      <c r="AB117" s="5">
        <v>3.536072676432183E-2</v>
      </c>
      <c r="AC117" s="6">
        <v>0</v>
      </c>
      <c r="AD117" s="6">
        <v>1</v>
      </c>
      <c r="AE117" s="6">
        <v>264</v>
      </c>
    </row>
    <row r="118" spans="1:32" x14ac:dyDescent="0.45">
      <c r="A118" s="4" t="s">
        <v>28</v>
      </c>
      <c r="B118" s="5">
        <v>0.16060683353603622</v>
      </c>
      <c r="C118" s="5">
        <v>6.3104178008598577E-2</v>
      </c>
      <c r="D118" s="6">
        <v>0</v>
      </c>
      <c r="E118" s="6">
        <v>1</v>
      </c>
      <c r="F118" s="6">
        <v>34</v>
      </c>
      <c r="G118" s="5">
        <v>0.18650001607317804</v>
      </c>
      <c r="H118" s="5">
        <v>6.08550634427708E-2</v>
      </c>
      <c r="I118" s="6">
        <v>0</v>
      </c>
      <c r="J118" s="6">
        <v>1</v>
      </c>
      <c r="K118" s="6">
        <v>42</v>
      </c>
      <c r="L118" s="5">
        <v>0.3982476541522913</v>
      </c>
      <c r="M118" s="5">
        <v>7.606739370062203E-2</v>
      </c>
      <c r="N118" s="6">
        <v>0</v>
      </c>
      <c r="O118" s="6">
        <v>1</v>
      </c>
      <c r="P118" s="6">
        <v>44</v>
      </c>
      <c r="Q118" s="5">
        <v>0.69537622401646959</v>
      </c>
      <c r="R118" s="5">
        <v>7.7013327808946444E-2</v>
      </c>
      <c r="S118" s="6">
        <v>0</v>
      </c>
      <c r="T118" s="6">
        <v>1</v>
      </c>
      <c r="U118" s="6">
        <v>40</v>
      </c>
      <c r="V118" s="5">
        <v>0.40152770724557457</v>
      </c>
      <c r="W118" s="5">
        <v>6.4202011804989259E-2</v>
      </c>
      <c r="X118" s="6">
        <v>0</v>
      </c>
      <c r="Y118" s="6">
        <v>1</v>
      </c>
      <c r="Z118" s="6">
        <v>104</v>
      </c>
      <c r="AA118" s="12">
        <v>0.39366660028274569</v>
      </c>
      <c r="AB118" s="5">
        <v>4.1749939332123578E-2</v>
      </c>
      <c r="AC118" s="6">
        <v>0</v>
      </c>
      <c r="AD118" s="6">
        <v>1</v>
      </c>
      <c r="AE118" s="6">
        <v>264</v>
      </c>
      <c r="AF118">
        <f>(AA120/AA119)-AA118</f>
        <v>-3.1200938838932268E-2</v>
      </c>
    </row>
    <row r="119" spans="1:32" x14ac:dyDescent="0.45">
      <c r="A119" s="4" t="s">
        <v>34</v>
      </c>
      <c r="B119" s="5">
        <v>0.19862121171774996</v>
      </c>
      <c r="C119" s="5">
        <v>7.0449908333518482E-2</v>
      </c>
      <c r="D119" s="6">
        <v>0</v>
      </c>
      <c r="E119" s="6">
        <v>1</v>
      </c>
      <c r="F119" s="6">
        <v>34</v>
      </c>
      <c r="G119" s="5">
        <v>0.27373543444507736</v>
      </c>
      <c r="H119" s="5">
        <v>7.1059953576424029E-2</v>
      </c>
      <c r="I119" s="6">
        <v>0</v>
      </c>
      <c r="J119" s="6">
        <v>1</v>
      </c>
      <c r="K119" s="6">
        <v>42</v>
      </c>
      <c r="L119" s="5">
        <v>0.16023885887947467</v>
      </c>
      <c r="M119" s="5">
        <v>5.6132837285575506E-2</v>
      </c>
      <c r="N119" s="6">
        <v>0</v>
      </c>
      <c r="O119" s="6">
        <v>1</v>
      </c>
      <c r="P119" s="6">
        <v>44</v>
      </c>
      <c r="Q119" s="5">
        <v>0.27853232036598929</v>
      </c>
      <c r="R119" s="5">
        <v>7.2602815976202259E-2</v>
      </c>
      <c r="S119" s="6">
        <v>0</v>
      </c>
      <c r="T119" s="6">
        <v>1</v>
      </c>
      <c r="U119" s="6">
        <v>40</v>
      </c>
      <c r="V119" s="5">
        <v>5.7747988593625371E-2</v>
      </c>
      <c r="W119" s="5">
        <v>2.8391611186991999E-2</v>
      </c>
      <c r="X119" s="6">
        <v>0</v>
      </c>
      <c r="Y119" s="6">
        <v>1</v>
      </c>
      <c r="Z119" s="6">
        <v>104</v>
      </c>
      <c r="AA119" s="12">
        <v>0.21587935616398435</v>
      </c>
      <c r="AB119" s="5">
        <v>3.4528579839839389E-2</v>
      </c>
      <c r="AC119" s="6">
        <v>0</v>
      </c>
      <c r="AD119" s="6">
        <v>1</v>
      </c>
      <c r="AE119" s="6">
        <v>264</v>
      </c>
      <c r="AF119">
        <f>(AA120/AA118)-AA119</f>
        <v>-1.711000776652824E-2</v>
      </c>
    </row>
    <row r="120" spans="1:32" ht="26.25" x14ac:dyDescent="0.45">
      <c r="A120" s="4" t="s">
        <v>68</v>
      </c>
      <c r="B120" s="5">
        <v>8.5395419174520121E-2</v>
      </c>
      <c r="C120" s="5">
        <v>4.9313442010981173E-2</v>
      </c>
      <c r="D120" s="6">
        <v>0</v>
      </c>
      <c r="E120" s="6">
        <v>1</v>
      </c>
      <c r="F120" s="6">
        <v>34</v>
      </c>
      <c r="G120" s="5">
        <v>4.9058891318756202E-2</v>
      </c>
      <c r="H120" s="5">
        <v>3.4286455662835988E-2</v>
      </c>
      <c r="I120" s="6">
        <v>0</v>
      </c>
      <c r="J120" s="6">
        <v>1</v>
      </c>
      <c r="K120" s="6">
        <v>42</v>
      </c>
      <c r="L120" s="5">
        <v>1.9258755465551291E-2</v>
      </c>
      <c r="M120" s="5">
        <v>1.9338872922841789E-2</v>
      </c>
      <c r="N120" s="6">
        <v>0</v>
      </c>
      <c r="O120" s="6">
        <v>1</v>
      </c>
      <c r="P120" s="6">
        <v>44</v>
      </c>
      <c r="Q120" s="5">
        <v>0.22638667113829694</v>
      </c>
      <c r="R120" s="5">
        <v>6.7370820719402619E-2</v>
      </c>
      <c r="S120" s="6">
        <v>0</v>
      </c>
      <c r="T120" s="6">
        <v>1</v>
      </c>
      <c r="U120" s="6">
        <v>40</v>
      </c>
      <c r="V120" s="5">
        <v>4.6934097747110881E-2</v>
      </c>
      <c r="W120" s="5">
        <v>2.7816232752572306E-2</v>
      </c>
      <c r="X120" s="6">
        <v>0</v>
      </c>
      <c r="Y120" s="6">
        <v>1</v>
      </c>
      <c r="Z120" s="6">
        <v>104</v>
      </c>
      <c r="AA120" s="12">
        <v>7.8248853624043171E-2</v>
      </c>
      <c r="AB120" s="5">
        <v>2.0430707415992184E-2</v>
      </c>
      <c r="AC120" s="6">
        <v>0</v>
      </c>
      <c r="AD120" s="6">
        <v>1</v>
      </c>
      <c r="AE120" s="6">
        <v>264</v>
      </c>
    </row>
    <row r="121" spans="1:32" x14ac:dyDescent="0.45">
      <c r="A121" s="4" t="s">
        <v>28</v>
      </c>
      <c r="B121" s="5">
        <v>0.16060683353603622</v>
      </c>
      <c r="C121" s="5">
        <v>6.3104178008598577E-2</v>
      </c>
      <c r="D121" s="6">
        <v>0</v>
      </c>
      <c r="E121" s="6">
        <v>1</v>
      </c>
      <c r="F121" s="6">
        <v>34</v>
      </c>
      <c r="G121" s="5">
        <v>0.18650001607317804</v>
      </c>
      <c r="H121" s="5">
        <v>6.08550634427708E-2</v>
      </c>
      <c r="I121" s="6">
        <v>0</v>
      </c>
      <c r="J121" s="6">
        <v>1</v>
      </c>
      <c r="K121" s="6">
        <v>42</v>
      </c>
      <c r="L121" s="5">
        <v>0.3982476541522913</v>
      </c>
      <c r="M121" s="5">
        <v>7.606739370062203E-2</v>
      </c>
      <c r="N121" s="6">
        <v>0</v>
      </c>
      <c r="O121" s="6">
        <v>1</v>
      </c>
      <c r="P121" s="6">
        <v>44</v>
      </c>
      <c r="Q121" s="5">
        <v>0.69537622401646959</v>
      </c>
      <c r="R121" s="5">
        <v>7.7013327808946444E-2</v>
      </c>
      <c r="S121" s="6">
        <v>0</v>
      </c>
      <c r="T121" s="6">
        <v>1</v>
      </c>
      <c r="U121" s="6">
        <v>40</v>
      </c>
      <c r="V121" s="5">
        <v>0.40152770724557457</v>
      </c>
      <c r="W121" s="5">
        <v>6.4202011804989259E-2</v>
      </c>
      <c r="X121" s="6">
        <v>0</v>
      </c>
      <c r="Y121" s="6">
        <v>1</v>
      </c>
      <c r="Z121" s="6">
        <v>104</v>
      </c>
      <c r="AA121" s="12">
        <v>0.39366660028274569</v>
      </c>
      <c r="AB121" s="5">
        <v>4.1749939332123578E-2</v>
      </c>
      <c r="AC121" s="6">
        <v>0</v>
      </c>
      <c r="AD121" s="6">
        <v>1</v>
      </c>
      <c r="AE121" s="6">
        <v>264</v>
      </c>
      <c r="AF121">
        <f>(AA123/AA122)-AA121</f>
        <v>-4.1035674843060199E-2</v>
      </c>
    </row>
    <row r="122" spans="1:32" x14ac:dyDescent="0.45">
      <c r="A122" s="4" t="s">
        <v>36</v>
      </c>
      <c r="B122" s="5">
        <v>0.76064468833586119</v>
      </c>
      <c r="C122" s="5">
        <v>7.7815769808775942E-2</v>
      </c>
      <c r="D122" s="6">
        <v>0</v>
      </c>
      <c r="E122" s="6">
        <v>1</v>
      </c>
      <c r="F122" s="6">
        <v>34</v>
      </c>
      <c r="G122" s="5">
        <v>0.47021854293445042</v>
      </c>
      <c r="H122" s="5">
        <v>7.9243117363754292E-2</v>
      </c>
      <c r="I122" s="6">
        <v>0</v>
      </c>
      <c r="J122" s="6">
        <v>1</v>
      </c>
      <c r="K122" s="6">
        <v>42</v>
      </c>
      <c r="L122" s="5">
        <v>0.2445206682606792</v>
      </c>
      <c r="M122" s="5">
        <v>6.7154542896761538E-2</v>
      </c>
      <c r="N122" s="6">
        <v>0</v>
      </c>
      <c r="O122" s="6">
        <v>1</v>
      </c>
      <c r="P122" s="6">
        <v>42</v>
      </c>
      <c r="Q122" s="5">
        <v>0.35160809189742964</v>
      </c>
      <c r="R122" s="5">
        <v>7.902438279457083E-2</v>
      </c>
      <c r="S122" s="6">
        <v>0</v>
      </c>
      <c r="T122" s="6">
        <v>1</v>
      </c>
      <c r="U122" s="6">
        <v>40</v>
      </c>
      <c r="V122" s="5">
        <v>0.42925514319553509</v>
      </c>
      <c r="W122" s="5">
        <v>6.917480911456024E-2</v>
      </c>
      <c r="X122" s="6">
        <v>0</v>
      </c>
      <c r="Y122" s="6">
        <v>1</v>
      </c>
      <c r="Z122" s="6">
        <v>100</v>
      </c>
      <c r="AA122" s="12">
        <v>0.36787839094902408</v>
      </c>
      <c r="AB122" s="5">
        <v>4.0690017630809268E-2</v>
      </c>
      <c r="AC122" s="6">
        <v>0</v>
      </c>
      <c r="AD122" s="6">
        <v>1</v>
      </c>
      <c r="AE122" s="6">
        <v>258</v>
      </c>
      <c r="AF122">
        <f>(AA123/AA121)-AA122</f>
        <v>-3.8347520520993494E-2</v>
      </c>
    </row>
    <row r="123" spans="1:32" x14ac:dyDescent="0.45">
      <c r="A123" s="4" t="s">
        <v>69</v>
      </c>
      <c r="B123" s="5">
        <v>0.11019685032615587</v>
      </c>
      <c r="C123" s="5">
        <v>5.4395166041819161E-2</v>
      </c>
      <c r="D123" s="6">
        <v>0</v>
      </c>
      <c r="E123" s="6">
        <v>1</v>
      </c>
      <c r="F123" s="6">
        <v>34</v>
      </c>
      <c r="G123" s="5">
        <v>7.0631374503081115E-2</v>
      </c>
      <c r="H123" s="5">
        <v>4.019918228713238E-2</v>
      </c>
      <c r="I123" s="6">
        <v>0</v>
      </c>
      <c r="J123" s="6">
        <v>1</v>
      </c>
      <c r="K123" s="6">
        <v>42</v>
      </c>
      <c r="L123" s="5">
        <v>0.10266206976349958</v>
      </c>
      <c r="M123" s="5">
        <v>4.6183247428079992E-2</v>
      </c>
      <c r="N123" s="6">
        <v>0</v>
      </c>
      <c r="O123" s="6">
        <v>1</v>
      </c>
      <c r="P123" s="6">
        <v>42</v>
      </c>
      <c r="Q123" s="5">
        <v>0.26122932031199958</v>
      </c>
      <c r="R123" s="5">
        <v>7.1881459098920283E-2</v>
      </c>
      <c r="S123" s="6">
        <v>0</v>
      </c>
      <c r="T123" s="6">
        <v>1</v>
      </c>
      <c r="U123" s="6">
        <v>40</v>
      </c>
      <c r="V123" s="5">
        <v>8.2029587704548657E-2</v>
      </c>
      <c r="W123" s="5">
        <v>2.9400177308716764E-2</v>
      </c>
      <c r="X123" s="6">
        <v>0</v>
      </c>
      <c r="Y123" s="6">
        <v>1</v>
      </c>
      <c r="Z123" s="6">
        <v>100</v>
      </c>
      <c r="AA123" s="12">
        <v>0.12972529744961678</v>
      </c>
      <c r="AB123" s="5">
        <v>2.7752882589827842E-2</v>
      </c>
      <c r="AC123" s="6">
        <v>0</v>
      </c>
      <c r="AD123" s="6">
        <v>1</v>
      </c>
      <c r="AE123" s="6">
        <v>258</v>
      </c>
    </row>
    <row r="124" spans="1:32" x14ac:dyDescent="0.45">
      <c r="A124" s="4" t="s">
        <v>28</v>
      </c>
      <c r="B124" s="5">
        <v>0.16060683353603622</v>
      </c>
      <c r="C124" s="5">
        <v>6.3104178008598577E-2</v>
      </c>
      <c r="D124" s="6">
        <v>0</v>
      </c>
      <c r="E124" s="6">
        <v>1</v>
      </c>
      <c r="F124" s="6">
        <v>34</v>
      </c>
      <c r="G124" s="5">
        <v>0.18650001607317804</v>
      </c>
      <c r="H124" s="5">
        <v>6.08550634427708E-2</v>
      </c>
      <c r="I124" s="6">
        <v>0</v>
      </c>
      <c r="J124" s="6">
        <v>1</v>
      </c>
      <c r="K124" s="6">
        <v>42</v>
      </c>
      <c r="L124" s="5">
        <v>0.3982476541522913</v>
      </c>
      <c r="M124" s="5">
        <v>7.606739370062203E-2</v>
      </c>
      <c r="N124" s="6">
        <v>0</v>
      </c>
      <c r="O124" s="6">
        <v>1</v>
      </c>
      <c r="P124" s="6">
        <v>44</v>
      </c>
      <c r="Q124" s="5">
        <v>0.69537622401646959</v>
      </c>
      <c r="R124" s="5">
        <v>7.7013327808946444E-2</v>
      </c>
      <c r="S124" s="6">
        <v>0</v>
      </c>
      <c r="T124" s="6">
        <v>1</v>
      </c>
      <c r="U124" s="6">
        <v>40</v>
      </c>
      <c r="V124" s="5">
        <v>0.40152770724557457</v>
      </c>
      <c r="W124" s="5">
        <v>6.4202011804989259E-2</v>
      </c>
      <c r="X124" s="6">
        <v>0</v>
      </c>
      <c r="Y124" s="6">
        <v>1</v>
      </c>
      <c r="Z124" s="6">
        <v>104</v>
      </c>
      <c r="AA124" s="12">
        <v>0.39366660028274569</v>
      </c>
      <c r="AB124" s="5">
        <v>4.1749939332123578E-2</v>
      </c>
      <c r="AC124" s="6">
        <v>0</v>
      </c>
      <c r="AD124" s="6">
        <v>1</v>
      </c>
      <c r="AE124" s="6">
        <v>264</v>
      </c>
      <c r="AF124">
        <f>(AA126/AA125)-AA124</f>
        <v>-3.0654549815835874E-2</v>
      </c>
    </row>
    <row r="125" spans="1:32" ht="26.25" x14ac:dyDescent="0.45">
      <c r="A125" s="4" t="s">
        <v>38</v>
      </c>
      <c r="B125" s="5">
        <v>0.84000868272823959</v>
      </c>
      <c r="C125" s="5">
        <v>6.5933157962881336E-2</v>
      </c>
      <c r="D125" s="6">
        <v>0</v>
      </c>
      <c r="E125" s="6">
        <v>1</v>
      </c>
      <c r="F125" s="6">
        <v>34</v>
      </c>
      <c r="G125" s="5">
        <v>0.8757010716140059</v>
      </c>
      <c r="H125" s="5">
        <v>5.3035240634634946E-2</v>
      </c>
      <c r="I125" s="6">
        <v>0</v>
      </c>
      <c r="J125" s="6">
        <v>1</v>
      </c>
      <c r="K125" s="6">
        <v>42</v>
      </c>
      <c r="L125" s="5">
        <v>0.72424862259728484</v>
      </c>
      <c r="M125" s="5">
        <v>6.9698543042307798E-2</v>
      </c>
      <c r="N125" s="6">
        <v>0</v>
      </c>
      <c r="O125" s="6">
        <v>1</v>
      </c>
      <c r="P125" s="6">
        <v>44</v>
      </c>
      <c r="Q125" s="5">
        <v>0.76619872916446996</v>
      </c>
      <c r="R125" s="5">
        <v>6.9319636379783084E-2</v>
      </c>
      <c r="S125" s="6">
        <v>0</v>
      </c>
      <c r="T125" s="6">
        <v>1</v>
      </c>
      <c r="U125" s="6">
        <v>40</v>
      </c>
      <c r="V125" s="5">
        <v>0.41945825525041158</v>
      </c>
      <c r="W125" s="5">
        <v>6.5895940178938919E-2</v>
      </c>
      <c r="X125" s="6">
        <v>0</v>
      </c>
      <c r="Y125" s="6">
        <v>1</v>
      </c>
      <c r="Z125" s="6">
        <v>104</v>
      </c>
      <c r="AA125" s="12">
        <v>0.77070805751749982</v>
      </c>
      <c r="AB125" s="5">
        <v>3.6116125764874885E-2</v>
      </c>
      <c r="AC125" s="6">
        <v>0</v>
      </c>
      <c r="AD125" s="6">
        <v>1</v>
      </c>
      <c r="AE125" s="6">
        <v>264</v>
      </c>
      <c r="AF125">
        <f>(AA126/AA124)-AA125</f>
        <v>-6.0014511075278998E-2</v>
      </c>
    </row>
    <row r="126" spans="1:32" ht="26.25" x14ac:dyDescent="0.45">
      <c r="A126" s="4" t="s">
        <v>70</v>
      </c>
      <c r="B126" s="5">
        <v>0.11286975670266503</v>
      </c>
      <c r="C126" s="5">
        <v>5.5404657256492636E-2</v>
      </c>
      <c r="D126" s="6">
        <v>0</v>
      </c>
      <c r="E126" s="6">
        <v>1</v>
      </c>
      <c r="F126" s="6">
        <v>34</v>
      </c>
      <c r="G126" s="5">
        <v>0.14357196840894057</v>
      </c>
      <c r="H126" s="5">
        <v>5.5288155012227266E-2</v>
      </c>
      <c r="I126" s="6">
        <v>0</v>
      </c>
      <c r="J126" s="6">
        <v>1</v>
      </c>
      <c r="K126" s="6">
        <v>42</v>
      </c>
      <c r="L126" s="5">
        <v>0.27916652427345229</v>
      </c>
      <c r="M126" s="5">
        <v>6.893196649901874E-2</v>
      </c>
      <c r="N126" s="6">
        <v>0</v>
      </c>
      <c r="O126" s="6">
        <v>1</v>
      </c>
      <c r="P126" s="6">
        <v>44</v>
      </c>
      <c r="Q126" s="5">
        <v>0.4866067303220783</v>
      </c>
      <c r="R126" s="5">
        <v>8.2248370139277688E-2</v>
      </c>
      <c r="S126" s="6">
        <v>0</v>
      </c>
      <c r="T126" s="6">
        <v>1</v>
      </c>
      <c r="U126" s="6">
        <v>40</v>
      </c>
      <c r="V126" s="5">
        <v>0.29719612986071137</v>
      </c>
      <c r="W126" s="5">
        <v>6.0445532891369856E-2</v>
      </c>
      <c r="X126" s="6">
        <v>0</v>
      </c>
      <c r="Y126" s="6">
        <v>1</v>
      </c>
      <c r="Z126" s="6">
        <v>104</v>
      </c>
      <c r="AA126" s="12">
        <v>0.27977631227079669</v>
      </c>
      <c r="AB126" s="5">
        <v>3.8079767211619424E-2</v>
      </c>
      <c r="AC126" s="6">
        <v>0</v>
      </c>
      <c r="AD126" s="6">
        <v>1</v>
      </c>
      <c r="AE126" s="6">
        <v>264</v>
      </c>
    </row>
    <row r="127" spans="1:32" x14ac:dyDescent="0.45">
      <c r="A127" s="4" t="s">
        <v>28</v>
      </c>
      <c r="B127" s="5">
        <v>0.16060683353603622</v>
      </c>
      <c r="C127" s="5">
        <v>6.3104178008598577E-2</v>
      </c>
      <c r="D127" s="6">
        <v>0</v>
      </c>
      <c r="E127" s="6">
        <v>1</v>
      </c>
      <c r="F127" s="6">
        <v>34</v>
      </c>
      <c r="G127" s="5">
        <v>0.18650001607317804</v>
      </c>
      <c r="H127" s="5">
        <v>6.08550634427708E-2</v>
      </c>
      <c r="I127" s="6">
        <v>0</v>
      </c>
      <c r="J127" s="6">
        <v>1</v>
      </c>
      <c r="K127" s="6">
        <v>42</v>
      </c>
      <c r="L127" s="5">
        <v>0.3982476541522913</v>
      </c>
      <c r="M127" s="5">
        <v>7.606739370062203E-2</v>
      </c>
      <c r="N127" s="6">
        <v>0</v>
      </c>
      <c r="O127" s="6">
        <v>1</v>
      </c>
      <c r="P127" s="6">
        <v>44</v>
      </c>
      <c r="Q127" s="5">
        <v>0.69537622401646959</v>
      </c>
      <c r="R127" s="5">
        <v>7.7013327808946444E-2</v>
      </c>
      <c r="S127" s="6">
        <v>0</v>
      </c>
      <c r="T127" s="6">
        <v>1</v>
      </c>
      <c r="U127" s="6">
        <v>40</v>
      </c>
      <c r="V127" s="5">
        <v>0.40152770724557457</v>
      </c>
      <c r="W127" s="5">
        <v>6.4202011804989259E-2</v>
      </c>
      <c r="X127" s="6">
        <v>0</v>
      </c>
      <c r="Y127" s="6">
        <v>1</v>
      </c>
      <c r="Z127" s="6">
        <v>104</v>
      </c>
      <c r="AA127" s="12">
        <v>0.39366660028274569</v>
      </c>
      <c r="AB127" s="5">
        <v>4.1749939332123578E-2</v>
      </c>
      <c r="AC127" s="6">
        <v>0</v>
      </c>
      <c r="AD127" s="6">
        <v>1</v>
      </c>
      <c r="AE127" s="6">
        <v>264</v>
      </c>
      <c r="AF127">
        <f>(AA129/AA128)-AA127</f>
        <v>9.1007549136404187E-2</v>
      </c>
    </row>
    <row r="128" spans="1:32" x14ac:dyDescent="0.45">
      <c r="A128" s="4" t="s">
        <v>40</v>
      </c>
      <c r="B128" s="5">
        <v>0.47314926338671726</v>
      </c>
      <c r="C128" s="5">
        <v>9.1986997587208227E-2</v>
      </c>
      <c r="D128" s="6">
        <v>0</v>
      </c>
      <c r="E128" s="6">
        <v>1</v>
      </c>
      <c r="F128" s="6">
        <v>34</v>
      </c>
      <c r="G128" s="5">
        <v>0.59916532039375925</v>
      </c>
      <c r="H128" s="5">
        <v>7.8188563211038412E-2</v>
      </c>
      <c r="I128" s="6">
        <v>0</v>
      </c>
      <c r="J128" s="6">
        <v>1</v>
      </c>
      <c r="K128" s="6">
        <v>42</v>
      </c>
      <c r="L128" s="5">
        <v>0.5544767542723662</v>
      </c>
      <c r="M128" s="5">
        <v>7.7775688570457788E-2</v>
      </c>
      <c r="N128" s="6">
        <v>0</v>
      </c>
      <c r="O128" s="6">
        <v>1</v>
      </c>
      <c r="P128" s="6">
        <v>44</v>
      </c>
      <c r="Q128" s="5">
        <v>0.89744052335873858</v>
      </c>
      <c r="R128" s="5">
        <v>4.9355060283969104E-2</v>
      </c>
      <c r="S128" s="6">
        <v>0</v>
      </c>
      <c r="T128" s="6">
        <v>1</v>
      </c>
      <c r="U128" s="6">
        <v>40</v>
      </c>
      <c r="V128" s="5">
        <v>0.64636059193257822</v>
      </c>
      <c r="W128" s="5">
        <v>6.6126331124485585E-2</v>
      </c>
      <c r="X128" s="6">
        <v>0</v>
      </c>
      <c r="Y128" s="6">
        <v>1</v>
      </c>
      <c r="Z128" s="6">
        <v>104</v>
      </c>
      <c r="AA128" s="12">
        <v>0.6412951441068232</v>
      </c>
      <c r="AB128" s="5">
        <v>4.1660786160429293E-2</v>
      </c>
      <c r="AC128" s="6">
        <v>0</v>
      </c>
      <c r="AD128" s="6">
        <v>1</v>
      </c>
      <c r="AE128" s="6">
        <v>264</v>
      </c>
      <c r="AF128">
        <f>(AA129/AA127)-AA128</f>
        <v>0.14825413000828846</v>
      </c>
    </row>
    <row r="129" spans="1:32" ht="26.25" x14ac:dyDescent="0.45">
      <c r="A129" s="4" t="s">
        <v>71</v>
      </c>
      <c r="B129" s="5">
        <v>2.4801431151635741E-2</v>
      </c>
      <c r="C129" s="5">
        <v>2.4961396695214931E-2</v>
      </c>
      <c r="D129" s="6">
        <v>0</v>
      </c>
      <c r="E129" s="6">
        <v>1</v>
      </c>
      <c r="F129" s="6">
        <v>34</v>
      </c>
      <c r="G129" s="5">
        <v>0.13548186481384381</v>
      </c>
      <c r="H129" s="5">
        <v>5.2708265646471505E-2</v>
      </c>
      <c r="I129" s="6">
        <v>0</v>
      </c>
      <c r="J129" s="6">
        <v>1</v>
      </c>
      <c r="K129" s="6">
        <v>42</v>
      </c>
      <c r="L129" s="5">
        <v>0.27894361289422709</v>
      </c>
      <c r="M129" s="5">
        <v>6.880749682948227E-2</v>
      </c>
      <c r="N129" s="6">
        <v>0</v>
      </c>
      <c r="O129" s="6">
        <v>1</v>
      </c>
      <c r="P129" s="6">
        <v>44</v>
      </c>
      <c r="Q129" s="5">
        <v>0.64563024882408648</v>
      </c>
      <c r="R129" s="5">
        <v>7.950583336260178E-2</v>
      </c>
      <c r="S129" s="6">
        <v>0</v>
      </c>
      <c r="T129" s="6">
        <v>1</v>
      </c>
      <c r="U129" s="6">
        <v>40</v>
      </c>
      <c r="V129" s="5">
        <v>0.38608453949305449</v>
      </c>
      <c r="W129" s="5">
        <v>6.3800033813676049E-2</v>
      </c>
      <c r="X129" s="6">
        <v>0</v>
      </c>
      <c r="Y129" s="6">
        <v>1</v>
      </c>
      <c r="Z129" s="6">
        <v>104</v>
      </c>
      <c r="AA129" s="12">
        <v>0.31081917849660567</v>
      </c>
      <c r="AB129" s="5">
        <v>3.9065972141429976E-2</v>
      </c>
      <c r="AC129" s="6">
        <v>0</v>
      </c>
      <c r="AD129" s="6">
        <v>1</v>
      </c>
      <c r="AE129" s="6">
        <v>264</v>
      </c>
    </row>
    <row r="130" spans="1:32" x14ac:dyDescent="0.45">
      <c r="A130" s="4" t="s">
        <v>28</v>
      </c>
      <c r="B130" s="5">
        <v>0.16060683353603622</v>
      </c>
      <c r="C130" s="5">
        <v>6.3104178008598577E-2</v>
      </c>
      <c r="D130" s="6">
        <v>0</v>
      </c>
      <c r="E130" s="6">
        <v>1</v>
      </c>
      <c r="F130" s="6">
        <v>34</v>
      </c>
      <c r="G130" s="5">
        <v>0.18650001607317804</v>
      </c>
      <c r="H130" s="5">
        <v>6.08550634427708E-2</v>
      </c>
      <c r="I130" s="6">
        <v>0</v>
      </c>
      <c r="J130" s="6">
        <v>1</v>
      </c>
      <c r="K130" s="6">
        <v>42</v>
      </c>
      <c r="L130" s="5">
        <v>0.3982476541522913</v>
      </c>
      <c r="M130" s="5">
        <v>7.606739370062203E-2</v>
      </c>
      <c r="N130" s="6">
        <v>0</v>
      </c>
      <c r="O130" s="6">
        <v>1</v>
      </c>
      <c r="P130" s="6">
        <v>44</v>
      </c>
      <c r="Q130" s="5">
        <v>0.69537622401646959</v>
      </c>
      <c r="R130" s="5">
        <v>7.7013327808946444E-2</v>
      </c>
      <c r="S130" s="6">
        <v>0</v>
      </c>
      <c r="T130" s="6">
        <v>1</v>
      </c>
      <c r="U130" s="6">
        <v>40</v>
      </c>
      <c r="V130" s="5">
        <v>0.40152770724557457</v>
      </c>
      <c r="W130" s="5">
        <v>6.4202011804989259E-2</v>
      </c>
      <c r="X130" s="6">
        <v>0</v>
      </c>
      <c r="Y130" s="6">
        <v>1</v>
      </c>
      <c r="Z130" s="6">
        <v>104</v>
      </c>
      <c r="AA130" s="12">
        <v>0.39366660028274569</v>
      </c>
      <c r="AB130" s="5">
        <v>4.1749939332123578E-2</v>
      </c>
      <c r="AC130" s="6">
        <v>0</v>
      </c>
      <c r="AD130" s="6">
        <v>1</v>
      </c>
      <c r="AE130" s="6">
        <v>264</v>
      </c>
      <c r="AF130">
        <f>(AA132/AA131)-AA130</f>
        <v>5.107388473360075E-2</v>
      </c>
    </row>
    <row r="131" spans="1:32" x14ac:dyDescent="0.45">
      <c r="A131" s="4" t="s">
        <v>42</v>
      </c>
      <c r="B131" s="5">
        <v>0.70676339075737993</v>
      </c>
      <c r="C131" s="5">
        <v>8.2311257529143506E-2</v>
      </c>
      <c r="D131" s="6">
        <v>0</v>
      </c>
      <c r="E131" s="6">
        <v>1</v>
      </c>
      <c r="F131" s="6">
        <v>34</v>
      </c>
      <c r="G131" s="5">
        <v>0.89745945595635757</v>
      </c>
      <c r="H131" s="5">
        <v>4.9322035621993304E-2</v>
      </c>
      <c r="I131" s="6">
        <v>0</v>
      </c>
      <c r="J131" s="6">
        <v>1</v>
      </c>
      <c r="K131" s="6">
        <v>42</v>
      </c>
      <c r="L131" s="5">
        <v>0.74627430949051987</v>
      </c>
      <c r="M131" s="5">
        <v>6.7544644640920845E-2</v>
      </c>
      <c r="N131" s="6">
        <v>0</v>
      </c>
      <c r="O131" s="6">
        <v>1</v>
      </c>
      <c r="P131" s="6">
        <v>44</v>
      </c>
      <c r="Q131" s="5">
        <v>0.87908303986713809</v>
      </c>
      <c r="R131" s="5">
        <v>5.2789569621478863E-2</v>
      </c>
      <c r="S131" s="6">
        <v>0</v>
      </c>
      <c r="T131" s="6">
        <v>1</v>
      </c>
      <c r="U131" s="6">
        <v>40</v>
      </c>
      <c r="V131" s="5">
        <v>0.5866426892711829</v>
      </c>
      <c r="W131" s="5">
        <v>6.7909303410161284E-2</v>
      </c>
      <c r="X131" s="6">
        <v>0</v>
      </c>
      <c r="Y131" s="6">
        <v>1</v>
      </c>
      <c r="Z131" s="6">
        <v>104</v>
      </c>
      <c r="AA131" s="12">
        <v>0.80877290183625294</v>
      </c>
      <c r="AB131" s="5">
        <v>3.3808580537463842E-2</v>
      </c>
      <c r="AC131" s="6">
        <v>0</v>
      </c>
      <c r="AD131" s="6">
        <v>1</v>
      </c>
      <c r="AE131" s="6">
        <v>264</v>
      </c>
      <c r="AF131">
        <f>(AA132/AA130)-AA131</f>
        <v>0.10492933343691402</v>
      </c>
    </row>
    <row r="132" spans="1:32" x14ac:dyDescent="0.45">
      <c r="A132" s="4" t="s">
        <v>72</v>
      </c>
      <c r="B132" s="5">
        <v>0.13609003269716968</v>
      </c>
      <c r="C132" s="5">
        <v>5.925142498934776E-2</v>
      </c>
      <c r="D132" s="6">
        <v>0</v>
      </c>
      <c r="E132" s="6">
        <v>1</v>
      </c>
      <c r="F132" s="6">
        <v>34</v>
      </c>
      <c r="G132" s="5">
        <v>0.18650001607317804</v>
      </c>
      <c r="H132" s="5">
        <v>6.08550634427708E-2</v>
      </c>
      <c r="I132" s="6">
        <v>0</v>
      </c>
      <c r="J132" s="6">
        <v>1</v>
      </c>
      <c r="K132" s="6">
        <v>42</v>
      </c>
      <c r="L132" s="5">
        <v>0.35564257063258187</v>
      </c>
      <c r="M132" s="5">
        <v>7.4330340892676594E-2</v>
      </c>
      <c r="N132" s="6">
        <v>0</v>
      </c>
      <c r="O132" s="6">
        <v>1</v>
      </c>
      <c r="P132" s="6">
        <v>44</v>
      </c>
      <c r="Q132" s="5">
        <v>0.63172364468165387</v>
      </c>
      <c r="R132" s="5">
        <v>7.9755570251273375E-2</v>
      </c>
      <c r="S132" s="6">
        <v>0</v>
      </c>
      <c r="T132" s="6">
        <v>1</v>
      </c>
      <c r="U132" s="6">
        <v>40</v>
      </c>
      <c r="V132" s="5">
        <v>0.38228216886809746</v>
      </c>
      <c r="W132" s="5">
        <v>6.3178893698570299E-2</v>
      </c>
      <c r="X132" s="6">
        <v>0</v>
      </c>
      <c r="Y132" s="6">
        <v>1</v>
      </c>
      <c r="Z132" s="6">
        <v>104</v>
      </c>
      <c r="AA132" s="12">
        <v>0.35969405263073306</v>
      </c>
      <c r="AB132" s="5">
        <v>4.0995158623590419E-2</v>
      </c>
      <c r="AC132" s="6">
        <v>0</v>
      </c>
      <c r="AD132" s="6">
        <v>1</v>
      </c>
      <c r="AE132" s="6">
        <v>264</v>
      </c>
    </row>
    <row r="133" spans="1:32" x14ac:dyDescent="0.45">
      <c r="A133" s="4" t="s">
        <v>28</v>
      </c>
      <c r="B133" s="5">
        <v>0.16060683353603622</v>
      </c>
      <c r="C133" s="5">
        <v>6.3104178008598577E-2</v>
      </c>
      <c r="D133" s="6">
        <v>0</v>
      </c>
      <c r="E133" s="6">
        <v>1</v>
      </c>
      <c r="F133" s="6">
        <v>34</v>
      </c>
      <c r="G133" s="5">
        <v>0.18650001607317804</v>
      </c>
      <c r="H133" s="5">
        <v>6.08550634427708E-2</v>
      </c>
      <c r="I133" s="6">
        <v>0</v>
      </c>
      <c r="J133" s="6">
        <v>1</v>
      </c>
      <c r="K133" s="6">
        <v>42</v>
      </c>
      <c r="L133" s="5">
        <v>0.3982476541522913</v>
      </c>
      <c r="M133" s="5">
        <v>7.606739370062203E-2</v>
      </c>
      <c r="N133" s="6">
        <v>0</v>
      </c>
      <c r="O133" s="6">
        <v>1</v>
      </c>
      <c r="P133" s="6">
        <v>44</v>
      </c>
      <c r="Q133" s="5">
        <v>0.69537622401646959</v>
      </c>
      <c r="R133" s="5">
        <v>7.7013327808946444E-2</v>
      </c>
      <c r="S133" s="6">
        <v>0</v>
      </c>
      <c r="T133" s="6">
        <v>1</v>
      </c>
      <c r="U133" s="6">
        <v>40</v>
      </c>
      <c r="V133" s="5">
        <v>0.40152770724557457</v>
      </c>
      <c r="W133" s="5">
        <v>6.4202011804989259E-2</v>
      </c>
      <c r="X133" s="6">
        <v>0</v>
      </c>
      <c r="Y133" s="6">
        <v>1</v>
      </c>
      <c r="Z133" s="6">
        <v>104</v>
      </c>
      <c r="AA133" s="12">
        <v>0.39366660028274569</v>
      </c>
      <c r="AB133" s="5">
        <v>4.1749939332123578E-2</v>
      </c>
      <c r="AC133" s="6">
        <v>0</v>
      </c>
      <c r="AD133" s="6">
        <v>1</v>
      </c>
      <c r="AE133" s="6">
        <v>264</v>
      </c>
      <c r="AF133">
        <f>(AA135/AA134)-AA133</f>
        <v>0.17190838126196739</v>
      </c>
    </row>
    <row r="134" spans="1:32" x14ac:dyDescent="0.45">
      <c r="A134" s="4" t="s">
        <v>44</v>
      </c>
      <c r="B134" s="5">
        <v>0.26296232107028095</v>
      </c>
      <c r="C134" s="5">
        <v>8.0971230867118368E-2</v>
      </c>
      <c r="D134" s="6">
        <v>0</v>
      </c>
      <c r="E134" s="6">
        <v>1</v>
      </c>
      <c r="F134" s="6">
        <v>34</v>
      </c>
      <c r="G134" s="5">
        <v>0.35571464744938486</v>
      </c>
      <c r="H134" s="5">
        <v>7.5377725145722718E-2</v>
      </c>
      <c r="I134" s="6">
        <v>0</v>
      </c>
      <c r="J134" s="6">
        <v>1</v>
      </c>
      <c r="K134" s="6">
        <v>42</v>
      </c>
      <c r="L134" s="5">
        <v>0.33138587150846482</v>
      </c>
      <c r="M134" s="5">
        <v>7.3951973163393067E-2</v>
      </c>
      <c r="N134" s="6">
        <v>0</v>
      </c>
      <c r="O134" s="6">
        <v>1</v>
      </c>
      <c r="P134" s="6">
        <v>44</v>
      </c>
      <c r="Q134" s="5">
        <v>0.48486364033758289</v>
      </c>
      <c r="R134" s="5">
        <v>8.2351680282883519E-2</v>
      </c>
      <c r="S134" s="6">
        <v>0</v>
      </c>
      <c r="T134" s="6">
        <v>1</v>
      </c>
      <c r="U134" s="6">
        <v>40</v>
      </c>
      <c r="V134" s="5">
        <v>0.24869923971566638</v>
      </c>
      <c r="W134" s="5">
        <v>5.4351819960247037E-2</v>
      </c>
      <c r="X134" s="6">
        <v>0</v>
      </c>
      <c r="Y134" s="6">
        <v>1</v>
      </c>
      <c r="Z134" s="6">
        <v>104</v>
      </c>
      <c r="AA134" s="12">
        <v>0.3652932886037854</v>
      </c>
      <c r="AB134" s="5">
        <v>4.1360781021304437E-2</v>
      </c>
      <c r="AC134" s="6">
        <v>0</v>
      </c>
      <c r="AD134" s="6">
        <v>1</v>
      </c>
      <c r="AE134" s="6">
        <v>264</v>
      </c>
      <c r="AF134">
        <f>(AA135/AA133)-AA134</f>
        <v>0.15951817574728044</v>
      </c>
    </row>
    <row r="135" spans="1:32" x14ac:dyDescent="0.45">
      <c r="A135" s="4" t="s">
        <v>73</v>
      </c>
      <c r="B135" s="5">
        <v>7.1597355011627992E-2</v>
      </c>
      <c r="C135" s="5">
        <v>4.1019575193236901E-2</v>
      </c>
      <c r="D135" s="6">
        <v>0</v>
      </c>
      <c r="E135" s="6">
        <v>1</v>
      </c>
      <c r="F135" s="6">
        <v>34</v>
      </c>
      <c r="G135" s="5">
        <v>6.8819640814795843E-2</v>
      </c>
      <c r="H135" s="5">
        <v>3.9118597411974751E-2</v>
      </c>
      <c r="I135" s="6">
        <v>0</v>
      </c>
      <c r="J135" s="6">
        <v>1</v>
      </c>
      <c r="K135" s="6">
        <v>42</v>
      </c>
      <c r="L135" s="5">
        <v>0.18283202118440486</v>
      </c>
      <c r="M135" s="5">
        <v>5.9880905463574136E-2</v>
      </c>
      <c r="N135" s="6">
        <v>0</v>
      </c>
      <c r="O135" s="6">
        <v>1</v>
      </c>
      <c r="P135" s="6">
        <v>44</v>
      </c>
      <c r="Q135" s="5">
        <v>0.45178918965504039</v>
      </c>
      <c r="R135" s="5">
        <v>8.1971537965296076E-2</v>
      </c>
      <c r="S135" s="6">
        <v>0</v>
      </c>
      <c r="T135" s="6">
        <v>1</v>
      </c>
      <c r="U135" s="6">
        <v>40</v>
      </c>
      <c r="V135" s="5">
        <v>0.21312158499334727</v>
      </c>
      <c r="W135" s="5">
        <v>5.1728763589083807E-2</v>
      </c>
      <c r="X135" s="6">
        <v>0</v>
      </c>
      <c r="Y135" s="6">
        <v>1</v>
      </c>
      <c r="Z135" s="6">
        <v>104</v>
      </c>
      <c r="AA135" s="12">
        <v>0.20660074496049347</v>
      </c>
      <c r="AB135" s="5">
        <v>3.4233029672704973E-2</v>
      </c>
      <c r="AC135" s="6">
        <v>0</v>
      </c>
      <c r="AD135" s="6">
        <v>1</v>
      </c>
      <c r="AE135" s="6">
        <v>264</v>
      </c>
    </row>
    <row r="136" spans="1:32" x14ac:dyDescent="0.45">
      <c r="A136" s="4" t="s">
        <v>28</v>
      </c>
      <c r="B136" s="5">
        <v>0.16060683353603622</v>
      </c>
      <c r="C136" s="5">
        <v>6.3104178008598577E-2</v>
      </c>
      <c r="D136" s="6">
        <v>0</v>
      </c>
      <c r="E136" s="6">
        <v>1</v>
      </c>
      <c r="F136" s="6">
        <v>34</v>
      </c>
      <c r="G136" s="5">
        <v>0.18650001607317804</v>
      </c>
      <c r="H136" s="5">
        <v>6.08550634427708E-2</v>
      </c>
      <c r="I136" s="6">
        <v>0</v>
      </c>
      <c r="J136" s="6">
        <v>1</v>
      </c>
      <c r="K136" s="6">
        <v>42</v>
      </c>
      <c r="L136" s="5">
        <v>0.3982476541522913</v>
      </c>
      <c r="M136" s="5">
        <v>7.606739370062203E-2</v>
      </c>
      <c r="N136" s="6">
        <v>0</v>
      </c>
      <c r="O136" s="6">
        <v>1</v>
      </c>
      <c r="P136" s="6">
        <v>44</v>
      </c>
      <c r="Q136" s="5">
        <v>0.69537622401646959</v>
      </c>
      <c r="R136" s="5">
        <v>7.7013327808946444E-2</v>
      </c>
      <c r="S136" s="6">
        <v>0</v>
      </c>
      <c r="T136" s="6">
        <v>1</v>
      </c>
      <c r="U136" s="6">
        <v>40</v>
      </c>
      <c r="V136" s="5">
        <v>0.40152770724557457</v>
      </c>
      <c r="W136" s="5">
        <v>6.4202011804989259E-2</v>
      </c>
      <c r="X136" s="6">
        <v>0</v>
      </c>
      <c r="Y136" s="6">
        <v>1</v>
      </c>
      <c r="Z136" s="6">
        <v>104</v>
      </c>
      <c r="AA136" s="12">
        <v>0.39366660028274569</v>
      </c>
      <c r="AB136" s="5">
        <v>4.1749939332123578E-2</v>
      </c>
      <c r="AC136" s="6">
        <v>0</v>
      </c>
      <c r="AD136" s="6">
        <v>1</v>
      </c>
      <c r="AE136" s="6">
        <v>264</v>
      </c>
      <c r="AF136">
        <f>(AA138/AA137)-AA136</f>
        <v>1.6631111897626949E-2</v>
      </c>
    </row>
    <row r="137" spans="1:32" ht="39.4" x14ac:dyDescent="0.45">
      <c r="A137" s="4" t="s">
        <v>16</v>
      </c>
      <c r="B137" s="5">
        <v>0.95226292316662886</v>
      </c>
      <c r="C137" s="5">
        <v>3.3757095360377097E-2</v>
      </c>
      <c r="D137" s="6">
        <v>0</v>
      </c>
      <c r="E137" s="6">
        <v>1</v>
      </c>
      <c r="F137" s="6">
        <v>34</v>
      </c>
      <c r="G137" s="5">
        <v>0.96979725445447418</v>
      </c>
      <c r="H137" s="5">
        <v>3.0016012175185333E-2</v>
      </c>
      <c r="I137" s="6">
        <v>0</v>
      </c>
      <c r="J137" s="6">
        <v>1</v>
      </c>
      <c r="K137" s="6">
        <v>42</v>
      </c>
      <c r="L137" s="5">
        <v>0.87135789190493673</v>
      </c>
      <c r="M137" s="5">
        <v>5.1043606748041002E-2</v>
      </c>
      <c r="N137" s="6">
        <v>0</v>
      </c>
      <c r="O137" s="6">
        <v>1</v>
      </c>
      <c r="P137" s="6">
        <v>44</v>
      </c>
      <c r="Q137" s="5">
        <v>0.94904190046407078</v>
      </c>
      <c r="R137" s="5">
        <v>3.5591246809232757E-2</v>
      </c>
      <c r="S137" s="6">
        <v>0</v>
      </c>
      <c r="T137" s="6">
        <v>1</v>
      </c>
      <c r="U137" s="6">
        <v>40</v>
      </c>
      <c r="V137" s="5">
        <v>0.6502146518916736</v>
      </c>
      <c r="W137" s="5">
        <v>6.6144933824160743E-2</v>
      </c>
      <c r="X137" s="6">
        <v>0</v>
      </c>
      <c r="Y137" s="6">
        <v>1</v>
      </c>
      <c r="Z137" s="6">
        <v>104</v>
      </c>
      <c r="AA137" s="12">
        <v>0.9123329679672284</v>
      </c>
      <c r="AB137" s="5">
        <v>2.4254307094762586E-2</v>
      </c>
      <c r="AC137" s="6">
        <v>0</v>
      </c>
      <c r="AD137" s="6">
        <v>1</v>
      </c>
      <c r="AE137" s="6">
        <v>264</v>
      </c>
      <c r="AF137">
        <f>(AA138/AA136)-AA137</f>
        <v>3.8543050559176617E-2</v>
      </c>
    </row>
    <row r="138" spans="1:32" x14ac:dyDescent="0.45">
      <c r="A138" s="4" t="s">
        <v>74</v>
      </c>
      <c r="B138" s="5">
        <v>0.11286975670266503</v>
      </c>
      <c r="C138" s="5">
        <v>5.5404657256492636E-2</v>
      </c>
      <c r="D138" s="6">
        <v>0</v>
      </c>
      <c r="E138" s="6">
        <v>1</v>
      </c>
      <c r="F138" s="6">
        <v>34</v>
      </c>
      <c r="G138" s="5">
        <v>0.18650001607317804</v>
      </c>
      <c r="H138" s="5">
        <v>6.08550634427708E-2</v>
      </c>
      <c r="I138" s="6">
        <v>0</v>
      </c>
      <c r="J138" s="6">
        <v>1</v>
      </c>
      <c r="K138" s="6">
        <v>42</v>
      </c>
      <c r="L138" s="5">
        <v>0.37355610787128884</v>
      </c>
      <c r="M138" s="5">
        <v>7.4987120949656566E-2</v>
      </c>
      <c r="N138" s="6">
        <v>0</v>
      </c>
      <c r="O138" s="6">
        <v>1</v>
      </c>
      <c r="P138" s="6">
        <v>44</v>
      </c>
      <c r="Q138" s="5">
        <v>0.66944990162167928</v>
      </c>
      <c r="R138" s="5">
        <v>7.8474718566228341E-2</v>
      </c>
      <c r="S138" s="6">
        <v>0</v>
      </c>
      <c r="T138" s="6">
        <v>1</v>
      </c>
      <c r="U138" s="6">
        <v>40</v>
      </c>
      <c r="V138" s="5">
        <v>0.38662006363232632</v>
      </c>
      <c r="W138" s="5">
        <v>6.3809525256695768E-2</v>
      </c>
      <c r="X138" s="6">
        <v>0</v>
      </c>
      <c r="Y138" s="6">
        <v>1</v>
      </c>
      <c r="Z138" s="6">
        <v>104</v>
      </c>
      <c r="AA138" s="12">
        <v>0.37432812950368299</v>
      </c>
      <c r="AB138" s="5">
        <v>4.130859026560775E-2</v>
      </c>
      <c r="AC138" s="6">
        <v>0</v>
      </c>
      <c r="AD138" s="6">
        <v>1</v>
      </c>
      <c r="AE138" s="6">
        <v>264</v>
      </c>
    </row>
    <row r="139" spans="1:32" x14ac:dyDescent="0.45">
      <c r="A139" s="4" t="s">
        <v>28</v>
      </c>
      <c r="B139" s="5">
        <v>0.16060683353603622</v>
      </c>
      <c r="C139" s="5">
        <v>6.3104178008598577E-2</v>
      </c>
      <c r="D139" s="6">
        <v>0</v>
      </c>
      <c r="E139" s="6">
        <v>1</v>
      </c>
      <c r="F139" s="6">
        <v>34</v>
      </c>
      <c r="G139" s="5">
        <v>0.18650001607317804</v>
      </c>
      <c r="H139" s="5">
        <v>6.08550634427708E-2</v>
      </c>
      <c r="I139" s="6">
        <v>0</v>
      </c>
      <c r="J139" s="6">
        <v>1</v>
      </c>
      <c r="K139" s="6">
        <v>42</v>
      </c>
      <c r="L139" s="5">
        <v>0.3982476541522913</v>
      </c>
      <c r="M139" s="5">
        <v>7.606739370062203E-2</v>
      </c>
      <c r="N139" s="6">
        <v>0</v>
      </c>
      <c r="O139" s="6">
        <v>1</v>
      </c>
      <c r="P139" s="6">
        <v>44</v>
      </c>
      <c r="Q139" s="5">
        <v>0.69537622401646959</v>
      </c>
      <c r="R139" s="5">
        <v>7.7013327808946444E-2</v>
      </c>
      <c r="S139" s="6">
        <v>0</v>
      </c>
      <c r="T139" s="6">
        <v>1</v>
      </c>
      <c r="U139" s="6">
        <v>40</v>
      </c>
      <c r="V139" s="5">
        <v>0.40152770724557457</v>
      </c>
      <c r="W139" s="5">
        <v>6.4202011804989259E-2</v>
      </c>
      <c r="X139" s="6">
        <v>0</v>
      </c>
      <c r="Y139" s="6">
        <v>1</v>
      </c>
      <c r="Z139" s="6">
        <v>104</v>
      </c>
      <c r="AA139" s="12">
        <v>0.39366660028274569</v>
      </c>
      <c r="AB139" s="5">
        <v>4.1749939332123578E-2</v>
      </c>
      <c r="AC139" s="6">
        <v>0</v>
      </c>
      <c r="AD139" s="6">
        <v>1</v>
      </c>
      <c r="AE139" s="6">
        <v>264</v>
      </c>
      <c r="AF139">
        <f>(AA141/AA140)-AA139</f>
        <v>3.2662949444824563E-2</v>
      </c>
    </row>
    <row r="140" spans="1:32" ht="39.4" x14ac:dyDescent="0.45">
      <c r="A140" s="4" t="s">
        <v>18</v>
      </c>
      <c r="B140" s="5">
        <v>0.95343656614872163</v>
      </c>
      <c r="C140" s="5">
        <v>3.2998861160736311E-2</v>
      </c>
      <c r="D140" s="6">
        <v>0</v>
      </c>
      <c r="E140" s="6">
        <v>1</v>
      </c>
      <c r="F140" s="6">
        <v>34</v>
      </c>
      <c r="G140" s="5">
        <v>0.96979725445447418</v>
      </c>
      <c r="H140" s="5">
        <v>3.0016012175185333E-2</v>
      </c>
      <c r="I140" s="6">
        <v>0</v>
      </c>
      <c r="J140" s="6">
        <v>1</v>
      </c>
      <c r="K140" s="6">
        <v>42</v>
      </c>
      <c r="L140" s="5">
        <v>0.87593051101785058</v>
      </c>
      <c r="M140" s="5">
        <v>5.2578277384873313E-2</v>
      </c>
      <c r="N140" s="6">
        <v>0</v>
      </c>
      <c r="O140" s="6">
        <v>1</v>
      </c>
      <c r="P140" s="6">
        <v>44</v>
      </c>
      <c r="Q140" s="5">
        <v>0.9749682228588612</v>
      </c>
      <c r="R140" s="5">
        <v>2.5049499255806983E-2</v>
      </c>
      <c r="S140" s="6">
        <v>0</v>
      </c>
      <c r="T140" s="6">
        <v>1</v>
      </c>
      <c r="U140" s="6">
        <v>40</v>
      </c>
      <c r="V140" s="5">
        <v>0.64843100359019867</v>
      </c>
      <c r="W140" s="5">
        <v>6.691909310816567E-2</v>
      </c>
      <c r="X140" s="6">
        <v>0</v>
      </c>
      <c r="Y140" s="6">
        <v>1</v>
      </c>
      <c r="Z140" s="6">
        <v>104</v>
      </c>
      <c r="AA140" s="12">
        <v>0.920016663772251</v>
      </c>
      <c r="AB140" s="5">
        <v>2.4310884334046948E-2</v>
      </c>
      <c r="AC140" s="6">
        <v>0</v>
      </c>
      <c r="AD140" s="6">
        <v>1</v>
      </c>
      <c r="AE140" s="6">
        <v>264</v>
      </c>
      <c r="AF140">
        <f>(AA141/AA139)-AA140</f>
        <v>7.6334791307176797E-2</v>
      </c>
    </row>
    <row r="141" spans="1:32" x14ac:dyDescent="0.45">
      <c r="A141" s="4" t="s">
        <v>75</v>
      </c>
      <c r="B141" s="5">
        <v>0.13609003269716968</v>
      </c>
      <c r="C141" s="5">
        <v>5.925142498934776E-2</v>
      </c>
      <c r="D141" s="6">
        <v>0</v>
      </c>
      <c r="E141" s="6">
        <v>1</v>
      </c>
      <c r="F141" s="6">
        <v>34</v>
      </c>
      <c r="G141" s="5">
        <v>0.18650001607317804</v>
      </c>
      <c r="H141" s="5">
        <v>6.08550634427708E-2</v>
      </c>
      <c r="I141" s="6">
        <v>0</v>
      </c>
      <c r="J141" s="6">
        <v>1</v>
      </c>
      <c r="K141" s="6">
        <v>42</v>
      </c>
      <c r="L141" s="5">
        <v>0.3982476541522913</v>
      </c>
      <c r="M141" s="5">
        <v>7.606739370062203E-2</v>
      </c>
      <c r="N141" s="6">
        <v>0</v>
      </c>
      <c r="O141" s="6">
        <v>1</v>
      </c>
      <c r="P141" s="6">
        <v>44</v>
      </c>
      <c r="Q141" s="5">
        <v>0.69537622401646959</v>
      </c>
      <c r="R141" s="5">
        <v>7.7013327808946444E-2</v>
      </c>
      <c r="S141" s="6">
        <v>0</v>
      </c>
      <c r="T141" s="6">
        <v>1</v>
      </c>
      <c r="U141" s="6">
        <v>40</v>
      </c>
      <c r="V141" s="5">
        <v>0.40152770724557457</v>
      </c>
      <c r="W141" s="5">
        <v>6.4202011804989259E-2</v>
      </c>
      <c r="X141" s="6">
        <v>0</v>
      </c>
      <c r="Y141" s="6">
        <v>1</v>
      </c>
      <c r="Z141" s="6">
        <v>104</v>
      </c>
      <c r="AA141" s="12">
        <v>0.39223029000788517</v>
      </c>
      <c r="AB141" s="5">
        <v>4.1741701601728687E-2</v>
      </c>
      <c r="AC141" s="6">
        <v>0</v>
      </c>
      <c r="AD141" s="6">
        <v>1</v>
      </c>
      <c r="AE141" s="6">
        <v>264</v>
      </c>
    </row>
    <row r="142" spans="1:32" x14ac:dyDescent="0.45">
      <c r="A142" s="4" t="s">
        <v>28</v>
      </c>
      <c r="B142" s="5">
        <v>0.16060683353603622</v>
      </c>
      <c r="C142" s="5">
        <v>6.3104178008598577E-2</v>
      </c>
      <c r="D142" s="6">
        <v>0</v>
      </c>
      <c r="E142" s="6">
        <v>1</v>
      </c>
      <c r="F142" s="6">
        <v>34</v>
      </c>
      <c r="G142" s="5">
        <v>0.18650001607317804</v>
      </c>
      <c r="H142" s="5">
        <v>6.08550634427708E-2</v>
      </c>
      <c r="I142" s="6">
        <v>0</v>
      </c>
      <c r="J142" s="6">
        <v>1</v>
      </c>
      <c r="K142" s="6">
        <v>42</v>
      </c>
      <c r="L142" s="5">
        <v>0.3982476541522913</v>
      </c>
      <c r="M142" s="5">
        <v>7.606739370062203E-2</v>
      </c>
      <c r="N142" s="6">
        <v>0</v>
      </c>
      <c r="O142" s="6">
        <v>1</v>
      </c>
      <c r="P142" s="6">
        <v>44</v>
      </c>
      <c r="Q142" s="5">
        <v>0.69537622401646959</v>
      </c>
      <c r="R142" s="5">
        <v>7.7013327808946444E-2</v>
      </c>
      <c r="S142" s="6">
        <v>0</v>
      </c>
      <c r="T142" s="6">
        <v>1</v>
      </c>
      <c r="U142" s="6">
        <v>40</v>
      </c>
      <c r="V142" s="5">
        <v>0.40152770724557457</v>
      </c>
      <c r="W142" s="5">
        <v>6.4202011804989259E-2</v>
      </c>
      <c r="X142" s="6">
        <v>0</v>
      </c>
      <c r="Y142" s="6">
        <v>1</v>
      </c>
      <c r="Z142" s="6">
        <v>104</v>
      </c>
      <c r="AA142" s="12">
        <v>0.39366660028274569</v>
      </c>
      <c r="AB142" s="5">
        <v>4.1749939332123578E-2</v>
      </c>
      <c r="AC142" s="6">
        <v>0</v>
      </c>
      <c r="AD142" s="6">
        <v>1</v>
      </c>
      <c r="AE142" s="6">
        <v>264</v>
      </c>
      <c r="AF142">
        <f>(AA144/AA143)-AA142</f>
        <v>2.9979911614829713E-2</v>
      </c>
    </row>
    <row r="143" spans="1:32" ht="39.4" x14ac:dyDescent="0.45">
      <c r="A143" s="4" t="s">
        <v>20</v>
      </c>
      <c r="B143" s="5">
        <v>0.90678716876013998</v>
      </c>
      <c r="C143" s="5">
        <v>4.9177473357267902E-2</v>
      </c>
      <c r="D143" s="6">
        <v>0</v>
      </c>
      <c r="E143" s="6">
        <v>1</v>
      </c>
      <c r="F143" s="6">
        <v>34</v>
      </c>
      <c r="G143" s="5">
        <v>0.89891076629469935</v>
      </c>
      <c r="H143" s="5">
        <v>4.8893744591203998E-2</v>
      </c>
      <c r="I143" s="6">
        <v>0</v>
      </c>
      <c r="J143" s="6">
        <v>1</v>
      </c>
      <c r="K143" s="6">
        <v>42</v>
      </c>
      <c r="L143" s="5">
        <v>0.84039888724151057</v>
      </c>
      <c r="M143" s="5">
        <v>5.7315203821004336E-2</v>
      </c>
      <c r="N143" s="6">
        <v>0</v>
      </c>
      <c r="O143" s="6">
        <v>1</v>
      </c>
      <c r="P143" s="6">
        <v>44</v>
      </c>
      <c r="Q143" s="5">
        <v>0.94871856326789294</v>
      </c>
      <c r="R143" s="5">
        <v>3.5809222533905935E-2</v>
      </c>
      <c r="S143" s="6">
        <v>0</v>
      </c>
      <c r="T143" s="6">
        <v>1</v>
      </c>
      <c r="U143" s="6">
        <v>40</v>
      </c>
      <c r="V143" s="5">
        <v>0.49530541673349471</v>
      </c>
      <c r="W143" s="5">
        <v>6.7368955173709583E-2</v>
      </c>
      <c r="X143" s="6">
        <v>0</v>
      </c>
      <c r="Y143" s="6">
        <v>1</v>
      </c>
      <c r="Z143" s="6">
        <v>104</v>
      </c>
      <c r="AA143" s="12">
        <v>0.87236824792352818</v>
      </c>
      <c r="AB143" s="5">
        <v>2.8607368369315354E-2</v>
      </c>
      <c r="AC143" s="6">
        <v>0</v>
      </c>
      <c r="AD143" s="6">
        <v>1</v>
      </c>
      <c r="AE143" s="6">
        <v>264</v>
      </c>
      <c r="AF143">
        <f>(AA144/AA142)-AA143</f>
        <v>6.6435717303796715E-2</v>
      </c>
    </row>
    <row r="144" spans="1:32" x14ac:dyDescent="0.45">
      <c r="A144" s="4" t="s">
        <v>76</v>
      </c>
      <c r="B144" s="5">
        <v>0.13609003269716968</v>
      </c>
      <c r="C144" s="5">
        <v>5.925142498934776E-2</v>
      </c>
      <c r="D144" s="6">
        <v>0</v>
      </c>
      <c r="E144" s="6">
        <v>1</v>
      </c>
      <c r="F144" s="6">
        <v>34</v>
      </c>
      <c r="G144" s="5">
        <v>0.1667816630896341</v>
      </c>
      <c r="H144" s="5">
        <v>5.8655824062828571E-2</v>
      </c>
      <c r="I144" s="6">
        <v>0</v>
      </c>
      <c r="J144" s="6">
        <v>1</v>
      </c>
      <c r="K144" s="6">
        <v>42</v>
      </c>
      <c r="L144" s="5">
        <v>0.37394300941439196</v>
      </c>
      <c r="M144" s="5">
        <v>7.5021969887603679E-2</v>
      </c>
      <c r="N144" s="6">
        <v>0</v>
      </c>
      <c r="O144" s="6">
        <v>1</v>
      </c>
      <c r="P144" s="6">
        <v>44</v>
      </c>
      <c r="Q144" s="5">
        <v>0.66912656442550134</v>
      </c>
      <c r="R144" s="5">
        <v>7.8510118240506924E-2</v>
      </c>
      <c r="S144" s="6">
        <v>0</v>
      </c>
      <c r="T144" s="6">
        <v>1</v>
      </c>
      <c r="U144" s="6">
        <v>40</v>
      </c>
      <c r="V144" s="5">
        <v>0.36042232698278259</v>
      </c>
      <c r="W144" s="5">
        <v>6.3168623990305151E-2</v>
      </c>
      <c r="X144" s="6">
        <v>0</v>
      </c>
      <c r="Y144" s="6">
        <v>1</v>
      </c>
      <c r="Z144" s="6">
        <v>104</v>
      </c>
      <c r="AA144" s="12">
        <v>0.36957576532300201</v>
      </c>
      <c r="AB144" s="5">
        <v>4.122406991505477E-2</v>
      </c>
      <c r="AC144" s="6">
        <v>0</v>
      </c>
      <c r="AD144" s="6">
        <v>1</v>
      </c>
      <c r="AE144" s="6">
        <v>264</v>
      </c>
    </row>
    <row r="145" spans="1:32" x14ac:dyDescent="0.45">
      <c r="A145" s="4" t="s">
        <v>28</v>
      </c>
      <c r="B145" s="5">
        <v>0.16060683353603622</v>
      </c>
      <c r="C145" s="5">
        <v>6.3104178008598577E-2</v>
      </c>
      <c r="D145" s="6">
        <v>0</v>
      </c>
      <c r="E145" s="6">
        <v>1</v>
      </c>
      <c r="F145" s="6">
        <v>34</v>
      </c>
      <c r="G145" s="5">
        <v>0.18650001607317804</v>
      </c>
      <c r="H145" s="5">
        <v>6.08550634427708E-2</v>
      </c>
      <c r="I145" s="6">
        <v>0</v>
      </c>
      <c r="J145" s="6">
        <v>1</v>
      </c>
      <c r="K145" s="6">
        <v>42</v>
      </c>
      <c r="L145" s="5">
        <v>0.3982476541522913</v>
      </c>
      <c r="M145" s="5">
        <v>7.606739370062203E-2</v>
      </c>
      <c r="N145" s="6">
        <v>0</v>
      </c>
      <c r="O145" s="6">
        <v>1</v>
      </c>
      <c r="P145" s="6">
        <v>44</v>
      </c>
      <c r="Q145" s="5">
        <v>0.69537622401646959</v>
      </c>
      <c r="R145" s="5">
        <v>7.7013327808946444E-2</v>
      </c>
      <c r="S145" s="6">
        <v>0</v>
      </c>
      <c r="T145" s="6">
        <v>1</v>
      </c>
      <c r="U145" s="6">
        <v>40</v>
      </c>
      <c r="V145" s="5">
        <v>0.40152770724557457</v>
      </c>
      <c r="W145" s="5">
        <v>6.4202011804989259E-2</v>
      </c>
      <c r="X145" s="6">
        <v>0</v>
      </c>
      <c r="Y145" s="6">
        <v>1</v>
      </c>
      <c r="Z145" s="6">
        <v>104</v>
      </c>
      <c r="AA145" s="12">
        <v>0.39366660028274569</v>
      </c>
      <c r="AB145" s="5">
        <v>4.1749939332123578E-2</v>
      </c>
      <c r="AC145" s="6">
        <v>0</v>
      </c>
      <c r="AD145" s="6">
        <v>1</v>
      </c>
      <c r="AE145" s="6">
        <v>264</v>
      </c>
      <c r="AF145">
        <f>(AA147/AA146)-AA145</f>
        <v>1.7816604295314287E-2</v>
      </c>
    </row>
    <row r="146" spans="1:32" ht="26.25" x14ac:dyDescent="0.45">
      <c r="A146" s="4" t="s">
        <v>22</v>
      </c>
      <c r="B146" s="5">
        <v>0.84952162550522947</v>
      </c>
      <c r="C146" s="5">
        <v>6.1545774275045921E-2</v>
      </c>
      <c r="D146" s="6">
        <v>0</v>
      </c>
      <c r="E146" s="6">
        <v>1</v>
      </c>
      <c r="F146" s="6">
        <v>34</v>
      </c>
      <c r="G146" s="5">
        <v>0.96979725445447418</v>
      </c>
      <c r="H146" s="5">
        <v>3.0016012175185333E-2</v>
      </c>
      <c r="I146" s="6">
        <v>0</v>
      </c>
      <c r="J146" s="6">
        <v>1</v>
      </c>
      <c r="K146" s="6">
        <v>42</v>
      </c>
      <c r="L146" s="5">
        <v>0.86468560906249525</v>
      </c>
      <c r="M146" s="5">
        <v>5.2374794839710012E-2</v>
      </c>
      <c r="N146" s="6">
        <v>0</v>
      </c>
      <c r="O146" s="6">
        <v>1</v>
      </c>
      <c r="P146" s="6">
        <v>44</v>
      </c>
      <c r="Q146" s="5">
        <v>0.9749682228588612</v>
      </c>
      <c r="R146" s="5">
        <v>2.5049499255806983E-2</v>
      </c>
      <c r="S146" s="6">
        <v>0</v>
      </c>
      <c r="T146" s="6">
        <v>1</v>
      </c>
      <c r="U146" s="6">
        <v>40</v>
      </c>
      <c r="V146" s="5">
        <v>0.67616365127076683</v>
      </c>
      <c r="W146" s="5">
        <v>6.6180623554006821E-2</v>
      </c>
      <c r="X146" s="6">
        <v>0</v>
      </c>
      <c r="Y146" s="6">
        <v>1</v>
      </c>
      <c r="Z146" s="6">
        <v>104</v>
      </c>
      <c r="AA146" s="12">
        <v>0.91020657995142884</v>
      </c>
      <c r="AB146" s="5">
        <v>2.4389856620021973E-2</v>
      </c>
      <c r="AC146" s="6">
        <v>0</v>
      </c>
      <c r="AD146" s="6">
        <v>1</v>
      </c>
      <c r="AE146" s="6">
        <v>264</v>
      </c>
      <c r="AF146">
        <f>(AA147/AA145)-AA146</f>
        <v>4.1194224885571784E-2</v>
      </c>
    </row>
    <row r="147" spans="1:32" x14ac:dyDescent="0.45">
      <c r="A147" s="4" t="s">
        <v>77</v>
      </c>
      <c r="B147" s="5">
        <v>0.13609003269716968</v>
      </c>
      <c r="C147" s="5">
        <v>5.925142498934776E-2</v>
      </c>
      <c r="D147" s="6">
        <v>0</v>
      </c>
      <c r="E147" s="6">
        <v>1</v>
      </c>
      <c r="F147" s="6">
        <v>34</v>
      </c>
      <c r="G147" s="5">
        <v>0.18650001607317804</v>
      </c>
      <c r="H147" s="5">
        <v>6.08550634427708E-2</v>
      </c>
      <c r="I147" s="6">
        <v>0</v>
      </c>
      <c r="J147" s="6">
        <v>1</v>
      </c>
      <c r="K147" s="6">
        <v>42</v>
      </c>
      <c r="L147" s="5">
        <v>0.35564257063258187</v>
      </c>
      <c r="M147" s="5">
        <v>7.4330340892676594E-2</v>
      </c>
      <c r="N147" s="6">
        <v>0</v>
      </c>
      <c r="O147" s="6">
        <v>1</v>
      </c>
      <c r="P147" s="6">
        <v>44</v>
      </c>
      <c r="Q147" s="5">
        <v>0.69537622401646959</v>
      </c>
      <c r="R147" s="5">
        <v>7.7013327808946444E-2</v>
      </c>
      <c r="S147" s="6">
        <v>0</v>
      </c>
      <c r="T147" s="6">
        <v>1</v>
      </c>
      <c r="U147" s="6">
        <v>40</v>
      </c>
      <c r="V147" s="5">
        <v>0.40152770724557457</v>
      </c>
      <c r="W147" s="5">
        <v>6.4202011804989259E-2</v>
      </c>
      <c r="X147" s="6">
        <v>0</v>
      </c>
      <c r="Y147" s="6">
        <v>1</v>
      </c>
      <c r="Z147" s="6">
        <v>104</v>
      </c>
      <c r="AA147" s="12">
        <v>0.37453472034645008</v>
      </c>
      <c r="AB147" s="5">
        <v>4.1255561059620943E-2</v>
      </c>
      <c r="AC147" s="6">
        <v>0</v>
      </c>
      <c r="AD147" s="6">
        <v>1</v>
      </c>
      <c r="AE147" s="6">
        <v>264</v>
      </c>
    </row>
    <row r="148" spans="1:32" x14ac:dyDescent="0.45">
      <c r="A148" s="4" t="s">
        <v>28</v>
      </c>
      <c r="B148" s="5">
        <v>0.16060683353603622</v>
      </c>
      <c r="C148" s="5">
        <v>6.3104178008598577E-2</v>
      </c>
      <c r="D148" s="6">
        <v>0</v>
      </c>
      <c r="E148" s="6">
        <v>1</v>
      </c>
      <c r="F148" s="6">
        <v>34</v>
      </c>
      <c r="G148" s="5">
        <v>0.18650001607317804</v>
      </c>
      <c r="H148" s="5">
        <v>6.08550634427708E-2</v>
      </c>
      <c r="I148" s="6">
        <v>0</v>
      </c>
      <c r="J148" s="6">
        <v>1</v>
      </c>
      <c r="K148" s="6">
        <v>42</v>
      </c>
      <c r="L148" s="5">
        <v>0.3982476541522913</v>
      </c>
      <c r="M148" s="5">
        <v>7.606739370062203E-2</v>
      </c>
      <c r="N148" s="6">
        <v>0</v>
      </c>
      <c r="O148" s="6">
        <v>1</v>
      </c>
      <c r="P148" s="6">
        <v>44</v>
      </c>
      <c r="Q148" s="5">
        <v>0.69537622401646959</v>
      </c>
      <c r="R148" s="5">
        <v>7.7013327808946444E-2</v>
      </c>
      <c r="S148" s="6">
        <v>0</v>
      </c>
      <c r="T148" s="6">
        <v>1</v>
      </c>
      <c r="U148" s="6">
        <v>40</v>
      </c>
      <c r="V148" s="5">
        <v>0.40152770724557457</v>
      </c>
      <c r="W148" s="5">
        <v>6.4202011804989259E-2</v>
      </c>
      <c r="X148" s="6">
        <v>0</v>
      </c>
      <c r="Y148" s="6">
        <v>1</v>
      </c>
      <c r="Z148" s="6">
        <v>104</v>
      </c>
      <c r="AA148" s="12">
        <v>0.39366660028274569</v>
      </c>
      <c r="AB148" s="5">
        <v>4.1749939332123578E-2</v>
      </c>
      <c r="AC148" s="6">
        <v>0</v>
      </c>
      <c r="AD148" s="6">
        <v>1</v>
      </c>
      <c r="AE148" s="6">
        <v>264</v>
      </c>
      <c r="AF148">
        <f>(AA150/AA149)-AA148</f>
        <v>7.212063545228703E-2</v>
      </c>
    </row>
    <row r="149" spans="1:32" ht="26.25" x14ac:dyDescent="0.45">
      <c r="A149" s="4" t="s">
        <v>24</v>
      </c>
      <c r="B149" s="5">
        <v>0.59113064078982813</v>
      </c>
      <c r="C149" s="5">
        <v>8.9609791547363538E-2</v>
      </c>
      <c r="D149" s="6">
        <v>0</v>
      </c>
      <c r="E149" s="6">
        <v>1</v>
      </c>
      <c r="F149" s="6">
        <v>34</v>
      </c>
      <c r="G149" s="5">
        <v>0.71909384928754405</v>
      </c>
      <c r="H149" s="5">
        <v>7.2403474018022274E-2</v>
      </c>
      <c r="I149" s="6">
        <v>0</v>
      </c>
      <c r="J149" s="6">
        <v>1</v>
      </c>
      <c r="K149" s="6">
        <v>42</v>
      </c>
      <c r="L149" s="5">
        <v>0.69739462956204068</v>
      </c>
      <c r="M149" s="5">
        <v>7.1809022935466635E-2</v>
      </c>
      <c r="N149" s="6">
        <v>0</v>
      </c>
      <c r="O149" s="6">
        <v>1</v>
      </c>
      <c r="P149" s="6">
        <v>44</v>
      </c>
      <c r="Q149" s="5">
        <v>0.9233668457535289</v>
      </c>
      <c r="R149" s="5">
        <v>4.3202567197263397E-2</v>
      </c>
      <c r="S149" s="6">
        <v>0</v>
      </c>
      <c r="T149" s="6">
        <v>1</v>
      </c>
      <c r="U149" s="6">
        <v>40</v>
      </c>
      <c r="V149" s="5">
        <v>0.65121302184637453</v>
      </c>
      <c r="W149" s="5">
        <v>6.6128687462899488E-2</v>
      </c>
      <c r="X149" s="6">
        <v>0</v>
      </c>
      <c r="Y149" s="6">
        <v>1</v>
      </c>
      <c r="Z149" s="6">
        <v>104</v>
      </c>
      <c r="AA149" s="12">
        <v>0.74577850242169597</v>
      </c>
      <c r="AB149" s="5">
        <v>3.7735522277039836E-2</v>
      </c>
      <c r="AC149" s="6">
        <v>0</v>
      </c>
      <c r="AD149" s="6">
        <v>1</v>
      </c>
      <c r="AE149" s="6">
        <v>264</v>
      </c>
      <c r="AF149">
        <f>(AA150/AA148)-AA149</f>
        <v>0.13662835369491999</v>
      </c>
    </row>
    <row r="150" spans="1:32" x14ac:dyDescent="0.45">
      <c r="A150" s="4" t="s">
        <v>78</v>
      </c>
      <c r="B150" s="5">
        <v>7.1597355011627992E-2</v>
      </c>
      <c r="C150" s="5">
        <v>4.1019575193236901E-2</v>
      </c>
      <c r="D150" s="6">
        <v>0</v>
      </c>
      <c r="E150" s="6">
        <v>1</v>
      </c>
      <c r="F150" s="6">
        <v>34</v>
      </c>
      <c r="G150" s="5">
        <v>0.16133106145190645</v>
      </c>
      <c r="H150" s="5">
        <v>5.7188938881755677E-2</v>
      </c>
      <c r="I150" s="6">
        <v>0</v>
      </c>
      <c r="J150" s="6">
        <v>1</v>
      </c>
      <c r="K150" s="6">
        <v>42</v>
      </c>
      <c r="L150" s="5">
        <v>0.32930115443989688</v>
      </c>
      <c r="M150" s="5">
        <v>7.2687652363076088E-2</v>
      </c>
      <c r="N150" s="6">
        <v>0</v>
      </c>
      <c r="O150" s="6">
        <v>1</v>
      </c>
      <c r="P150" s="6">
        <v>44</v>
      </c>
      <c r="Q150" s="5">
        <v>0.6715565712188768</v>
      </c>
      <c r="R150" s="5">
        <v>7.8252581299502647E-2</v>
      </c>
      <c r="S150" s="6">
        <v>0</v>
      </c>
      <c r="T150" s="6">
        <v>1</v>
      </c>
      <c r="U150" s="6">
        <v>40</v>
      </c>
      <c r="V150" s="5">
        <v>0.39093696940685085</v>
      </c>
      <c r="W150" s="5">
        <v>6.3924886879090662E-2</v>
      </c>
      <c r="X150" s="6">
        <v>0</v>
      </c>
      <c r="Y150" s="6">
        <v>1</v>
      </c>
      <c r="Z150" s="6">
        <v>104</v>
      </c>
      <c r="AA150" s="12">
        <v>0.34737410711361416</v>
      </c>
      <c r="AB150" s="5">
        <v>4.049605515647723E-2</v>
      </c>
      <c r="AC150" s="6">
        <v>0</v>
      </c>
      <c r="AD150" s="6">
        <v>1</v>
      </c>
      <c r="AE150" s="6">
        <v>264</v>
      </c>
    </row>
    <row r="151" spans="1:32" x14ac:dyDescent="0.45">
      <c r="A151" s="4" t="s">
        <v>30</v>
      </c>
      <c r="B151" s="5">
        <v>9.7944886332647418E-2</v>
      </c>
      <c r="C151" s="5">
        <v>5.0745074390485048E-2</v>
      </c>
      <c r="D151" s="6">
        <v>0</v>
      </c>
      <c r="E151" s="6">
        <v>1</v>
      </c>
      <c r="F151" s="6">
        <v>34</v>
      </c>
      <c r="G151" s="5">
        <v>0.19686198014165318</v>
      </c>
      <c r="H151" s="5">
        <v>6.361507673733699E-2</v>
      </c>
      <c r="I151" s="6">
        <v>0</v>
      </c>
      <c r="J151" s="6">
        <v>1</v>
      </c>
      <c r="K151" s="6">
        <v>42</v>
      </c>
      <c r="L151" s="5">
        <v>0.18448659651104984</v>
      </c>
      <c r="M151" s="5">
        <v>6.0019935102142451E-2</v>
      </c>
      <c r="N151" s="6">
        <v>0</v>
      </c>
      <c r="O151" s="6">
        <v>1</v>
      </c>
      <c r="P151" s="6">
        <v>44</v>
      </c>
      <c r="Q151" s="5">
        <v>0.12570203484365922</v>
      </c>
      <c r="R151" s="5">
        <v>5.3202553266984524E-2</v>
      </c>
      <c r="S151" s="6">
        <v>0</v>
      </c>
      <c r="T151" s="6">
        <v>1</v>
      </c>
      <c r="U151" s="6">
        <v>40</v>
      </c>
      <c r="V151" s="5">
        <v>7.1219747701667446E-2</v>
      </c>
      <c r="W151" s="5">
        <v>2.7252423041304919E-2</v>
      </c>
      <c r="X151" s="6">
        <v>0</v>
      </c>
      <c r="Y151" s="6">
        <v>1</v>
      </c>
      <c r="Z151" s="6">
        <v>104</v>
      </c>
      <c r="AA151" s="12">
        <v>0.16577578610959048</v>
      </c>
      <c r="AB151" s="5">
        <v>3.241187199883435E-2</v>
      </c>
      <c r="AC151" s="6">
        <v>0</v>
      </c>
      <c r="AD151" s="6">
        <v>1</v>
      </c>
      <c r="AE151" s="6">
        <v>264</v>
      </c>
      <c r="AF151">
        <f>(AA153/AA152)-AA151</f>
        <v>4.8397448348794531E-2</v>
      </c>
    </row>
    <row r="152" spans="1:32" x14ac:dyDescent="0.45">
      <c r="A152" s="4" t="s">
        <v>32</v>
      </c>
      <c r="B152" s="5">
        <v>0.88886175204661999</v>
      </c>
      <c r="C152" s="5">
        <v>6.1457033964244352E-2</v>
      </c>
      <c r="D152" s="6">
        <v>0</v>
      </c>
      <c r="E152" s="6">
        <v>1</v>
      </c>
      <c r="F152" s="6">
        <v>34</v>
      </c>
      <c r="G152" s="5">
        <v>0.60873909731901421</v>
      </c>
      <c r="H152" s="5">
        <v>7.7439164761967633E-2</v>
      </c>
      <c r="I152" s="6">
        <v>0</v>
      </c>
      <c r="J152" s="6">
        <v>1</v>
      </c>
      <c r="K152" s="6">
        <v>42</v>
      </c>
      <c r="L152" s="5">
        <v>0.4867159180448013</v>
      </c>
      <c r="M152" s="5">
        <v>7.8217992076327084E-2</v>
      </c>
      <c r="N152" s="6">
        <v>0</v>
      </c>
      <c r="O152" s="6">
        <v>1</v>
      </c>
      <c r="P152" s="6">
        <v>44</v>
      </c>
      <c r="Q152" s="5">
        <v>0.64300167798766439</v>
      </c>
      <c r="R152" s="5">
        <v>7.9764129090886995E-2</v>
      </c>
      <c r="S152" s="6">
        <v>0</v>
      </c>
      <c r="T152" s="6">
        <v>1</v>
      </c>
      <c r="U152" s="6">
        <v>40</v>
      </c>
      <c r="V152" s="5">
        <v>0.21962332207176813</v>
      </c>
      <c r="W152" s="5">
        <v>4.9938905008240317E-2</v>
      </c>
      <c r="X152" s="6">
        <v>0</v>
      </c>
      <c r="Y152" s="6">
        <v>1</v>
      </c>
      <c r="Z152" s="6">
        <v>104</v>
      </c>
      <c r="AA152" s="12">
        <v>0.56879903245024355</v>
      </c>
      <c r="AB152" s="5">
        <v>4.2838805073454271E-2</v>
      </c>
      <c r="AC152" s="6">
        <v>0</v>
      </c>
      <c r="AD152" s="6">
        <v>1</v>
      </c>
      <c r="AE152" s="6">
        <v>264</v>
      </c>
      <c r="AF152">
        <f>(AA153/AA151)-AA152</f>
        <v>0.16605815867256135</v>
      </c>
    </row>
    <row r="153" spans="1:32" ht="26.25" x14ac:dyDescent="0.45">
      <c r="A153" s="4" t="s">
        <v>79</v>
      </c>
      <c r="B153" s="5">
        <v>6.5600751892627596E-2</v>
      </c>
      <c r="C153" s="5">
        <v>4.0512329094435834E-2</v>
      </c>
      <c r="D153" s="6">
        <v>0</v>
      </c>
      <c r="E153" s="6">
        <v>1</v>
      </c>
      <c r="F153" s="6">
        <v>34</v>
      </c>
      <c r="G153" s="5">
        <v>0.12218283672076102</v>
      </c>
      <c r="H153" s="5">
        <v>5.2559283093862992E-2</v>
      </c>
      <c r="I153" s="6">
        <v>0</v>
      </c>
      <c r="J153" s="6">
        <v>1</v>
      </c>
      <c r="K153" s="6">
        <v>42</v>
      </c>
      <c r="L153" s="5">
        <v>0.13549310058994926</v>
      </c>
      <c r="M153" s="5">
        <v>5.2465706971881632E-2</v>
      </c>
      <c r="N153" s="6">
        <v>0</v>
      </c>
      <c r="O153" s="6">
        <v>1</v>
      </c>
      <c r="P153" s="6">
        <v>44</v>
      </c>
      <c r="Q153" s="5">
        <v>0.12570203484365922</v>
      </c>
      <c r="R153" s="5">
        <v>5.3202553266984524E-2</v>
      </c>
      <c r="S153" s="6">
        <v>0</v>
      </c>
      <c r="T153" s="6">
        <v>1</v>
      </c>
      <c r="U153" s="6">
        <v>40</v>
      </c>
      <c r="V153" s="5">
        <v>2.3943490628211311E-2</v>
      </c>
      <c r="W153" s="5">
        <v>1.2547228561427825E-2</v>
      </c>
      <c r="X153" s="6">
        <v>0</v>
      </c>
      <c r="Y153" s="6">
        <v>1</v>
      </c>
      <c r="Z153" s="6">
        <v>104</v>
      </c>
      <c r="AA153" s="12">
        <v>0.12182152853666856</v>
      </c>
      <c r="AB153" s="5">
        <v>2.8386618763158927E-2</v>
      </c>
      <c r="AC153" s="6">
        <v>0</v>
      </c>
      <c r="AD153" s="6">
        <v>1</v>
      </c>
      <c r="AE153" s="6">
        <v>264</v>
      </c>
    </row>
    <row r="154" spans="1:32" x14ac:dyDescent="0.45">
      <c r="A154" s="4" t="s">
        <v>30</v>
      </c>
      <c r="B154" s="5">
        <v>9.7944886332647418E-2</v>
      </c>
      <c r="C154" s="5">
        <v>5.0745074390485048E-2</v>
      </c>
      <c r="D154" s="6">
        <v>0</v>
      </c>
      <c r="E154" s="6">
        <v>1</v>
      </c>
      <c r="F154" s="6">
        <v>34</v>
      </c>
      <c r="G154" s="5">
        <v>0.19686198014165318</v>
      </c>
      <c r="H154" s="5">
        <v>6.361507673733699E-2</v>
      </c>
      <c r="I154" s="6">
        <v>0</v>
      </c>
      <c r="J154" s="6">
        <v>1</v>
      </c>
      <c r="K154" s="6">
        <v>42</v>
      </c>
      <c r="L154" s="5">
        <v>0.18448659651104984</v>
      </c>
      <c r="M154" s="5">
        <v>6.0019935102142451E-2</v>
      </c>
      <c r="N154" s="6">
        <v>0</v>
      </c>
      <c r="O154" s="6">
        <v>1</v>
      </c>
      <c r="P154" s="6">
        <v>44</v>
      </c>
      <c r="Q154" s="5">
        <v>0.12570203484365922</v>
      </c>
      <c r="R154" s="5">
        <v>5.3202553266984524E-2</v>
      </c>
      <c r="S154" s="6">
        <v>0</v>
      </c>
      <c r="T154" s="6">
        <v>1</v>
      </c>
      <c r="U154" s="6">
        <v>40</v>
      </c>
      <c r="V154" s="5">
        <v>7.1219747701667446E-2</v>
      </c>
      <c r="W154" s="5">
        <v>2.7252423041304919E-2</v>
      </c>
      <c r="X154" s="6">
        <v>0</v>
      </c>
      <c r="Y154" s="6">
        <v>1</v>
      </c>
      <c r="Z154" s="6">
        <v>104</v>
      </c>
      <c r="AA154" s="12">
        <v>0.16577578610959048</v>
      </c>
      <c r="AB154" s="5">
        <v>3.241187199883435E-2</v>
      </c>
      <c r="AC154" s="6">
        <v>0</v>
      </c>
      <c r="AD154" s="6">
        <v>1</v>
      </c>
      <c r="AE154" s="6">
        <v>264</v>
      </c>
      <c r="AF154">
        <f>(AA156/AA155)-AA154</f>
        <v>0.14147757113436799</v>
      </c>
    </row>
    <row r="155" spans="1:32" x14ac:dyDescent="0.45">
      <c r="A155" s="4" t="s">
        <v>34</v>
      </c>
      <c r="B155" s="5">
        <v>0.19862121171774996</v>
      </c>
      <c r="C155" s="5">
        <v>7.0449908333518482E-2</v>
      </c>
      <c r="D155" s="6">
        <v>0</v>
      </c>
      <c r="E155" s="6">
        <v>1</v>
      </c>
      <c r="F155" s="6">
        <v>34</v>
      </c>
      <c r="G155" s="5">
        <v>0.27373543444507736</v>
      </c>
      <c r="H155" s="5">
        <v>7.1059953576424029E-2</v>
      </c>
      <c r="I155" s="6">
        <v>0</v>
      </c>
      <c r="J155" s="6">
        <v>1</v>
      </c>
      <c r="K155" s="6">
        <v>42</v>
      </c>
      <c r="L155" s="5">
        <v>0.16023885887947467</v>
      </c>
      <c r="M155" s="5">
        <v>5.6132837285575506E-2</v>
      </c>
      <c r="N155" s="6">
        <v>0</v>
      </c>
      <c r="O155" s="6">
        <v>1</v>
      </c>
      <c r="P155" s="6">
        <v>44</v>
      </c>
      <c r="Q155" s="5">
        <v>0.27853232036598929</v>
      </c>
      <c r="R155" s="5">
        <v>7.2602815976202259E-2</v>
      </c>
      <c r="S155" s="6">
        <v>0</v>
      </c>
      <c r="T155" s="6">
        <v>1</v>
      </c>
      <c r="U155" s="6">
        <v>40</v>
      </c>
      <c r="V155" s="5">
        <v>5.7747988593625371E-2</v>
      </c>
      <c r="W155" s="5">
        <v>2.8391611186991999E-2</v>
      </c>
      <c r="X155" s="6">
        <v>0</v>
      </c>
      <c r="Y155" s="6">
        <v>1</v>
      </c>
      <c r="Z155" s="6">
        <v>104</v>
      </c>
      <c r="AA155" s="12">
        <v>0.21587935616398435</v>
      </c>
      <c r="AB155" s="5">
        <v>3.4528579839839389E-2</v>
      </c>
      <c r="AC155" s="6">
        <v>0</v>
      </c>
      <c r="AD155" s="6">
        <v>1</v>
      </c>
      <c r="AE155" s="6">
        <v>264</v>
      </c>
      <c r="AF155">
        <f>(AA156/AA154)-AA155</f>
        <v>0.18423732249980707</v>
      </c>
    </row>
    <row r="156" spans="1:32" ht="26.25" x14ac:dyDescent="0.45">
      <c r="A156" s="4" t="s">
        <v>80</v>
      </c>
      <c r="B156" s="5">
        <v>3.4421809873428369E-2</v>
      </c>
      <c r="C156" s="5">
        <v>2.6660072149023346E-2</v>
      </c>
      <c r="D156" s="6">
        <v>0</v>
      </c>
      <c r="E156" s="6">
        <v>1</v>
      </c>
      <c r="F156" s="6">
        <v>34</v>
      </c>
      <c r="G156" s="5">
        <v>4.8052183745461691E-2</v>
      </c>
      <c r="H156" s="5">
        <v>3.3576835472932991E-2</v>
      </c>
      <c r="I156" s="6">
        <v>0</v>
      </c>
      <c r="J156" s="6">
        <v>1</v>
      </c>
      <c r="K156" s="6">
        <v>42</v>
      </c>
      <c r="L156" s="5">
        <v>0.10915168439726429</v>
      </c>
      <c r="M156" s="5">
        <v>4.6970355436411447E-2</v>
      </c>
      <c r="N156" s="6">
        <v>0</v>
      </c>
      <c r="O156" s="6">
        <v>1</v>
      </c>
      <c r="P156" s="6">
        <v>44</v>
      </c>
      <c r="Q156" s="5">
        <v>2.6214502799854971E-2</v>
      </c>
      <c r="R156" s="5">
        <v>2.4621698533669596E-2</v>
      </c>
      <c r="S156" s="6">
        <v>0</v>
      </c>
      <c r="T156" s="6">
        <v>1</v>
      </c>
      <c r="U156" s="6">
        <v>40</v>
      </c>
      <c r="V156" s="5">
        <v>6.0729536363770195E-3</v>
      </c>
      <c r="W156" s="5">
        <v>4.3844130111294491E-3</v>
      </c>
      <c r="X156" s="6">
        <v>0</v>
      </c>
      <c r="Y156" s="6">
        <v>1</v>
      </c>
      <c r="Z156" s="6">
        <v>104</v>
      </c>
      <c r="AA156" s="12">
        <v>6.6329656941048434E-2</v>
      </c>
      <c r="AB156" s="5">
        <v>2.2202984429338928E-2</v>
      </c>
      <c r="AC156" s="6">
        <v>0</v>
      </c>
      <c r="AD156" s="6">
        <v>1</v>
      </c>
      <c r="AE156" s="6">
        <v>264</v>
      </c>
    </row>
    <row r="157" spans="1:32" x14ac:dyDescent="0.45">
      <c r="A157" s="4" t="s">
        <v>30</v>
      </c>
      <c r="B157" s="5">
        <v>9.7944886332647418E-2</v>
      </c>
      <c r="C157" s="5">
        <v>5.0745074390485048E-2</v>
      </c>
      <c r="D157" s="6">
        <v>0</v>
      </c>
      <c r="E157" s="6">
        <v>1</v>
      </c>
      <c r="F157" s="6">
        <v>34</v>
      </c>
      <c r="G157" s="5">
        <v>0.19686198014165318</v>
      </c>
      <c r="H157" s="5">
        <v>6.361507673733699E-2</v>
      </c>
      <c r="I157" s="6">
        <v>0</v>
      </c>
      <c r="J157" s="6">
        <v>1</v>
      </c>
      <c r="K157" s="6">
        <v>42</v>
      </c>
      <c r="L157" s="5">
        <v>0.18448659651104984</v>
      </c>
      <c r="M157" s="5">
        <v>6.0019935102142451E-2</v>
      </c>
      <c r="N157" s="6">
        <v>0</v>
      </c>
      <c r="O157" s="6">
        <v>1</v>
      </c>
      <c r="P157" s="6">
        <v>44</v>
      </c>
      <c r="Q157" s="5">
        <v>0.12570203484365922</v>
      </c>
      <c r="R157" s="5">
        <v>5.3202553266984524E-2</v>
      </c>
      <c r="S157" s="6">
        <v>0</v>
      </c>
      <c r="T157" s="6">
        <v>1</v>
      </c>
      <c r="U157" s="6">
        <v>40</v>
      </c>
      <c r="V157" s="5">
        <v>7.1219747701667446E-2</v>
      </c>
      <c r="W157" s="5">
        <v>2.7252423041304919E-2</v>
      </c>
      <c r="X157" s="6">
        <v>0</v>
      </c>
      <c r="Y157" s="6">
        <v>1</v>
      </c>
      <c r="Z157" s="6">
        <v>104</v>
      </c>
      <c r="AA157" s="12">
        <v>0.16577578610959048</v>
      </c>
      <c r="AB157" s="5">
        <v>3.241187199883435E-2</v>
      </c>
      <c r="AC157" s="6">
        <v>0</v>
      </c>
      <c r="AD157" s="6">
        <v>1</v>
      </c>
      <c r="AE157" s="6">
        <v>264</v>
      </c>
      <c r="AF157">
        <f>(AA159/AA158)-AA157</f>
        <v>-4.0694561052898898E-2</v>
      </c>
    </row>
    <row r="158" spans="1:32" x14ac:dyDescent="0.45">
      <c r="A158" s="4" t="s">
        <v>36</v>
      </c>
      <c r="B158" s="5">
        <v>0.76064468833586119</v>
      </c>
      <c r="C158" s="5">
        <v>7.7815769808775942E-2</v>
      </c>
      <c r="D158" s="6">
        <v>0</v>
      </c>
      <c r="E158" s="6">
        <v>1</v>
      </c>
      <c r="F158" s="6">
        <v>34</v>
      </c>
      <c r="G158" s="5">
        <v>0.47021854293445042</v>
      </c>
      <c r="H158" s="5">
        <v>7.9243117363754292E-2</v>
      </c>
      <c r="I158" s="6">
        <v>0</v>
      </c>
      <c r="J158" s="6">
        <v>1</v>
      </c>
      <c r="K158" s="6">
        <v>42</v>
      </c>
      <c r="L158" s="5">
        <v>0.2445206682606792</v>
      </c>
      <c r="M158" s="5">
        <v>6.7154542896761538E-2</v>
      </c>
      <c r="N158" s="6">
        <v>0</v>
      </c>
      <c r="O158" s="6">
        <v>1</v>
      </c>
      <c r="P158" s="6">
        <v>42</v>
      </c>
      <c r="Q158" s="5">
        <v>0.35160809189742964</v>
      </c>
      <c r="R158" s="5">
        <v>7.902438279457083E-2</v>
      </c>
      <c r="S158" s="6">
        <v>0</v>
      </c>
      <c r="T158" s="6">
        <v>1</v>
      </c>
      <c r="U158" s="6">
        <v>40</v>
      </c>
      <c r="V158" s="5">
        <v>0.42925514319553509</v>
      </c>
      <c r="W158" s="5">
        <v>6.917480911456024E-2</v>
      </c>
      <c r="X158" s="6">
        <v>0</v>
      </c>
      <c r="Y158" s="6">
        <v>1</v>
      </c>
      <c r="Z158" s="6">
        <v>100</v>
      </c>
      <c r="AA158" s="12">
        <v>0.36787839094902408</v>
      </c>
      <c r="AB158" s="5">
        <v>4.0690017630809268E-2</v>
      </c>
      <c r="AC158" s="6">
        <v>0</v>
      </c>
      <c r="AD158" s="6">
        <v>1</v>
      </c>
      <c r="AE158" s="6">
        <v>258</v>
      </c>
      <c r="AF158">
        <f>(AA159/AA157)-AA158</f>
        <v>-9.0306612273402365E-2</v>
      </c>
    </row>
    <row r="159" spans="1:32" ht="26.25" x14ac:dyDescent="0.45">
      <c r="A159" s="4" t="s">
        <v>81</v>
      </c>
      <c r="B159" s="5">
        <v>8.8039877298085573E-2</v>
      </c>
      <c r="C159" s="5">
        <v>4.9850576287849072E-2</v>
      </c>
      <c r="D159" s="6">
        <v>0</v>
      </c>
      <c r="E159" s="6">
        <v>1</v>
      </c>
      <c r="F159" s="6">
        <v>34</v>
      </c>
      <c r="G159" s="5">
        <v>7.8026124829195687E-2</v>
      </c>
      <c r="H159" s="5">
        <v>4.4035616031119849E-2</v>
      </c>
      <c r="I159" s="6">
        <v>0</v>
      </c>
      <c r="J159" s="6">
        <v>1</v>
      </c>
      <c r="K159" s="6">
        <v>42</v>
      </c>
      <c r="L159" s="5">
        <v>0</v>
      </c>
      <c r="M159" s="5">
        <v>0</v>
      </c>
      <c r="N159" s="6">
        <v>0</v>
      </c>
      <c r="O159" s="6">
        <v>0</v>
      </c>
      <c r="P159" s="6">
        <v>42</v>
      </c>
      <c r="Q159" s="5">
        <v>7.5176885201164917E-2</v>
      </c>
      <c r="R159" s="5">
        <v>4.2866920279935848E-2</v>
      </c>
      <c r="S159" s="6">
        <v>0</v>
      </c>
      <c r="T159" s="6">
        <v>1</v>
      </c>
      <c r="U159" s="6">
        <v>40</v>
      </c>
      <c r="V159" s="5">
        <v>6.671226454961246E-2</v>
      </c>
      <c r="W159" s="5">
        <v>2.8181150322258066E-2</v>
      </c>
      <c r="X159" s="6">
        <v>0</v>
      </c>
      <c r="Y159" s="6">
        <v>1</v>
      </c>
      <c r="Z159" s="6">
        <v>100</v>
      </c>
      <c r="AA159" s="12">
        <v>4.6014679811788452E-2</v>
      </c>
      <c r="AB159" s="5">
        <v>1.608729079754951E-2</v>
      </c>
      <c r="AC159" s="6">
        <v>0</v>
      </c>
      <c r="AD159" s="6">
        <v>1</v>
      </c>
      <c r="AE159" s="6">
        <v>258</v>
      </c>
    </row>
    <row r="160" spans="1:32" x14ac:dyDescent="0.45">
      <c r="A160" s="4" t="s">
        <v>30</v>
      </c>
      <c r="B160" s="5">
        <v>9.7944886332647418E-2</v>
      </c>
      <c r="C160" s="5">
        <v>5.0745074390485048E-2</v>
      </c>
      <c r="D160" s="6">
        <v>0</v>
      </c>
      <c r="E160" s="6">
        <v>1</v>
      </c>
      <c r="F160" s="6">
        <v>34</v>
      </c>
      <c r="G160" s="5">
        <v>0.19686198014165318</v>
      </c>
      <c r="H160" s="5">
        <v>6.361507673733699E-2</v>
      </c>
      <c r="I160" s="6">
        <v>0</v>
      </c>
      <c r="J160" s="6">
        <v>1</v>
      </c>
      <c r="K160" s="6">
        <v>42</v>
      </c>
      <c r="L160" s="5">
        <v>0.18448659651104984</v>
      </c>
      <c r="M160" s="5">
        <v>6.0019935102142451E-2</v>
      </c>
      <c r="N160" s="6">
        <v>0</v>
      </c>
      <c r="O160" s="6">
        <v>1</v>
      </c>
      <c r="P160" s="6">
        <v>44</v>
      </c>
      <c r="Q160" s="5">
        <v>0.12570203484365922</v>
      </c>
      <c r="R160" s="5">
        <v>5.3202553266984524E-2</v>
      </c>
      <c r="S160" s="6">
        <v>0</v>
      </c>
      <c r="T160" s="6">
        <v>1</v>
      </c>
      <c r="U160" s="6">
        <v>40</v>
      </c>
      <c r="V160" s="5">
        <v>7.1219747701667446E-2</v>
      </c>
      <c r="W160" s="5">
        <v>2.7252423041304919E-2</v>
      </c>
      <c r="X160" s="6">
        <v>0</v>
      </c>
      <c r="Y160" s="6">
        <v>1</v>
      </c>
      <c r="Z160" s="6">
        <v>104</v>
      </c>
      <c r="AA160" s="12">
        <v>0.16577578610959048</v>
      </c>
      <c r="AB160" s="5">
        <v>3.241187199883435E-2</v>
      </c>
      <c r="AC160" s="6">
        <v>0</v>
      </c>
      <c r="AD160" s="6">
        <v>1</v>
      </c>
      <c r="AE160" s="6">
        <v>264</v>
      </c>
      <c r="AF160">
        <f>(AA162/AA161)-AA160</f>
        <v>9.3166715425014868E-3</v>
      </c>
    </row>
    <row r="161" spans="1:32" ht="26.25" x14ac:dyDescent="0.45">
      <c r="A161" s="4" t="s">
        <v>38</v>
      </c>
      <c r="B161" s="5">
        <v>0.84000868272823959</v>
      </c>
      <c r="C161" s="5">
        <v>6.5933157962881336E-2</v>
      </c>
      <c r="D161" s="6">
        <v>0</v>
      </c>
      <c r="E161" s="6">
        <v>1</v>
      </c>
      <c r="F161" s="6">
        <v>34</v>
      </c>
      <c r="G161" s="5">
        <v>0.8757010716140059</v>
      </c>
      <c r="H161" s="5">
        <v>5.3035240634634946E-2</v>
      </c>
      <c r="I161" s="6">
        <v>0</v>
      </c>
      <c r="J161" s="6">
        <v>1</v>
      </c>
      <c r="K161" s="6">
        <v>42</v>
      </c>
      <c r="L161" s="5">
        <v>0.72424862259728484</v>
      </c>
      <c r="M161" s="5">
        <v>6.9698543042307798E-2</v>
      </c>
      <c r="N161" s="6">
        <v>0</v>
      </c>
      <c r="O161" s="6">
        <v>1</v>
      </c>
      <c r="P161" s="6">
        <v>44</v>
      </c>
      <c r="Q161" s="5">
        <v>0.76619872916446996</v>
      </c>
      <c r="R161" s="5">
        <v>6.9319636379783084E-2</v>
      </c>
      <c r="S161" s="6">
        <v>0</v>
      </c>
      <c r="T161" s="6">
        <v>1</v>
      </c>
      <c r="U161" s="6">
        <v>40</v>
      </c>
      <c r="V161" s="5">
        <v>0.41945825525041158</v>
      </c>
      <c r="W161" s="5">
        <v>6.5895940178938919E-2</v>
      </c>
      <c r="X161" s="6">
        <v>0</v>
      </c>
      <c r="Y161" s="6">
        <v>1</v>
      </c>
      <c r="Z161" s="6">
        <v>104</v>
      </c>
      <c r="AA161" s="12">
        <v>0.77070805751749982</v>
      </c>
      <c r="AB161" s="5">
        <v>3.6116125764874885E-2</v>
      </c>
      <c r="AC161" s="6">
        <v>0</v>
      </c>
      <c r="AD161" s="6">
        <v>1</v>
      </c>
      <c r="AE161" s="6">
        <v>264</v>
      </c>
      <c r="AF161">
        <f>(AA162/AA160)-AA161</f>
        <v>4.3314129255903944E-2</v>
      </c>
    </row>
    <row r="162" spans="1:32" ht="39.4" x14ac:dyDescent="0.45">
      <c r="A162" s="4" t="s">
        <v>82</v>
      </c>
      <c r="B162" s="5">
        <v>6.3523076459219049E-2</v>
      </c>
      <c r="C162" s="5">
        <v>4.4174764743558276E-2</v>
      </c>
      <c r="D162" s="6">
        <v>0</v>
      </c>
      <c r="E162" s="6">
        <v>1</v>
      </c>
      <c r="F162" s="6">
        <v>34</v>
      </c>
      <c r="G162" s="5">
        <v>0.17086279958669384</v>
      </c>
      <c r="H162" s="5">
        <v>6.0116197445049056E-2</v>
      </c>
      <c r="I162" s="6">
        <v>0</v>
      </c>
      <c r="J162" s="6">
        <v>1</v>
      </c>
      <c r="K162" s="6">
        <v>42</v>
      </c>
      <c r="L162" s="5">
        <v>0.13549310058994926</v>
      </c>
      <c r="M162" s="5">
        <v>5.2465706971881632E-2</v>
      </c>
      <c r="N162" s="6">
        <v>0</v>
      </c>
      <c r="O162" s="6">
        <v>1</v>
      </c>
      <c r="P162" s="6">
        <v>44</v>
      </c>
      <c r="Q162" s="5">
        <v>0.12570203484365922</v>
      </c>
      <c r="R162" s="5">
        <v>5.3202553266984524E-2</v>
      </c>
      <c r="S162" s="6">
        <v>0</v>
      </c>
      <c r="T162" s="6">
        <v>1</v>
      </c>
      <c r="U162" s="6">
        <v>40</v>
      </c>
      <c r="V162" s="5">
        <v>2.8241571565647324E-2</v>
      </c>
      <c r="W162" s="5">
        <v>1.9525234439272805E-2</v>
      </c>
      <c r="X162" s="6">
        <v>0</v>
      </c>
      <c r="Y162" s="6">
        <v>1</v>
      </c>
      <c r="Z162" s="6">
        <v>104</v>
      </c>
      <c r="AA162" s="12">
        <v>0.1349451679230089</v>
      </c>
      <c r="AB162" s="5">
        <v>2.9504931445973416E-2</v>
      </c>
      <c r="AC162" s="6">
        <v>0</v>
      </c>
      <c r="AD162" s="6">
        <v>1</v>
      </c>
      <c r="AE162" s="6">
        <v>264</v>
      </c>
    </row>
    <row r="163" spans="1:32" x14ac:dyDescent="0.45">
      <c r="A163" s="4" t="s">
        <v>30</v>
      </c>
      <c r="B163" s="5">
        <v>9.7944886332647418E-2</v>
      </c>
      <c r="C163" s="5">
        <v>5.0745074390485048E-2</v>
      </c>
      <c r="D163" s="6">
        <v>0</v>
      </c>
      <c r="E163" s="6">
        <v>1</v>
      </c>
      <c r="F163" s="6">
        <v>34</v>
      </c>
      <c r="G163" s="5">
        <v>0.19686198014165318</v>
      </c>
      <c r="H163" s="5">
        <v>6.361507673733699E-2</v>
      </c>
      <c r="I163" s="6">
        <v>0</v>
      </c>
      <c r="J163" s="6">
        <v>1</v>
      </c>
      <c r="K163" s="6">
        <v>42</v>
      </c>
      <c r="L163" s="5">
        <v>0.18448659651104984</v>
      </c>
      <c r="M163" s="5">
        <v>6.0019935102142451E-2</v>
      </c>
      <c r="N163" s="6">
        <v>0</v>
      </c>
      <c r="O163" s="6">
        <v>1</v>
      </c>
      <c r="P163" s="6">
        <v>44</v>
      </c>
      <c r="Q163" s="5">
        <v>0.12570203484365922</v>
      </c>
      <c r="R163" s="5">
        <v>5.3202553266984524E-2</v>
      </c>
      <c r="S163" s="6">
        <v>0</v>
      </c>
      <c r="T163" s="6">
        <v>1</v>
      </c>
      <c r="U163" s="6">
        <v>40</v>
      </c>
      <c r="V163" s="5">
        <v>7.1219747701667446E-2</v>
      </c>
      <c r="W163" s="5">
        <v>2.7252423041304919E-2</v>
      </c>
      <c r="X163" s="6">
        <v>0</v>
      </c>
      <c r="Y163" s="6">
        <v>1</v>
      </c>
      <c r="Z163" s="6">
        <v>104</v>
      </c>
      <c r="AA163" s="12">
        <v>0.16577578610959048</v>
      </c>
      <c r="AB163" s="5">
        <v>3.241187199883435E-2</v>
      </c>
      <c r="AC163" s="6">
        <v>0</v>
      </c>
      <c r="AD163" s="6">
        <v>1</v>
      </c>
      <c r="AE163" s="6">
        <v>264</v>
      </c>
      <c r="AF163">
        <f>(AA165/AA164)-AA163</f>
        <v>-3.3411874898406274E-2</v>
      </c>
    </row>
    <row r="164" spans="1:32" x14ac:dyDescent="0.45">
      <c r="A164" s="4" t="s">
        <v>40</v>
      </c>
      <c r="B164" s="5">
        <v>0.47314926338671726</v>
      </c>
      <c r="C164" s="5">
        <v>9.1986997587208227E-2</v>
      </c>
      <c r="D164" s="6">
        <v>0</v>
      </c>
      <c r="E164" s="6">
        <v>1</v>
      </c>
      <c r="F164" s="6">
        <v>34</v>
      </c>
      <c r="G164" s="5">
        <v>0.59916532039375925</v>
      </c>
      <c r="H164" s="5">
        <v>7.8188563211038412E-2</v>
      </c>
      <c r="I164" s="6">
        <v>0</v>
      </c>
      <c r="J164" s="6">
        <v>1</v>
      </c>
      <c r="K164" s="6">
        <v>42</v>
      </c>
      <c r="L164" s="5">
        <v>0.5544767542723662</v>
      </c>
      <c r="M164" s="5">
        <v>7.7775688570457788E-2</v>
      </c>
      <c r="N164" s="6">
        <v>0</v>
      </c>
      <c r="O164" s="6">
        <v>1</v>
      </c>
      <c r="P164" s="6">
        <v>44</v>
      </c>
      <c r="Q164" s="5">
        <v>0.89744052335873858</v>
      </c>
      <c r="R164" s="5">
        <v>4.9355060283969104E-2</v>
      </c>
      <c r="S164" s="6">
        <v>0</v>
      </c>
      <c r="T164" s="6">
        <v>1</v>
      </c>
      <c r="U164" s="6">
        <v>40</v>
      </c>
      <c r="V164" s="5">
        <v>0.64636059193257822</v>
      </c>
      <c r="W164" s="5">
        <v>6.6126331124485585E-2</v>
      </c>
      <c r="X164" s="6">
        <v>0</v>
      </c>
      <c r="Y164" s="6">
        <v>1</v>
      </c>
      <c r="Z164" s="6">
        <v>104</v>
      </c>
      <c r="AA164" s="12">
        <v>0.6412951441068232</v>
      </c>
      <c r="AB164" s="5">
        <v>4.1660786160429293E-2</v>
      </c>
      <c r="AC164" s="6">
        <v>0</v>
      </c>
      <c r="AD164" s="6">
        <v>1</v>
      </c>
      <c r="AE164" s="6">
        <v>264</v>
      </c>
      <c r="AF164">
        <f>(AA165/AA163)-AA164</f>
        <v>-0.12925212801396579</v>
      </c>
    </row>
    <row r="165" spans="1:32" ht="26.25" x14ac:dyDescent="0.45">
      <c r="A165" s="4" t="s">
        <v>83</v>
      </c>
      <c r="B165" s="5">
        <v>4.1083951053761059E-2</v>
      </c>
      <c r="C165" s="5">
        <v>3.2695868208035134E-2</v>
      </c>
      <c r="D165" s="6">
        <v>0</v>
      </c>
      <c r="E165" s="6">
        <v>1</v>
      </c>
      <c r="F165" s="6">
        <v>34</v>
      </c>
      <c r="G165" s="5">
        <v>0.1235615531000416</v>
      </c>
      <c r="H165" s="5">
        <v>5.238268655485618E-2</v>
      </c>
      <c r="I165" s="6">
        <v>0</v>
      </c>
      <c r="J165" s="6">
        <v>1</v>
      </c>
      <c r="K165" s="6">
        <v>42</v>
      </c>
      <c r="L165" s="5">
        <v>4.7446526160430894E-2</v>
      </c>
      <c r="M165" s="5">
        <v>3.3132322113056681E-2</v>
      </c>
      <c r="N165" s="6">
        <v>0</v>
      </c>
      <c r="O165" s="6">
        <v>1</v>
      </c>
      <c r="P165" s="6">
        <v>44</v>
      </c>
      <c r="Q165" s="5">
        <v>0.12570203484365922</v>
      </c>
      <c r="R165" s="5">
        <v>5.3202553266984524E-2</v>
      </c>
      <c r="S165" s="6">
        <v>0</v>
      </c>
      <c r="T165" s="6">
        <v>1</v>
      </c>
      <c r="U165" s="6">
        <v>40</v>
      </c>
      <c r="V165" s="5">
        <v>4.4339516270246217E-2</v>
      </c>
      <c r="W165" s="5">
        <v>2.3525080396030133E-2</v>
      </c>
      <c r="X165" s="6">
        <v>0</v>
      </c>
      <c r="Y165" s="6">
        <v>1</v>
      </c>
      <c r="Z165" s="6">
        <v>104</v>
      </c>
      <c r="AA165" s="12">
        <v>8.4884333514719135E-2</v>
      </c>
      <c r="AB165" s="5">
        <v>2.3080122292823E-2</v>
      </c>
      <c r="AC165" s="6">
        <v>0</v>
      </c>
      <c r="AD165" s="6">
        <v>1</v>
      </c>
      <c r="AE165" s="6">
        <v>264</v>
      </c>
    </row>
    <row r="166" spans="1:32" x14ac:dyDescent="0.45">
      <c r="A166" s="4" t="s">
        <v>30</v>
      </c>
      <c r="B166" s="5">
        <v>9.7944886332647418E-2</v>
      </c>
      <c r="C166" s="5">
        <v>5.0745074390485048E-2</v>
      </c>
      <c r="D166" s="6">
        <v>0</v>
      </c>
      <c r="E166" s="6">
        <v>1</v>
      </c>
      <c r="F166" s="6">
        <v>34</v>
      </c>
      <c r="G166" s="5">
        <v>0.19686198014165318</v>
      </c>
      <c r="H166" s="5">
        <v>6.361507673733699E-2</v>
      </c>
      <c r="I166" s="6">
        <v>0</v>
      </c>
      <c r="J166" s="6">
        <v>1</v>
      </c>
      <c r="K166" s="6">
        <v>42</v>
      </c>
      <c r="L166" s="5">
        <v>0.18448659651104984</v>
      </c>
      <c r="M166" s="5">
        <v>6.0019935102142451E-2</v>
      </c>
      <c r="N166" s="6">
        <v>0</v>
      </c>
      <c r="O166" s="6">
        <v>1</v>
      </c>
      <c r="P166" s="6">
        <v>44</v>
      </c>
      <c r="Q166" s="5">
        <v>0.12570203484365922</v>
      </c>
      <c r="R166" s="5">
        <v>5.3202553266984524E-2</v>
      </c>
      <c r="S166" s="6">
        <v>0</v>
      </c>
      <c r="T166" s="6">
        <v>1</v>
      </c>
      <c r="U166" s="6">
        <v>40</v>
      </c>
      <c r="V166" s="5">
        <v>7.1219747701667446E-2</v>
      </c>
      <c r="W166" s="5">
        <v>2.7252423041304919E-2</v>
      </c>
      <c r="X166" s="6">
        <v>0</v>
      </c>
      <c r="Y166" s="6">
        <v>1</v>
      </c>
      <c r="Z166" s="6">
        <v>104</v>
      </c>
      <c r="AA166" s="12">
        <v>0.16577578610959048</v>
      </c>
      <c r="AB166" s="5">
        <v>3.241187199883435E-2</v>
      </c>
      <c r="AC166" s="6">
        <v>0</v>
      </c>
      <c r="AD166" s="6">
        <v>1</v>
      </c>
      <c r="AE166" s="6">
        <v>264</v>
      </c>
      <c r="AF166">
        <f>(AA168/AA167)-AA166</f>
        <v>-4.3950036190624611E-2</v>
      </c>
    </row>
    <row r="167" spans="1:32" x14ac:dyDescent="0.45">
      <c r="A167" s="4" t="s">
        <v>42</v>
      </c>
      <c r="B167" s="5">
        <v>0.70676339075737993</v>
      </c>
      <c r="C167" s="5">
        <v>8.2311257529143506E-2</v>
      </c>
      <c r="D167" s="6">
        <v>0</v>
      </c>
      <c r="E167" s="6">
        <v>1</v>
      </c>
      <c r="F167" s="6">
        <v>34</v>
      </c>
      <c r="G167" s="5">
        <v>0.89745945595635757</v>
      </c>
      <c r="H167" s="5">
        <v>4.9322035621993304E-2</v>
      </c>
      <c r="I167" s="6">
        <v>0</v>
      </c>
      <c r="J167" s="6">
        <v>1</v>
      </c>
      <c r="K167" s="6">
        <v>42</v>
      </c>
      <c r="L167" s="5">
        <v>0.74627430949051987</v>
      </c>
      <c r="M167" s="5">
        <v>6.7544644640920845E-2</v>
      </c>
      <c r="N167" s="6">
        <v>0</v>
      </c>
      <c r="O167" s="6">
        <v>1</v>
      </c>
      <c r="P167" s="6">
        <v>44</v>
      </c>
      <c r="Q167" s="5">
        <v>0.87908303986713809</v>
      </c>
      <c r="R167" s="5">
        <v>5.2789569621478863E-2</v>
      </c>
      <c r="S167" s="6">
        <v>0</v>
      </c>
      <c r="T167" s="6">
        <v>1</v>
      </c>
      <c r="U167" s="6">
        <v>40</v>
      </c>
      <c r="V167" s="5">
        <v>0.5866426892711829</v>
      </c>
      <c r="W167" s="5">
        <v>6.7909303410161284E-2</v>
      </c>
      <c r="X167" s="6">
        <v>0</v>
      </c>
      <c r="Y167" s="6">
        <v>1</v>
      </c>
      <c r="Z167" s="6">
        <v>104</v>
      </c>
      <c r="AA167" s="12">
        <v>0.80877290183625294</v>
      </c>
      <c r="AB167" s="5">
        <v>3.3808580537463842E-2</v>
      </c>
      <c r="AC167" s="6">
        <v>0</v>
      </c>
      <c r="AD167" s="6">
        <v>1</v>
      </c>
      <c r="AE167" s="6">
        <v>264</v>
      </c>
      <c r="AF167">
        <f>(AA168/AA166)-AA167</f>
        <v>-0.21441972401326115</v>
      </c>
    </row>
    <row r="168" spans="1:32" ht="26.25" x14ac:dyDescent="0.45">
      <c r="A168" s="4" t="s">
        <v>84</v>
      </c>
      <c r="B168" s="5">
        <v>7.3428085493780881E-2</v>
      </c>
      <c r="C168" s="5">
        <v>4.5191018328904826E-2</v>
      </c>
      <c r="D168" s="6">
        <v>0</v>
      </c>
      <c r="E168" s="6">
        <v>1</v>
      </c>
      <c r="F168" s="6">
        <v>34</v>
      </c>
      <c r="G168" s="5">
        <v>0.14719409112510734</v>
      </c>
      <c r="H168" s="5">
        <v>5.6802439767796961E-2</v>
      </c>
      <c r="I168" s="6">
        <v>0</v>
      </c>
      <c r="J168" s="6">
        <v>1</v>
      </c>
      <c r="K168" s="6">
        <v>42</v>
      </c>
      <c r="L168" s="5">
        <v>7.1426529636907821E-2</v>
      </c>
      <c r="M168" s="5">
        <v>4.0311387613259697E-2</v>
      </c>
      <c r="N168" s="6">
        <v>0</v>
      </c>
      <c r="O168" s="6">
        <v>1</v>
      </c>
      <c r="P168" s="6">
        <v>44</v>
      </c>
      <c r="Q168" s="5">
        <v>0.10583371908496897</v>
      </c>
      <c r="R168" s="5">
        <v>5.0140469256084438E-2</v>
      </c>
      <c r="S168" s="6">
        <v>0</v>
      </c>
      <c r="T168" s="6">
        <v>1</v>
      </c>
      <c r="U168" s="6">
        <v>40</v>
      </c>
      <c r="V168" s="5">
        <v>4.0197954175124832E-2</v>
      </c>
      <c r="W168" s="5">
        <v>2.224996081727033E-2</v>
      </c>
      <c r="X168" s="6">
        <v>0</v>
      </c>
      <c r="Y168" s="6">
        <v>1</v>
      </c>
      <c r="Z168" s="6">
        <v>104</v>
      </c>
      <c r="AA168" s="12">
        <v>9.852936528033969E-2</v>
      </c>
      <c r="AB168" s="5">
        <v>2.5330606575280561E-2</v>
      </c>
      <c r="AC168" s="6">
        <v>0</v>
      </c>
      <c r="AD168" s="6">
        <v>1</v>
      </c>
      <c r="AE168" s="6">
        <v>264</v>
      </c>
    </row>
    <row r="169" spans="1:32" x14ac:dyDescent="0.45">
      <c r="A169" s="4" t="s">
        <v>30</v>
      </c>
      <c r="B169" s="5">
        <v>9.7944886332647418E-2</v>
      </c>
      <c r="C169" s="5">
        <v>5.0745074390485048E-2</v>
      </c>
      <c r="D169" s="6">
        <v>0</v>
      </c>
      <c r="E169" s="6">
        <v>1</v>
      </c>
      <c r="F169" s="6">
        <v>34</v>
      </c>
      <c r="G169" s="5">
        <v>0.19686198014165318</v>
      </c>
      <c r="H169" s="5">
        <v>6.361507673733699E-2</v>
      </c>
      <c r="I169" s="6">
        <v>0</v>
      </c>
      <c r="J169" s="6">
        <v>1</v>
      </c>
      <c r="K169" s="6">
        <v>42</v>
      </c>
      <c r="L169" s="5">
        <v>0.18448659651104984</v>
      </c>
      <c r="M169" s="5">
        <v>6.0019935102142451E-2</v>
      </c>
      <c r="N169" s="6">
        <v>0</v>
      </c>
      <c r="O169" s="6">
        <v>1</v>
      </c>
      <c r="P169" s="6">
        <v>44</v>
      </c>
      <c r="Q169" s="5">
        <v>0.12570203484365922</v>
      </c>
      <c r="R169" s="5">
        <v>5.3202553266984524E-2</v>
      </c>
      <c r="S169" s="6">
        <v>0</v>
      </c>
      <c r="T169" s="6">
        <v>1</v>
      </c>
      <c r="U169" s="6">
        <v>40</v>
      </c>
      <c r="V169" s="5">
        <v>7.1219747701667446E-2</v>
      </c>
      <c r="W169" s="5">
        <v>2.7252423041304919E-2</v>
      </c>
      <c r="X169" s="6">
        <v>0</v>
      </c>
      <c r="Y169" s="6">
        <v>1</v>
      </c>
      <c r="Z169" s="6">
        <v>104</v>
      </c>
      <c r="AA169" s="12">
        <v>0.16577578610959048</v>
      </c>
      <c r="AB169" s="5">
        <v>3.241187199883435E-2</v>
      </c>
      <c r="AC169" s="6">
        <v>0</v>
      </c>
      <c r="AD169" s="6">
        <v>1</v>
      </c>
      <c r="AE169" s="6">
        <v>264</v>
      </c>
      <c r="AF169">
        <f>(AA171/AA170)-AA169</f>
        <v>-6.7058108808379813E-2</v>
      </c>
    </row>
    <row r="170" spans="1:32" x14ac:dyDescent="0.45">
      <c r="A170" s="4" t="s">
        <v>44</v>
      </c>
      <c r="B170" s="5">
        <v>0.26296232107028095</v>
      </c>
      <c r="C170" s="5">
        <v>8.0971230867118368E-2</v>
      </c>
      <c r="D170" s="6">
        <v>0</v>
      </c>
      <c r="E170" s="6">
        <v>1</v>
      </c>
      <c r="F170" s="6">
        <v>34</v>
      </c>
      <c r="G170" s="5">
        <v>0.35571464744938486</v>
      </c>
      <c r="H170" s="5">
        <v>7.5377725145722718E-2</v>
      </c>
      <c r="I170" s="6">
        <v>0</v>
      </c>
      <c r="J170" s="6">
        <v>1</v>
      </c>
      <c r="K170" s="6">
        <v>42</v>
      </c>
      <c r="L170" s="5">
        <v>0.33138587150846482</v>
      </c>
      <c r="M170" s="5">
        <v>7.3951973163393067E-2</v>
      </c>
      <c r="N170" s="6">
        <v>0</v>
      </c>
      <c r="O170" s="6">
        <v>1</v>
      </c>
      <c r="P170" s="6">
        <v>44</v>
      </c>
      <c r="Q170" s="5">
        <v>0.48486364033758289</v>
      </c>
      <c r="R170" s="5">
        <v>8.2351680282883519E-2</v>
      </c>
      <c r="S170" s="6">
        <v>0</v>
      </c>
      <c r="T170" s="6">
        <v>1</v>
      </c>
      <c r="U170" s="6">
        <v>40</v>
      </c>
      <c r="V170" s="5">
        <v>0.24869923971566638</v>
      </c>
      <c r="W170" s="5">
        <v>5.4351819960247037E-2</v>
      </c>
      <c r="X170" s="6">
        <v>0</v>
      </c>
      <c r="Y170" s="6">
        <v>1</v>
      </c>
      <c r="Z170" s="6">
        <v>104</v>
      </c>
      <c r="AA170" s="12">
        <v>0.3652932886037854</v>
      </c>
      <c r="AB170" s="5">
        <v>4.1360781021304437E-2</v>
      </c>
      <c r="AC170" s="6">
        <v>0</v>
      </c>
      <c r="AD170" s="6">
        <v>1</v>
      </c>
      <c r="AE170" s="6">
        <v>264</v>
      </c>
      <c r="AF170">
        <f>(AA171/AA169)-AA170</f>
        <v>-0.14776510894039666</v>
      </c>
    </row>
    <row r="171" spans="1:32" ht="26.25" x14ac:dyDescent="0.45">
      <c r="A171" s="4" t="s">
        <v>85</v>
      </c>
      <c r="B171" s="5">
        <v>0</v>
      </c>
      <c r="C171" s="5">
        <v>0</v>
      </c>
      <c r="D171" s="6">
        <v>0</v>
      </c>
      <c r="E171" s="6">
        <v>0</v>
      </c>
      <c r="F171" s="6">
        <v>34</v>
      </c>
      <c r="G171" s="5">
        <v>6.5089115893563518E-2</v>
      </c>
      <c r="H171" s="5">
        <v>3.731512248307705E-2</v>
      </c>
      <c r="I171" s="6">
        <v>0</v>
      </c>
      <c r="J171" s="6">
        <v>1</v>
      </c>
      <c r="K171" s="6">
        <v>42</v>
      </c>
      <c r="L171" s="5">
        <v>0</v>
      </c>
      <c r="M171" s="5">
        <v>0</v>
      </c>
      <c r="N171" s="6">
        <v>0</v>
      </c>
      <c r="O171" s="6">
        <v>0</v>
      </c>
      <c r="P171" s="6">
        <v>44</v>
      </c>
      <c r="Q171" s="5">
        <v>7.983943656955024E-2</v>
      </c>
      <c r="R171" s="5">
        <v>4.4912237597367538E-2</v>
      </c>
      <c r="S171" s="6">
        <v>0</v>
      </c>
      <c r="T171" s="6">
        <v>1</v>
      </c>
      <c r="U171" s="6">
        <v>40</v>
      </c>
      <c r="V171" s="5">
        <v>2.2168617929270308E-2</v>
      </c>
      <c r="W171" s="5">
        <v>1.9037791306963613E-2</v>
      </c>
      <c r="X171" s="6">
        <v>0</v>
      </c>
      <c r="Y171" s="6">
        <v>1</v>
      </c>
      <c r="Z171" s="6">
        <v>104</v>
      </c>
      <c r="AA171" s="12">
        <v>3.6060904984686504E-2</v>
      </c>
      <c r="AB171" s="5">
        <v>1.4361547756092502E-2</v>
      </c>
      <c r="AC171" s="6">
        <v>0</v>
      </c>
      <c r="AD171" s="6">
        <v>1</v>
      </c>
      <c r="AE171" s="6">
        <v>264</v>
      </c>
    </row>
    <row r="172" spans="1:32" x14ac:dyDescent="0.45">
      <c r="A172" s="4" t="s">
        <v>30</v>
      </c>
      <c r="B172" s="5">
        <v>9.7944886332647418E-2</v>
      </c>
      <c r="C172" s="5">
        <v>5.0745074390485048E-2</v>
      </c>
      <c r="D172" s="6">
        <v>0</v>
      </c>
      <c r="E172" s="6">
        <v>1</v>
      </c>
      <c r="F172" s="6">
        <v>34</v>
      </c>
      <c r="G172" s="5">
        <v>0.19686198014165318</v>
      </c>
      <c r="H172" s="5">
        <v>6.361507673733699E-2</v>
      </c>
      <c r="I172" s="6">
        <v>0</v>
      </c>
      <c r="J172" s="6">
        <v>1</v>
      </c>
      <c r="K172" s="6">
        <v>42</v>
      </c>
      <c r="L172" s="5">
        <v>0.18448659651104984</v>
      </c>
      <c r="M172" s="5">
        <v>6.0019935102142451E-2</v>
      </c>
      <c r="N172" s="6">
        <v>0</v>
      </c>
      <c r="O172" s="6">
        <v>1</v>
      </c>
      <c r="P172" s="6">
        <v>44</v>
      </c>
      <c r="Q172" s="5">
        <v>0.12570203484365922</v>
      </c>
      <c r="R172" s="5">
        <v>5.3202553266984524E-2</v>
      </c>
      <c r="S172" s="6">
        <v>0</v>
      </c>
      <c r="T172" s="6">
        <v>1</v>
      </c>
      <c r="U172" s="6">
        <v>40</v>
      </c>
      <c r="V172" s="5">
        <v>7.1219747701667446E-2</v>
      </c>
      <c r="W172" s="5">
        <v>2.7252423041304919E-2</v>
      </c>
      <c r="X172" s="6">
        <v>0</v>
      </c>
      <c r="Y172" s="6">
        <v>1</v>
      </c>
      <c r="Z172" s="6">
        <v>104</v>
      </c>
      <c r="AA172" s="12">
        <v>0.16577578610959048</v>
      </c>
      <c r="AB172" s="5">
        <v>3.241187199883435E-2</v>
      </c>
      <c r="AC172" s="6">
        <v>0</v>
      </c>
      <c r="AD172" s="6">
        <v>1</v>
      </c>
      <c r="AE172" s="6">
        <v>264</v>
      </c>
      <c r="AF172">
        <f>(AA174/AA173)-AA172</f>
        <v>2.0931471123230849E-3</v>
      </c>
    </row>
    <row r="173" spans="1:32" ht="39.4" x14ac:dyDescent="0.45">
      <c r="A173" s="4" t="s">
        <v>16</v>
      </c>
      <c r="B173" s="5">
        <v>0.95226292316662886</v>
      </c>
      <c r="C173" s="5">
        <v>3.3757095360377097E-2</v>
      </c>
      <c r="D173" s="6">
        <v>0</v>
      </c>
      <c r="E173" s="6">
        <v>1</v>
      </c>
      <c r="F173" s="6">
        <v>34</v>
      </c>
      <c r="G173" s="5">
        <v>0.96979725445447418</v>
      </c>
      <c r="H173" s="5">
        <v>3.0016012175185333E-2</v>
      </c>
      <c r="I173" s="6">
        <v>0</v>
      </c>
      <c r="J173" s="6">
        <v>1</v>
      </c>
      <c r="K173" s="6">
        <v>42</v>
      </c>
      <c r="L173" s="5">
        <v>0.87135789190493673</v>
      </c>
      <c r="M173" s="5">
        <v>5.1043606748041002E-2</v>
      </c>
      <c r="N173" s="6">
        <v>0</v>
      </c>
      <c r="O173" s="6">
        <v>1</v>
      </c>
      <c r="P173" s="6">
        <v>44</v>
      </c>
      <c r="Q173" s="5">
        <v>0.94904190046407078</v>
      </c>
      <c r="R173" s="5">
        <v>3.5591246809232757E-2</v>
      </c>
      <c r="S173" s="6">
        <v>0</v>
      </c>
      <c r="T173" s="6">
        <v>1</v>
      </c>
      <c r="U173" s="6">
        <v>40</v>
      </c>
      <c r="V173" s="5">
        <v>0.6502146518916736</v>
      </c>
      <c r="W173" s="5">
        <v>6.6144933824160743E-2</v>
      </c>
      <c r="X173" s="6">
        <v>0</v>
      </c>
      <c r="Y173" s="6">
        <v>1</v>
      </c>
      <c r="Z173" s="6">
        <v>104</v>
      </c>
      <c r="AA173" s="12">
        <v>0.9123329679672284</v>
      </c>
      <c r="AB173" s="5">
        <v>2.4254307094762586E-2</v>
      </c>
      <c r="AC173" s="6">
        <v>0</v>
      </c>
      <c r="AD173" s="6">
        <v>1</v>
      </c>
      <c r="AE173" s="6">
        <v>264</v>
      </c>
      <c r="AF173">
        <f>(AA174/AA172)-AA173</f>
        <v>1.1519457468386451E-2</v>
      </c>
    </row>
    <row r="174" spans="1:32" x14ac:dyDescent="0.45">
      <c r="A174" s="4" t="s">
        <v>86</v>
      </c>
      <c r="B174" s="5">
        <v>7.3428085493780881E-2</v>
      </c>
      <c r="C174" s="5">
        <v>4.5191018328904826E-2</v>
      </c>
      <c r="D174" s="6">
        <v>0</v>
      </c>
      <c r="E174" s="6">
        <v>1</v>
      </c>
      <c r="F174" s="6">
        <v>34</v>
      </c>
      <c r="G174" s="5">
        <v>0.19686198014165318</v>
      </c>
      <c r="H174" s="5">
        <v>6.361507673733699E-2</v>
      </c>
      <c r="I174" s="6">
        <v>0</v>
      </c>
      <c r="J174" s="6">
        <v>1</v>
      </c>
      <c r="K174" s="6">
        <v>42</v>
      </c>
      <c r="L174" s="5">
        <v>0.15949131540835107</v>
      </c>
      <c r="M174" s="5">
        <v>5.6353876525588251E-2</v>
      </c>
      <c r="N174" s="6">
        <v>0</v>
      </c>
      <c r="O174" s="6">
        <v>1</v>
      </c>
      <c r="P174" s="6">
        <v>44</v>
      </c>
      <c r="Q174" s="5">
        <v>0.12570203484365922</v>
      </c>
      <c r="R174" s="5">
        <v>5.3202553266984524E-2</v>
      </c>
      <c r="S174" s="6">
        <v>0</v>
      </c>
      <c r="T174" s="6">
        <v>1</v>
      </c>
      <c r="U174" s="6">
        <v>40</v>
      </c>
      <c r="V174" s="5">
        <v>4.7658052090069784E-2</v>
      </c>
      <c r="W174" s="5">
        <v>2.3775501141739073E-2</v>
      </c>
      <c r="X174" s="6">
        <v>0</v>
      </c>
      <c r="Y174" s="6">
        <v>1</v>
      </c>
      <c r="Z174" s="6">
        <v>104</v>
      </c>
      <c r="AA174" s="12">
        <v>0.15315236207584088</v>
      </c>
      <c r="AB174" s="5">
        <v>3.1244130753407748E-2</v>
      </c>
      <c r="AC174" s="6">
        <v>0</v>
      </c>
      <c r="AD174" s="6">
        <v>1</v>
      </c>
      <c r="AE174" s="6">
        <v>264</v>
      </c>
    </row>
    <row r="175" spans="1:32" x14ac:dyDescent="0.45">
      <c r="A175" s="4" t="s">
        <v>30</v>
      </c>
      <c r="B175" s="5">
        <v>9.7944886332647418E-2</v>
      </c>
      <c r="C175" s="5">
        <v>5.0745074390485048E-2</v>
      </c>
      <c r="D175" s="6">
        <v>0</v>
      </c>
      <c r="E175" s="6">
        <v>1</v>
      </c>
      <c r="F175" s="6">
        <v>34</v>
      </c>
      <c r="G175" s="5">
        <v>0.19686198014165318</v>
      </c>
      <c r="H175" s="5">
        <v>6.361507673733699E-2</v>
      </c>
      <c r="I175" s="6">
        <v>0</v>
      </c>
      <c r="J175" s="6">
        <v>1</v>
      </c>
      <c r="K175" s="6">
        <v>42</v>
      </c>
      <c r="L175" s="5">
        <v>0.18448659651104984</v>
      </c>
      <c r="M175" s="5">
        <v>6.0019935102142451E-2</v>
      </c>
      <c r="N175" s="6">
        <v>0</v>
      </c>
      <c r="O175" s="6">
        <v>1</v>
      </c>
      <c r="P175" s="6">
        <v>44</v>
      </c>
      <c r="Q175" s="5">
        <v>0.12570203484365922</v>
      </c>
      <c r="R175" s="5">
        <v>5.3202553266984524E-2</v>
      </c>
      <c r="S175" s="6">
        <v>0</v>
      </c>
      <c r="T175" s="6">
        <v>1</v>
      </c>
      <c r="U175" s="6">
        <v>40</v>
      </c>
      <c r="V175" s="5">
        <v>7.1219747701667446E-2</v>
      </c>
      <c r="W175" s="5">
        <v>2.7252423041304919E-2</v>
      </c>
      <c r="X175" s="6">
        <v>0</v>
      </c>
      <c r="Y175" s="6">
        <v>1</v>
      </c>
      <c r="Z175" s="6">
        <v>104</v>
      </c>
      <c r="AA175" s="12">
        <v>0.16577578610959048</v>
      </c>
      <c r="AB175" s="5">
        <v>3.241187199883435E-2</v>
      </c>
      <c r="AC175" s="6">
        <v>0</v>
      </c>
      <c r="AD175" s="6">
        <v>1</v>
      </c>
      <c r="AE175" s="6">
        <v>264</v>
      </c>
      <c r="AF175">
        <f>(AA177/AA176)-AA175</f>
        <v>-1.0296694139178886E-2</v>
      </c>
    </row>
    <row r="176" spans="1:32" ht="39.4" x14ac:dyDescent="0.45">
      <c r="A176" s="4" t="s">
        <v>18</v>
      </c>
      <c r="B176" s="5">
        <v>0.95343656614872163</v>
      </c>
      <c r="C176" s="5">
        <v>3.2998861160736311E-2</v>
      </c>
      <c r="D176" s="6">
        <v>0</v>
      </c>
      <c r="E176" s="6">
        <v>1</v>
      </c>
      <c r="F176" s="6">
        <v>34</v>
      </c>
      <c r="G176" s="5">
        <v>0.96979725445447418</v>
      </c>
      <c r="H176" s="5">
        <v>3.0016012175185333E-2</v>
      </c>
      <c r="I176" s="6">
        <v>0</v>
      </c>
      <c r="J176" s="6">
        <v>1</v>
      </c>
      <c r="K176" s="6">
        <v>42</v>
      </c>
      <c r="L176" s="5">
        <v>0.87593051101785058</v>
      </c>
      <c r="M176" s="5">
        <v>5.2578277384873313E-2</v>
      </c>
      <c r="N176" s="6">
        <v>0</v>
      </c>
      <c r="O176" s="6">
        <v>1</v>
      </c>
      <c r="P176" s="6">
        <v>44</v>
      </c>
      <c r="Q176" s="5">
        <v>0.9749682228588612</v>
      </c>
      <c r="R176" s="5">
        <v>2.5049499255806983E-2</v>
      </c>
      <c r="S176" s="6">
        <v>0</v>
      </c>
      <c r="T176" s="6">
        <v>1</v>
      </c>
      <c r="U176" s="6">
        <v>40</v>
      </c>
      <c r="V176" s="5">
        <v>0.64843100359019867</v>
      </c>
      <c r="W176" s="5">
        <v>6.691909310816567E-2</v>
      </c>
      <c r="X176" s="6">
        <v>0</v>
      </c>
      <c r="Y176" s="6">
        <v>1</v>
      </c>
      <c r="Z176" s="6">
        <v>104</v>
      </c>
      <c r="AA176" s="12">
        <v>0.920016663772251</v>
      </c>
      <c r="AB176" s="5">
        <v>2.4310884334046948E-2</v>
      </c>
      <c r="AC176" s="6">
        <v>0</v>
      </c>
      <c r="AD176" s="6">
        <v>1</v>
      </c>
      <c r="AE176" s="6">
        <v>264</v>
      </c>
      <c r="AF176">
        <f>(AA177/AA175)-AA176</f>
        <v>-5.7144233257010013E-2</v>
      </c>
    </row>
    <row r="177" spans="1:32" x14ac:dyDescent="0.45">
      <c r="A177" s="4" t="s">
        <v>87</v>
      </c>
      <c r="B177" s="5">
        <v>7.3428085493780881E-2</v>
      </c>
      <c r="C177" s="5">
        <v>4.5191018328904826E-2</v>
      </c>
      <c r="D177" s="6">
        <v>0</v>
      </c>
      <c r="E177" s="6">
        <v>1</v>
      </c>
      <c r="F177" s="6">
        <v>34</v>
      </c>
      <c r="G177" s="5">
        <v>0.19686198014165318</v>
      </c>
      <c r="H177" s="5">
        <v>6.361507673733699E-2</v>
      </c>
      <c r="I177" s="6">
        <v>0</v>
      </c>
      <c r="J177" s="6">
        <v>1</v>
      </c>
      <c r="K177" s="6">
        <v>42</v>
      </c>
      <c r="L177" s="5">
        <v>0.13549310058994926</v>
      </c>
      <c r="M177" s="5">
        <v>5.2465706971881632E-2</v>
      </c>
      <c r="N177" s="6">
        <v>0</v>
      </c>
      <c r="O177" s="6">
        <v>1</v>
      </c>
      <c r="P177" s="6">
        <v>44</v>
      </c>
      <c r="Q177" s="5">
        <v>0.12570203484365922</v>
      </c>
      <c r="R177" s="5">
        <v>5.3202553266984524E-2</v>
      </c>
      <c r="S177" s="6">
        <v>0</v>
      </c>
      <c r="T177" s="6">
        <v>1</v>
      </c>
      <c r="U177" s="6">
        <v>40</v>
      </c>
      <c r="V177" s="5">
        <v>4.3516489994948393E-2</v>
      </c>
      <c r="W177" s="5">
        <v>2.2514594499963785E-2</v>
      </c>
      <c r="X177" s="6">
        <v>0</v>
      </c>
      <c r="Y177" s="6">
        <v>1</v>
      </c>
      <c r="Z177" s="6">
        <v>104</v>
      </c>
      <c r="AA177" s="12">
        <v>0.14304335548095706</v>
      </c>
      <c r="AB177" s="5">
        <v>3.0103975958328127E-2</v>
      </c>
      <c r="AC177" s="6">
        <v>0</v>
      </c>
      <c r="AD177" s="6">
        <v>1</v>
      </c>
      <c r="AE177" s="6">
        <v>264</v>
      </c>
    </row>
    <row r="178" spans="1:32" x14ac:dyDescent="0.45">
      <c r="A178" s="4" t="s">
        <v>30</v>
      </c>
      <c r="B178" s="5">
        <v>9.7944886332647418E-2</v>
      </c>
      <c r="C178" s="5">
        <v>5.0745074390485048E-2</v>
      </c>
      <c r="D178" s="6">
        <v>0</v>
      </c>
      <c r="E178" s="6">
        <v>1</v>
      </c>
      <c r="F178" s="6">
        <v>34</v>
      </c>
      <c r="G178" s="5">
        <v>0.19686198014165318</v>
      </c>
      <c r="H178" s="5">
        <v>6.361507673733699E-2</v>
      </c>
      <c r="I178" s="6">
        <v>0</v>
      </c>
      <c r="J178" s="6">
        <v>1</v>
      </c>
      <c r="K178" s="6">
        <v>42</v>
      </c>
      <c r="L178" s="5">
        <v>0.18448659651104984</v>
      </c>
      <c r="M178" s="5">
        <v>6.0019935102142451E-2</v>
      </c>
      <c r="N178" s="6">
        <v>0</v>
      </c>
      <c r="O178" s="6">
        <v>1</v>
      </c>
      <c r="P178" s="6">
        <v>44</v>
      </c>
      <c r="Q178" s="5">
        <v>0.12570203484365922</v>
      </c>
      <c r="R178" s="5">
        <v>5.3202553266984524E-2</v>
      </c>
      <c r="S178" s="6">
        <v>0</v>
      </c>
      <c r="T178" s="6">
        <v>1</v>
      </c>
      <c r="U178" s="6">
        <v>40</v>
      </c>
      <c r="V178" s="5">
        <v>7.1219747701667446E-2</v>
      </c>
      <c r="W178" s="5">
        <v>2.7252423041304919E-2</v>
      </c>
      <c r="X178" s="6">
        <v>0</v>
      </c>
      <c r="Y178" s="6">
        <v>1</v>
      </c>
      <c r="Z178" s="6">
        <v>104</v>
      </c>
      <c r="AA178" s="12">
        <v>0.16577578610959048</v>
      </c>
      <c r="AB178" s="5">
        <v>3.241187199883435E-2</v>
      </c>
      <c r="AC178" s="6">
        <v>0</v>
      </c>
      <c r="AD178" s="6">
        <v>1</v>
      </c>
      <c r="AE178" s="6">
        <v>264</v>
      </c>
      <c r="AF178">
        <f>(AA180/AA179)-AA178</f>
        <v>-1.108747845486463E-2</v>
      </c>
    </row>
    <row r="179" spans="1:32" ht="39.4" x14ac:dyDescent="0.45">
      <c r="A179" s="4" t="s">
        <v>20</v>
      </c>
      <c r="B179" s="5">
        <v>0.90678716876013998</v>
      </c>
      <c r="C179" s="5">
        <v>4.9177473357267902E-2</v>
      </c>
      <c r="D179" s="6">
        <v>0</v>
      </c>
      <c r="E179" s="6">
        <v>1</v>
      </c>
      <c r="F179" s="6">
        <v>34</v>
      </c>
      <c r="G179" s="5">
        <v>0.89891076629469935</v>
      </c>
      <c r="H179" s="5">
        <v>4.8893744591203998E-2</v>
      </c>
      <c r="I179" s="6">
        <v>0</v>
      </c>
      <c r="J179" s="6">
        <v>1</v>
      </c>
      <c r="K179" s="6">
        <v>42</v>
      </c>
      <c r="L179" s="5">
        <v>0.84039888724151057</v>
      </c>
      <c r="M179" s="5">
        <v>5.7315203821004336E-2</v>
      </c>
      <c r="N179" s="6">
        <v>0</v>
      </c>
      <c r="O179" s="6">
        <v>1</v>
      </c>
      <c r="P179" s="6">
        <v>44</v>
      </c>
      <c r="Q179" s="5">
        <v>0.94871856326789294</v>
      </c>
      <c r="R179" s="5">
        <v>3.5809222533905935E-2</v>
      </c>
      <c r="S179" s="6">
        <v>0</v>
      </c>
      <c r="T179" s="6">
        <v>1</v>
      </c>
      <c r="U179" s="6">
        <v>40</v>
      </c>
      <c r="V179" s="5">
        <v>0.49530541673349471</v>
      </c>
      <c r="W179" s="5">
        <v>6.7368955173709583E-2</v>
      </c>
      <c r="X179" s="6">
        <v>0</v>
      </c>
      <c r="Y179" s="6">
        <v>1</v>
      </c>
      <c r="Z179" s="6">
        <v>104</v>
      </c>
      <c r="AA179" s="12">
        <v>0.87236824792352818</v>
      </c>
      <c r="AB179" s="5">
        <v>2.8607368369315354E-2</v>
      </c>
      <c r="AC179" s="6">
        <v>0</v>
      </c>
      <c r="AD179" s="6">
        <v>1</v>
      </c>
      <c r="AE179" s="6">
        <v>264</v>
      </c>
      <c r="AF179">
        <f>(AA180/AA178)-AA179</f>
        <v>-5.8346061150124418E-2</v>
      </c>
    </row>
    <row r="180" spans="1:32" x14ac:dyDescent="0.45">
      <c r="A180" s="4" t="s">
        <v>88</v>
      </c>
      <c r="B180" s="5">
        <v>6.3523076459219049E-2</v>
      </c>
      <c r="C180" s="5">
        <v>4.4174764743558276E-2</v>
      </c>
      <c r="D180" s="6">
        <v>0</v>
      </c>
      <c r="E180" s="6">
        <v>1</v>
      </c>
      <c r="F180" s="6">
        <v>34</v>
      </c>
      <c r="G180" s="5">
        <v>0.17086279958669384</v>
      </c>
      <c r="H180" s="5">
        <v>6.0116197445049056E-2</v>
      </c>
      <c r="I180" s="6">
        <v>0</v>
      </c>
      <c r="J180" s="6">
        <v>1</v>
      </c>
      <c r="K180" s="6">
        <v>42</v>
      </c>
      <c r="L180" s="5">
        <v>0.13549310058994926</v>
      </c>
      <c r="M180" s="5">
        <v>5.2465706971881632E-2</v>
      </c>
      <c r="N180" s="6">
        <v>0</v>
      </c>
      <c r="O180" s="6">
        <v>1</v>
      </c>
      <c r="P180" s="6">
        <v>44</v>
      </c>
      <c r="Q180" s="5">
        <v>0.12570203484365922</v>
      </c>
      <c r="R180" s="5">
        <v>5.3202553266984524E-2</v>
      </c>
      <c r="S180" s="6">
        <v>0</v>
      </c>
      <c r="T180" s="6">
        <v>1</v>
      </c>
      <c r="U180" s="6">
        <v>40</v>
      </c>
      <c r="V180" s="5">
        <v>2.8241571565647324E-2</v>
      </c>
      <c r="W180" s="5">
        <v>1.9525234439272805E-2</v>
      </c>
      <c r="X180" s="6">
        <v>0</v>
      </c>
      <c r="Y180" s="6">
        <v>1</v>
      </c>
      <c r="Z180" s="6">
        <v>104</v>
      </c>
      <c r="AA180" s="12">
        <v>0.1349451679230089</v>
      </c>
      <c r="AB180" s="5">
        <v>2.9504931445973416E-2</v>
      </c>
      <c r="AC180" s="6">
        <v>0</v>
      </c>
      <c r="AD180" s="6">
        <v>1</v>
      </c>
      <c r="AE180" s="6">
        <v>264</v>
      </c>
    </row>
    <row r="181" spans="1:32" x14ac:dyDescent="0.45">
      <c r="A181" s="4" t="s">
        <v>30</v>
      </c>
      <c r="B181" s="5">
        <v>9.7944886332647418E-2</v>
      </c>
      <c r="C181" s="5">
        <v>5.0745074390485048E-2</v>
      </c>
      <c r="D181" s="6">
        <v>0</v>
      </c>
      <c r="E181" s="6">
        <v>1</v>
      </c>
      <c r="F181" s="6">
        <v>34</v>
      </c>
      <c r="G181" s="5">
        <v>0.19686198014165318</v>
      </c>
      <c r="H181" s="5">
        <v>6.361507673733699E-2</v>
      </c>
      <c r="I181" s="6">
        <v>0</v>
      </c>
      <c r="J181" s="6">
        <v>1</v>
      </c>
      <c r="K181" s="6">
        <v>42</v>
      </c>
      <c r="L181" s="5">
        <v>0.18448659651104984</v>
      </c>
      <c r="M181" s="5">
        <v>6.0019935102142451E-2</v>
      </c>
      <c r="N181" s="6">
        <v>0</v>
      </c>
      <c r="O181" s="6">
        <v>1</v>
      </c>
      <c r="P181" s="6">
        <v>44</v>
      </c>
      <c r="Q181" s="5">
        <v>0.12570203484365922</v>
      </c>
      <c r="R181" s="5">
        <v>5.3202553266984524E-2</v>
      </c>
      <c r="S181" s="6">
        <v>0</v>
      </c>
      <c r="T181" s="6">
        <v>1</v>
      </c>
      <c r="U181" s="6">
        <v>40</v>
      </c>
      <c r="V181" s="5">
        <v>7.1219747701667446E-2</v>
      </c>
      <c r="W181" s="5">
        <v>2.7252423041304919E-2</v>
      </c>
      <c r="X181" s="6">
        <v>0</v>
      </c>
      <c r="Y181" s="6">
        <v>1</v>
      </c>
      <c r="Z181" s="6">
        <v>104</v>
      </c>
      <c r="AA181" s="12">
        <v>0.16577578610959048</v>
      </c>
      <c r="AB181" s="5">
        <v>3.241187199883435E-2</v>
      </c>
      <c r="AC181" s="6">
        <v>0</v>
      </c>
      <c r="AD181" s="6">
        <v>1</v>
      </c>
      <c r="AE181" s="6">
        <v>264</v>
      </c>
      <c r="AF181">
        <f>(AA183/AA182)-AA181</f>
        <v>-1.5974843245708636E-2</v>
      </c>
    </row>
    <row r="182" spans="1:32" ht="26.25" x14ac:dyDescent="0.45">
      <c r="A182" s="4" t="s">
        <v>22</v>
      </c>
      <c r="B182" s="5">
        <v>0.84952162550522947</v>
      </c>
      <c r="C182" s="5">
        <v>6.1545774275045921E-2</v>
      </c>
      <c r="D182" s="6">
        <v>0</v>
      </c>
      <c r="E182" s="6">
        <v>1</v>
      </c>
      <c r="F182" s="6">
        <v>34</v>
      </c>
      <c r="G182" s="5">
        <v>0.96979725445447418</v>
      </c>
      <c r="H182" s="5">
        <v>3.0016012175185333E-2</v>
      </c>
      <c r="I182" s="6">
        <v>0</v>
      </c>
      <c r="J182" s="6">
        <v>1</v>
      </c>
      <c r="K182" s="6">
        <v>42</v>
      </c>
      <c r="L182" s="5">
        <v>0.86468560906249525</v>
      </c>
      <c r="M182" s="5">
        <v>5.2374794839710012E-2</v>
      </c>
      <c r="N182" s="6">
        <v>0</v>
      </c>
      <c r="O182" s="6">
        <v>1</v>
      </c>
      <c r="P182" s="6">
        <v>44</v>
      </c>
      <c r="Q182" s="5">
        <v>0.9749682228588612</v>
      </c>
      <c r="R182" s="5">
        <v>2.5049499255806983E-2</v>
      </c>
      <c r="S182" s="6">
        <v>0</v>
      </c>
      <c r="T182" s="6">
        <v>1</v>
      </c>
      <c r="U182" s="6">
        <v>40</v>
      </c>
      <c r="V182" s="5">
        <v>0.67616365127076683</v>
      </c>
      <c r="W182" s="5">
        <v>6.6180623554006821E-2</v>
      </c>
      <c r="X182" s="6">
        <v>0</v>
      </c>
      <c r="Y182" s="6">
        <v>1</v>
      </c>
      <c r="Z182" s="6">
        <v>104</v>
      </c>
      <c r="AA182" s="12">
        <v>0.91020657995142884</v>
      </c>
      <c r="AB182" s="5">
        <v>2.4389856620021973E-2</v>
      </c>
      <c r="AC182" s="6">
        <v>0</v>
      </c>
      <c r="AD182" s="6">
        <v>1</v>
      </c>
      <c r="AE182" s="6">
        <v>264</v>
      </c>
      <c r="AF182">
        <f>(AA183/AA181)-AA182</f>
        <v>-8.7711286293188362E-2</v>
      </c>
    </row>
    <row r="183" spans="1:32" x14ac:dyDescent="0.45">
      <c r="A183" s="4" t="s">
        <v>89</v>
      </c>
      <c r="B183" s="5">
        <v>7.3428085493780881E-2</v>
      </c>
      <c r="C183" s="5">
        <v>4.5191018328904826E-2</v>
      </c>
      <c r="D183" s="6">
        <v>0</v>
      </c>
      <c r="E183" s="6">
        <v>1</v>
      </c>
      <c r="F183" s="6">
        <v>34</v>
      </c>
      <c r="G183" s="5">
        <v>0.19686198014165318</v>
      </c>
      <c r="H183" s="5">
        <v>6.361507673733699E-2</v>
      </c>
      <c r="I183" s="6">
        <v>0</v>
      </c>
      <c r="J183" s="6">
        <v>1</v>
      </c>
      <c r="K183" s="6">
        <v>42</v>
      </c>
      <c r="L183" s="5">
        <v>0.1188730557973387</v>
      </c>
      <c r="M183" s="5">
        <v>5.0578260834282115E-2</v>
      </c>
      <c r="N183" s="6">
        <v>0</v>
      </c>
      <c r="O183" s="6">
        <v>1</v>
      </c>
      <c r="P183" s="6">
        <v>44</v>
      </c>
      <c r="Q183" s="5">
        <v>0.12570203484365922</v>
      </c>
      <c r="R183" s="5">
        <v>5.3202553266984524E-2</v>
      </c>
      <c r="S183" s="6">
        <v>0</v>
      </c>
      <c r="T183" s="6">
        <v>1</v>
      </c>
      <c r="U183" s="6">
        <v>40</v>
      </c>
      <c r="V183" s="5">
        <v>4.9641205249037486E-2</v>
      </c>
      <c r="W183" s="5">
        <v>2.4125423191709953E-2</v>
      </c>
      <c r="X183" s="6">
        <v>0</v>
      </c>
      <c r="Y183" s="6">
        <v>1</v>
      </c>
      <c r="Z183" s="6">
        <v>104</v>
      </c>
      <c r="AA183" s="12">
        <v>0.13634980387763329</v>
      </c>
      <c r="AB183" s="5">
        <v>2.9580968253203013E-2</v>
      </c>
      <c r="AC183" s="6">
        <v>0</v>
      </c>
      <c r="AD183" s="6">
        <v>1</v>
      </c>
      <c r="AE183" s="6">
        <v>264</v>
      </c>
    </row>
    <row r="184" spans="1:32" x14ac:dyDescent="0.45">
      <c r="A184" s="4" t="s">
        <v>30</v>
      </c>
      <c r="B184" s="5">
        <v>9.7944886332647418E-2</v>
      </c>
      <c r="C184" s="5">
        <v>5.0745074390485048E-2</v>
      </c>
      <c r="D184" s="6">
        <v>0</v>
      </c>
      <c r="E184" s="6">
        <v>1</v>
      </c>
      <c r="F184" s="6">
        <v>34</v>
      </c>
      <c r="G184" s="5">
        <v>0.19686198014165318</v>
      </c>
      <c r="H184" s="5">
        <v>6.361507673733699E-2</v>
      </c>
      <c r="I184" s="6">
        <v>0</v>
      </c>
      <c r="J184" s="6">
        <v>1</v>
      </c>
      <c r="K184" s="6">
        <v>42</v>
      </c>
      <c r="L184" s="5">
        <v>0.18448659651104984</v>
      </c>
      <c r="M184" s="5">
        <v>6.0019935102142451E-2</v>
      </c>
      <c r="N184" s="6">
        <v>0</v>
      </c>
      <c r="O184" s="6">
        <v>1</v>
      </c>
      <c r="P184" s="6">
        <v>44</v>
      </c>
      <c r="Q184" s="5">
        <v>0.12570203484365922</v>
      </c>
      <c r="R184" s="5">
        <v>5.3202553266984524E-2</v>
      </c>
      <c r="S184" s="6">
        <v>0</v>
      </c>
      <c r="T184" s="6">
        <v>1</v>
      </c>
      <c r="U184" s="6">
        <v>40</v>
      </c>
      <c r="V184" s="5">
        <v>7.1219747701667446E-2</v>
      </c>
      <c r="W184" s="5">
        <v>2.7252423041304919E-2</v>
      </c>
      <c r="X184" s="6">
        <v>0</v>
      </c>
      <c r="Y184" s="6">
        <v>1</v>
      </c>
      <c r="Z184" s="6">
        <v>104</v>
      </c>
      <c r="AA184" s="12">
        <v>0.16577578610959048</v>
      </c>
      <c r="AB184" s="5">
        <v>3.241187199883435E-2</v>
      </c>
      <c r="AC184" s="6">
        <v>0</v>
      </c>
      <c r="AD184" s="6">
        <v>1</v>
      </c>
      <c r="AE184" s="6">
        <v>264</v>
      </c>
      <c r="AF184">
        <f>(AA186/AA185)-AA184</f>
        <v>-4.5752315366887453E-2</v>
      </c>
    </row>
    <row r="185" spans="1:32" ht="26.25" x14ac:dyDescent="0.45">
      <c r="A185" s="4" t="s">
        <v>24</v>
      </c>
      <c r="B185" s="5">
        <v>0.59113064078982813</v>
      </c>
      <c r="C185" s="5">
        <v>8.9609791547363538E-2</v>
      </c>
      <c r="D185" s="6">
        <v>0</v>
      </c>
      <c r="E185" s="6">
        <v>1</v>
      </c>
      <c r="F185" s="6">
        <v>34</v>
      </c>
      <c r="G185" s="5">
        <v>0.71909384928754405</v>
      </c>
      <c r="H185" s="5">
        <v>7.2403474018022274E-2</v>
      </c>
      <c r="I185" s="6">
        <v>0</v>
      </c>
      <c r="J185" s="6">
        <v>1</v>
      </c>
      <c r="K185" s="6">
        <v>42</v>
      </c>
      <c r="L185" s="5">
        <v>0.69739462956204068</v>
      </c>
      <c r="M185" s="5">
        <v>7.1809022935466635E-2</v>
      </c>
      <c r="N185" s="6">
        <v>0</v>
      </c>
      <c r="O185" s="6">
        <v>1</v>
      </c>
      <c r="P185" s="6">
        <v>44</v>
      </c>
      <c r="Q185" s="5">
        <v>0.9233668457535289</v>
      </c>
      <c r="R185" s="5">
        <v>4.3202567197263397E-2</v>
      </c>
      <c r="S185" s="6">
        <v>0</v>
      </c>
      <c r="T185" s="6">
        <v>1</v>
      </c>
      <c r="U185" s="6">
        <v>40</v>
      </c>
      <c r="V185" s="5">
        <v>0.65121302184637453</v>
      </c>
      <c r="W185" s="5">
        <v>6.6128687462899488E-2</v>
      </c>
      <c r="X185" s="6">
        <v>0</v>
      </c>
      <c r="Y185" s="6">
        <v>1</v>
      </c>
      <c r="Z185" s="6">
        <v>104</v>
      </c>
      <c r="AA185" s="12">
        <v>0.74577850242169597</v>
      </c>
      <c r="AB185" s="5">
        <v>3.7735522277039836E-2</v>
      </c>
      <c r="AC185" s="6">
        <v>0</v>
      </c>
      <c r="AD185" s="6">
        <v>1</v>
      </c>
      <c r="AE185" s="6">
        <v>264</v>
      </c>
      <c r="AF185">
        <f>(AA186/AA184)-AA185</f>
        <v>-0.20582676178103487</v>
      </c>
    </row>
    <row r="186" spans="1:32" x14ac:dyDescent="0.45">
      <c r="A186" s="4" t="s">
        <v>90</v>
      </c>
      <c r="B186" s="5">
        <v>4.1083951053761059E-2</v>
      </c>
      <c r="C186" s="5">
        <v>3.2695868208035134E-2</v>
      </c>
      <c r="D186" s="6">
        <v>0</v>
      </c>
      <c r="E186" s="6">
        <v>1</v>
      </c>
      <c r="F186" s="6">
        <v>34</v>
      </c>
      <c r="G186" s="5">
        <v>0.14075618546506871</v>
      </c>
      <c r="H186" s="5">
        <v>5.4480436380647791E-2</v>
      </c>
      <c r="I186" s="6">
        <v>0</v>
      </c>
      <c r="J186" s="6">
        <v>1</v>
      </c>
      <c r="K186" s="6">
        <v>42</v>
      </c>
      <c r="L186" s="5">
        <v>4.7446526160430894E-2</v>
      </c>
      <c r="M186" s="5">
        <v>3.3132322113056681E-2</v>
      </c>
      <c r="N186" s="6">
        <v>0</v>
      </c>
      <c r="O186" s="6">
        <v>1</v>
      </c>
      <c r="P186" s="6">
        <v>44</v>
      </c>
      <c r="Q186" s="5">
        <v>0.12570203484365922</v>
      </c>
      <c r="R186" s="5">
        <v>5.3202553266984524E-2</v>
      </c>
      <c r="S186" s="6">
        <v>0</v>
      </c>
      <c r="T186" s="6">
        <v>1</v>
      </c>
      <c r="U186" s="6">
        <v>40</v>
      </c>
      <c r="V186" s="5">
        <v>4.4339516270246217E-2</v>
      </c>
      <c r="W186" s="5">
        <v>2.3525080396030133E-2</v>
      </c>
      <c r="X186" s="6">
        <v>0</v>
      </c>
      <c r="Y186" s="6">
        <v>1</v>
      </c>
      <c r="Z186" s="6">
        <v>104</v>
      </c>
      <c r="AA186" s="12">
        <v>8.9510924265947311E-2</v>
      </c>
      <c r="AB186" s="5">
        <v>2.3472202426366079E-2</v>
      </c>
      <c r="AC186" s="6">
        <v>0</v>
      </c>
      <c r="AD186" s="6">
        <v>1</v>
      </c>
      <c r="AE186" s="6">
        <v>264</v>
      </c>
    </row>
    <row r="187" spans="1:32" x14ac:dyDescent="0.45">
      <c r="A187" s="4" t="s">
        <v>32</v>
      </c>
      <c r="B187" s="5">
        <v>0.88886175204661999</v>
      </c>
      <c r="C187" s="5">
        <v>6.1457033964244352E-2</v>
      </c>
      <c r="D187" s="6">
        <v>0</v>
      </c>
      <c r="E187" s="6">
        <v>1</v>
      </c>
      <c r="F187" s="6">
        <v>34</v>
      </c>
      <c r="G187" s="5">
        <v>0.60873909731901421</v>
      </c>
      <c r="H187" s="5">
        <v>7.7439164761967633E-2</v>
      </c>
      <c r="I187" s="6">
        <v>0</v>
      </c>
      <c r="J187" s="6">
        <v>1</v>
      </c>
      <c r="K187" s="6">
        <v>42</v>
      </c>
      <c r="L187" s="5">
        <v>0.4867159180448013</v>
      </c>
      <c r="M187" s="5">
        <v>7.8217992076327084E-2</v>
      </c>
      <c r="N187" s="6">
        <v>0</v>
      </c>
      <c r="O187" s="6">
        <v>1</v>
      </c>
      <c r="P187" s="6">
        <v>44</v>
      </c>
      <c r="Q187" s="5">
        <v>0.64300167798766439</v>
      </c>
      <c r="R187" s="5">
        <v>7.9764129090886995E-2</v>
      </c>
      <c r="S187" s="6">
        <v>0</v>
      </c>
      <c r="T187" s="6">
        <v>1</v>
      </c>
      <c r="U187" s="6">
        <v>40</v>
      </c>
      <c r="V187" s="5">
        <v>0.21962332207176813</v>
      </c>
      <c r="W187" s="5">
        <v>4.9938905008240317E-2</v>
      </c>
      <c r="X187" s="6">
        <v>0</v>
      </c>
      <c r="Y187" s="6">
        <v>1</v>
      </c>
      <c r="Z187" s="6">
        <v>104</v>
      </c>
      <c r="AA187" s="12">
        <v>0.56879903245024355</v>
      </c>
      <c r="AB187" s="5">
        <v>4.2838805073454271E-2</v>
      </c>
      <c r="AC187" s="6">
        <v>0</v>
      </c>
      <c r="AD187" s="6">
        <v>1</v>
      </c>
      <c r="AE187" s="6">
        <v>264</v>
      </c>
      <c r="AF187">
        <f>(AA189/AA188)-AA187</f>
        <v>-2.9240126638856445E-3</v>
      </c>
    </row>
    <row r="188" spans="1:32" x14ac:dyDescent="0.45">
      <c r="A188" s="4" t="s">
        <v>36</v>
      </c>
      <c r="B188" s="5">
        <v>0.76064468833586119</v>
      </c>
      <c r="C188" s="5">
        <v>7.7815769808775942E-2</v>
      </c>
      <c r="D188" s="6">
        <v>0</v>
      </c>
      <c r="E188" s="6">
        <v>1</v>
      </c>
      <c r="F188" s="6">
        <v>34</v>
      </c>
      <c r="G188" s="5">
        <v>0.47021854293445042</v>
      </c>
      <c r="H188" s="5">
        <v>7.9243117363754292E-2</v>
      </c>
      <c r="I188" s="6">
        <v>0</v>
      </c>
      <c r="J188" s="6">
        <v>1</v>
      </c>
      <c r="K188" s="6">
        <v>42</v>
      </c>
      <c r="L188" s="5">
        <v>0.2445206682606792</v>
      </c>
      <c r="M188" s="5">
        <v>6.7154542896761538E-2</v>
      </c>
      <c r="N188" s="6">
        <v>0</v>
      </c>
      <c r="O188" s="6">
        <v>1</v>
      </c>
      <c r="P188" s="6">
        <v>42</v>
      </c>
      <c r="Q188" s="5">
        <v>0.35160809189742964</v>
      </c>
      <c r="R188" s="5">
        <v>7.902438279457083E-2</v>
      </c>
      <c r="S188" s="6">
        <v>0</v>
      </c>
      <c r="T188" s="6">
        <v>1</v>
      </c>
      <c r="U188" s="6">
        <v>40</v>
      </c>
      <c r="V188" s="5">
        <v>0.42925514319553509</v>
      </c>
      <c r="W188" s="5">
        <v>6.917480911456024E-2</v>
      </c>
      <c r="X188" s="6">
        <v>0</v>
      </c>
      <c r="Y188" s="6">
        <v>1</v>
      </c>
      <c r="Z188" s="6">
        <v>100</v>
      </c>
      <c r="AA188" s="12">
        <v>0.36787839094902408</v>
      </c>
      <c r="AB188" s="5">
        <v>4.0690017630809268E-2</v>
      </c>
      <c r="AC188" s="6">
        <v>0</v>
      </c>
      <c r="AD188" s="6">
        <v>1</v>
      </c>
      <c r="AE188" s="6">
        <v>258</v>
      </c>
      <c r="AF188">
        <f>(AA189/AA187)-AA188</f>
        <v>-1.8911443454308619E-3</v>
      </c>
    </row>
    <row r="189" spans="1:32" x14ac:dyDescent="0.45">
      <c r="A189" s="4" t="s">
        <v>91</v>
      </c>
      <c r="B189" s="5">
        <v>0.64950644038248107</v>
      </c>
      <c r="C189" s="5">
        <v>8.8326936800757719E-2</v>
      </c>
      <c r="D189" s="6">
        <v>0</v>
      </c>
      <c r="E189" s="6">
        <v>1</v>
      </c>
      <c r="F189" s="6">
        <v>34</v>
      </c>
      <c r="G189" s="5">
        <v>0.27146396667077766</v>
      </c>
      <c r="H189" s="5">
        <v>7.0906083261349187E-2</v>
      </c>
      <c r="I189" s="6">
        <v>0</v>
      </c>
      <c r="J189" s="6">
        <v>1</v>
      </c>
      <c r="K189" s="6">
        <v>42</v>
      </c>
      <c r="L189" s="5">
        <v>6.780995613357782E-2</v>
      </c>
      <c r="M189" s="5">
        <v>3.8428274783171366E-2</v>
      </c>
      <c r="N189" s="6">
        <v>0</v>
      </c>
      <c r="O189" s="6">
        <v>1</v>
      </c>
      <c r="P189" s="6">
        <v>42</v>
      </c>
      <c r="Q189" s="5">
        <v>0.29011897787901003</v>
      </c>
      <c r="R189" s="5">
        <v>7.454569347293874E-2</v>
      </c>
      <c r="S189" s="6">
        <v>0</v>
      </c>
      <c r="T189" s="6">
        <v>1</v>
      </c>
      <c r="U189" s="6">
        <v>40</v>
      </c>
      <c r="V189" s="5">
        <v>3.6334665860819571E-2</v>
      </c>
      <c r="W189" s="5">
        <v>1.6069042586817229E-2</v>
      </c>
      <c r="X189" s="6">
        <v>0</v>
      </c>
      <c r="Y189" s="6">
        <v>1</v>
      </c>
      <c r="Z189" s="6">
        <v>100</v>
      </c>
      <c r="AA189" s="12">
        <v>0.20817319175725252</v>
      </c>
      <c r="AB189" s="5">
        <v>3.2370735352643822E-2</v>
      </c>
      <c r="AC189" s="6">
        <v>0</v>
      </c>
      <c r="AD189" s="6">
        <v>1</v>
      </c>
      <c r="AE189" s="6">
        <v>258</v>
      </c>
    </row>
    <row r="190" spans="1:32" x14ac:dyDescent="0.45">
      <c r="A190" s="4" t="s">
        <v>32</v>
      </c>
      <c r="B190" s="5">
        <v>0.88886175204661999</v>
      </c>
      <c r="C190" s="5">
        <v>6.1457033964244352E-2</v>
      </c>
      <c r="D190" s="6">
        <v>0</v>
      </c>
      <c r="E190" s="6">
        <v>1</v>
      </c>
      <c r="F190" s="6">
        <v>34</v>
      </c>
      <c r="G190" s="5">
        <v>0.60873909731901421</v>
      </c>
      <c r="H190" s="5">
        <v>7.7439164761967633E-2</v>
      </c>
      <c r="I190" s="6">
        <v>0</v>
      </c>
      <c r="J190" s="6">
        <v>1</v>
      </c>
      <c r="K190" s="6">
        <v>42</v>
      </c>
      <c r="L190" s="5">
        <v>0.4867159180448013</v>
      </c>
      <c r="M190" s="5">
        <v>7.8217992076327084E-2</v>
      </c>
      <c r="N190" s="6">
        <v>0</v>
      </c>
      <c r="O190" s="6">
        <v>1</v>
      </c>
      <c r="P190" s="6">
        <v>44</v>
      </c>
      <c r="Q190" s="5">
        <v>0.64300167798766439</v>
      </c>
      <c r="R190" s="5">
        <v>7.9764129090886995E-2</v>
      </c>
      <c r="S190" s="6">
        <v>0</v>
      </c>
      <c r="T190" s="6">
        <v>1</v>
      </c>
      <c r="U190" s="6">
        <v>40</v>
      </c>
      <c r="V190" s="5">
        <v>0.21962332207176813</v>
      </c>
      <c r="W190" s="5">
        <v>4.9938905008240317E-2</v>
      </c>
      <c r="X190" s="6">
        <v>0</v>
      </c>
      <c r="Y190" s="6">
        <v>1</v>
      </c>
      <c r="Z190" s="6">
        <v>104</v>
      </c>
      <c r="AA190" s="12">
        <v>0.56879903245024355</v>
      </c>
      <c r="AB190" s="5">
        <v>4.2838805073454271E-2</v>
      </c>
      <c r="AC190" s="6">
        <v>0</v>
      </c>
      <c r="AD190" s="6">
        <v>1</v>
      </c>
      <c r="AE190" s="6">
        <v>264</v>
      </c>
      <c r="AF190">
        <f>(AA192/AA191)-AA190</f>
        <v>5.4534304459090355E-2</v>
      </c>
    </row>
    <row r="191" spans="1:32" ht="26.25" x14ac:dyDescent="0.45">
      <c r="A191" s="4" t="s">
        <v>38</v>
      </c>
      <c r="B191" s="5">
        <v>0.84000868272823959</v>
      </c>
      <c r="C191" s="5">
        <v>6.5933157962881336E-2</v>
      </c>
      <c r="D191" s="6">
        <v>0</v>
      </c>
      <c r="E191" s="6">
        <v>1</v>
      </c>
      <c r="F191" s="6">
        <v>34</v>
      </c>
      <c r="G191" s="5">
        <v>0.8757010716140059</v>
      </c>
      <c r="H191" s="5">
        <v>5.3035240634634946E-2</v>
      </c>
      <c r="I191" s="6">
        <v>0</v>
      </c>
      <c r="J191" s="6">
        <v>1</v>
      </c>
      <c r="K191" s="6">
        <v>42</v>
      </c>
      <c r="L191" s="5">
        <v>0.72424862259728484</v>
      </c>
      <c r="M191" s="5">
        <v>6.9698543042307798E-2</v>
      </c>
      <c r="N191" s="6">
        <v>0</v>
      </c>
      <c r="O191" s="6">
        <v>1</v>
      </c>
      <c r="P191" s="6">
        <v>44</v>
      </c>
      <c r="Q191" s="5">
        <v>0.76619872916446996</v>
      </c>
      <c r="R191" s="5">
        <v>6.9319636379783084E-2</v>
      </c>
      <c r="S191" s="6">
        <v>0</v>
      </c>
      <c r="T191" s="6">
        <v>1</v>
      </c>
      <c r="U191" s="6">
        <v>40</v>
      </c>
      <c r="V191" s="5">
        <v>0.41945825525041158</v>
      </c>
      <c r="W191" s="5">
        <v>6.5895940178938919E-2</v>
      </c>
      <c r="X191" s="6">
        <v>0</v>
      </c>
      <c r="Y191" s="6">
        <v>1</v>
      </c>
      <c r="Z191" s="6">
        <v>104</v>
      </c>
      <c r="AA191" s="12">
        <v>0.77070805751749982</v>
      </c>
      <c r="AB191" s="5">
        <v>3.6116125764874885E-2</v>
      </c>
      <c r="AC191" s="6">
        <v>0</v>
      </c>
      <c r="AD191" s="6">
        <v>1</v>
      </c>
      <c r="AE191" s="6">
        <v>264</v>
      </c>
      <c r="AF191">
        <f>(AA192/AA190)-AA191</f>
        <v>7.3892579733616404E-2</v>
      </c>
    </row>
    <row r="192" spans="1:32" ht="26.25" x14ac:dyDescent="0.45">
      <c r="A192" s="4" t="s">
        <v>92</v>
      </c>
      <c r="B192" s="5">
        <v>0.72887043477485958</v>
      </c>
      <c r="C192" s="5">
        <v>8.248065938941615E-2</v>
      </c>
      <c r="D192" s="6">
        <v>0</v>
      </c>
      <c r="E192" s="6">
        <v>1</v>
      </c>
      <c r="F192" s="6">
        <v>34</v>
      </c>
      <c r="G192" s="5">
        <v>0.52932747653783541</v>
      </c>
      <c r="H192" s="5">
        <v>7.9248898398373305E-2</v>
      </c>
      <c r="I192" s="6">
        <v>0</v>
      </c>
      <c r="J192" s="6">
        <v>1</v>
      </c>
      <c r="K192" s="6">
        <v>42</v>
      </c>
      <c r="L192" s="5">
        <v>0.42601137444119364</v>
      </c>
      <c r="M192" s="5">
        <v>7.7445280614707041E-2</v>
      </c>
      <c r="N192" s="6">
        <v>0</v>
      </c>
      <c r="O192" s="6">
        <v>1</v>
      </c>
      <c r="P192" s="6">
        <v>44</v>
      </c>
      <c r="Q192" s="5">
        <v>0.50973644210744928</v>
      </c>
      <c r="R192" s="5">
        <v>8.23895890650614E-2</v>
      </c>
      <c r="S192" s="6">
        <v>0</v>
      </c>
      <c r="T192" s="6">
        <v>1</v>
      </c>
      <c r="U192" s="6">
        <v>40</v>
      </c>
      <c r="V192" s="5">
        <v>0.13935993345435974</v>
      </c>
      <c r="W192" s="5">
        <v>4.554455648535076E-2</v>
      </c>
      <c r="X192" s="6">
        <v>0</v>
      </c>
      <c r="Y192" s="6">
        <v>1</v>
      </c>
      <c r="Z192" s="6">
        <v>104</v>
      </c>
      <c r="AA192" s="12">
        <v>0.48040802527529403</v>
      </c>
      <c r="AB192" s="5">
        <v>4.2876619869566014E-2</v>
      </c>
      <c r="AC192" s="6">
        <v>0</v>
      </c>
      <c r="AD192" s="6">
        <v>1</v>
      </c>
      <c r="AE192" s="6">
        <v>264</v>
      </c>
    </row>
    <row r="193" spans="1:32" x14ac:dyDescent="0.45">
      <c r="A193" s="4" t="s">
        <v>32</v>
      </c>
      <c r="B193" s="5">
        <v>0.88886175204661999</v>
      </c>
      <c r="C193" s="5">
        <v>6.1457033964244352E-2</v>
      </c>
      <c r="D193" s="6">
        <v>0</v>
      </c>
      <c r="E193" s="6">
        <v>1</v>
      </c>
      <c r="F193" s="6">
        <v>34</v>
      </c>
      <c r="G193" s="5">
        <v>0.60873909731901421</v>
      </c>
      <c r="H193" s="5">
        <v>7.7439164761967633E-2</v>
      </c>
      <c r="I193" s="6">
        <v>0</v>
      </c>
      <c r="J193" s="6">
        <v>1</v>
      </c>
      <c r="K193" s="6">
        <v>42</v>
      </c>
      <c r="L193" s="5">
        <v>0.4867159180448013</v>
      </c>
      <c r="M193" s="5">
        <v>7.8217992076327084E-2</v>
      </c>
      <c r="N193" s="6">
        <v>0</v>
      </c>
      <c r="O193" s="6">
        <v>1</v>
      </c>
      <c r="P193" s="6">
        <v>44</v>
      </c>
      <c r="Q193" s="5">
        <v>0.64300167798766439</v>
      </c>
      <c r="R193" s="5">
        <v>7.9764129090886995E-2</v>
      </c>
      <c r="S193" s="6">
        <v>0</v>
      </c>
      <c r="T193" s="6">
        <v>1</v>
      </c>
      <c r="U193" s="6">
        <v>40</v>
      </c>
      <c r="V193" s="5">
        <v>0.21962332207176813</v>
      </c>
      <c r="W193" s="5">
        <v>4.9938905008240317E-2</v>
      </c>
      <c r="X193" s="6">
        <v>0</v>
      </c>
      <c r="Y193" s="6">
        <v>1</v>
      </c>
      <c r="Z193" s="6">
        <v>104</v>
      </c>
      <c r="AA193" s="12">
        <v>0.56879903245024355</v>
      </c>
      <c r="AB193" s="5">
        <v>4.2838805073454271E-2</v>
      </c>
      <c r="AC193" s="6">
        <v>0</v>
      </c>
      <c r="AD193" s="6">
        <v>1</v>
      </c>
      <c r="AE193" s="6">
        <v>264</v>
      </c>
      <c r="AF193">
        <f>(AA195/AA194)-AA193</f>
        <v>-1.2169942119834576E-2</v>
      </c>
    </row>
    <row r="194" spans="1:32" x14ac:dyDescent="0.45">
      <c r="A194" s="4" t="s">
        <v>40</v>
      </c>
      <c r="B194" s="5">
        <v>0.47314926338671726</v>
      </c>
      <c r="C194" s="5">
        <v>9.1986997587208227E-2</v>
      </c>
      <c r="D194" s="6">
        <v>0</v>
      </c>
      <c r="E194" s="6">
        <v>1</v>
      </c>
      <c r="F194" s="6">
        <v>34</v>
      </c>
      <c r="G194" s="5">
        <v>0.59916532039375925</v>
      </c>
      <c r="H194" s="5">
        <v>7.8188563211038412E-2</v>
      </c>
      <c r="I194" s="6">
        <v>0</v>
      </c>
      <c r="J194" s="6">
        <v>1</v>
      </c>
      <c r="K194" s="6">
        <v>42</v>
      </c>
      <c r="L194" s="5">
        <v>0.5544767542723662</v>
      </c>
      <c r="M194" s="5">
        <v>7.7775688570457788E-2</v>
      </c>
      <c r="N194" s="6">
        <v>0</v>
      </c>
      <c r="O194" s="6">
        <v>1</v>
      </c>
      <c r="P194" s="6">
        <v>44</v>
      </c>
      <c r="Q194" s="5">
        <v>0.89744052335873858</v>
      </c>
      <c r="R194" s="5">
        <v>4.9355060283969104E-2</v>
      </c>
      <c r="S194" s="6">
        <v>0</v>
      </c>
      <c r="T194" s="6">
        <v>1</v>
      </c>
      <c r="U194" s="6">
        <v>40</v>
      </c>
      <c r="V194" s="5">
        <v>0.64636059193257822</v>
      </c>
      <c r="W194" s="5">
        <v>6.6126331124485585E-2</v>
      </c>
      <c r="X194" s="6">
        <v>0</v>
      </c>
      <c r="Y194" s="6">
        <v>1</v>
      </c>
      <c r="Z194" s="6">
        <v>104</v>
      </c>
      <c r="AA194" s="12">
        <v>0.6412951441068232</v>
      </c>
      <c r="AB194" s="5">
        <v>4.1660786160429293E-2</v>
      </c>
      <c r="AC194" s="6">
        <v>0</v>
      </c>
      <c r="AD194" s="6">
        <v>1</v>
      </c>
      <c r="AE194" s="6">
        <v>264</v>
      </c>
      <c r="AF194">
        <f>(AA195/AA193)-AA194</f>
        <v>-1.3721058476297121E-2</v>
      </c>
    </row>
    <row r="195" spans="1:32" ht="26.25" x14ac:dyDescent="0.45">
      <c r="A195" s="4" t="s">
        <v>93</v>
      </c>
      <c r="B195" s="5">
        <v>0.39435514987335712</v>
      </c>
      <c r="C195" s="5">
        <v>9.0179373358262344E-2</v>
      </c>
      <c r="D195" s="6">
        <v>0</v>
      </c>
      <c r="E195" s="6">
        <v>1</v>
      </c>
      <c r="F195" s="6">
        <v>34</v>
      </c>
      <c r="G195" s="5">
        <v>0.35575042531208595</v>
      </c>
      <c r="H195" s="5">
        <v>7.5270237308818863E-2</v>
      </c>
      <c r="I195" s="6">
        <v>0</v>
      </c>
      <c r="J195" s="6">
        <v>1</v>
      </c>
      <c r="K195" s="6">
        <v>42</v>
      </c>
      <c r="L195" s="5">
        <v>0.24012438613639431</v>
      </c>
      <c r="M195" s="5">
        <v>6.7703767590428482E-2</v>
      </c>
      <c r="N195" s="6">
        <v>0</v>
      </c>
      <c r="O195" s="6">
        <v>1</v>
      </c>
      <c r="P195" s="6">
        <v>44</v>
      </c>
      <c r="Q195" s="5">
        <v>0.59325570279528128</v>
      </c>
      <c r="R195" s="5">
        <v>8.1358112160604679E-2</v>
      </c>
      <c r="S195" s="6">
        <v>0</v>
      </c>
      <c r="T195" s="6">
        <v>1</v>
      </c>
      <c r="U195" s="6">
        <v>40</v>
      </c>
      <c r="V195" s="5">
        <v>0.18190557759643328</v>
      </c>
      <c r="W195" s="5">
        <v>4.7803177213556272E-2</v>
      </c>
      <c r="X195" s="6">
        <v>0</v>
      </c>
      <c r="Y195" s="6">
        <v>1</v>
      </c>
      <c r="Z195" s="6">
        <v>104</v>
      </c>
      <c r="AA195" s="12">
        <v>0.35696353269748954</v>
      </c>
      <c r="AB195" s="5">
        <v>4.0529663038908412E-2</v>
      </c>
      <c r="AC195" s="6">
        <v>0</v>
      </c>
      <c r="AD195" s="6">
        <v>1</v>
      </c>
      <c r="AE195" s="6">
        <v>264</v>
      </c>
    </row>
    <row r="196" spans="1:32" x14ac:dyDescent="0.45">
      <c r="A196" s="4" t="s">
        <v>32</v>
      </c>
      <c r="B196" s="5">
        <v>0.88886175204661999</v>
      </c>
      <c r="C196" s="5">
        <v>6.1457033964244352E-2</v>
      </c>
      <c r="D196" s="6">
        <v>0</v>
      </c>
      <c r="E196" s="6">
        <v>1</v>
      </c>
      <c r="F196" s="6">
        <v>34</v>
      </c>
      <c r="G196" s="5">
        <v>0.60873909731901421</v>
      </c>
      <c r="H196" s="5">
        <v>7.7439164761967633E-2</v>
      </c>
      <c r="I196" s="6">
        <v>0</v>
      </c>
      <c r="J196" s="6">
        <v>1</v>
      </c>
      <c r="K196" s="6">
        <v>42</v>
      </c>
      <c r="L196" s="5">
        <v>0.4867159180448013</v>
      </c>
      <c r="M196" s="5">
        <v>7.8217992076327084E-2</v>
      </c>
      <c r="N196" s="6">
        <v>0</v>
      </c>
      <c r="O196" s="6">
        <v>1</v>
      </c>
      <c r="P196" s="6">
        <v>44</v>
      </c>
      <c r="Q196" s="5">
        <v>0.64300167798766439</v>
      </c>
      <c r="R196" s="5">
        <v>7.9764129090886995E-2</v>
      </c>
      <c r="S196" s="6">
        <v>0</v>
      </c>
      <c r="T196" s="6">
        <v>1</v>
      </c>
      <c r="U196" s="6">
        <v>40</v>
      </c>
      <c r="V196" s="5">
        <v>0.21962332207176813</v>
      </c>
      <c r="W196" s="5">
        <v>4.9938905008240317E-2</v>
      </c>
      <c r="X196" s="6">
        <v>0</v>
      </c>
      <c r="Y196" s="6">
        <v>1</v>
      </c>
      <c r="Z196" s="6">
        <v>104</v>
      </c>
      <c r="AA196" s="12">
        <v>0.56879903245024355</v>
      </c>
      <c r="AB196" s="5">
        <v>4.2838805073454271E-2</v>
      </c>
      <c r="AC196" s="6">
        <v>0</v>
      </c>
      <c r="AD196" s="6">
        <v>1</v>
      </c>
      <c r="AE196" s="6">
        <v>264</v>
      </c>
      <c r="AF196">
        <f>(AA198/AA197)-AA196</f>
        <v>4.1409531816316902E-2</v>
      </c>
    </row>
    <row r="197" spans="1:32" x14ac:dyDescent="0.45">
      <c r="A197" s="4" t="s">
        <v>42</v>
      </c>
      <c r="B197" s="5">
        <v>0.70676339075737993</v>
      </c>
      <c r="C197" s="5">
        <v>8.2311257529143506E-2</v>
      </c>
      <c r="D197" s="6">
        <v>0</v>
      </c>
      <c r="E197" s="6">
        <v>1</v>
      </c>
      <c r="F197" s="6">
        <v>34</v>
      </c>
      <c r="G197" s="5">
        <v>0.89745945595635757</v>
      </c>
      <c r="H197" s="5">
        <v>4.9322035621993304E-2</v>
      </c>
      <c r="I197" s="6">
        <v>0</v>
      </c>
      <c r="J197" s="6">
        <v>1</v>
      </c>
      <c r="K197" s="6">
        <v>42</v>
      </c>
      <c r="L197" s="5">
        <v>0.74627430949051987</v>
      </c>
      <c r="M197" s="5">
        <v>6.7544644640920845E-2</v>
      </c>
      <c r="N197" s="6">
        <v>0</v>
      </c>
      <c r="O197" s="6">
        <v>1</v>
      </c>
      <c r="P197" s="6">
        <v>44</v>
      </c>
      <c r="Q197" s="5">
        <v>0.87908303986713809</v>
      </c>
      <c r="R197" s="5">
        <v>5.2789569621478863E-2</v>
      </c>
      <c r="S197" s="6">
        <v>0</v>
      </c>
      <c r="T197" s="6">
        <v>1</v>
      </c>
      <c r="U197" s="6">
        <v>40</v>
      </c>
      <c r="V197" s="5">
        <v>0.5866426892711829</v>
      </c>
      <c r="W197" s="5">
        <v>6.7909303410161284E-2</v>
      </c>
      <c r="X197" s="6">
        <v>0</v>
      </c>
      <c r="Y197" s="6">
        <v>1</v>
      </c>
      <c r="Z197" s="6">
        <v>104</v>
      </c>
      <c r="AA197" s="12">
        <v>0.80877290183625294</v>
      </c>
      <c r="AB197" s="5">
        <v>3.3808580537463842E-2</v>
      </c>
      <c r="AC197" s="6">
        <v>0</v>
      </c>
      <c r="AD197" s="6">
        <v>1</v>
      </c>
      <c r="AE197" s="6">
        <v>264</v>
      </c>
      <c r="AF197">
        <f>(AA198/AA196)-AA197</f>
        <v>5.8880035478423465E-2</v>
      </c>
    </row>
    <row r="198" spans="1:32" ht="26.25" x14ac:dyDescent="0.45">
      <c r="A198" s="4" t="s">
        <v>94</v>
      </c>
      <c r="B198" s="5">
        <v>0.67441925631736011</v>
      </c>
      <c r="C198" s="5">
        <v>8.4974051164869821E-2</v>
      </c>
      <c r="D198" s="6">
        <v>0</v>
      </c>
      <c r="E198" s="6">
        <v>1</v>
      </c>
      <c r="F198" s="6">
        <v>34</v>
      </c>
      <c r="G198" s="5">
        <v>0.53224294979651343</v>
      </c>
      <c r="H198" s="5">
        <v>7.919809353085934E-2</v>
      </c>
      <c r="I198" s="6">
        <v>0</v>
      </c>
      <c r="J198" s="6">
        <v>1</v>
      </c>
      <c r="K198" s="6">
        <v>42</v>
      </c>
      <c r="L198" s="5">
        <v>0.42264934709175978</v>
      </c>
      <c r="M198" s="5">
        <v>7.7421976015331156E-2</v>
      </c>
      <c r="N198" s="6">
        <v>0</v>
      </c>
      <c r="O198" s="6">
        <v>1</v>
      </c>
      <c r="P198" s="6">
        <v>44</v>
      </c>
      <c r="Q198" s="5">
        <v>0.57934909865284878</v>
      </c>
      <c r="R198" s="5">
        <v>8.1490842091353766E-2</v>
      </c>
      <c r="S198" s="6">
        <v>0</v>
      </c>
      <c r="T198" s="6">
        <v>1</v>
      </c>
      <c r="U198" s="6">
        <v>40</v>
      </c>
      <c r="V198" s="5">
        <v>0.18040652869698373</v>
      </c>
      <c r="W198" s="5">
        <v>4.5900815143425783E-2</v>
      </c>
      <c r="X198" s="6">
        <v>0</v>
      </c>
      <c r="Y198" s="6">
        <v>1</v>
      </c>
      <c r="Z198" s="6">
        <v>104</v>
      </c>
      <c r="AA198" s="12">
        <v>0.49352015124719978</v>
      </c>
      <c r="AB198" s="5">
        <v>4.294138408194887E-2</v>
      </c>
      <c r="AC198" s="6">
        <v>0</v>
      </c>
      <c r="AD198" s="6">
        <v>1</v>
      </c>
      <c r="AE198" s="6">
        <v>264</v>
      </c>
    </row>
    <row r="199" spans="1:32" x14ac:dyDescent="0.45">
      <c r="A199" s="4" t="s">
        <v>32</v>
      </c>
      <c r="B199" s="5">
        <v>0.88886175204661999</v>
      </c>
      <c r="C199" s="5">
        <v>6.1457033964244352E-2</v>
      </c>
      <c r="D199" s="6">
        <v>0</v>
      </c>
      <c r="E199" s="6">
        <v>1</v>
      </c>
      <c r="F199" s="6">
        <v>34</v>
      </c>
      <c r="G199" s="5">
        <v>0.60873909731901421</v>
      </c>
      <c r="H199" s="5">
        <v>7.7439164761967633E-2</v>
      </c>
      <c r="I199" s="6">
        <v>0</v>
      </c>
      <c r="J199" s="6">
        <v>1</v>
      </c>
      <c r="K199" s="6">
        <v>42</v>
      </c>
      <c r="L199" s="5">
        <v>0.4867159180448013</v>
      </c>
      <c r="M199" s="5">
        <v>7.8217992076327084E-2</v>
      </c>
      <c r="N199" s="6">
        <v>0</v>
      </c>
      <c r="O199" s="6">
        <v>1</v>
      </c>
      <c r="P199" s="6">
        <v>44</v>
      </c>
      <c r="Q199" s="5">
        <v>0.64300167798766439</v>
      </c>
      <c r="R199" s="5">
        <v>7.9764129090886995E-2</v>
      </c>
      <c r="S199" s="6">
        <v>0</v>
      </c>
      <c r="T199" s="6">
        <v>1</v>
      </c>
      <c r="U199" s="6">
        <v>40</v>
      </c>
      <c r="V199" s="5">
        <v>0.21962332207176813</v>
      </c>
      <c r="W199" s="5">
        <v>4.9938905008240317E-2</v>
      </c>
      <c r="X199" s="6">
        <v>0</v>
      </c>
      <c r="Y199" s="6">
        <v>1</v>
      </c>
      <c r="Z199" s="6">
        <v>104</v>
      </c>
      <c r="AA199" s="12">
        <v>0.56879903245024355</v>
      </c>
      <c r="AB199" s="5">
        <v>4.2838805073454271E-2</v>
      </c>
      <c r="AC199" s="6">
        <v>0</v>
      </c>
      <c r="AD199" s="6">
        <v>1</v>
      </c>
      <c r="AE199" s="6">
        <v>264</v>
      </c>
      <c r="AF199">
        <f>(AA201/AA200)-AA199</f>
        <v>8.6912197348216647E-2</v>
      </c>
    </row>
    <row r="200" spans="1:32" x14ac:dyDescent="0.45">
      <c r="A200" s="4" t="s">
        <v>44</v>
      </c>
      <c r="B200" s="5">
        <v>0.26296232107028095</v>
      </c>
      <c r="C200" s="5">
        <v>8.0971230867118368E-2</v>
      </c>
      <c r="D200" s="6">
        <v>0</v>
      </c>
      <c r="E200" s="6">
        <v>1</v>
      </c>
      <c r="F200" s="6">
        <v>34</v>
      </c>
      <c r="G200" s="5">
        <v>0.35571464744938486</v>
      </c>
      <c r="H200" s="5">
        <v>7.5377725145722718E-2</v>
      </c>
      <c r="I200" s="6">
        <v>0</v>
      </c>
      <c r="J200" s="6">
        <v>1</v>
      </c>
      <c r="K200" s="6">
        <v>42</v>
      </c>
      <c r="L200" s="5">
        <v>0.33138587150846482</v>
      </c>
      <c r="M200" s="5">
        <v>7.3951973163393067E-2</v>
      </c>
      <c r="N200" s="6">
        <v>0</v>
      </c>
      <c r="O200" s="6">
        <v>1</v>
      </c>
      <c r="P200" s="6">
        <v>44</v>
      </c>
      <c r="Q200" s="5">
        <v>0.48486364033758289</v>
      </c>
      <c r="R200" s="5">
        <v>8.2351680282883519E-2</v>
      </c>
      <c r="S200" s="6">
        <v>0</v>
      </c>
      <c r="T200" s="6">
        <v>1</v>
      </c>
      <c r="U200" s="6">
        <v>40</v>
      </c>
      <c r="V200" s="5">
        <v>0.24869923971566638</v>
      </c>
      <c r="W200" s="5">
        <v>5.4351819960247037E-2</v>
      </c>
      <c r="X200" s="6">
        <v>0</v>
      </c>
      <c r="Y200" s="6">
        <v>1</v>
      </c>
      <c r="Z200" s="6">
        <v>104</v>
      </c>
      <c r="AA200" s="12">
        <v>0.3652932886037854</v>
      </c>
      <c r="AB200" s="5">
        <v>4.1360781021304437E-2</v>
      </c>
      <c r="AC200" s="6">
        <v>0</v>
      </c>
      <c r="AD200" s="6">
        <v>1</v>
      </c>
      <c r="AE200" s="6">
        <v>264</v>
      </c>
      <c r="AF200">
        <f>(AA201/AA199)-AA200</f>
        <v>5.5816625166092371E-2</v>
      </c>
    </row>
    <row r="201" spans="1:32" x14ac:dyDescent="0.45">
      <c r="A201" s="4" t="s">
        <v>95</v>
      </c>
      <c r="B201" s="5">
        <v>0.26296232107028095</v>
      </c>
      <c r="C201" s="5">
        <v>8.0971230867118368E-2</v>
      </c>
      <c r="D201" s="6">
        <v>0</v>
      </c>
      <c r="E201" s="6">
        <v>1</v>
      </c>
      <c r="F201" s="6">
        <v>34</v>
      </c>
      <c r="G201" s="5">
        <v>0.26141517440197665</v>
      </c>
      <c r="H201" s="5">
        <v>6.8986125291767883E-2</v>
      </c>
      <c r="I201" s="6">
        <v>0</v>
      </c>
      <c r="J201" s="6">
        <v>1</v>
      </c>
      <c r="K201" s="6">
        <v>42</v>
      </c>
      <c r="L201" s="5">
        <v>0.19089168984217056</v>
      </c>
      <c r="M201" s="5">
        <v>6.2421168593904522E-2</v>
      </c>
      <c r="N201" s="6">
        <v>0</v>
      </c>
      <c r="O201" s="6">
        <v>1</v>
      </c>
      <c r="P201" s="6">
        <v>44</v>
      </c>
      <c r="Q201" s="5">
        <v>0.32051020519108492</v>
      </c>
      <c r="R201" s="5">
        <v>7.6905404870332525E-2</v>
      </c>
      <c r="S201" s="6">
        <v>0</v>
      </c>
      <c r="T201" s="6">
        <v>1</v>
      </c>
      <c r="U201" s="6">
        <v>40</v>
      </c>
      <c r="V201" s="5">
        <v>9.0172601149605097E-2</v>
      </c>
      <c r="W201" s="5">
        <v>3.4703826642781814E-2</v>
      </c>
      <c r="X201" s="6">
        <v>0</v>
      </c>
      <c r="Y201" s="6">
        <v>1</v>
      </c>
      <c r="Z201" s="6">
        <v>104</v>
      </c>
      <c r="AA201" s="12">
        <v>0.23952691150751196</v>
      </c>
      <c r="AB201" s="5">
        <v>3.6389298602466556E-2</v>
      </c>
      <c r="AC201" s="6">
        <v>0</v>
      </c>
      <c r="AD201" s="6">
        <v>1</v>
      </c>
      <c r="AE201" s="6">
        <v>264</v>
      </c>
    </row>
    <row r="202" spans="1:32" x14ac:dyDescent="0.45">
      <c r="A202" s="4" t="s">
        <v>32</v>
      </c>
      <c r="B202" s="5">
        <v>0.88886175204661999</v>
      </c>
      <c r="C202" s="5">
        <v>6.1457033964244352E-2</v>
      </c>
      <c r="D202" s="6">
        <v>0</v>
      </c>
      <c r="E202" s="6">
        <v>1</v>
      </c>
      <c r="F202" s="6">
        <v>34</v>
      </c>
      <c r="G202" s="5">
        <v>0.60873909731901421</v>
      </c>
      <c r="H202" s="5">
        <v>7.7439164761967633E-2</v>
      </c>
      <c r="I202" s="6">
        <v>0</v>
      </c>
      <c r="J202" s="6">
        <v>1</v>
      </c>
      <c r="K202" s="6">
        <v>42</v>
      </c>
      <c r="L202" s="5">
        <v>0.4867159180448013</v>
      </c>
      <c r="M202" s="5">
        <v>7.8217992076327084E-2</v>
      </c>
      <c r="N202" s="6">
        <v>0</v>
      </c>
      <c r="O202" s="6">
        <v>1</v>
      </c>
      <c r="P202" s="6">
        <v>44</v>
      </c>
      <c r="Q202" s="5">
        <v>0.64300167798766439</v>
      </c>
      <c r="R202" s="5">
        <v>7.9764129090886995E-2</v>
      </c>
      <c r="S202" s="6">
        <v>0</v>
      </c>
      <c r="T202" s="6">
        <v>1</v>
      </c>
      <c r="U202" s="6">
        <v>40</v>
      </c>
      <c r="V202" s="5">
        <v>0.21962332207176813</v>
      </c>
      <c r="W202" s="5">
        <v>4.9938905008240317E-2</v>
      </c>
      <c r="X202" s="6">
        <v>0</v>
      </c>
      <c r="Y202" s="6">
        <v>1</v>
      </c>
      <c r="Z202" s="6">
        <v>104</v>
      </c>
      <c r="AA202" s="12">
        <v>0.56879903245024355</v>
      </c>
      <c r="AB202" s="5">
        <v>4.2838805073454271E-2</v>
      </c>
      <c r="AC202" s="6">
        <v>0</v>
      </c>
      <c r="AD202" s="6">
        <v>1</v>
      </c>
      <c r="AE202" s="6">
        <v>264</v>
      </c>
      <c r="AF202">
        <f>(AA204/AA203)-AA202</f>
        <v>1.8730683036932483E-2</v>
      </c>
    </row>
    <row r="203" spans="1:32" ht="39.4" x14ac:dyDescent="0.45">
      <c r="A203" s="4" t="s">
        <v>16</v>
      </c>
      <c r="B203" s="5">
        <v>0.95226292316662886</v>
      </c>
      <c r="C203" s="5">
        <v>3.3757095360377097E-2</v>
      </c>
      <c r="D203" s="6">
        <v>0</v>
      </c>
      <c r="E203" s="6">
        <v>1</v>
      </c>
      <c r="F203" s="6">
        <v>34</v>
      </c>
      <c r="G203" s="5">
        <v>0.96979725445447418</v>
      </c>
      <c r="H203" s="5">
        <v>3.0016012175185333E-2</v>
      </c>
      <c r="I203" s="6">
        <v>0</v>
      </c>
      <c r="J203" s="6">
        <v>1</v>
      </c>
      <c r="K203" s="6">
        <v>42</v>
      </c>
      <c r="L203" s="5">
        <v>0.87135789190493673</v>
      </c>
      <c r="M203" s="5">
        <v>5.1043606748041002E-2</v>
      </c>
      <c r="N203" s="6">
        <v>0</v>
      </c>
      <c r="O203" s="6">
        <v>1</v>
      </c>
      <c r="P203" s="6">
        <v>44</v>
      </c>
      <c r="Q203" s="5">
        <v>0.94904190046407078</v>
      </c>
      <c r="R203" s="5">
        <v>3.5591246809232757E-2</v>
      </c>
      <c r="S203" s="6">
        <v>0</v>
      </c>
      <c r="T203" s="6">
        <v>1</v>
      </c>
      <c r="U203" s="6">
        <v>40</v>
      </c>
      <c r="V203" s="5">
        <v>0.6502146518916736</v>
      </c>
      <c r="W203" s="5">
        <v>6.6144933824160743E-2</v>
      </c>
      <c r="X203" s="6">
        <v>0</v>
      </c>
      <c r="Y203" s="6">
        <v>1</v>
      </c>
      <c r="Z203" s="6">
        <v>104</v>
      </c>
      <c r="AA203" s="12">
        <v>0.9123329679672284</v>
      </c>
      <c r="AB203" s="5">
        <v>2.4254307094762586E-2</v>
      </c>
      <c r="AC203" s="6">
        <v>0</v>
      </c>
      <c r="AD203" s="6">
        <v>1</v>
      </c>
      <c r="AE203" s="6">
        <v>264</v>
      </c>
      <c r="AF203">
        <f>(AA204/AA202)-AA203</f>
        <v>3.0043334591348558E-2</v>
      </c>
    </row>
    <row r="204" spans="1:32" x14ac:dyDescent="0.45">
      <c r="A204" s="4" t="s">
        <v>96</v>
      </c>
      <c r="B204" s="5">
        <v>0.84112467521324863</v>
      </c>
      <c r="C204" s="5">
        <v>6.783017859392397E-2</v>
      </c>
      <c r="D204" s="6">
        <v>0</v>
      </c>
      <c r="E204" s="6">
        <v>1</v>
      </c>
      <c r="F204" s="6">
        <v>34</v>
      </c>
      <c r="G204" s="5">
        <v>0.57853635177348839</v>
      </c>
      <c r="H204" s="5">
        <v>7.8520379341991936E-2</v>
      </c>
      <c r="I204" s="6">
        <v>0</v>
      </c>
      <c r="J204" s="6">
        <v>1</v>
      </c>
      <c r="K204" s="6">
        <v>42</v>
      </c>
      <c r="L204" s="5">
        <v>0.45079739272535813</v>
      </c>
      <c r="M204" s="5">
        <v>7.7922726331775591E-2</v>
      </c>
      <c r="N204" s="6">
        <v>0</v>
      </c>
      <c r="O204" s="6">
        <v>1</v>
      </c>
      <c r="P204" s="6">
        <v>44</v>
      </c>
      <c r="Q204" s="5">
        <v>0.61707535559287408</v>
      </c>
      <c r="R204" s="5">
        <v>8.0729570165855913E-2</v>
      </c>
      <c r="S204" s="6">
        <v>0</v>
      </c>
      <c r="T204" s="6">
        <v>1</v>
      </c>
      <c r="U204" s="6">
        <v>40</v>
      </c>
      <c r="V204" s="5">
        <v>0.18575963755552866</v>
      </c>
      <c r="W204" s="5">
        <v>4.7934404253459739E-2</v>
      </c>
      <c r="X204" s="6">
        <v>0</v>
      </c>
      <c r="Y204" s="6">
        <v>1</v>
      </c>
      <c r="Z204" s="6">
        <v>104</v>
      </c>
      <c r="AA204" s="12">
        <v>0.53602272909935655</v>
      </c>
      <c r="AB204" s="5">
        <v>4.2989004520123622E-2</v>
      </c>
      <c r="AC204" s="6">
        <v>0</v>
      </c>
      <c r="AD204" s="6">
        <v>1</v>
      </c>
      <c r="AE204" s="6">
        <v>264</v>
      </c>
    </row>
    <row r="205" spans="1:32" x14ac:dyDescent="0.45">
      <c r="A205" s="4" t="s">
        <v>32</v>
      </c>
      <c r="B205" s="5">
        <v>0.88886175204661999</v>
      </c>
      <c r="C205" s="5">
        <v>6.1457033964244352E-2</v>
      </c>
      <c r="D205" s="6">
        <v>0</v>
      </c>
      <c r="E205" s="6">
        <v>1</v>
      </c>
      <c r="F205" s="6">
        <v>34</v>
      </c>
      <c r="G205" s="5">
        <v>0.60873909731901421</v>
      </c>
      <c r="H205" s="5">
        <v>7.7439164761967633E-2</v>
      </c>
      <c r="I205" s="6">
        <v>0</v>
      </c>
      <c r="J205" s="6">
        <v>1</v>
      </c>
      <c r="K205" s="6">
        <v>42</v>
      </c>
      <c r="L205" s="5">
        <v>0.4867159180448013</v>
      </c>
      <c r="M205" s="5">
        <v>7.8217992076327084E-2</v>
      </c>
      <c r="N205" s="6">
        <v>0</v>
      </c>
      <c r="O205" s="6">
        <v>1</v>
      </c>
      <c r="P205" s="6">
        <v>44</v>
      </c>
      <c r="Q205" s="5">
        <v>0.64300167798766439</v>
      </c>
      <c r="R205" s="5">
        <v>7.9764129090886995E-2</v>
      </c>
      <c r="S205" s="6">
        <v>0</v>
      </c>
      <c r="T205" s="6">
        <v>1</v>
      </c>
      <c r="U205" s="6">
        <v>40</v>
      </c>
      <c r="V205" s="5">
        <v>0.21962332207176813</v>
      </c>
      <c r="W205" s="5">
        <v>4.9938905008240317E-2</v>
      </c>
      <c r="X205" s="6">
        <v>0</v>
      </c>
      <c r="Y205" s="6">
        <v>1</v>
      </c>
      <c r="Z205" s="6">
        <v>104</v>
      </c>
      <c r="AA205" s="12">
        <v>0.56879903245024355</v>
      </c>
      <c r="AB205" s="5">
        <v>4.2838805073454271E-2</v>
      </c>
      <c r="AC205" s="6">
        <v>0</v>
      </c>
      <c r="AD205" s="6">
        <v>1</v>
      </c>
      <c r="AE205" s="6">
        <v>264</v>
      </c>
      <c r="AF205">
        <f>(AA207/AA206)-AA205</f>
        <v>3.7032442215314543E-2</v>
      </c>
    </row>
    <row r="206" spans="1:32" ht="39.4" x14ac:dyDescent="0.45">
      <c r="A206" s="4" t="s">
        <v>18</v>
      </c>
      <c r="B206" s="5">
        <v>0.95343656614872163</v>
      </c>
      <c r="C206" s="5">
        <v>3.2998861160736311E-2</v>
      </c>
      <c r="D206" s="6">
        <v>0</v>
      </c>
      <c r="E206" s="6">
        <v>1</v>
      </c>
      <c r="F206" s="6">
        <v>34</v>
      </c>
      <c r="G206" s="5">
        <v>0.96979725445447418</v>
      </c>
      <c r="H206" s="5">
        <v>3.0016012175185333E-2</v>
      </c>
      <c r="I206" s="6">
        <v>0</v>
      </c>
      <c r="J206" s="6">
        <v>1</v>
      </c>
      <c r="K206" s="6">
        <v>42</v>
      </c>
      <c r="L206" s="5">
        <v>0.87593051101785058</v>
      </c>
      <c r="M206" s="5">
        <v>5.2578277384873313E-2</v>
      </c>
      <c r="N206" s="6">
        <v>0</v>
      </c>
      <c r="O206" s="6">
        <v>1</v>
      </c>
      <c r="P206" s="6">
        <v>44</v>
      </c>
      <c r="Q206" s="5">
        <v>0.9749682228588612</v>
      </c>
      <c r="R206" s="5">
        <v>2.5049499255806983E-2</v>
      </c>
      <c r="S206" s="6">
        <v>0</v>
      </c>
      <c r="T206" s="6">
        <v>1</v>
      </c>
      <c r="U206" s="6">
        <v>40</v>
      </c>
      <c r="V206" s="5">
        <v>0.64843100359019867</v>
      </c>
      <c r="W206" s="5">
        <v>6.691909310816567E-2</v>
      </c>
      <c r="X206" s="6">
        <v>0</v>
      </c>
      <c r="Y206" s="6">
        <v>1</v>
      </c>
      <c r="Z206" s="6">
        <v>104</v>
      </c>
      <c r="AA206" s="12">
        <v>0.920016663772251</v>
      </c>
      <c r="AB206" s="5">
        <v>2.4310884334046948E-2</v>
      </c>
      <c r="AC206" s="6">
        <v>0</v>
      </c>
      <c r="AD206" s="6">
        <v>1</v>
      </c>
      <c r="AE206" s="6">
        <v>264</v>
      </c>
      <c r="AF206">
        <f>(AA207/AA205)-AA206</f>
        <v>5.9898948476591829E-2</v>
      </c>
    </row>
    <row r="207" spans="1:32" x14ac:dyDescent="0.45">
      <c r="A207" s="4" t="s">
        <v>97</v>
      </c>
      <c r="B207" s="5">
        <v>0.84229831819534162</v>
      </c>
      <c r="C207" s="5">
        <v>6.7556063883341899E-2</v>
      </c>
      <c r="D207" s="6">
        <v>0</v>
      </c>
      <c r="E207" s="6">
        <v>1</v>
      </c>
      <c r="F207" s="6">
        <v>34</v>
      </c>
      <c r="G207" s="5">
        <v>0.57853635177348839</v>
      </c>
      <c r="H207" s="5">
        <v>7.8520379341991936E-2</v>
      </c>
      <c r="I207" s="6">
        <v>0</v>
      </c>
      <c r="J207" s="6">
        <v>1</v>
      </c>
      <c r="K207" s="6">
        <v>42</v>
      </c>
      <c r="L207" s="5">
        <v>0.4867159180448013</v>
      </c>
      <c r="M207" s="5">
        <v>7.8217992076327084E-2</v>
      </c>
      <c r="N207" s="6">
        <v>0</v>
      </c>
      <c r="O207" s="6">
        <v>1</v>
      </c>
      <c r="P207" s="6">
        <v>44</v>
      </c>
      <c r="Q207" s="5">
        <v>0.64300167798766439</v>
      </c>
      <c r="R207" s="5">
        <v>7.9764129090886995E-2</v>
      </c>
      <c r="S207" s="6">
        <v>0</v>
      </c>
      <c r="T207" s="6">
        <v>1</v>
      </c>
      <c r="U207" s="6">
        <v>40</v>
      </c>
      <c r="V207" s="5">
        <v>0.20297060289428445</v>
      </c>
      <c r="W207" s="5">
        <v>4.8848060559100556E-2</v>
      </c>
      <c r="X207" s="6">
        <v>0</v>
      </c>
      <c r="Y207" s="6">
        <v>1</v>
      </c>
      <c r="Z207" s="6">
        <v>104</v>
      </c>
      <c r="AA207" s="12">
        <v>0.5573750521300298</v>
      </c>
      <c r="AB207" s="5">
        <v>4.2896381642306781E-2</v>
      </c>
      <c r="AC207" s="6">
        <v>0</v>
      </c>
      <c r="AD207" s="6">
        <v>1</v>
      </c>
      <c r="AE207" s="6">
        <v>264</v>
      </c>
    </row>
    <row r="208" spans="1:32" x14ac:dyDescent="0.45">
      <c r="A208" s="4" t="s">
        <v>32</v>
      </c>
      <c r="B208" s="5">
        <v>0.88886175204661999</v>
      </c>
      <c r="C208" s="5">
        <v>6.1457033964244352E-2</v>
      </c>
      <c r="D208" s="6">
        <v>0</v>
      </c>
      <c r="E208" s="6">
        <v>1</v>
      </c>
      <c r="F208" s="6">
        <v>34</v>
      </c>
      <c r="G208" s="5">
        <v>0.60873909731901421</v>
      </c>
      <c r="H208" s="5">
        <v>7.7439164761967633E-2</v>
      </c>
      <c r="I208" s="6">
        <v>0</v>
      </c>
      <c r="J208" s="6">
        <v>1</v>
      </c>
      <c r="K208" s="6">
        <v>42</v>
      </c>
      <c r="L208" s="5">
        <v>0.4867159180448013</v>
      </c>
      <c r="M208" s="5">
        <v>7.8217992076327084E-2</v>
      </c>
      <c r="N208" s="6">
        <v>0</v>
      </c>
      <c r="O208" s="6">
        <v>1</v>
      </c>
      <c r="P208" s="6">
        <v>44</v>
      </c>
      <c r="Q208" s="5">
        <v>0.64300167798766439</v>
      </c>
      <c r="R208" s="5">
        <v>7.9764129090886995E-2</v>
      </c>
      <c r="S208" s="6">
        <v>0</v>
      </c>
      <c r="T208" s="6">
        <v>1</v>
      </c>
      <c r="U208" s="6">
        <v>40</v>
      </c>
      <c r="V208" s="5">
        <v>0.21962332207176813</v>
      </c>
      <c r="W208" s="5">
        <v>4.9938905008240317E-2</v>
      </c>
      <c r="X208" s="6">
        <v>0</v>
      </c>
      <c r="Y208" s="6">
        <v>1</v>
      </c>
      <c r="Z208" s="6">
        <v>104</v>
      </c>
      <c r="AA208" s="12">
        <v>0.56879903245024355</v>
      </c>
      <c r="AB208" s="5">
        <v>4.2838805073454271E-2</v>
      </c>
      <c r="AC208" s="6">
        <v>0</v>
      </c>
      <c r="AD208" s="6">
        <v>1</v>
      </c>
      <c r="AE208" s="6">
        <v>264</v>
      </c>
      <c r="AF208">
        <f>(AA210/AA209)-AA208</f>
        <v>4.5276992324966292E-2</v>
      </c>
    </row>
    <row r="209" spans="1:32" ht="39.4" x14ac:dyDescent="0.45">
      <c r="A209" s="4" t="s">
        <v>20</v>
      </c>
      <c r="B209" s="5">
        <v>0.90678716876013998</v>
      </c>
      <c r="C209" s="5">
        <v>4.9177473357267902E-2</v>
      </c>
      <c r="D209" s="6">
        <v>0</v>
      </c>
      <c r="E209" s="6">
        <v>1</v>
      </c>
      <c r="F209" s="6">
        <v>34</v>
      </c>
      <c r="G209" s="5">
        <v>0.89891076629469935</v>
      </c>
      <c r="H209" s="5">
        <v>4.8893744591203998E-2</v>
      </c>
      <c r="I209" s="6">
        <v>0</v>
      </c>
      <c r="J209" s="6">
        <v>1</v>
      </c>
      <c r="K209" s="6">
        <v>42</v>
      </c>
      <c r="L209" s="5">
        <v>0.84039888724151057</v>
      </c>
      <c r="M209" s="5">
        <v>5.7315203821004336E-2</v>
      </c>
      <c r="N209" s="6">
        <v>0</v>
      </c>
      <c r="O209" s="6">
        <v>1</v>
      </c>
      <c r="P209" s="6">
        <v>44</v>
      </c>
      <c r="Q209" s="5">
        <v>0.94871856326789294</v>
      </c>
      <c r="R209" s="5">
        <v>3.5809222533905935E-2</v>
      </c>
      <c r="S209" s="6">
        <v>0</v>
      </c>
      <c r="T209" s="6">
        <v>1</v>
      </c>
      <c r="U209" s="6">
        <v>40</v>
      </c>
      <c r="V209" s="5">
        <v>0.49530541673349471</v>
      </c>
      <c r="W209" s="5">
        <v>6.7368955173709583E-2</v>
      </c>
      <c r="X209" s="6">
        <v>0</v>
      </c>
      <c r="Y209" s="6">
        <v>1</v>
      </c>
      <c r="Z209" s="6">
        <v>104</v>
      </c>
      <c r="AA209" s="12">
        <v>0.87236824792352818</v>
      </c>
      <c r="AB209" s="5">
        <v>2.8607368369315354E-2</v>
      </c>
      <c r="AC209" s="6">
        <v>0</v>
      </c>
      <c r="AD209" s="6">
        <v>1</v>
      </c>
      <c r="AE209" s="6">
        <v>264</v>
      </c>
      <c r="AF209">
        <f>(AA210/AA208)-AA209</f>
        <v>6.94414164096403E-2</v>
      </c>
    </row>
    <row r="210" spans="1:32" x14ac:dyDescent="0.45">
      <c r="A210" s="4" t="s">
        <v>98</v>
      </c>
      <c r="B210" s="5">
        <v>0.79564892080675997</v>
      </c>
      <c r="C210" s="5">
        <v>7.4218927024787176E-2</v>
      </c>
      <c r="D210" s="6">
        <v>0</v>
      </c>
      <c r="E210" s="6">
        <v>1</v>
      </c>
      <c r="F210" s="6">
        <v>34</v>
      </c>
      <c r="G210" s="5">
        <v>0.55253717121852897</v>
      </c>
      <c r="H210" s="5">
        <v>7.902652442212843E-2</v>
      </c>
      <c r="I210" s="6">
        <v>0</v>
      </c>
      <c r="J210" s="6">
        <v>1</v>
      </c>
      <c r="K210" s="6">
        <v>42</v>
      </c>
      <c r="L210" s="5">
        <v>0.47548893900636052</v>
      </c>
      <c r="M210" s="5">
        <v>7.8190067834321544E-2</v>
      </c>
      <c r="N210" s="6">
        <v>0</v>
      </c>
      <c r="O210" s="6">
        <v>1</v>
      </c>
      <c r="P210" s="6">
        <v>44</v>
      </c>
      <c r="Q210" s="5">
        <v>0.61675201839669624</v>
      </c>
      <c r="R210" s="5">
        <v>8.0752754790836337E-2</v>
      </c>
      <c r="S210" s="6">
        <v>0</v>
      </c>
      <c r="T210" s="6">
        <v>1</v>
      </c>
      <c r="U210" s="6">
        <v>40</v>
      </c>
      <c r="V210" s="5">
        <v>0.16102185619007159</v>
      </c>
      <c r="W210" s="5">
        <v>4.6501468016398137E-2</v>
      </c>
      <c r="X210" s="6">
        <v>0</v>
      </c>
      <c r="Y210" s="6">
        <v>1</v>
      </c>
      <c r="Z210" s="6">
        <v>104</v>
      </c>
      <c r="AA210" s="12">
        <v>0.53570042582499489</v>
      </c>
      <c r="AB210" s="5">
        <v>4.2945702071660388E-2</v>
      </c>
      <c r="AC210" s="6">
        <v>0</v>
      </c>
      <c r="AD210" s="6">
        <v>1</v>
      </c>
      <c r="AE210" s="6">
        <v>264</v>
      </c>
    </row>
    <row r="211" spans="1:32" x14ac:dyDescent="0.45">
      <c r="A211" s="4" t="s">
        <v>32</v>
      </c>
      <c r="B211" s="5">
        <v>0.88886175204661999</v>
      </c>
      <c r="C211" s="5">
        <v>6.1457033964244352E-2</v>
      </c>
      <c r="D211" s="6">
        <v>0</v>
      </c>
      <c r="E211" s="6">
        <v>1</v>
      </c>
      <c r="F211" s="6">
        <v>34</v>
      </c>
      <c r="G211" s="5">
        <v>0.60873909731901421</v>
      </c>
      <c r="H211" s="5">
        <v>7.7439164761967633E-2</v>
      </c>
      <c r="I211" s="6">
        <v>0</v>
      </c>
      <c r="J211" s="6">
        <v>1</v>
      </c>
      <c r="K211" s="6">
        <v>42</v>
      </c>
      <c r="L211" s="5">
        <v>0.4867159180448013</v>
      </c>
      <c r="M211" s="5">
        <v>7.8217992076327084E-2</v>
      </c>
      <c r="N211" s="6">
        <v>0</v>
      </c>
      <c r="O211" s="6">
        <v>1</v>
      </c>
      <c r="P211" s="6">
        <v>44</v>
      </c>
      <c r="Q211" s="5">
        <v>0.64300167798766439</v>
      </c>
      <c r="R211" s="5">
        <v>7.9764129090886995E-2</v>
      </c>
      <c r="S211" s="6">
        <v>0</v>
      </c>
      <c r="T211" s="6">
        <v>1</v>
      </c>
      <c r="U211" s="6">
        <v>40</v>
      </c>
      <c r="V211" s="5">
        <v>0.21962332207176813</v>
      </c>
      <c r="W211" s="5">
        <v>4.9938905008240317E-2</v>
      </c>
      <c r="X211" s="6">
        <v>0</v>
      </c>
      <c r="Y211" s="6">
        <v>1</v>
      </c>
      <c r="Z211" s="6">
        <v>104</v>
      </c>
      <c r="AA211" s="12">
        <v>0.56879903245024355</v>
      </c>
      <c r="AB211" s="5">
        <v>4.2838805073454271E-2</v>
      </c>
      <c r="AC211" s="6">
        <v>0</v>
      </c>
      <c r="AD211" s="6">
        <v>1</v>
      </c>
      <c r="AE211" s="6">
        <v>264</v>
      </c>
      <c r="AF211">
        <f>(AA213/AA212)-AA211</f>
        <v>1.8214298886548019E-2</v>
      </c>
    </row>
    <row r="212" spans="1:32" ht="26.25" x14ac:dyDescent="0.45">
      <c r="A212" s="4" t="s">
        <v>22</v>
      </c>
      <c r="B212" s="5">
        <v>0.84952162550522947</v>
      </c>
      <c r="C212" s="5">
        <v>6.1545774275045921E-2</v>
      </c>
      <c r="D212" s="6">
        <v>0</v>
      </c>
      <c r="E212" s="6">
        <v>1</v>
      </c>
      <c r="F212" s="6">
        <v>34</v>
      </c>
      <c r="G212" s="5">
        <v>0.96979725445447418</v>
      </c>
      <c r="H212" s="5">
        <v>3.0016012175185333E-2</v>
      </c>
      <c r="I212" s="6">
        <v>0</v>
      </c>
      <c r="J212" s="6">
        <v>1</v>
      </c>
      <c r="K212" s="6">
        <v>42</v>
      </c>
      <c r="L212" s="5">
        <v>0.86468560906249525</v>
      </c>
      <c r="M212" s="5">
        <v>5.2374794839710012E-2</v>
      </c>
      <c r="N212" s="6">
        <v>0</v>
      </c>
      <c r="O212" s="6">
        <v>1</v>
      </c>
      <c r="P212" s="6">
        <v>44</v>
      </c>
      <c r="Q212" s="5">
        <v>0.9749682228588612</v>
      </c>
      <c r="R212" s="5">
        <v>2.5049499255806983E-2</v>
      </c>
      <c r="S212" s="6">
        <v>0</v>
      </c>
      <c r="T212" s="6">
        <v>1</v>
      </c>
      <c r="U212" s="6">
        <v>40</v>
      </c>
      <c r="V212" s="5">
        <v>0.67616365127076683</v>
      </c>
      <c r="W212" s="5">
        <v>6.6180623554006821E-2</v>
      </c>
      <c r="X212" s="6">
        <v>0</v>
      </c>
      <c r="Y212" s="6">
        <v>1</v>
      </c>
      <c r="Z212" s="6">
        <v>104</v>
      </c>
      <c r="AA212" s="12">
        <v>0.91020657995142884</v>
      </c>
      <c r="AB212" s="5">
        <v>2.4389856620021973E-2</v>
      </c>
      <c r="AC212" s="6">
        <v>0</v>
      </c>
      <c r="AD212" s="6">
        <v>1</v>
      </c>
      <c r="AE212" s="6">
        <v>264</v>
      </c>
      <c r="AF212">
        <f>(AA213/AA211)-AA212</f>
        <v>2.914698118300374E-2</v>
      </c>
    </row>
    <row r="213" spans="1:32" x14ac:dyDescent="0.45">
      <c r="A213" s="4" t="s">
        <v>99</v>
      </c>
      <c r="B213" s="5">
        <v>0.73838337755184946</v>
      </c>
      <c r="C213" s="5">
        <v>8.0198198341351709E-2</v>
      </c>
      <c r="D213" s="6">
        <v>0</v>
      </c>
      <c r="E213" s="6">
        <v>1</v>
      </c>
      <c r="F213" s="6">
        <v>34</v>
      </c>
      <c r="G213" s="5">
        <v>0.57853635177348839</v>
      </c>
      <c r="H213" s="5">
        <v>7.8520379341991936E-2</v>
      </c>
      <c r="I213" s="6">
        <v>0</v>
      </c>
      <c r="J213" s="6">
        <v>1</v>
      </c>
      <c r="K213" s="6">
        <v>42</v>
      </c>
      <c r="L213" s="5">
        <v>0.44609765843378885</v>
      </c>
      <c r="M213" s="5">
        <v>7.7866092098355683E-2</v>
      </c>
      <c r="N213" s="6">
        <v>0</v>
      </c>
      <c r="O213" s="6">
        <v>1</v>
      </c>
      <c r="P213" s="6">
        <v>44</v>
      </c>
      <c r="Q213" s="5">
        <v>0.64300167798766439</v>
      </c>
      <c r="R213" s="5">
        <v>7.9764129090886995E-2</v>
      </c>
      <c r="S213" s="6">
        <v>0</v>
      </c>
      <c r="T213" s="6">
        <v>1</v>
      </c>
      <c r="U213" s="6">
        <v>40</v>
      </c>
      <c r="V213" s="5">
        <v>0.19965206707446087</v>
      </c>
      <c r="W213" s="5">
        <v>4.8717802571265761E-2</v>
      </c>
      <c r="X213" s="6">
        <v>0</v>
      </c>
      <c r="Y213" s="6">
        <v>1</v>
      </c>
      <c r="Z213" s="6">
        <v>104</v>
      </c>
      <c r="AA213" s="12">
        <v>0.53430339670195592</v>
      </c>
      <c r="AB213" s="5">
        <v>4.2976763628089762E-2</v>
      </c>
      <c r="AC213" s="6">
        <v>0</v>
      </c>
      <c r="AD213" s="6">
        <v>1</v>
      </c>
      <c r="AE213" s="6">
        <v>264</v>
      </c>
    </row>
    <row r="214" spans="1:32" x14ac:dyDescent="0.45">
      <c r="A214" s="4" t="s">
        <v>32</v>
      </c>
      <c r="B214" s="5">
        <v>0.88886175204661999</v>
      </c>
      <c r="C214" s="5">
        <v>6.1457033964244352E-2</v>
      </c>
      <c r="D214" s="6">
        <v>0</v>
      </c>
      <c r="E214" s="6">
        <v>1</v>
      </c>
      <c r="F214" s="6">
        <v>34</v>
      </c>
      <c r="G214" s="5">
        <v>0.60873909731901421</v>
      </c>
      <c r="H214" s="5">
        <v>7.7439164761967633E-2</v>
      </c>
      <c r="I214" s="6">
        <v>0</v>
      </c>
      <c r="J214" s="6">
        <v>1</v>
      </c>
      <c r="K214" s="6">
        <v>42</v>
      </c>
      <c r="L214" s="5">
        <v>0.4867159180448013</v>
      </c>
      <c r="M214" s="5">
        <v>7.8217992076327084E-2</v>
      </c>
      <c r="N214" s="6">
        <v>0</v>
      </c>
      <c r="O214" s="6">
        <v>1</v>
      </c>
      <c r="P214" s="6">
        <v>44</v>
      </c>
      <c r="Q214" s="5">
        <v>0.64300167798766439</v>
      </c>
      <c r="R214" s="5">
        <v>7.9764129090886995E-2</v>
      </c>
      <c r="S214" s="6">
        <v>0</v>
      </c>
      <c r="T214" s="6">
        <v>1</v>
      </c>
      <c r="U214" s="6">
        <v>40</v>
      </c>
      <c r="V214" s="5">
        <v>0.21962332207176813</v>
      </c>
      <c r="W214" s="5">
        <v>4.9938905008240317E-2</v>
      </c>
      <c r="X214" s="6">
        <v>0</v>
      </c>
      <c r="Y214" s="6">
        <v>1</v>
      </c>
      <c r="Z214" s="6">
        <v>104</v>
      </c>
      <c r="AA214" s="12">
        <v>0.56879903245024355</v>
      </c>
      <c r="AB214" s="5">
        <v>4.2838805073454271E-2</v>
      </c>
      <c r="AC214" s="6">
        <v>0</v>
      </c>
      <c r="AD214" s="6">
        <v>1</v>
      </c>
      <c r="AE214" s="6">
        <v>264</v>
      </c>
      <c r="AF214">
        <f>(AA216/AA215)-AA214</f>
        <v>1.4920235600597298E-2</v>
      </c>
    </row>
    <row r="215" spans="1:32" ht="26.25" x14ac:dyDescent="0.45">
      <c r="A215" s="4" t="s">
        <v>24</v>
      </c>
      <c r="B215" s="5">
        <v>0.59113064078982813</v>
      </c>
      <c r="C215" s="5">
        <v>8.9609791547363538E-2</v>
      </c>
      <c r="D215" s="6">
        <v>0</v>
      </c>
      <c r="E215" s="6">
        <v>1</v>
      </c>
      <c r="F215" s="6">
        <v>34</v>
      </c>
      <c r="G215" s="5">
        <v>0.71909384928754405</v>
      </c>
      <c r="H215" s="5">
        <v>7.2403474018022274E-2</v>
      </c>
      <c r="I215" s="6">
        <v>0</v>
      </c>
      <c r="J215" s="6">
        <v>1</v>
      </c>
      <c r="K215" s="6">
        <v>42</v>
      </c>
      <c r="L215" s="5">
        <v>0.69739462956204068</v>
      </c>
      <c r="M215" s="5">
        <v>7.1809022935466635E-2</v>
      </c>
      <c r="N215" s="6">
        <v>0</v>
      </c>
      <c r="O215" s="6">
        <v>1</v>
      </c>
      <c r="P215" s="6">
        <v>44</v>
      </c>
      <c r="Q215" s="5">
        <v>0.9233668457535289</v>
      </c>
      <c r="R215" s="5">
        <v>4.3202567197263397E-2</v>
      </c>
      <c r="S215" s="6">
        <v>0</v>
      </c>
      <c r="T215" s="6">
        <v>1</v>
      </c>
      <c r="U215" s="6">
        <v>40</v>
      </c>
      <c r="V215" s="5">
        <v>0.65121302184637453</v>
      </c>
      <c r="W215" s="5">
        <v>6.6128687462899488E-2</v>
      </c>
      <c r="X215" s="6">
        <v>0</v>
      </c>
      <c r="Y215" s="6">
        <v>1</v>
      </c>
      <c r="Z215" s="6">
        <v>104</v>
      </c>
      <c r="AA215" s="12">
        <v>0.74577850242169597</v>
      </c>
      <c r="AB215" s="5">
        <v>3.7735522277039836E-2</v>
      </c>
      <c r="AC215" s="6">
        <v>0</v>
      </c>
      <c r="AD215" s="6">
        <v>1</v>
      </c>
      <c r="AE215" s="6">
        <v>264</v>
      </c>
      <c r="AF215">
        <f>(AA216/AA214)-AA215</f>
        <v>1.9562605291466806E-2</v>
      </c>
    </row>
    <row r="216" spans="1:32" x14ac:dyDescent="0.45">
      <c r="A216" s="4" t="s">
        <v>100</v>
      </c>
      <c r="B216" s="5">
        <v>0.51233652727646795</v>
      </c>
      <c r="C216" s="5">
        <v>9.1805706191912473E-2</v>
      </c>
      <c r="D216" s="6">
        <v>0</v>
      </c>
      <c r="E216" s="6">
        <v>1</v>
      </c>
      <c r="F216" s="6">
        <v>34</v>
      </c>
      <c r="G216" s="5">
        <v>0.45120913721296785</v>
      </c>
      <c r="H216" s="5">
        <v>7.8712101672945747E-2</v>
      </c>
      <c r="I216" s="6">
        <v>0</v>
      </c>
      <c r="J216" s="6">
        <v>1</v>
      </c>
      <c r="K216" s="6">
        <v>42</v>
      </c>
      <c r="L216" s="5">
        <v>0.33600248665811538</v>
      </c>
      <c r="M216" s="5">
        <v>7.4466589767103145E-2</v>
      </c>
      <c r="N216" s="6">
        <v>0</v>
      </c>
      <c r="O216" s="6">
        <v>1</v>
      </c>
      <c r="P216" s="6">
        <v>44</v>
      </c>
      <c r="Q216" s="5">
        <v>0.61918202519007171</v>
      </c>
      <c r="R216" s="5">
        <v>8.0583577359132769E-2</v>
      </c>
      <c r="S216" s="6">
        <v>0</v>
      </c>
      <c r="T216" s="6">
        <v>1</v>
      </c>
      <c r="U216" s="6">
        <v>40</v>
      </c>
      <c r="V216" s="5">
        <v>0.18675800751022967</v>
      </c>
      <c r="W216" s="5">
        <v>4.8030368289494904E-2</v>
      </c>
      <c r="X216" s="6">
        <v>0</v>
      </c>
      <c r="Y216" s="6">
        <v>1</v>
      </c>
      <c r="Z216" s="6">
        <v>104</v>
      </c>
      <c r="AA216" s="12">
        <v>0.43532528156164463</v>
      </c>
      <c r="AB216" s="5">
        <v>4.2382478993270835E-2</v>
      </c>
      <c r="AC216" s="6">
        <v>0</v>
      </c>
      <c r="AD216" s="6">
        <v>1</v>
      </c>
      <c r="AE216" s="6">
        <v>264</v>
      </c>
    </row>
    <row r="217" spans="1:32" x14ac:dyDescent="0.45">
      <c r="A217" s="4" t="s">
        <v>34</v>
      </c>
      <c r="B217" s="5">
        <v>0.19862121171774996</v>
      </c>
      <c r="C217" s="5">
        <v>7.0449908333518482E-2</v>
      </c>
      <c r="D217" s="6">
        <v>0</v>
      </c>
      <c r="E217" s="6">
        <v>1</v>
      </c>
      <c r="F217" s="6">
        <v>34</v>
      </c>
      <c r="G217" s="5">
        <v>0.27373543444507736</v>
      </c>
      <c r="H217" s="5">
        <v>7.1059953576424029E-2</v>
      </c>
      <c r="I217" s="6">
        <v>0</v>
      </c>
      <c r="J217" s="6">
        <v>1</v>
      </c>
      <c r="K217" s="6">
        <v>42</v>
      </c>
      <c r="L217" s="5">
        <v>0.16023885887947467</v>
      </c>
      <c r="M217" s="5">
        <v>5.6132837285575506E-2</v>
      </c>
      <c r="N217" s="6">
        <v>0</v>
      </c>
      <c r="O217" s="6">
        <v>1</v>
      </c>
      <c r="P217" s="6">
        <v>44</v>
      </c>
      <c r="Q217" s="5">
        <v>0.27853232036598929</v>
      </c>
      <c r="R217" s="5">
        <v>7.2602815976202259E-2</v>
      </c>
      <c r="S217" s="6">
        <v>0</v>
      </c>
      <c r="T217" s="6">
        <v>1</v>
      </c>
      <c r="U217" s="6">
        <v>40</v>
      </c>
      <c r="V217" s="5">
        <v>5.7747988593625371E-2</v>
      </c>
      <c r="W217" s="5">
        <v>2.8391611186991999E-2</v>
      </c>
      <c r="X217" s="6">
        <v>0</v>
      </c>
      <c r="Y217" s="6">
        <v>1</v>
      </c>
      <c r="Z217" s="6">
        <v>104</v>
      </c>
      <c r="AA217" s="12">
        <v>0.21587935616398435</v>
      </c>
      <c r="AB217" s="5">
        <v>3.4528579839839389E-2</v>
      </c>
      <c r="AC217" s="6">
        <v>0</v>
      </c>
      <c r="AD217" s="6">
        <v>1</v>
      </c>
      <c r="AE217" s="6">
        <v>264</v>
      </c>
      <c r="AF217">
        <f>(AA219/AA218)-AA217</f>
        <v>-1.9037931135648278E-2</v>
      </c>
    </row>
    <row r="218" spans="1:32" x14ac:dyDescent="0.45">
      <c r="A218" s="4" t="s">
        <v>36</v>
      </c>
      <c r="B218" s="5">
        <v>0.76064468833586119</v>
      </c>
      <c r="C218" s="5">
        <v>7.7815769808775942E-2</v>
      </c>
      <c r="D218" s="6">
        <v>0</v>
      </c>
      <c r="E218" s="6">
        <v>1</v>
      </c>
      <c r="F218" s="6">
        <v>34</v>
      </c>
      <c r="G218" s="5">
        <v>0.47021854293445042</v>
      </c>
      <c r="H218" s="5">
        <v>7.9243117363754292E-2</v>
      </c>
      <c r="I218" s="6">
        <v>0</v>
      </c>
      <c r="J218" s="6">
        <v>1</v>
      </c>
      <c r="K218" s="6">
        <v>42</v>
      </c>
      <c r="L218" s="5">
        <v>0.2445206682606792</v>
      </c>
      <c r="M218" s="5">
        <v>6.7154542896761538E-2</v>
      </c>
      <c r="N218" s="6">
        <v>0</v>
      </c>
      <c r="O218" s="6">
        <v>1</v>
      </c>
      <c r="P218" s="6">
        <v>42</v>
      </c>
      <c r="Q218" s="5">
        <v>0.35160809189742964</v>
      </c>
      <c r="R218" s="5">
        <v>7.902438279457083E-2</v>
      </c>
      <c r="S218" s="6">
        <v>0</v>
      </c>
      <c r="T218" s="6">
        <v>1</v>
      </c>
      <c r="U218" s="6">
        <v>40</v>
      </c>
      <c r="V218" s="5">
        <v>0.42925514319553509</v>
      </c>
      <c r="W218" s="5">
        <v>6.917480911456024E-2</v>
      </c>
      <c r="X218" s="6">
        <v>0</v>
      </c>
      <c r="Y218" s="6">
        <v>1</v>
      </c>
      <c r="Z218" s="6">
        <v>100</v>
      </c>
      <c r="AA218" s="12">
        <v>0.36787839094902408</v>
      </c>
      <c r="AB218" s="5">
        <v>4.0690017630809268E-2</v>
      </c>
      <c r="AC218" s="6">
        <v>0</v>
      </c>
      <c r="AD218" s="6">
        <v>1</v>
      </c>
      <c r="AE218" s="6">
        <v>258</v>
      </c>
      <c r="AF218">
        <f>(AA219/AA217)-AA218</f>
        <v>-3.2442395593678619E-2</v>
      </c>
    </row>
    <row r="219" spans="1:32" ht="26.25" x14ac:dyDescent="0.45">
      <c r="A219" s="4" t="s">
        <v>101</v>
      </c>
      <c r="B219" s="5">
        <v>0.15317770080495155</v>
      </c>
      <c r="C219" s="5">
        <v>6.3234824106543089E-2</v>
      </c>
      <c r="D219" s="6">
        <v>0</v>
      </c>
      <c r="E219" s="6">
        <v>1</v>
      </c>
      <c r="F219" s="6">
        <v>34</v>
      </c>
      <c r="G219" s="5">
        <v>0.14995778743988825</v>
      </c>
      <c r="H219" s="5">
        <v>5.7099699444664198E-2</v>
      </c>
      <c r="I219" s="6">
        <v>0</v>
      </c>
      <c r="J219" s="6">
        <v>1</v>
      </c>
      <c r="K219" s="6">
        <v>42</v>
      </c>
      <c r="L219" s="5">
        <v>2.2400761520905949E-2</v>
      </c>
      <c r="M219" s="5">
        <v>2.2448272304873625E-2</v>
      </c>
      <c r="N219" s="6">
        <v>0</v>
      </c>
      <c r="O219" s="6">
        <v>1</v>
      </c>
      <c r="P219" s="6">
        <v>42</v>
      </c>
      <c r="Q219" s="5">
        <v>5.5535674863364852E-2</v>
      </c>
      <c r="R219" s="5">
        <v>3.7141409469103014E-2</v>
      </c>
      <c r="S219" s="6">
        <v>0</v>
      </c>
      <c r="T219" s="6">
        <v>1</v>
      </c>
      <c r="U219" s="6">
        <v>40</v>
      </c>
      <c r="V219" s="5">
        <v>9.6392048860199624E-3</v>
      </c>
      <c r="W219" s="5">
        <v>6.3375456466821028E-3</v>
      </c>
      <c r="X219" s="6">
        <v>0</v>
      </c>
      <c r="Y219" s="6">
        <v>1</v>
      </c>
      <c r="Z219" s="6">
        <v>100</v>
      </c>
      <c r="AA219" s="12">
        <v>7.2413706711537226E-2</v>
      </c>
      <c r="AB219" s="5">
        <v>2.0755439311122812E-2</v>
      </c>
      <c r="AC219" s="6">
        <v>0</v>
      </c>
      <c r="AD219" s="6">
        <v>1</v>
      </c>
      <c r="AE219" s="6">
        <v>258</v>
      </c>
    </row>
    <row r="220" spans="1:32" x14ac:dyDescent="0.45">
      <c r="A220" s="4" t="s">
        <v>34</v>
      </c>
      <c r="B220" s="5">
        <v>0.19862121171774996</v>
      </c>
      <c r="C220" s="5">
        <v>7.0449908333518482E-2</v>
      </c>
      <c r="D220" s="6">
        <v>0</v>
      </c>
      <c r="E220" s="6">
        <v>1</v>
      </c>
      <c r="F220" s="6">
        <v>34</v>
      </c>
      <c r="G220" s="5">
        <v>0.27373543444507736</v>
      </c>
      <c r="H220" s="5">
        <v>7.1059953576424029E-2</v>
      </c>
      <c r="I220" s="6">
        <v>0</v>
      </c>
      <c r="J220" s="6">
        <v>1</v>
      </c>
      <c r="K220" s="6">
        <v>42</v>
      </c>
      <c r="L220" s="5">
        <v>0.16023885887947467</v>
      </c>
      <c r="M220" s="5">
        <v>5.6132837285575506E-2</v>
      </c>
      <c r="N220" s="6">
        <v>0</v>
      </c>
      <c r="O220" s="6">
        <v>1</v>
      </c>
      <c r="P220" s="6">
        <v>44</v>
      </c>
      <c r="Q220" s="5">
        <v>0.27853232036598929</v>
      </c>
      <c r="R220" s="5">
        <v>7.2602815976202259E-2</v>
      </c>
      <c r="S220" s="6">
        <v>0</v>
      </c>
      <c r="T220" s="6">
        <v>1</v>
      </c>
      <c r="U220" s="6">
        <v>40</v>
      </c>
      <c r="V220" s="5">
        <v>5.7747988593625371E-2</v>
      </c>
      <c r="W220" s="5">
        <v>2.8391611186991999E-2</v>
      </c>
      <c r="X220" s="6">
        <v>0</v>
      </c>
      <c r="Y220" s="6">
        <v>1</v>
      </c>
      <c r="Z220" s="6">
        <v>104</v>
      </c>
      <c r="AA220" s="12">
        <v>0.21587935616398435</v>
      </c>
      <c r="AB220" s="5">
        <v>3.4528579839839389E-2</v>
      </c>
      <c r="AC220" s="6">
        <v>0</v>
      </c>
      <c r="AD220" s="6">
        <v>1</v>
      </c>
      <c r="AE220" s="6">
        <v>264</v>
      </c>
      <c r="AF220">
        <f>(AA222/AA221)-AA220</f>
        <v>5.1187827521288587E-2</v>
      </c>
    </row>
    <row r="221" spans="1:32" ht="26.25" x14ac:dyDescent="0.45">
      <c r="A221" s="4" t="s">
        <v>38</v>
      </c>
      <c r="B221" s="5">
        <v>0.84000868272823959</v>
      </c>
      <c r="C221" s="5">
        <v>6.5933157962881336E-2</v>
      </c>
      <c r="D221" s="6">
        <v>0</v>
      </c>
      <c r="E221" s="6">
        <v>1</v>
      </c>
      <c r="F221" s="6">
        <v>34</v>
      </c>
      <c r="G221" s="5">
        <v>0.8757010716140059</v>
      </c>
      <c r="H221" s="5">
        <v>5.3035240634634946E-2</v>
      </c>
      <c r="I221" s="6">
        <v>0</v>
      </c>
      <c r="J221" s="6">
        <v>1</v>
      </c>
      <c r="K221" s="6">
        <v>42</v>
      </c>
      <c r="L221" s="5">
        <v>0.72424862259728484</v>
      </c>
      <c r="M221" s="5">
        <v>6.9698543042307798E-2</v>
      </c>
      <c r="N221" s="6">
        <v>0</v>
      </c>
      <c r="O221" s="6">
        <v>1</v>
      </c>
      <c r="P221" s="6">
        <v>44</v>
      </c>
      <c r="Q221" s="5">
        <v>0.76619872916446996</v>
      </c>
      <c r="R221" s="5">
        <v>6.9319636379783084E-2</v>
      </c>
      <c r="S221" s="6">
        <v>0</v>
      </c>
      <c r="T221" s="6">
        <v>1</v>
      </c>
      <c r="U221" s="6">
        <v>40</v>
      </c>
      <c r="V221" s="5">
        <v>0.41945825525041158</v>
      </c>
      <c r="W221" s="5">
        <v>6.5895940178938919E-2</v>
      </c>
      <c r="X221" s="6">
        <v>0</v>
      </c>
      <c r="Y221" s="6">
        <v>1</v>
      </c>
      <c r="Z221" s="6">
        <v>104</v>
      </c>
      <c r="AA221" s="12">
        <v>0.77070805751749982</v>
      </c>
      <c r="AB221" s="5">
        <v>3.6116125764874885E-2</v>
      </c>
      <c r="AC221" s="6">
        <v>0</v>
      </c>
      <c r="AD221" s="6">
        <v>1</v>
      </c>
      <c r="AE221" s="6">
        <v>264</v>
      </c>
      <c r="AF221">
        <f>(AA222/AA220)-AA221</f>
        <v>0.18274499154752821</v>
      </c>
    </row>
    <row r="222" spans="1:32" ht="39.4" x14ac:dyDescent="0.45">
      <c r="A222" s="4" t="s">
        <v>102</v>
      </c>
      <c r="B222" s="5">
        <v>0.14097912584981692</v>
      </c>
      <c r="C222" s="5">
        <v>6.3883868424885484E-2</v>
      </c>
      <c r="D222" s="6">
        <v>0</v>
      </c>
      <c r="E222" s="6">
        <v>1</v>
      </c>
      <c r="F222" s="6">
        <v>34</v>
      </c>
      <c r="G222" s="5">
        <v>0.25052573976438386</v>
      </c>
      <c r="H222" s="5">
        <v>6.9228535582045239E-2</v>
      </c>
      <c r="I222" s="6">
        <v>0</v>
      </c>
      <c r="J222" s="6">
        <v>1</v>
      </c>
      <c r="K222" s="6">
        <v>42</v>
      </c>
      <c r="L222" s="5">
        <v>0.16023885887947467</v>
      </c>
      <c r="M222" s="5">
        <v>5.6132837285575506E-2</v>
      </c>
      <c r="N222" s="6">
        <v>0</v>
      </c>
      <c r="O222" s="6">
        <v>1</v>
      </c>
      <c r="P222" s="6">
        <v>44</v>
      </c>
      <c r="Q222" s="5">
        <v>0.27853232036598929</v>
      </c>
      <c r="R222" s="5">
        <v>7.2602815976202259E-2</v>
      </c>
      <c r="S222" s="6">
        <v>0</v>
      </c>
      <c r="T222" s="6">
        <v>1</v>
      </c>
      <c r="U222" s="6">
        <v>40</v>
      </c>
      <c r="V222" s="5">
        <v>4.5273656091200043E-2</v>
      </c>
      <c r="W222" s="5">
        <v>2.7586118395512331E-2</v>
      </c>
      <c r="X222" s="6">
        <v>0</v>
      </c>
      <c r="Y222" s="6">
        <v>1</v>
      </c>
      <c r="Z222" s="6">
        <v>104</v>
      </c>
      <c r="AA222" s="12">
        <v>0.20583083036474603</v>
      </c>
      <c r="AB222" s="5">
        <v>3.4137418985084426E-2</v>
      </c>
      <c r="AC222" s="6">
        <v>0</v>
      </c>
      <c r="AD222" s="6">
        <v>1</v>
      </c>
      <c r="AE222" s="6">
        <v>264</v>
      </c>
    </row>
    <row r="223" spans="1:32" x14ac:dyDescent="0.45">
      <c r="A223" s="4" t="s">
        <v>34</v>
      </c>
      <c r="B223" s="5">
        <v>0.19862121171774996</v>
      </c>
      <c r="C223" s="5">
        <v>7.0449908333518482E-2</v>
      </c>
      <c r="D223" s="6">
        <v>0</v>
      </c>
      <c r="E223" s="6">
        <v>1</v>
      </c>
      <c r="F223" s="6">
        <v>34</v>
      </c>
      <c r="G223" s="5">
        <v>0.27373543444507736</v>
      </c>
      <c r="H223" s="5">
        <v>7.1059953576424029E-2</v>
      </c>
      <c r="I223" s="6">
        <v>0</v>
      </c>
      <c r="J223" s="6">
        <v>1</v>
      </c>
      <c r="K223" s="6">
        <v>42</v>
      </c>
      <c r="L223" s="5">
        <v>0.16023885887947467</v>
      </c>
      <c r="M223" s="5">
        <v>5.6132837285575506E-2</v>
      </c>
      <c r="N223" s="6">
        <v>0</v>
      </c>
      <c r="O223" s="6">
        <v>1</v>
      </c>
      <c r="P223" s="6">
        <v>44</v>
      </c>
      <c r="Q223" s="5">
        <v>0.27853232036598929</v>
      </c>
      <c r="R223" s="5">
        <v>7.2602815976202259E-2</v>
      </c>
      <c r="S223" s="6">
        <v>0</v>
      </c>
      <c r="T223" s="6">
        <v>1</v>
      </c>
      <c r="U223" s="6">
        <v>40</v>
      </c>
      <c r="V223" s="5">
        <v>5.7747988593625371E-2</v>
      </c>
      <c r="W223" s="5">
        <v>2.8391611186991999E-2</v>
      </c>
      <c r="X223" s="6">
        <v>0</v>
      </c>
      <c r="Y223" s="6">
        <v>1</v>
      </c>
      <c r="Z223" s="6">
        <v>104</v>
      </c>
      <c r="AA223" s="12">
        <v>0.21587935616398435</v>
      </c>
      <c r="AB223" s="5">
        <v>3.4528579839839389E-2</v>
      </c>
      <c r="AC223" s="6">
        <v>0</v>
      </c>
      <c r="AD223" s="6">
        <v>1</v>
      </c>
      <c r="AE223" s="6">
        <v>264</v>
      </c>
      <c r="AF223">
        <f>(AA225/AA224)-AA223</f>
        <v>-1.5196297095735195E-2</v>
      </c>
    </row>
    <row r="224" spans="1:32" x14ac:dyDescent="0.45">
      <c r="A224" s="4" t="s">
        <v>40</v>
      </c>
      <c r="B224" s="5">
        <v>0.47314926338671726</v>
      </c>
      <c r="C224" s="5">
        <v>9.1986997587208227E-2</v>
      </c>
      <c r="D224" s="6">
        <v>0</v>
      </c>
      <c r="E224" s="6">
        <v>1</v>
      </c>
      <c r="F224" s="6">
        <v>34</v>
      </c>
      <c r="G224" s="5">
        <v>0.59916532039375925</v>
      </c>
      <c r="H224" s="5">
        <v>7.8188563211038412E-2</v>
      </c>
      <c r="I224" s="6">
        <v>0</v>
      </c>
      <c r="J224" s="6">
        <v>1</v>
      </c>
      <c r="K224" s="6">
        <v>42</v>
      </c>
      <c r="L224" s="5">
        <v>0.5544767542723662</v>
      </c>
      <c r="M224" s="5">
        <v>7.7775688570457788E-2</v>
      </c>
      <c r="N224" s="6">
        <v>0</v>
      </c>
      <c r="O224" s="6">
        <v>1</v>
      </c>
      <c r="P224" s="6">
        <v>44</v>
      </c>
      <c r="Q224" s="5">
        <v>0.89744052335873858</v>
      </c>
      <c r="R224" s="5">
        <v>4.9355060283969104E-2</v>
      </c>
      <c r="S224" s="6">
        <v>0</v>
      </c>
      <c r="T224" s="6">
        <v>1</v>
      </c>
      <c r="U224" s="6">
        <v>40</v>
      </c>
      <c r="V224" s="5">
        <v>0.64636059193257822</v>
      </c>
      <c r="W224" s="5">
        <v>6.6126331124485585E-2</v>
      </c>
      <c r="X224" s="6">
        <v>0</v>
      </c>
      <c r="Y224" s="6">
        <v>1</v>
      </c>
      <c r="Z224" s="6">
        <v>104</v>
      </c>
      <c r="AA224" s="12">
        <v>0.6412951441068232</v>
      </c>
      <c r="AB224" s="5">
        <v>4.1660786160429293E-2</v>
      </c>
      <c r="AC224" s="6">
        <v>0</v>
      </c>
      <c r="AD224" s="6">
        <v>1</v>
      </c>
      <c r="AE224" s="6">
        <v>264</v>
      </c>
      <c r="AF224">
        <f>(AA225/AA223)-AA224</f>
        <v>-4.5142396702799847E-2</v>
      </c>
    </row>
    <row r="225" spans="1:32" ht="26.25" x14ac:dyDescent="0.45">
      <c r="A225" s="4" t="s">
        <v>103</v>
      </c>
      <c r="B225" s="5">
        <v>7.7687290664993289E-2</v>
      </c>
      <c r="C225" s="5">
        <v>4.4357262662701999E-2</v>
      </c>
      <c r="D225" s="6">
        <v>0</v>
      </c>
      <c r="E225" s="6">
        <v>1</v>
      </c>
      <c r="F225" s="6">
        <v>34</v>
      </c>
      <c r="G225" s="5">
        <v>0.14499239810939205</v>
      </c>
      <c r="H225" s="5">
        <v>5.5504520507700085E-2</v>
      </c>
      <c r="I225" s="6">
        <v>0</v>
      </c>
      <c r="J225" s="6">
        <v>1</v>
      </c>
      <c r="K225" s="6">
        <v>42</v>
      </c>
      <c r="L225" s="5">
        <v>5.1253139545418755E-2</v>
      </c>
      <c r="M225" s="5">
        <v>3.576702818099501E-2</v>
      </c>
      <c r="N225" s="6">
        <v>0</v>
      </c>
      <c r="O225" s="6">
        <v>1</v>
      </c>
      <c r="P225" s="6">
        <v>44</v>
      </c>
      <c r="Q225" s="5">
        <v>0.27853232036598929</v>
      </c>
      <c r="R225" s="5">
        <v>7.2602815976202259E-2</v>
      </c>
      <c r="S225" s="6">
        <v>0</v>
      </c>
      <c r="T225" s="6">
        <v>1</v>
      </c>
      <c r="U225" s="6">
        <v>40</v>
      </c>
      <c r="V225" s="5">
        <v>5.2184494177676975E-2</v>
      </c>
      <c r="W225" s="5">
        <v>2.814300871381278E-2</v>
      </c>
      <c r="X225" s="6">
        <v>0</v>
      </c>
      <c r="Y225" s="6">
        <v>1</v>
      </c>
      <c r="Z225" s="6">
        <v>104</v>
      </c>
      <c r="AA225" s="12">
        <v>0.12869707128497096</v>
      </c>
      <c r="AB225" s="5">
        <v>2.7306079454665302E-2</v>
      </c>
      <c r="AC225" s="6">
        <v>0</v>
      </c>
      <c r="AD225" s="6">
        <v>1</v>
      </c>
      <c r="AE225" s="6">
        <v>264</v>
      </c>
    </row>
    <row r="226" spans="1:32" x14ac:dyDescent="0.45">
      <c r="A226" s="4" t="s">
        <v>34</v>
      </c>
      <c r="B226" s="5">
        <v>0.19862121171774996</v>
      </c>
      <c r="C226" s="5">
        <v>7.0449908333518482E-2</v>
      </c>
      <c r="D226" s="6">
        <v>0</v>
      </c>
      <c r="E226" s="6">
        <v>1</v>
      </c>
      <c r="F226" s="6">
        <v>34</v>
      </c>
      <c r="G226" s="5">
        <v>0.27373543444507736</v>
      </c>
      <c r="H226" s="5">
        <v>7.1059953576424029E-2</v>
      </c>
      <c r="I226" s="6">
        <v>0</v>
      </c>
      <c r="J226" s="6">
        <v>1</v>
      </c>
      <c r="K226" s="6">
        <v>42</v>
      </c>
      <c r="L226" s="5">
        <v>0.16023885887947467</v>
      </c>
      <c r="M226" s="5">
        <v>5.6132837285575506E-2</v>
      </c>
      <c r="N226" s="6">
        <v>0</v>
      </c>
      <c r="O226" s="6">
        <v>1</v>
      </c>
      <c r="P226" s="6">
        <v>44</v>
      </c>
      <c r="Q226" s="5">
        <v>0.27853232036598929</v>
      </c>
      <c r="R226" s="5">
        <v>7.2602815976202259E-2</v>
      </c>
      <c r="S226" s="6">
        <v>0</v>
      </c>
      <c r="T226" s="6">
        <v>1</v>
      </c>
      <c r="U226" s="6">
        <v>40</v>
      </c>
      <c r="V226" s="5">
        <v>5.7747988593625371E-2</v>
      </c>
      <c r="W226" s="5">
        <v>2.8391611186991999E-2</v>
      </c>
      <c r="X226" s="6">
        <v>0</v>
      </c>
      <c r="Y226" s="6">
        <v>1</v>
      </c>
      <c r="Z226" s="6">
        <v>104</v>
      </c>
      <c r="AA226" s="12">
        <v>0.21587935616398435</v>
      </c>
      <c r="AB226" s="5">
        <v>3.4528579839839389E-2</v>
      </c>
      <c r="AC226" s="6">
        <v>0</v>
      </c>
      <c r="AD226" s="6">
        <v>1</v>
      </c>
      <c r="AE226" s="6">
        <v>264</v>
      </c>
      <c r="AF226">
        <f>(AA228/AA227)-AA226</f>
        <v>-6.8273568744604829E-3</v>
      </c>
    </row>
    <row r="227" spans="1:32" x14ac:dyDescent="0.45">
      <c r="A227" s="4" t="s">
        <v>42</v>
      </c>
      <c r="B227" s="5">
        <v>0.70676339075737993</v>
      </c>
      <c r="C227" s="5">
        <v>8.2311257529143506E-2</v>
      </c>
      <c r="D227" s="6">
        <v>0</v>
      </c>
      <c r="E227" s="6">
        <v>1</v>
      </c>
      <c r="F227" s="6">
        <v>34</v>
      </c>
      <c r="G227" s="5">
        <v>0.89745945595635757</v>
      </c>
      <c r="H227" s="5">
        <v>4.9322035621993304E-2</v>
      </c>
      <c r="I227" s="6">
        <v>0</v>
      </c>
      <c r="J227" s="6">
        <v>1</v>
      </c>
      <c r="K227" s="6">
        <v>42</v>
      </c>
      <c r="L227" s="5">
        <v>0.74627430949051987</v>
      </c>
      <c r="M227" s="5">
        <v>6.7544644640920845E-2</v>
      </c>
      <c r="N227" s="6">
        <v>0</v>
      </c>
      <c r="O227" s="6">
        <v>1</v>
      </c>
      <c r="P227" s="6">
        <v>44</v>
      </c>
      <c r="Q227" s="5">
        <v>0.87908303986713809</v>
      </c>
      <c r="R227" s="5">
        <v>5.2789569621478863E-2</v>
      </c>
      <c r="S227" s="6">
        <v>0</v>
      </c>
      <c r="T227" s="6">
        <v>1</v>
      </c>
      <c r="U227" s="6">
        <v>40</v>
      </c>
      <c r="V227" s="5">
        <v>0.5866426892711829</v>
      </c>
      <c r="W227" s="5">
        <v>6.7909303410161284E-2</v>
      </c>
      <c r="X227" s="6">
        <v>0</v>
      </c>
      <c r="Y227" s="6">
        <v>1</v>
      </c>
      <c r="Z227" s="6">
        <v>104</v>
      </c>
      <c r="AA227" s="12">
        <v>0.80877290183625294</v>
      </c>
      <c r="AB227" s="5">
        <v>3.3808580537463842E-2</v>
      </c>
      <c r="AC227" s="6">
        <v>0</v>
      </c>
      <c r="AD227" s="6">
        <v>1</v>
      </c>
      <c r="AE227" s="6">
        <v>264</v>
      </c>
      <c r="AF227">
        <f>(AA228/AA226)-AA227</f>
        <v>-2.5578088286657086E-2</v>
      </c>
    </row>
    <row r="228" spans="1:32" ht="26.25" x14ac:dyDescent="0.45">
      <c r="A228" s="4" t="s">
        <v>104</v>
      </c>
      <c r="B228" s="5">
        <v>0.13218692265680593</v>
      </c>
      <c r="C228" s="5">
        <v>6.009790649331171E-2</v>
      </c>
      <c r="D228" s="6">
        <v>0</v>
      </c>
      <c r="E228" s="6">
        <v>1</v>
      </c>
      <c r="F228" s="6">
        <v>34</v>
      </c>
      <c r="G228" s="5">
        <v>0.25011194194967334</v>
      </c>
      <c r="H228" s="5">
        <v>6.9157689093998317E-2</v>
      </c>
      <c r="I228" s="6">
        <v>0</v>
      </c>
      <c r="J228" s="6">
        <v>1</v>
      </c>
      <c r="K228" s="6">
        <v>42</v>
      </c>
      <c r="L228" s="5">
        <v>9.6172287926433189E-2</v>
      </c>
      <c r="M228" s="5">
        <v>4.5673758839108139E-2</v>
      </c>
      <c r="N228" s="6">
        <v>0</v>
      </c>
      <c r="O228" s="6">
        <v>1</v>
      </c>
      <c r="P228" s="6">
        <v>44</v>
      </c>
      <c r="Q228" s="5">
        <v>0.23474805678986377</v>
      </c>
      <c r="R228" s="5">
        <v>6.8820740040652348E-2</v>
      </c>
      <c r="S228" s="6">
        <v>0</v>
      </c>
      <c r="T228" s="6">
        <v>1</v>
      </c>
      <c r="U228" s="6">
        <v>40</v>
      </c>
      <c r="V228" s="5">
        <v>5.2184494177676975E-2</v>
      </c>
      <c r="W228" s="5">
        <v>2.814300871381278E-2</v>
      </c>
      <c r="X228" s="6">
        <v>0</v>
      </c>
      <c r="Y228" s="6">
        <v>1</v>
      </c>
      <c r="Z228" s="6">
        <v>104</v>
      </c>
      <c r="AA228" s="12">
        <v>0.16907559210005851</v>
      </c>
      <c r="AB228" s="5">
        <v>3.125070866057951E-2</v>
      </c>
      <c r="AC228" s="6">
        <v>0</v>
      </c>
      <c r="AD228" s="6">
        <v>1</v>
      </c>
      <c r="AE228" s="6">
        <v>264</v>
      </c>
    </row>
    <row r="229" spans="1:32" x14ac:dyDescent="0.45">
      <c r="A229" s="4" t="s">
        <v>34</v>
      </c>
      <c r="B229" s="5">
        <v>0.19862121171774996</v>
      </c>
      <c r="C229" s="5">
        <v>7.0449908333518482E-2</v>
      </c>
      <c r="D229" s="6">
        <v>0</v>
      </c>
      <c r="E229" s="6">
        <v>1</v>
      </c>
      <c r="F229" s="6">
        <v>34</v>
      </c>
      <c r="G229" s="5">
        <v>0.27373543444507736</v>
      </c>
      <c r="H229" s="5">
        <v>7.1059953576424029E-2</v>
      </c>
      <c r="I229" s="6">
        <v>0</v>
      </c>
      <c r="J229" s="6">
        <v>1</v>
      </c>
      <c r="K229" s="6">
        <v>42</v>
      </c>
      <c r="L229" s="5">
        <v>0.16023885887947467</v>
      </c>
      <c r="M229" s="5">
        <v>5.6132837285575506E-2</v>
      </c>
      <c r="N229" s="6">
        <v>0</v>
      </c>
      <c r="O229" s="6">
        <v>1</v>
      </c>
      <c r="P229" s="6">
        <v>44</v>
      </c>
      <c r="Q229" s="5">
        <v>0.27853232036598929</v>
      </c>
      <c r="R229" s="5">
        <v>7.2602815976202259E-2</v>
      </c>
      <c r="S229" s="6">
        <v>0</v>
      </c>
      <c r="T229" s="6">
        <v>1</v>
      </c>
      <c r="U229" s="6">
        <v>40</v>
      </c>
      <c r="V229" s="5">
        <v>5.7747988593625371E-2</v>
      </c>
      <c r="W229" s="5">
        <v>2.8391611186991999E-2</v>
      </c>
      <c r="X229" s="6">
        <v>0</v>
      </c>
      <c r="Y229" s="6">
        <v>1</v>
      </c>
      <c r="Z229" s="6">
        <v>104</v>
      </c>
      <c r="AA229" s="12">
        <v>0.21587935616398435</v>
      </c>
      <c r="AB229" s="5">
        <v>3.4528579839839389E-2</v>
      </c>
      <c r="AC229" s="6">
        <v>0</v>
      </c>
      <c r="AD229" s="6">
        <v>1</v>
      </c>
      <c r="AE229" s="6">
        <v>264</v>
      </c>
      <c r="AF229">
        <f>(AA231/AA230)-AA229</f>
        <v>2.2470670096969514E-2</v>
      </c>
    </row>
    <row r="230" spans="1:32" x14ac:dyDescent="0.45">
      <c r="A230" s="4" t="s">
        <v>44</v>
      </c>
      <c r="B230" s="5">
        <v>0.26296232107028095</v>
      </c>
      <c r="C230" s="5">
        <v>8.0971230867118368E-2</v>
      </c>
      <c r="D230" s="6">
        <v>0</v>
      </c>
      <c r="E230" s="6">
        <v>1</v>
      </c>
      <c r="F230" s="6">
        <v>34</v>
      </c>
      <c r="G230" s="5">
        <v>0.35571464744938486</v>
      </c>
      <c r="H230" s="5">
        <v>7.5377725145722718E-2</v>
      </c>
      <c r="I230" s="6">
        <v>0</v>
      </c>
      <c r="J230" s="6">
        <v>1</v>
      </c>
      <c r="K230" s="6">
        <v>42</v>
      </c>
      <c r="L230" s="5">
        <v>0.33138587150846482</v>
      </c>
      <c r="M230" s="5">
        <v>7.3951973163393067E-2</v>
      </c>
      <c r="N230" s="6">
        <v>0</v>
      </c>
      <c r="O230" s="6">
        <v>1</v>
      </c>
      <c r="P230" s="6">
        <v>44</v>
      </c>
      <c r="Q230" s="5">
        <v>0.48486364033758289</v>
      </c>
      <c r="R230" s="5">
        <v>8.2351680282883519E-2</v>
      </c>
      <c r="S230" s="6">
        <v>0</v>
      </c>
      <c r="T230" s="6">
        <v>1</v>
      </c>
      <c r="U230" s="6">
        <v>40</v>
      </c>
      <c r="V230" s="5">
        <v>0.24869923971566638</v>
      </c>
      <c r="W230" s="5">
        <v>5.4351819960247037E-2</v>
      </c>
      <c r="X230" s="6">
        <v>0</v>
      </c>
      <c r="Y230" s="6">
        <v>1</v>
      </c>
      <c r="Z230" s="6">
        <v>104</v>
      </c>
      <c r="AA230" s="12">
        <v>0.3652932886037854</v>
      </c>
      <c r="AB230" s="5">
        <v>4.1360781021304437E-2</v>
      </c>
      <c r="AC230" s="6">
        <v>0</v>
      </c>
      <c r="AD230" s="6">
        <v>1</v>
      </c>
      <c r="AE230" s="6">
        <v>264</v>
      </c>
      <c r="AF230">
        <f>(AA231/AA229)-AA230</f>
        <v>3.8023019536048419E-2</v>
      </c>
    </row>
    <row r="231" spans="1:32" ht="26.25" x14ac:dyDescent="0.45">
      <c r="A231" s="4" t="s">
        <v>105</v>
      </c>
      <c r="B231" s="5">
        <v>2.3220275994504668E-2</v>
      </c>
      <c r="C231" s="5">
        <v>2.3407598160628439E-2</v>
      </c>
      <c r="D231" s="6">
        <v>0</v>
      </c>
      <c r="E231" s="6">
        <v>1</v>
      </c>
      <c r="F231" s="6">
        <v>34</v>
      </c>
      <c r="G231" s="5">
        <v>0.17468676464026398</v>
      </c>
      <c r="H231" s="5">
        <v>6.0669882069190682E-2</v>
      </c>
      <c r="I231" s="6">
        <v>0</v>
      </c>
      <c r="J231" s="6">
        <v>1</v>
      </c>
      <c r="K231" s="6">
        <v>42</v>
      </c>
      <c r="L231" s="5">
        <v>2.1375729487731091E-2</v>
      </c>
      <c r="M231" s="5">
        <v>2.1418491629574751E-2</v>
      </c>
      <c r="N231" s="6">
        <v>0</v>
      </c>
      <c r="O231" s="6">
        <v>1</v>
      </c>
      <c r="P231" s="6">
        <v>44</v>
      </c>
      <c r="Q231" s="5">
        <v>0.13020488169005762</v>
      </c>
      <c r="R231" s="5">
        <v>5.4481978902732708E-2</v>
      </c>
      <c r="S231" s="6">
        <v>0</v>
      </c>
      <c r="T231" s="6">
        <v>1</v>
      </c>
      <c r="U231" s="6">
        <v>40</v>
      </c>
      <c r="V231" s="5">
        <v>2.3820763299837858E-2</v>
      </c>
      <c r="W231" s="5">
        <v>1.9379001545508198E-2</v>
      </c>
      <c r="X231" s="6">
        <v>0</v>
      </c>
      <c r="Y231" s="6">
        <v>1</v>
      </c>
      <c r="Z231" s="6">
        <v>104</v>
      </c>
      <c r="AA231" s="12">
        <v>8.7067664931662445E-2</v>
      </c>
      <c r="AB231" s="5">
        <v>2.2839319142833582E-2</v>
      </c>
      <c r="AC231" s="6">
        <v>0</v>
      </c>
      <c r="AD231" s="6">
        <v>1</v>
      </c>
      <c r="AE231" s="6">
        <v>264</v>
      </c>
    </row>
    <row r="232" spans="1:32" x14ac:dyDescent="0.45">
      <c r="A232" s="4" t="s">
        <v>34</v>
      </c>
      <c r="B232" s="5">
        <v>0.19862121171774996</v>
      </c>
      <c r="C232" s="5">
        <v>7.0449908333518482E-2</v>
      </c>
      <c r="D232" s="6">
        <v>0</v>
      </c>
      <c r="E232" s="6">
        <v>1</v>
      </c>
      <c r="F232" s="6">
        <v>34</v>
      </c>
      <c r="G232" s="5">
        <v>0.27373543444507736</v>
      </c>
      <c r="H232" s="5">
        <v>7.1059953576424029E-2</v>
      </c>
      <c r="I232" s="6">
        <v>0</v>
      </c>
      <c r="J232" s="6">
        <v>1</v>
      </c>
      <c r="K232" s="6">
        <v>42</v>
      </c>
      <c r="L232" s="5">
        <v>0.16023885887947467</v>
      </c>
      <c r="M232" s="5">
        <v>5.6132837285575506E-2</v>
      </c>
      <c r="N232" s="6">
        <v>0</v>
      </c>
      <c r="O232" s="6">
        <v>1</v>
      </c>
      <c r="P232" s="6">
        <v>44</v>
      </c>
      <c r="Q232" s="5">
        <v>0.27853232036598929</v>
      </c>
      <c r="R232" s="5">
        <v>7.2602815976202259E-2</v>
      </c>
      <c r="S232" s="6">
        <v>0</v>
      </c>
      <c r="T232" s="6">
        <v>1</v>
      </c>
      <c r="U232" s="6">
        <v>40</v>
      </c>
      <c r="V232" s="5">
        <v>5.7747988593625371E-2</v>
      </c>
      <c r="W232" s="5">
        <v>2.8391611186991999E-2</v>
      </c>
      <c r="X232" s="6">
        <v>0</v>
      </c>
      <c r="Y232" s="6">
        <v>1</v>
      </c>
      <c r="Z232" s="6">
        <v>104</v>
      </c>
      <c r="AA232" s="12">
        <v>0.21587935616398435</v>
      </c>
      <c r="AB232" s="5">
        <v>3.4528579839839389E-2</v>
      </c>
      <c r="AC232" s="6">
        <v>0</v>
      </c>
      <c r="AD232" s="6">
        <v>1</v>
      </c>
      <c r="AE232" s="6">
        <v>264</v>
      </c>
      <c r="AF232">
        <f>(AA234/AA233)-AA232</f>
        <v>1.7594543331342721E-2</v>
      </c>
    </row>
    <row r="233" spans="1:32" ht="39.4" x14ac:dyDescent="0.45">
      <c r="A233" s="4" t="s">
        <v>16</v>
      </c>
      <c r="B233" s="5">
        <v>0.95226292316662886</v>
      </c>
      <c r="C233" s="5">
        <v>3.3757095360377097E-2</v>
      </c>
      <c r="D233" s="6">
        <v>0</v>
      </c>
      <c r="E233" s="6">
        <v>1</v>
      </c>
      <c r="F233" s="6">
        <v>34</v>
      </c>
      <c r="G233" s="5">
        <v>0.96979725445447418</v>
      </c>
      <c r="H233" s="5">
        <v>3.0016012175185333E-2</v>
      </c>
      <c r="I233" s="6">
        <v>0</v>
      </c>
      <c r="J233" s="6">
        <v>1</v>
      </c>
      <c r="K233" s="6">
        <v>42</v>
      </c>
      <c r="L233" s="5">
        <v>0.87135789190493673</v>
      </c>
      <c r="M233" s="5">
        <v>5.1043606748041002E-2</v>
      </c>
      <c r="N233" s="6">
        <v>0</v>
      </c>
      <c r="O233" s="6">
        <v>1</v>
      </c>
      <c r="P233" s="6">
        <v>44</v>
      </c>
      <c r="Q233" s="5">
        <v>0.94904190046407078</v>
      </c>
      <c r="R233" s="5">
        <v>3.5591246809232757E-2</v>
      </c>
      <c r="S233" s="6">
        <v>0</v>
      </c>
      <c r="T233" s="6">
        <v>1</v>
      </c>
      <c r="U233" s="6">
        <v>40</v>
      </c>
      <c r="V233" s="5">
        <v>0.6502146518916736</v>
      </c>
      <c r="W233" s="5">
        <v>6.6144933824160743E-2</v>
      </c>
      <c r="X233" s="6">
        <v>0</v>
      </c>
      <c r="Y233" s="6">
        <v>1</v>
      </c>
      <c r="Z233" s="6">
        <v>104</v>
      </c>
      <c r="AA233" s="12">
        <v>0.9123329679672284</v>
      </c>
      <c r="AB233" s="5">
        <v>2.4254307094762586E-2</v>
      </c>
      <c r="AC233" s="6">
        <v>0</v>
      </c>
      <c r="AD233" s="6">
        <v>1</v>
      </c>
      <c r="AE233" s="6">
        <v>264</v>
      </c>
      <c r="AF233">
        <f>(AA234/AA232)-AA233</f>
        <v>7.4356725083609132E-2</v>
      </c>
    </row>
    <row r="234" spans="1:32" ht="26.25" x14ac:dyDescent="0.45">
      <c r="A234" s="4" t="s">
        <v>106</v>
      </c>
      <c r="B234" s="5">
        <v>0.1508841348843788</v>
      </c>
      <c r="C234" s="5">
        <v>6.4460743760861833E-2</v>
      </c>
      <c r="D234" s="6">
        <v>0</v>
      </c>
      <c r="E234" s="6">
        <v>1</v>
      </c>
      <c r="F234" s="6">
        <v>34</v>
      </c>
      <c r="G234" s="5">
        <v>0.27373543444507736</v>
      </c>
      <c r="H234" s="5">
        <v>7.1059953576424029E-2</v>
      </c>
      <c r="I234" s="6">
        <v>0</v>
      </c>
      <c r="J234" s="6">
        <v>1</v>
      </c>
      <c r="K234" s="6">
        <v>42</v>
      </c>
      <c r="L234" s="5">
        <v>0.16023885887947467</v>
      </c>
      <c r="M234" s="5">
        <v>5.6132837285575506E-2</v>
      </c>
      <c r="N234" s="6">
        <v>0</v>
      </c>
      <c r="O234" s="6">
        <v>1</v>
      </c>
      <c r="P234" s="6">
        <v>44</v>
      </c>
      <c r="Q234" s="5">
        <v>0.27853232036598929</v>
      </c>
      <c r="R234" s="5">
        <v>7.2602815976202259E-2</v>
      </c>
      <c r="S234" s="6">
        <v>0</v>
      </c>
      <c r="T234" s="6">
        <v>1</v>
      </c>
      <c r="U234" s="6">
        <v>40</v>
      </c>
      <c r="V234" s="5">
        <v>5.5503029997500543E-2</v>
      </c>
      <c r="W234" s="5">
        <v>2.8335752969865423E-2</v>
      </c>
      <c r="X234" s="6">
        <v>0</v>
      </c>
      <c r="Y234" s="6">
        <v>1</v>
      </c>
      <c r="Z234" s="6">
        <v>104</v>
      </c>
      <c r="AA234" s="12">
        <v>0.21300593566945414</v>
      </c>
      <c r="AB234" s="5">
        <v>3.4488357223783808E-2</v>
      </c>
      <c r="AC234" s="6">
        <v>0</v>
      </c>
      <c r="AD234" s="6">
        <v>1</v>
      </c>
      <c r="AE234" s="6">
        <v>264</v>
      </c>
    </row>
    <row r="235" spans="1:32" x14ac:dyDescent="0.45">
      <c r="A235" s="4" t="s">
        <v>34</v>
      </c>
      <c r="B235" s="5">
        <v>0.19862121171774996</v>
      </c>
      <c r="C235" s="5">
        <v>7.0449908333518482E-2</v>
      </c>
      <c r="D235" s="6">
        <v>0</v>
      </c>
      <c r="E235" s="6">
        <v>1</v>
      </c>
      <c r="F235" s="6">
        <v>34</v>
      </c>
      <c r="G235" s="5">
        <v>0.27373543444507736</v>
      </c>
      <c r="H235" s="5">
        <v>7.1059953576424029E-2</v>
      </c>
      <c r="I235" s="6">
        <v>0</v>
      </c>
      <c r="J235" s="6">
        <v>1</v>
      </c>
      <c r="K235" s="6">
        <v>42</v>
      </c>
      <c r="L235" s="5">
        <v>0.16023885887947467</v>
      </c>
      <c r="M235" s="5">
        <v>5.6132837285575506E-2</v>
      </c>
      <c r="N235" s="6">
        <v>0</v>
      </c>
      <c r="O235" s="6">
        <v>1</v>
      </c>
      <c r="P235" s="6">
        <v>44</v>
      </c>
      <c r="Q235" s="5">
        <v>0.27853232036598929</v>
      </c>
      <c r="R235" s="5">
        <v>7.2602815976202259E-2</v>
      </c>
      <c r="S235" s="6">
        <v>0</v>
      </c>
      <c r="T235" s="6">
        <v>1</v>
      </c>
      <c r="U235" s="6">
        <v>40</v>
      </c>
      <c r="V235" s="5">
        <v>5.7747988593625371E-2</v>
      </c>
      <c r="W235" s="5">
        <v>2.8391611186991999E-2</v>
      </c>
      <c r="X235" s="6">
        <v>0</v>
      </c>
      <c r="Y235" s="6">
        <v>1</v>
      </c>
      <c r="Z235" s="6">
        <v>104</v>
      </c>
      <c r="AA235" s="12">
        <v>0.21587935616398435</v>
      </c>
      <c r="AB235" s="5">
        <v>3.4528579839839389E-2</v>
      </c>
      <c r="AC235" s="6">
        <v>0</v>
      </c>
      <c r="AD235" s="6">
        <v>1</v>
      </c>
      <c r="AE235" s="6">
        <v>264</v>
      </c>
      <c r="AF235">
        <f>(AA237/AA236)-AA235</f>
        <v>1.7123259789975032E-2</v>
      </c>
    </row>
    <row r="236" spans="1:32" ht="39.4" x14ac:dyDescent="0.45">
      <c r="A236" s="4" t="s">
        <v>18</v>
      </c>
      <c r="B236" s="5">
        <v>0.95343656614872163</v>
      </c>
      <c r="C236" s="5">
        <v>3.2998861160736311E-2</v>
      </c>
      <c r="D236" s="6">
        <v>0</v>
      </c>
      <c r="E236" s="6">
        <v>1</v>
      </c>
      <c r="F236" s="6">
        <v>34</v>
      </c>
      <c r="G236" s="5">
        <v>0.96979725445447418</v>
      </c>
      <c r="H236" s="5">
        <v>3.0016012175185333E-2</v>
      </c>
      <c r="I236" s="6">
        <v>0</v>
      </c>
      <c r="J236" s="6">
        <v>1</v>
      </c>
      <c r="K236" s="6">
        <v>42</v>
      </c>
      <c r="L236" s="5">
        <v>0.87593051101785058</v>
      </c>
      <c r="M236" s="5">
        <v>5.2578277384873313E-2</v>
      </c>
      <c r="N236" s="6">
        <v>0</v>
      </c>
      <c r="O236" s="6">
        <v>1</v>
      </c>
      <c r="P236" s="6">
        <v>44</v>
      </c>
      <c r="Q236" s="5">
        <v>0.9749682228588612</v>
      </c>
      <c r="R236" s="5">
        <v>2.5049499255806983E-2</v>
      </c>
      <c r="S236" s="6">
        <v>0</v>
      </c>
      <c r="T236" s="6">
        <v>1</v>
      </c>
      <c r="U236" s="6">
        <v>40</v>
      </c>
      <c r="V236" s="5">
        <v>0.64843100359019867</v>
      </c>
      <c r="W236" s="5">
        <v>6.691909310816567E-2</v>
      </c>
      <c r="X236" s="6">
        <v>0</v>
      </c>
      <c r="Y236" s="6">
        <v>1</v>
      </c>
      <c r="Z236" s="6">
        <v>104</v>
      </c>
      <c r="AA236" s="12">
        <v>0.920016663772251</v>
      </c>
      <c r="AB236" s="5">
        <v>2.4310884334046948E-2</v>
      </c>
      <c r="AC236" s="6">
        <v>0</v>
      </c>
      <c r="AD236" s="6">
        <v>1</v>
      </c>
      <c r="AE236" s="6">
        <v>264</v>
      </c>
      <c r="AF236">
        <f>(AA237/AA235)-AA236</f>
        <v>7.2974482714834865E-2</v>
      </c>
    </row>
    <row r="237" spans="1:32" ht="26.25" x14ac:dyDescent="0.45">
      <c r="A237" s="4" t="s">
        <v>107</v>
      </c>
      <c r="B237" s="5">
        <v>0.17410441087888343</v>
      </c>
      <c r="C237" s="5">
        <v>6.7428798945978016E-2</v>
      </c>
      <c r="D237" s="6">
        <v>0</v>
      </c>
      <c r="E237" s="6">
        <v>1</v>
      </c>
      <c r="F237" s="6">
        <v>34</v>
      </c>
      <c r="G237" s="5">
        <v>0.27373543444507736</v>
      </c>
      <c r="H237" s="5">
        <v>7.1059953576424029E-2</v>
      </c>
      <c r="I237" s="6">
        <v>0</v>
      </c>
      <c r="J237" s="6">
        <v>1</v>
      </c>
      <c r="K237" s="6">
        <v>42</v>
      </c>
      <c r="L237" s="5">
        <v>0.16023885887947467</v>
      </c>
      <c r="M237" s="5">
        <v>5.6132837285575506E-2</v>
      </c>
      <c r="N237" s="6">
        <v>0</v>
      </c>
      <c r="O237" s="6">
        <v>1</v>
      </c>
      <c r="P237" s="6">
        <v>44</v>
      </c>
      <c r="Q237" s="5">
        <v>0.27853232036598929</v>
      </c>
      <c r="R237" s="5">
        <v>7.2602815976202259E-2</v>
      </c>
      <c r="S237" s="6">
        <v>0</v>
      </c>
      <c r="T237" s="6">
        <v>1</v>
      </c>
      <c r="U237" s="6">
        <v>40</v>
      </c>
      <c r="V237" s="5">
        <v>5.5503029997500543E-2</v>
      </c>
      <c r="W237" s="5">
        <v>2.8335752969865423E-2</v>
      </c>
      <c r="X237" s="6">
        <v>0</v>
      </c>
      <c r="Y237" s="6">
        <v>1</v>
      </c>
      <c r="Z237" s="6">
        <v>104</v>
      </c>
      <c r="AA237" s="12">
        <v>0.21436628938016877</v>
      </c>
      <c r="AB237" s="5">
        <v>3.4507236640174951E-2</v>
      </c>
      <c r="AC237" s="6">
        <v>0</v>
      </c>
      <c r="AD237" s="6">
        <v>1</v>
      </c>
      <c r="AE237" s="6">
        <v>264</v>
      </c>
    </row>
    <row r="238" spans="1:32" x14ac:dyDescent="0.45">
      <c r="A238" s="4" t="s">
        <v>34</v>
      </c>
      <c r="B238" s="5">
        <v>0.19862121171774996</v>
      </c>
      <c r="C238" s="5">
        <v>7.0449908333518482E-2</v>
      </c>
      <c r="D238" s="6">
        <v>0</v>
      </c>
      <c r="E238" s="6">
        <v>1</v>
      </c>
      <c r="F238" s="6">
        <v>34</v>
      </c>
      <c r="G238" s="5">
        <v>0.27373543444507736</v>
      </c>
      <c r="H238" s="5">
        <v>7.1059953576424029E-2</v>
      </c>
      <c r="I238" s="6">
        <v>0</v>
      </c>
      <c r="J238" s="6">
        <v>1</v>
      </c>
      <c r="K238" s="6">
        <v>42</v>
      </c>
      <c r="L238" s="5">
        <v>0.16023885887947467</v>
      </c>
      <c r="M238" s="5">
        <v>5.6132837285575506E-2</v>
      </c>
      <c r="N238" s="6">
        <v>0</v>
      </c>
      <c r="O238" s="6">
        <v>1</v>
      </c>
      <c r="P238" s="6">
        <v>44</v>
      </c>
      <c r="Q238" s="5">
        <v>0.27853232036598929</v>
      </c>
      <c r="R238" s="5">
        <v>7.2602815976202259E-2</v>
      </c>
      <c r="S238" s="6">
        <v>0</v>
      </c>
      <c r="T238" s="6">
        <v>1</v>
      </c>
      <c r="U238" s="6">
        <v>40</v>
      </c>
      <c r="V238" s="5">
        <v>5.7747988593625371E-2</v>
      </c>
      <c r="W238" s="5">
        <v>2.8391611186991999E-2</v>
      </c>
      <c r="X238" s="6">
        <v>0</v>
      </c>
      <c r="Y238" s="6">
        <v>1</v>
      </c>
      <c r="Z238" s="6">
        <v>104</v>
      </c>
      <c r="AA238" s="12">
        <v>0.21587935616398435</v>
      </c>
      <c r="AB238" s="5">
        <v>3.4528579839839389E-2</v>
      </c>
      <c r="AC238" s="6">
        <v>0</v>
      </c>
      <c r="AD238" s="6">
        <v>1</v>
      </c>
      <c r="AE238" s="6">
        <v>264</v>
      </c>
      <c r="AF238">
        <f>(AA240/AA239)-AA238</f>
        <v>2.8978813872125753E-2</v>
      </c>
    </row>
    <row r="239" spans="1:32" ht="39.4" x14ac:dyDescent="0.45">
      <c r="A239" s="4" t="s">
        <v>20</v>
      </c>
      <c r="B239" s="5">
        <v>0.90678716876013998</v>
      </c>
      <c r="C239" s="5">
        <v>4.9177473357267902E-2</v>
      </c>
      <c r="D239" s="6">
        <v>0</v>
      </c>
      <c r="E239" s="6">
        <v>1</v>
      </c>
      <c r="F239" s="6">
        <v>34</v>
      </c>
      <c r="G239" s="5">
        <v>0.89891076629469935</v>
      </c>
      <c r="H239" s="5">
        <v>4.8893744591203998E-2</v>
      </c>
      <c r="I239" s="6">
        <v>0</v>
      </c>
      <c r="J239" s="6">
        <v>1</v>
      </c>
      <c r="K239" s="6">
        <v>42</v>
      </c>
      <c r="L239" s="5">
        <v>0.84039888724151057</v>
      </c>
      <c r="M239" s="5">
        <v>5.7315203821004336E-2</v>
      </c>
      <c r="N239" s="6">
        <v>0</v>
      </c>
      <c r="O239" s="6">
        <v>1</v>
      </c>
      <c r="P239" s="6">
        <v>44</v>
      </c>
      <c r="Q239" s="5">
        <v>0.94871856326789294</v>
      </c>
      <c r="R239" s="5">
        <v>3.5809222533905935E-2</v>
      </c>
      <c r="S239" s="6">
        <v>0</v>
      </c>
      <c r="T239" s="6">
        <v>1</v>
      </c>
      <c r="U239" s="6">
        <v>40</v>
      </c>
      <c r="V239" s="5">
        <v>0.49530541673349471</v>
      </c>
      <c r="W239" s="5">
        <v>6.7368955173709583E-2</v>
      </c>
      <c r="X239" s="6">
        <v>0</v>
      </c>
      <c r="Y239" s="6">
        <v>1</v>
      </c>
      <c r="Z239" s="6">
        <v>104</v>
      </c>
      <c r="AA239" s="12">
        <v>0.87236824792352818</v>
      </c>
      <c r="AB239" s="5">
        <v>2.8607368369315354E-2</v>
      </c>
      <c r="AC239" s="6">
        <v>0</v>
      </c>
      <c r="AD239" s="6">
        <v>1</v>
      </c>
      <c r="AE239" s="6">
        <v>264</v>
      </c>
      <c r="AF239">
        <f>(AA240/AA238)-AA239</f>
        <v>0.11710335593795851</v>
      </c>
    </row>
    <row r="240" spans="1:32" ht="26.25" x14ac:dyDescent="0.45">
      <c r="A240" s="4" t="s">
        <v>108</v>
      </c>
      <c r="B240" s="5">
        <v>0.16419940184432161</v>
      </c>
      <c r="C240" s="5">
        <v>6.6878853946608363E-2</v>
      </c>
      <c r="D240" s="6">
        <v>0</v>
      </c>
      <c r="E240" s="6">
        <v>1</v>
      </c>
      <c r="F240" s="6">
        <v>34</v>
      </c>
      <c r="G240" s="5">
        <v>0.27373543444507736</v>
      </c>
      <c r="H240" s="5">
        <v>7.1059953576424029E-2</v>
      </c>
      <c r="I240" s="6">
        <v>0</v>
      </c>
      <c r="J240" s="6">
        <v>1</v>
      </c>
      <c r="K240" s="6">
        <v>42</v>
      </c>
      <c r="L240" s="5">
        <v>0.16023885887947467</v>
      </c>
      <c r="M240" s="5">
        <v>5.6132837285575506E-2</v>
      </c>
      <c r="N240" s="6">
        <v>0</v>
      </c>
      <c r="O240" s="6">
        <v>1</v>
      </c>
      <c r="P240" s="6">
        <v>44</v>
      </c>
      <c r="Q240" s="5">
        <v>0.27853232036598929</v>
      </c>
      <c r="R240" s="5">
        <v>7.2602815976202259E-2</v>
      </c>
      <c r="S240" s="6">
        <v>0</v>
      </c>
      <c r="T240" s="6">
        <v>1</v>
      </c>
      <c r="U240" s="6">
        <v>40</v>
      </c>
      <c r="V240" s="5">
        <v>5.0252633566934449E-2</v>
      </c>
      <c r="W240" s="5">
        <v>2.8004281178045796E-2</v>
      </c>
      <c r="X240" s="6">
        <v>0</v>
      </c>
      <c r="Y240" s="6">
        <v>1</v>
      </c>
      <c r="Z240" s="6">
        <v>104</v>
      </c>
      <c r="AA240" s="12">
        <v>0.21360649278416272</v>
      </c>
      <c r="AB240" s="5">
        <v>3.4502282845173746E-2</v>
      </c>
      <c r="AC240" s="6">
        <v>0</v>
      </c>
      <c r="AD240" s="6">
        <v>1</v>
      </c>
      <c r="AE240" s="6">
        <v>264</v>
      </c>
    </row>
    <row r="241" spans="1:32" x14ac:dyDescent="0.45">
      <c r="A241" s="4" t="s">
        <v>34</v>
      </c>
      <c r="B241" s="5">
        <v>0.19862121171774996</v>
      </c>
      <c r="C241" s="5">
        <v>7.0449908333518482E-2</v>
      </c>
      <c r="D241" s="6">
        <v>0</v>
      </c>
      <c r="E241" s="6">
        <v>1</v>
      </c>
      <c r="F241" s="6">
        <v>34</v>
      </c>
      <c r="G241" s="5">
        <v>0.27373543444507736</v>
      </c>
      <c r="H241" s="5">
        <v>7.1059953576424029E-2</v>
      </c>
      <c r="I241" s="6">
        <v>0</v>
      </c>
      <c r="J241" s="6">
        <v>1</v>
      </c>
      <c r="K241" s="6">
        <v>42</v>
      </c>
      <c r="L241" s="5">
        <v>0.16023885887947467</v>
      </c>
      <c r="M241" s="5">
        <v>5.6132837285575506E-2</v>
      </c>
      <c r="N241" s="6">
        <v>0</v>
      </c>
      <c r="O241" s="6">
        <v>1</v>
      </c>
      <c r="P241" s="6">
        <v>44</v>
      </c>
      <c r="Q241" s="5">
        <v>0.27853232036598929</v>
      </c>
      <c r="R241" s="5">
        <v>7.2602815976202259E-2</v>
      </c>
      <c r="S241" s="6">
        <v>0</v>
      </c>
      <c r="T241" s="6">
        <v>1</v>
      </c>
      <c r="U241" s="6">
        <v>40</v>
      </c>
      <c r="V241" s="5">
        <v>5.7747988593625371E-2</v>
      </c>
      <c r="W241" s="5">
        <v>2.8391611186991999E-2</v>
      </c>
      <c r="X241" s="6">
        <v>0</v>
      </c>
      <c r="Y241" s="6">
        <v>1</v>
      </c>
      <c r="Z241" s="6">
        <v>104</v>
      </c>
      <c r="AA241" s="12">
        <v>0.21587935616398435</v>
      </c>
      <c r="AB241" s="5">
        <v>3.4528579839839389E-2</v>
      </c>
      <c r="AC241" s="6">
        <v>0</v>
      </c>
      <c r="AD241" s="6">
        <v>1</v>
      </c>
      <c r="AE241" s="6">
        <v>264</v>
      </c>
      <c r="AF241">
        <f>(AA243/AA242)-AA241</f>
        <v>9.7522117841047917E-4</v>
      </c>
    </row>
    <row r="242" spans="1:32" ht="26.25" x14ac:dyDescent="0.45">
      <c r="A242" s="4" t="s">
        <v>22</v>
      </c>
      <c r="B242" s="5">
        <v>0.84952162550522947</v>
      </c>
      <c r="C242" s="5">
        <v>6.1545774275045921E-2</v>
      </c>
      <c r="D242" s="6">
        <v>0</v>
      </c>
      <c r="E242" s="6">
        <v>1</v>
      </c>
      <c r="F242" s="6">
        <v>34</v>
      </c>
      <c r="G242" s="5">
        <v>0.96979725445447418</v>
      </c>
      <c r="H242" s="5">
        <v>3.0016012175185333E-2</v>
      </c>
      <c r="I242" s="6">
        <v>0</v>
      </c>
      <c r="J242" s="6">
        <v>1</v>
      </c>
      <c r="K242" s="6">
        <v>42</v>
      </c>
      <c r="L242" s="5">
        <v>0.86468560906249525</v>
      </c>
      <c r="M242" s="5">
        <v>5.2374794839710012E-2</v>
      </c>
      <c r="N242" s="6">
        <v>0</v>
      </c>
      <c r="O242" s="6">
        <v>1</v>
      </c>
      <c r="P242" s="6">
        <v>44</v>
      </c>
      <c r="Q242" s="5">
        <v>0.9749682228588612</v>
      </c>
      <c r="R242" s="5">
        <v>2.5049499255806983E-2</v>
      </c>
      <c r="S242" s="6">
        <v>0</v>
      </c>
      <c r="T242" s="6">
        <v>1</v>
      </c>
      <c r="U242" s="6">
        <v>40</v>
      </c>
      <c r="V242" s="5">
        <v>0.67616365127076683</v>
      </c>
      <c r="W242" s="5">
        <v>6.6180623554006821E-2</v>
      </c>
      <c r="X242" s="6">
        <v>0</v>
      </c>
      <c r="Y242" s="6">
        <v>1</v>
      </c>
      <c r="Z242" s="6">
        <v>104</v>
      </c>
      <c r="AA242" s="12">
        <v>0.91020657995142884</v>
      </c>
      <c r="AB242" s="5">
        <v>2.4389856620021973E-2</v>
      </c>
      <c r="AC242" s="6">
        <v>0</v>
      </c>
      <c r="AD242" s="6">
        <v>1</v>
      </c>
      <c r="AE242" s="6">
        <v>264</v>
      </c>
      <c r="AF242">
        <f>(AA243/AA241)-AA242</f>
        <v>4.1117999852794407E-3</v>
      </c>
    </row>
    <row r="243" spans="1:32" ht="26.25" x14ac:dyDescent="0.45">
      <c r="A243" s="4" t="s">
        <v>109</v>
      </c>
      <c r="B243" s="5">
        <v>0.17410441087888343</v>
      </c>
      <c r="C243" s="5">
        <v>6.7428798945978016E-2</v>
      </c>
      <c r="D243" s="6">
        <v>0</v>
      </c>
      <c r="E243" s="6">
        <v>1</v>
      </c>
      <c r="F243" s="6">
        <v>34</v>
      </c>
      <c r="G243" s="5">
        <v>0.27373543444507736</v>
      </c>
      <c r="H243" s="5">
        <v>7.1059953576424029E-2</v>
      </c>
      <c r="I243" s="6">
        <v>0</v>
      </c>
      <c r="J243" s="6">
        <v>1</v>
      </c>
      <c r="K243" s="6">
        <v>42</v>
      </c>
      <c r="L243" s="5">
        <v>0.11962059926846225</v>
      </c>
      <c r="M243" s="5">
        <v>5.029982043213433E-2</v>
      </c>
      <c r="N243" s="6">
        <v>0</v>
      </c>
      <c r="O243" s="6">
        <v>1</v>
      </c>
      <c r="P243" s="6">
        <v>44</v>
      </c>
      <c r="Q243" s="5">
        <v>0.27853232036598929</v>
      </c>
      <c r="R243" s="5">
        <v>7.2602815976202259E-2</v>
      </c>
      <c r="S243" s="6">
        <v>0</v>
      </c>
      <c r="T243" s="6">
        <v>1</v>
      </c>
      <c r="U243" s="6">
        <v>40</v>
      </c>
      <c r="V243" s="5">
        <v>5.2184494177676975E-2</v>
      </c>
      <c r="W243" s="5">
        <v>2.814300871381278E-2</v>
      </c>
      <c r="X243" s="6">
        <v>0</v>
      </c>
      <c r="Y243" s="6">
        <v>1</v>
      </c>
      <c r="Z243" s="6">
        <v>104</v>
      </c>
      <c r="AA243" s="12">
        <v>0.19738246318963382</v>
      </c>
      <c r="AB243" s="5">
        <v>3.3212392669028784E-2</v>
      </c>
      <c r="AC243" s="6">
        <v>0</v>
      </c>
      <c r="AD243" s="6">
        <v>1</v>
      </c>
      <c r="AE243" s="6">
        <v>264</v>
      </c>
    </row>
    <row r="244" spans="1:32" x14ac:dyDescent="0.45">
      <c r="A244" s="4" t="s">
        <v>34</v>
      </c>
      <c r="B244" s="5">
        <v>0.19862121171774996</v>
      </c>
      <c r="C244" s="5">
        <v>7.0449908333518482E-2</v>
      </c>
      <c r="D244" s="6">
        <v>0</v>
      </c>
      <c r="E244" s="6">
        <v>1</v>
      </c>
      <c r="F244" s="6">
        <v>34</v>
      </c>
      <c r="G244" s="5">
        <v>0.27373543444507736</v>
      </c>
      <c r="H244" s="5">
        <v>7.1059953576424029E-2</v>
      </c>
      <c r="I244" s="6">
        <v>0</v>
      </c>
      <c r="J244" s="6">
        <v>1</v>
      </c>
      <c r="K244" s="6">
        <v>42</v>
      </c>
      <c r="L244" s="5">
        <v>0.16023885887947467</v>
      </c>
      <c r="M244" s="5">
        <v>5.6132837285575506E-2</v>
      </c>
      <c r="N244" s="6">
        <v>0</v>
      </c>
      <c r="O244" s="6">
        <v>1</v>
      </c>
      <c r="P244" s="6">
        <v>44</v>
      </c>
      <c r="Q244" s="5">
        <v>0.27853232036598929</v>
      </c>
      <c r="R244" s="5">
        <v>7.2602815976202259E-2</v>
      </c>
      <c r="S244" s="6">
        <v>0</v>
      </c>
      <c r="T244" s="6">
        <v>1</v>
      </c>
      <c r="U244" s="6">
        <v>40</v>
      </c>
      <c r="V244" s="5">
        <v>5.7747988593625371E-2</v>
      </c>
      <c r="W244" s="5">
        <v>2.8391611186991999E-2</v>
      </c>
      <c r="X244" s="6">
        <v>0</v>
      </c>
      <c r="Y244" s="6">
        <v>1</v>
      </c>
      <c r="Z244" s="6">
        <v>104</v>
      </c>
      <c r="AA244" s="12">
        <v>0.21587935616398435</v>
      </c>
      <c r="AB244" s="5">
        <v>3.4528579839839389E-2</v>
      </c>
      <c r="AC244" s="6">
        <v>0</v>
      </c>
      <c r="AD244" s="6">
        <v>1</v>
      </c>
      <c r="AE244" s="6">
        <v>264</v>
      </c>
      <c r="AF244">
        <f>(AA246/AA245)-AA244</f>
        <v>-1.3461346642921757E-3</v>
      </c>
    </row>
    <row r="245" spans="1:32" ht="26.25" x14ac:dyDescent="0.45">
      <c r="A245" s="4" t="s">
        <v>24</v>
      </c>
      <c r="B245" s="5">
        <v>0.59113064078982813</v>
      </c>
      <c r="C245" s="5">
        <v>8.9609791547363538E-2</v>
      </c>
      <c r="D245" s="6">
        <v>0</v>
      </c>
      <c r="E245" s="6">
        <v>1</v>
      </c>
      <c r="F245" s="6">
        <v>34</v>
      </c>
      <c r="G245" s="5">
        <v>0.71909384928754405</v>
      </c>
      <c r="H245" s="5">
        <v>7.2403474018022274E-2</v>
      </c>
      <c r="I245" s="6">
        <v>0</v>
      </c>
      <c r="J245" s="6">
        <v>1</v>
      </c>
      <c r="K245" s="6">
        <v>42</v>
      </c>
      <c r="L245" s="5">
        <v>0.69739462956204068</v>
      </c>
      <c r="M245" s="5">
        <v>7.1809022935466635E-2</v>
      </c>
      <c r="N245" s="6">
        <v>0</v>
      </c>
      <c r="O245" s="6">
        <v>1</v>
      </c>
      <c r="P245" s="6">
        <v>44</v>
      </c>
      <c r="Q245" s="5">
        <v>0.9233668457535289</v>
      </c>
      <c r="R245" s="5">
        <v>4.3202567197263397E-2</v>
      </c>
      <c r="S245" s="6">
        <v>0</v>
      </c>
      <c r="T245" s="6">
        <v>1</v>
      </c>
      <c r="U245" s="6">
        <v>40</v>
      </c>
      <c r="V245" s="5">
        <v>0.65121302184637453</v>
      </c>
      <c r="W245" s="5">
        <v>6.6128687462899488E-2</v>
      </c>
      <c r="X245" s="6">
        <v>0</v>
      </c>
      <c r="Y245" s="6">
        <v>1</v>
      </c>
      <c r="Z245" s="6">
        <v>104</v>
      </c>
      <c r="AA245" s="12">
        <v>0.74577850242169597</v>
      </c>
      <c r="AB245" s="5">
        <v>3.7735522277039836E-2</v>
      </c>
      <c r="AC245" s="6">
        <v>0</v>
      </c>
      <c r="AD245" s="6">
        <v>1</v>
      </c>
      <c r="AE245" s="6">
        <v>264</v>
      </c>
      <c r="AF245">
        <f>(AA246/AA244)-AA245</f>
        <v>-4.6503672784310446E-3</v>
      </c>
    </row>
    <row r="246" spans="1:32" ht="26.25" x14ac:dyDescent="0.45">
      <c r="A246" s="4" t="s">
        <v>110</v>
      </c>
      <c r="B246" s="5">
        <v>0.10090756665949795</v>
      </c>
      <c r="C246" s="5">
        <v>4.9537122287339801E-2</v>
      </c>
      <c r="D246" s="6">
        <v>0</v>
      </c>
      <c r="E246" s="6">
        <v>1</v>
      </c>
      <c r="F246" s="6">
        <v>34</v>
      </c>
      <c r="G246" s="5">
        <v>0.22325647764524686</v>
      </c>
      <c r="H246" s="5">
        <v>6.6343790174843487E-2</v>
      </c>
      <c r="I246" s="6">
        <v>0</v>
      </c>
      <c r="J246" s="6">
        <v>1</v>
      </c>
      <c r="K246" s="6">
        <v>42</v>
      </c>
      <c r="L246" s="5">
        <v>7.2628869033149829E-2</v>
      </c>
      <c r="M246" s="5">
        <v>4.105977088601976E-2</v>
      </c>
      <c r="N246" s="6">
        <v>0</v>
      </c>
      <c r="O246" s="6">
        <v>1</v>
      </c>
      <c r="P246" s="6">
        <v>44</v>
      </c>
      <c r="Q246" s="5">
        <v>0.27853232036598929</v>
      </c>
      <c r="R246" s="5">
        <v>7.2602815976202259E-2</v>
      </c>
      <c r="S246" s="6">
        <v>0</v>
      </c>
      <c r="T246" s="6">
        <v>1</v>
      </c>
      <c r="U246" s="6">
        <v>40</v>
      </c>
      <c r="V246" s="5">
        <v>5.2184494177676975E-2</v>
      </c>
      <c r="W246" s="5">
        <v>2.814300871381278E-2</v>
      </c>
      <c r="X246" s="6">
        <v>0</v>
      </c>
      <c r="Y246" s="6">
        <v>1</v>
      </c>
      <c r="Z246" s="6">
        <v>104</v>
      </c>
      <c r="AA246" s="12">
        <v>0.15999426464974242</v>
      </c>
      <c r="AB246" s="5">
        <v>3.026204229268914E-2</v>
      </c>
      <c r="AC246" s="6">
        <v>0</v>
      </c>
      <c r="AD246" s="6">
        <v>1</v>
      </c>
      <c r="AE246" s="6">
        <v>264</v>
      </c>
    </row>
    <row r="247" spans="1:32" x14ac:dyDescent="0.45">
      <c r="A247" s="4" t="s">
        <v>36</v>
      </c>
      <c r="B247" s="5">
        <v>0.76064468833586119</v>
      </c>
      <c r="C247" s="5">
        <v>7.7815769808775942E-2</v>
      </c>
      <c r="D247" s="6">
        <v>0</v>
      </c>
      <c r="E247" s="6">
        <v>1</v>
      </c>
      <c r="F247" s="6">
        <v>34</v>
      </c>
      <c r="G247" s="5">
        <v>0.47021854293445042</v>
      </c>
      <c r="H247" s="5">
        <v>7.9243117363754292E-2</v>
      </c>
      <c r="I247" s="6">
        <v>0</v>
      </c>
      <c r="J247" s="6">
        <v>1</v>
      </c>
      <c r="K247" s="6">
        <v>42</v>
      </c>
      <c r="L247" s="5">
        <v>0.2445206682606792</v>
      </c>
      <c r="M247" s="5">
        <v>6.7154542896761538E-2</v>
      </c>
      <c r="N247" s="6">
        <v>0</v>
      </c>
      <c r="O247" s="6">
        <v>1</v>
      </c>
      <c r="P247" s="6">
        <v>42</v>
      </c>
      <c r="Q247" s="5">
        <v>0.35160809189742964</v>
      </c>
      <c r="R247" s="5">
        <v>7.902438279457083E-2</v>
      </c>
      <c r="S247" s="6">
        <v>0</v>
      </c>
      <c r="T247" s="6">
        <v>1</v>
      </c>
      <c r="U247" s="6">
        <v>40</v>
      </c>
      <c r="V247" s="5">
        <v>0.42925514319553509</v>
      </c>
      <c r="W247" s="5">
        <v>6.917480911456024E-2</v>
      </c>
      <c r="X247" s="6">
        <v>0</v>
      </c>
      <c r="Y247" s="6">
        <v>1</v>
      </c>
      <c r="Z247" s="6">
        <v>100</v>
      </c>
      <c r="AA247" s="12">
        <v>0.36787839094902408</v>
      </c>
      <c r="AB247" s="5">
        <v>4.0690017630809268E-2</v>
      </c>
      <c r="AC247" s="6">
        <v>0</v>
      </c>
      <c r="AD247" s="6">
        <v>1</v>
      </c>
      <c r="AE247" s="6">
        <v>258</v>
      </c>
      <c r="AF247">
        <f>(AA249/AA248)-AA247</f>
        <v>2.8501395635019411E-2</v>
      </c>
    </row>
    <row r="248" spans="1:32" ht="26.25" x14ac:dyDescent="0.45">
      <c r="A248" s="4" t="s">
        <v>38</v>
      </c>
      <c r="B248" s="5">
        <v>0.84000868272823959</v>
      </c>
      <c r="C248" s="5">
        <v>6.5933157962881336E-2</v>
      </c>
      <c r="D248" s="6">
        <v>0</v>
      </c>
      <c r="E248" s="6">
        <v>1</v>
      </c>
      <c r="F248" s="6">
        <v>34</v>
      </c>
      <c r="G248" s="5">
        <v>0.8757010716140059</v>
      </c>
      <c r="H248" s="5">
        <v>5.3035240634634946E-2</v>
      </c>
      <c r="I248" s="6">
        <v>0</v>
      </c>
      <c r="J248" s="6">
        <v>1</v>
      </c>
      <c r="K248" s="6">
        <v>42</v>
      </c>
      <c r="L248" s="5">
        <v>0.72424862259728484</v>
      </c>
      <c r="M248" s="5">
        <v>6.9698543042307798E-2</v>
      </c>
      <c r="N248" s="6">
        <v>0</v>
      </c>
      <c r="O248" s="6">
        <v>1</v>
      </c>
      <c r="P248" s="6">
        <v>44</v>
      </c>
      <c r="Q248" s="5">
        <v>0.76619872916446996</v>
      </c>
      <c r="R248" s="5">
        <v>6.9319636379783084E-2</v>
      </c>
      <c r="S248" s="6">
        <v>0</v>
      </c>
      <c r="T248" s="6">
        <v>1</v>
      </c>
      <c r="U248" s="6">
        <v>40</v>
      </c>
      <c r="V248" s="5">
        <v>0.41945825525041158</v>
      </c>
      <c r="W248" s="5">
        <v>6.5895940178938919E-2</v>
      </c>
      <c r="X248" s="6">
        <v>0</v>
      </c>
      <c r="Y248" s="6">
        <v>1</v>
      </c>
      <c r="Z248" s="6">
        <v>104</v>
      </c>
      <c r="AA248" s="12">
        <v>0.77070805751749982</v>
      </c>
      <c r="AB248" s="5">
        <v>3.6116125764874885E-2</v>
      </c>
      <c r="AC248" s="6">
        <v>0</v>
      </c>
      <c r="AD248" s="6">
        <v>1</v>
      </c>
      <c r="AE248" s="6">
        <v>264</v>
      </c>
      <c r="AF248">
        <f>(AA249/AA247)-AA248</f>
        <v>5.9710642991931961E-2</v>
      </c>
    </row>
    <row r="249" spans="1:32" ht="26.25" x14ac:dyDescent="0.45">
      <c r="A249" s="4" t="s">
        <v>111</v>
      </c>
      <c r="B249" s="5">
        <v>0.64730276845268242</v>
      </c>
      <c r="C249" s="5">
        <v>8.7159243483336243E-2</v>
      </c>
      <c r="D249" s="6">
        <v>0</v>
      </c>
      <c r="E249" s="6">
        <v>1</v>
      </c>
      <c r="F249" s="6">
        <v>34</v>
      </c>
      <c r="G249" s="5">
        <v>0.44700884825375697</v>
      </c>
      <c r="H249" s="5">
        <v>7.9015477430289277E-2</v>
      </c>
      <c r="I249" s="6">
        <v>0</v>
      </c>
      <c r="J249" s="6">
        <v>1</v>
      </c>
      <c r="K249" s="6">
        <v>42</v>
      </c>
      <c r="L249" s="5">
        <v>0.19650598951841372</v>
      </c>
      <c r="M249" s="5">
        <v>6.166594158882318E-2</v>
      </c>
      <c r="N249" s="6">
        <v>0</v>
      </c>
      <c r="O249" s="6">
        <v>1</v>
      </c>
      <c r="P249" s="6">
        <v>42</v>
      </c>
      <c r="Q249" s="5">
        <v>0.2728921622168583</v>
      </c>
      <c r="R249" s="5">
        <v>7.404730760680571E-2</v>
      </c>
      <c r="S249" s="6">
        <v>0</v>
      </c>
      <c r="T249" s="6">
        <v>1</v>
      </c>
      <c r="U249" s="6">
        <v>40</v>
      </c>
      <c r="V249" s="5">
        <v>6.7249837647207641E-2</v>
      </c>
      <c r="W249" s="5">
        <v>2.5374599058167691E-2</v>
      </c>
      <c r="X249" s="6">
        <v>0</v>
      </c>
      <c r="Y249" s="6">
        <v>1</v>
      </c>
      <c r="Z249" s="6">
        <v>100</v>
      </c>
      <c r="AA249" s="12">
        <v>0.30549309535738928</v>
      </c>
      <c r="AB249" s="5">
        <v>3.875084942680259E-2</v>
      </c>
      <c r="AC249" s="6">
        <v>0</v>
      </c>
      <c r="AD249" s="6">
        <v>1</v>
      </c>
      <c r="AE249" s="6">
        <v>258</v>
      </c>
    </row>
    <row r="250" spans="1:32" x14ac:dyDescent="0.45">
      <c r="A250" s="4" t="s">
        <v>36</v>
      </c>
      <c r="B250" s="5">
        <v>0.76064468833586119</v>
      </c>
      <c r="C250" s="5">
        <v>7.7815769808775942E-2</v>
      </c>
      <c r="D250" s="6">
        <v>0</v>
      </c>
      <c r="E250" s="6">
        <v>1</v>
      </c>
      <c r="F250" s="6">
        <v>34</v>
      </c>
      <c r="G250" s="5">
        <v>0.47021854293445042</v>
      </c>
      <c r="H250" s="5">
        <v>7.9243117363754292E-2</v>
      </c>
      <c r="I250" s="6">
        <v>0</v>
      </c>
      <c r="J250" s="6">
        <v>1</v>
      </c>
      <c r="K250" s="6">
        <v>42</v>
      </c>
      <c r="L250" s="5">
        <v>0.2445206682606792</v>
      </c>
      <c r="M250" s="5">
        <v>6.7154542896761538E-2</v>
      </c>
      <c r="N250" s="6">
        <v>0</v>
      </c>
      <c r="O250" s="6">
        <v>1</v>
      </c>
      <c r="P250" s="6">
        <v>42</v>
      </c>
      <c r="Q250" s="5">
        <v>0.35160809189742964</v>
      </c>
      <c r="R250" s="5">
        <v>7.902438279457083E-2</v>
      </c>
      <c r="S250" s="6">
        <v>0</v>
      </c>
      <c r="T250" s="6">
        <v>1</v>
      </c>
      <c r="U250" s="6">
        <v>40</v>
      </c>
      <c r="V250" s="5">
        <v>0.42925514319553509</v>
      </c>
      <c r="W250" s="5">
        <v>6.917480911456024E-2</v>
      </c>
      <c r="X250" s="6">
        <v>0</v>
      </c>
      <c r="Y250" s="6">
        <v>1</v>
      </c>
      <c r="Z250" s="6">
        <v>100</v>
      </c>
      <c r="AA250" s="12">
        <v>0.36787839094902408</v>
      </c>
      <c r="AB250" s="5">
        <v>4.0690017630809268E-2</v>
      </c>
      <c r="AC250" s="6">
        <v>0</v>
      </c>
      <c r="AD250" s="6">
        <v>1</v>
      </c>
      <c r="AE250" s="6">
        <v>258</v>
      </c>
      <c r="AF250">
        <f>(AA252/AA251)-AA250</f>
        <v>-1.5803577725978513E-2</v>
      </c>
    </row>
    <row r="251" spans="1:32" x14ac:dyDescent="0.45">
      <c r="A251" s="4" t="s">
        <v>40</v>
      </c>
      <c r="B251" s="5">
        <v>0.47314926338671726</v>
      </c>
      <c r="C251" s="5">
        <v>9.1986997587208227E-2</v>
      </c>
      <c r="D251" s="6">
        <v>0</v>
      </c>
      <c r="E251" s="6">
        <v>1</v>
      </c>
      <c r="F251" s="6">
        <v>34</v>
      </c>
      <c r="G251" s="5">
        <v>0.59916532039375925</v>
      </c>
      <c r="H251" s="5">
        <v>7.8188563211038412E-2</v>
      </c>
      <c r="I251" s="6">
        <v>0</v>
      </c>
      <c r="J251" s="6">
        <v>1</v>
      </c>
      <c r="K251" s="6">
        <v>42</v>
      </c>
      <c r="L251" s="5">
        <v>0.5544767542723662</v>
      </c>
      <c r="M251" s="5">
        <v>7.7775688570457788E-2</v>
      </c>
      <c r="N251" s="6">
        <v>0</v>
      </c>
      <c r="O251" s="6">
        <v>1</v>
      </c>
      <c r="P251" s="6">
        <v>44</v>
      </c>
      <c r="Q251" s="5">
        <v>0.89744052335873858</v>
      </c>
      <c r="R251" s="5">
        <v>4.9355060283969104E-2</v>
      </c>
      <c r="S251" s="6">
        <v>0</v>
      </c>
      <c r="T251" s="6">
        <v>1</v>
      </c>
      <c r="U251" s="6">
        <v>40</v>
      </c>
      <c r="V251" s="5">
        <v>0.64636059193257822</v>
      </c>
      <c r="W251" s="5">
        <v>6.6126331124485585E-2</v>
      </c>
      <c r="X251" s="6">
        <v>0</v>
      </c>
      <c r="Y251" s="6">
        <v>1</v>
      </c>
      <c r="Z251" s="6">
        <v>104</v>
      </c>
      <c r="AA251" s="12">
        <v>0.6412951441068232</v>
      </c>
      <c r="AB251" s="5">
        <v>4.1660786160429293E-2</v>
      </c>
      <c r="AC251" s="6">
        <v>0</v>
      </c>
      <c r="AD251" s="6">
        <v>1</v>
      </c>
      <c r="AE251" s="6">
        <v>264</v>
      </c>
      <c r="AF251">
        <f>(AA252/AA250)-AA251</f>
        <v>-2.754920621741308E-2</v>
      </c>
    </row>
    <row r="252" spans="1:32" ht="26.25" x14ac:dyDescent="0.45">
      <c r="A252" s="4" t="s">
        <v>112</v>
      </c>
      <c r="B252" s="5">
        <v>0.37317190398622863</v>
      </c>
      <c r="C252" s="5">
        <v>8.9602630246076356E-2</v>
      </c>
      <c r="D252" s="6">
        <v>0</v>
      </c>
      <c r="E252" s="6">
        <v>1</v>
      </c>
      <c r="F252" s="6">
        <v>34</v>
      </c>
      <c r="G252" s="5">
        <v>0.2632991194196706</v>
      </c>
      <c r="H252" s="5">
        <v>6.9417799506215544E-2</v>
      </c>
      <c r="I252" s="6">
        <v>0</v>
      </c>
      <c r="J252" s="6">
        <v>1</v>
      </c>
      <c r="K252" s="6">
        <v>42</v>
      </c>
      <c r="L252" s="5">
        <v>0.12299615539187561</v>
      </c>
      <c r="M252" s="5">
        <v>4.9750911272573063E-2</v>
      </c>
      <c r="N252" s="6">
        <v>0</v>
      </c>
      <c r="O252" s="6">
        <v>1</v>
      </c>
      <c r="P252" s="6">
        <v>42</v>
      </c>
      <c r="Q252" s="5">
        <v>0.32778843909983685</v>
      </c>
      <c r="R252" s="5">
        <v>7.7908113944837334E-2</v>
      </c>
      <c r="S252" s="6">
        <v>0</v>
      </c>
      <c r="T252" s="6">
        <v>1</v>
      </c>
      <c r="U252" s="6">
        <v>40</v>
      </c>
      <c r="V252" s="5">
        <v>0.20338200115365787</v>
      </c>
      <c r="W252" s="5">
        <v>5.7234203087656595E-2</v>
      </c>
      <c r="X252" s="6">
        <v>0</v>
      </c>
      <c r="Y252" s="6">
        <v>1</v>
      </c>
      <c r="Z252" s="6">
        <v>100</v>
      </c>
      <c r="AA252" s="12">
        <v>0.22578386808225587</v>
      </c>
      <c r="AB252" s="5">
        <v>3.4246695309772951E-2</v>
      </c>
      <c r="AC252" s="6">
        <v>0</v>
      </c>
      <c r="AD252" s="6">
        <v>1</v>
      </c>
      <c r="AE252" s="6">
        <v>258</v>
      </c>
    </row>
    <row r="253" spans="1:32" x14ac:dyDescent="0.45">
      <c r="A253" s="4" t="s">
        <v>36</v>
      </c>
      <c r="B253" s="5">
        <v>0.76064468833586119</v>
      </c>
      <c r="C253" s="5">
        <v>7.7815769808775942E-2</v>
      </c>
      <c r="D253" s="6">
        <v>0</v>
      </c>
      <c r="E253" s="6">
        <v>1</v>
      </c>
      <c r="F253" s="6">
        <v>34</v>
      </c>
      <c r="G253" s="5">
        <v>0.47021854293445042</v>
      </c>
      <c r="H253" s="5">
        <v>7.9243117363754292E-2</v>
      </c>
      <c r="I253" s="6">
        <v>0</v>
      </c>
      <c r="J253" s="6">
        <v>1</v>
      </c>
      <c r="K253" s="6">
        <v>42</v>
      </c>
      <c r="L253" s="5">
        <v>0.2445206682606792</v>
      </c>
      <c r="M253" s="5">
        <v>6.7154542896761538E-2</v>
      </c>
      <c r="N253" s="6">
        <v>0</v>
      </c>
      <c r="O253" s="6">
        <v>1</v>
      </c>
      <c r="P253" s="6">
        <v>42</v>
      </c>
      <c r="Q253" s="5">
        <v>0.35160809189742964</v>
      </c>
      <c r="R253" s="5">
        <v>7.902438279457083E-2</v>
      </c>
      <c r="S253" s="6">
        <v>0</v>
      </c>
      <c r="T253" s="6">
        <v>1</v>
      </c>
      <c r="U253" s="6">
        <v>40</v>
      </c>
      <c r="V253" s="5">
        <v>0.42925514319553509</v>
      </c>
      <c r="W253" s="5">
        <v>6.917480911456024E-2</v>
      </c>
      <c r="X253" s="6">
        <v>0</v>
      </c>
      <c r="Y253" s="6">
        <v>1</v>
      </c>
      <c r="Z253" s="6">
        <v>100</v>
      </c>
      <c r="AA253" s="12">
        <v>0.36787839094902408</v>
      </c>
      <c r="AB253" s="5">
        <v>4.0690017630809268E-2</v>
      </c>
      <c r="AC253" s="6">
        <v>0</v>
      </c>
      <c r="AD253" s="6">
        <v>1</v>
      </c>
      <c r="AE253" s="6">
        <v>258</v>
      </c>
      <c r="AF253">
        <f>(AA255/AA254)-AA253</f>
        <v>-4.1522081505194208E-3</v>
      </c>
    </row>
    <row r="254" spans="1:32" x14ac:dyDescent="0.45">
      <c r="A254" s="4" t="s">
        <v>42</v>
      </c>
      <c r="B254" s="5">
        <v>0.70676339075737993</v>
      </c>
      <c r="C254" s="5">
        <v>8.2311257529143506E-2</v>
      </c>
      <c r="D254" s="6">
        <v>0</v>
      </c>
      <c r="E254" s="6">
        <v>1</v>
      </c>
      <c r="F254" s="6">
        <v>34</v>
      </c>
      <c r="G254" s="5">
        <v>0.89745945595635757</v>
      </c>
      <c r="H254" s="5">
        <v>4.9322035621993304E-2</v>
      </c>
      <c r="I254" s="6">
        <v>0</v>
      </c>
      <c r="J254" s="6">
        <v>1</v>
      </c>
      <c r="K254" s="6">
        <v>42</v>
      </c>
      <c r="L254" s="5">
        <v>0.74627430949051987</v>
      </c>
      <c r="M254" s="5">
        <v>6.7544644640920845E-2</v>
      </c>
      <c r="N254" s="6">
        <v>0</v>
      </c>
      <c r="O254" s="6">
        <v>1</v>
      </c>
      <c r="P254" s="6">
        <v>44</v>
      </c>
      <c r="Q254" s="5">
        <v>0.87908303986713809</v>
      </c>
      <c r="R254" s="5">
        <v>5.2789569621478863E-2</v>
      </c>
      <c r="S254" s="6">
        <v>0</v>
      </c>
      <c r="T254" s="6">
        <v>1</v>
      </c>
      <c r="U254" s="6">
        <v>40</v>
      </c>
      <c r="V254" s="5">
        <v>0.5866426892711829</v>
      </c>
      <c r="W254" s="5">
        <v>6.7909303410161284E-2</v>
      </c>
      <c r="X254" s="6">
        <v>0</v>
      </c>
      <c r="Y254" s="6">
        <v>1</v>
      </c>
      <c r="Z254" s="6">
        <v>104</v>
      </c>
      <c r="AA254" s="12">
        <v>0.80877290183625294</v>
      </c>
      <c r="AB254" s="5">
        <v>3.3808580537463842E-2</v>
      </c>
      <c r="AC254" s="6">
        <v>0</v>
      </c>
      <c r="AD254" s="6">
        <v>1</v>
      </c>
      <c r="AE254" s="6">
        <v>264</v>
      </c>
      <c r="AF254">
        <f>(AA255/AA253)-AA254</f>
        <v>-9.1285422507707548E-3</v>
      </c>
    </row>
    <row r="255" spans="1:32" ht="26.25" x14ac:dyDescent="0.45">
      <c r="A255" s="4" t="s">
        <v>113</v>
      </c>
      <c r="B255" s="5">
        <v>0.48908716888610748</v>
      </c>
      <c r="C255" s="5">
        <v>9.1879635543991062E-2</v>
      </c>
      <c r="D255" s="6">
        <v>0</v>
      </c>
      <c r="E255" s="6">
        <v>1</v>
      </c>
      <c r="F255" s="6">
        <v>34</v>
      </c>
      <c r="G255" s="5">
        <v>0.42392514095747569</v>
      </c>
      <c r="H255" s="5">
        <v>7.8638872762664583E-2</v>
      </c>
      <c r="I255" s="6">
        <v>0</v>
      </c>
      <c r="J255" s="6">
        <v>1</v>
      </c>
      <c r="K255" s="6">
        <v>42</v>
      </c>
      <c r="L255" s="5">
        <v>0.19857062191874139</v>
      </c>
      <c r="M255" s="5">
        <v>6.2121444109439615E-2</v>
      </c>
      <c r="N255" s="6">
        <v>0</v>
      </c>
      <c r="O255" s="6">
        <v>1</v>
      </c>
      <c r="P255" s="6">
        <v>42</v>
      </c>
      <c r="Q255" s="5">
        <v>0.27237311718235524</v>
      </c>
      <c r="R255" s="5">
        <v>7.3720604327794079E-2</v>
      </c>
      <c r="S255" s="6">
        <v>0</v>
      </c>
      <c r="T255" s="6">
        <v>1</v>
      </c>
      <c r="U255" s="6">
        <v>40</v>
      </c>
      <c r="V255" s="5">
        <v>0.18243220896592593</v>
      </c>
      <c r="W255" s="5">
        <v>5.4572694382061936E-2</v>
      </c>
      <c r="X255" s="6">
        <v>0</v>
      </c>
      <c r="Y255" s="6">
        <v>1</v>
      </c>
      <c r="Z255" s="6">
        <v>100</v>
      </c>
      <c r="AA255" s="12">
        <v>0.29417188033577002</v>
      </c>
      <c r="AB255" s="5">
        <v>3.8445941692275595E-2</v>
      </c>
      <c r="AC255" s="6">
        <v>0</v>
      </c>
      <c r="AD255" s="6">
        <v>1</v>
      </c>
      <c r="AE255" s="6">
        <v>258</v>
      </c>
    </row>
    <row r="256" spans="1:32" x14ac:dyDescent="0.45">
      <c r="A256" s="4" t="s">
        <v>36</v>
      </c>
      <c r="B256" s="5">
        <v>0.76064468833586119</v>
      </c>
      <c r="C256" s="5">
        <v>7.7815769808775942E-2</v>
      </c>
      <c r="D256" s="6">
        <v>0</v>
      </c>
      <c r="E256" s="6">
        <v>1</v>
      </c>
      <c r="F256" s="6">
        <v>34</v>
      </c>
      <c r="G256" s="5">
        <v>0.47021854293445042</v>
      </c>
      <c r="H256" s="5">
        <v>7.9243117363754292E-2</v>
      </c>
      <c r="I256" s="6">
        <v>0</v>
      </c>
      <c r="J256" s="6">
        <v>1</v>
      </c>
      <c r="K256" s="6">
        <v>42</v>
      </c>
      <c r="L256" s="5">
        <v>0.2445206682606792</v>
      </c>
      <c r="M256" s="5">
        <v>6.7154542896761538E-2</v>
      </c>
      <c r="N256" s="6">
        <v>0</v>
      </c>
      <c r="O256" s="6">
        <v>1</v>
      </c>
      <c r="P256" s="6">
        <v>42</v>
      </c>
      <c r="Q256" s="5">
        <v>0.35160809189742964</v>
      </c>
      <c r="R256" s="5">
        <v>7.902438279457083E-2</v>
      </c>
      <c r="S256" s="6">
        <v>0</v>
      </c>
      <c r="T256" s="6">
        <v>1</v>
      </c>
      <c r="U256" s="6">
        <v>40</v>
      </c>
      <c r="V256" s="5">
        <v>0.42925514319553509</v>
      </c>
      <c r="W256" s="5">
        <v>6.917480911456024E-2</v>
      </c>
      <c r="X256" s="6">
        <v>0</v>
      </c>
      <c r="Y256" s="6">
        <v>1</v>
      </c>
      <c r="Z256" s="6">
        <v>100</v>
      </c>
      <c r="AA256" s="12">
        <v>0.36787839094902408</v>
      </c>
      <c r="AB256" s="5">
        <v>4.0690017630809268E-2</v>
      </c>
      <c r="AC256" s="6">
        <v>0</v>
      </c>
      <c r="AD256" s="6">
        <v>1</v>
      </c>
      <c r="AE256" s="6">
        <v>258</v>
      </c>
      <c r="AF256">
        <f>(AA258/AA257)-AA256</f>
        <v>1.0487524484431687E-2</v>
      </c>
    </row>
    <row r="257" spans="1:32" x14ac:dyDescent="0.45">
      <c r="A257" s="4" t="s">
        <v>44</v>
      </c>
      <c r="B257" s="5">
        <v>0.26296232107028095</v>
      </c>
      <c r="C257" s="5">
        <v>8.0971230867118368E-2</v>
      </c>
      <c r="D257" s="6">
        <v>0</v>
      </c>
      <c r="E257" s="6">
        <v>1</v>
      </c>
      <c r="F257" s="6">
        <v>34</v>
      </c>
      <c r="G257" s="5">
        <v>0.35571464744938486</v>
      </c>
      <c r="H257" s="5">
        <v>7.5377725145722718E-2</v>
      </c>
      <c r="I257" s="6">
        <v>0</v>
      </c>
      <c r="J257" s="6">
        <v>1</v>
      </c>
      <c r="K257" s="6">
        <v>42</v>
      </c>
      <c r="L257" s="5">
        <v>0.33138587150846482</v>
      </c>
      <c r="M257" s="5">
        <v>7.3951973163393067E-2</v>
      </c>
      <c r="N257" s="6">
        <v>0</v>
      </c>
      <c r="O257" s="6">
        <v>1</v>
      </c>
      <c r="P257" s="6">
        <v>44</v>
      </c>
      <c r="Q257" s="5">
        <v>0.48486364033758289</v>
      </c>
      <c r="R257" s="5">
        <v>8.2351680282883519E-2</v>
      </c>
      <c r="S257" s="6">
        <v>0</v>
      </c>
      <c r="T257" s="6">
        <v>1</v>
      </c>
      <c r="U257" s="6">
        <v>40</v>
      </c>
      <c r="V257" s="5">
        <v>0.24869923971566638</v>
      </c>
      <c r="W257" s="5">
        <v>5.4351819960247037E-2</v>
      </c>
      <c r="X257" s="6">
        <v>0</v>
      </c>
      <c r="Y257" s="6">
        <v>1</v>
      </c>
      <c r="Z257" s="6">
        <v>104</v>
      </c>
      <c r="AA257" s="12">
        <v>0.3652932886037854</v>
      </c>
      <c r="AB257" s="5">
        <v>4.1360781021304437E-2</v>
      </c>
      <c r="AC257" s="6">
        <v>0</v>
      </c>
      <c r="AD257" s="6">
        <v>1</v>
      </c>
      <c r="AE257" s="6">
        <v>264</v>
      </c>
      <c r="AF257">
        <f>(AA258/AA256)-AA257</f>
        <v>1.0413828054286645E-2</v>
      </c>
    </row>
    <row r="258" spans="1:32" x14ac:dyDescent="0.45">
      <c r="A258" s="4" t="s">
        <v>114</v>
      </c>
      <c r="B258" s="5">
        <v>0.23256841034523718</v>
      </c>
      <c r="C258" s="5">
        <v>7.9105548197188305E-2</v>
      </c>
      <c r="D258" s="6">
        <v>0</v>
      </c>
      <c r="E258" s="6">
        <v>1</v>
      </c>
      <c r="F258" s="6">
        <v>34</v>
      </c>
      <c r="G258" s="5">
        <v>0.19145961654387292</v>
      </c>
      <c r="H258" s="5">
        <v>6.1949225521737782E-2</v>
      </c>
      <c r="I258" s="6">
        <v>0</v>
      </c>
      <c r="J258" s="6">
        <v>1</v>
      </c>
      <c r="K258" s="6">
        <v>42</v>
      </c>
      <c r="L258" s="5">
        <v>9.4969785413182267E-2</v>
      </c>
      <c r="M258" s="5">
        <v>4.5973175155094158E-2</v>
      </c>
      <c r="N258" s="6">
        <v>0</v>
      </c>
      <c r="O258" s="6">
        <v>1</v>
      </c>
      <c r="P258" s="6">
        <v>42</v>
      </c>
      <c r="Q258" s="5">
        <v>0.13808839332514214</v>
      </c>
      <c r="R258" s="5">
        <v>5.7153649845300518E-2</v>
      </c>
      <c r="S258" s="6">
        <v>0</v>
      </c>
      <c r="T258" s="6">
        <v>1</v>
      </c>
      <c r="U258" s="6">
        <v>40</v>
      </c>
      <c r="V258" s="5">
        <v>5.4463007375959202E-2</v>
      </c>
      <c r="W258" s="5">
        <v>2.6790318322450535E-2</v>
      </c>
      <c r="X258" s="6">
        <v>0</v>
      </c>
      <c r="Y258" s="6">
        <v>1</v>
      </c>
      <c r="Z258" s="6">
        <v>100</v>
      </c>
      <c r="AA258" s="12">
        <v>0.13821452954426883</v>
      </c>
      <c r="AB258" s="5">
        <v>2.8766140833572137E-2</v>
      </c>
      <c r="AC258" s="6">
        <v>0</v>
      </c>
      <c r="AD258" s="6">
        <v>1</v>
      </c>
      <c r="AE258" s="6">
        <v>258</v>
      </c>
    </row>
    <row r="259" spans="1:32" x14ac:dyDescent="0.45">
      <c r="A259" s="4" t="s">
        <v>36</v>
      </c>
      <c r="B259" s="5">
        <v>0.76064468833586119</v>
      </c>
      <c r="C259" s="5">
        <v>7.7815769808775942E-2</v>
      </c>
      <c r="D259" s="6">
        <v>0</v>
      </c>
      <c r="E259" s="6">
        <v>1</v>
      </c>
      <c r="F259" s="6">
        <v>34</v>
      </c>
      <c r="G259" s="5">
        <v>0.47021854293445042</v>
      </c>
      <c r="H259" s="5">
        <v>7.9243117363754292E-2</v>
      </c>
      <c r="I259" s="6">
        <v>0</v>
      </c>
      <c r="J259" s="6">
        <v>1</v>
      </c>
      <c r="K259" s="6">
        <v>42</v>
      </c>
      <c r="L259" s="5">
        <v>0.2445206682606792</v>
      </c>
      <c r="M259" s="5">
        <v>6.7154542896761538E-2</v>
      </c>
      <c r="N259" s="6">
        <v>0</v>
      </c>
      <c r="O259" s="6">
        <v>1</v>
      </c>
      <c r="P259" s="6">
        <v>42</v>
      </c>
      <c r="Q259" s="5">
        <v>0.35160809189742964</v>
      </c>
      <c r="R259" s="5">
        <v>7.902438279457083E-2</v>
      </c>
      <c r="S259" s="6">
        <v>0</v>
      </c>
      <c r="T259" s="6">
        <v>1</v>
      </c>
      <c r="U259" s="6">
        <v>40</v>
      </c>
      <c r="V259" s="5">
        <v>0.42925514319553509</v>
      </c>
      <c r="W259" s="5">
        <v>6.917480911456024E-2</v>
      </c>
      <c r="X259" s="6">
        <v>0</v>
      </c>
      <c r="Y259" s="6">
        <v>1</v>
      </c>
      <c r="Z259" s="6">
        <v>100</v>
      </c>
      <c r="AA259" s="12">
        <v>0.36787839094902408</v>
      </c>
      <c r="AB259" s="5">
        <v>4.0690017630809268E-2</v>
      </c>
      <c r="AC259" s="6">
        <v>0</v>
      </c>
      <c r="AD259" s="6">
        <v>1</v>
      </c>
      <c r="AE259" s="6">
        <v>258</v>
      </c>
      <c r="AF259">
        <f>(AA261/AA260)-AA259</f>
        <v>2.7956728812029152E-3</v>
      </c>
    </row>
    <row r="260" spans="1:32" ht="39.4" x14ac:dyDescent="0.45">
      <c r="A260" s="4" t="s">
        <v>16</v>
      </c>
      <c r="B260" s="5">
        <v>0.95226292316662886</v>
      </c>
      <c r="C260" s="5">
        <v>3.3757095360377097E-2</v>
      </c>
      <c r="D260" s="6">
        <v>0</v>
      </c>
      <c r="E260" s="6">
        <v>1</v>
      </c>
      <c r="F260" s="6">
        <v>34</v>
      </c>
      <c r="G260" s="5">
        <v>0.96979725445447418</v>
      </c>
      <c r="H260" s="5">
        <v>3.0016012175185333E-2</v>
      </c>
      <c r="I260" s="6">
        <v>0</v>
      </c>
      <c r="J260" s="6">
        <v>1</v>
      </c>
      <c r="K260" s="6">
        <v>42</v>
      </c>
      <c r="L260" s="5">
        <v>0.87135789190493673</v>
      </c>
      <c r="M260" s="5">
        <v>5.1043606748041002E-2</v>
      </c>
      <c r="N260" s="6">
        <v>0</v>
      </c>
      <c r="O260" s="6">
        <v>1</v>
      </c>
      <c r="P260" s="6">
        <v>44</v>
      </c>
      <c r="Q260" s="5">
        <v>0.94904190046407078</v>
      </c>
      <c r="R260" s="5">
        <v>3.5591246809232757E-2</v>
      </c>
      <c r="S260" s="6">
        <v>0</v>
      </c>
      <c r="T260" s="6">
        <v>1</v>
      </c>
      <c r="U260" s="6">
        <v>40</v>
      </c>
      <c r="V260" s="5">
        <v>0.6502146518916736</v>
      </c>
      <c r="W260" s="5">
        <v>6.6144933824160743E-2</v>
      </c>
      <c r="X260" s="6">
        <v>0</v>
      </c>
      <c r="Y260" s="6">
        <v>1</v>
      </c>
      <c r="Z260" s="6">
        <v>104</v>
      </c>
      <c r="AA260" s="12">
        <v>0.9123329679672284</v>
      </c>
      <c r="AB260" s="5">
        <v>2.4254307094762586E-2</v>
      </c>
      <c r="AC260" s="6">
        <v>0</v>
      </c>
      <c r="AD260" s="6">
        <v>1</v>
      </c>
      <c r="AE260" s="6">
        <v>264</v>
      </c>
      <c r="AF260">
        <f>(AA261/AA259)-AA260</f>
        <v>6.9332273923280452E-3</v>
      </c>
    </row>
    <row r="261" spans="1:32" x14ac:dyDescent="0.45">
      <c r="A261" s="4" t="s">
        <v>115</v>
      </c>
      <c r="B261" s="5">
        <v>0.71290761150248982</v>
      </c>
      <c r="C261" s="5">
        <v>8.1539072535684209E-2</v>
      </c>
      <c r="D261" s="6">
        <v>0</v>
      </c>
      <c r="E261" s="6">
        <v>1</v>
      </c>
      <c r="F261" s="6">
        <v>34</v>
      </c>
      <c r="G261" s="5">
        <v>0.47021854293445042</v>
      </c>
      <c r="H261" s="5">
        <v>7.9243117363754292E-2</v>
      </c>
      <c r="I261" s="6">
        <v>0</v>
      </c>
      <c r="J261" s="6">
        <v>1</v>
      </c>
      <c r="K261" s="6">
        <v>42</v>
      </c>
      <c r="L261" s="5">
        <v>0.19650598951841372</v>
      </c>
      <c r="M261" s="5">
        <v>6.166594158882318E-2</v>
      </c>
      <c r="N261" s="6">
        <v>0</v>
      </c>
      <c r="O261" s="6">
        <v>1</v>
      </c>
      <c r="P261" s="6">
        <v>42</v>
      </c>
      <c r="Q261" s="5">
        <v>0.35160809189742964</v>
      </c>
      <c r="R261" s="5">
        <v>7.902438279457083E-2</v>
      </c>
      <c r="S261" s="6">
        <v>0</v>
      </c>
      <c r="T261" s="6">
        <v>1</v>
      </c>
      <c r="U261" s="6">
        <v>40</v>
      </c>
      <c r="V261" s="5">
        <v>0.20338200115365787</v>
      </c>
      <c r="W261" s="5">
        <v>5.7234203087656595E-2</v>
      </c>
      <c r="X261" s="6">
        <v>0</v>
      </c>
      <c r="Y261" s="6">
        <v>1</v>
      </c>
      <c r="Z261" s="6">
        <v>100</v>
      </c>
      <c r="AA261" s="12">
        <v>0.33817816880270485</v>
      </c>
      <c r="AB261" s="5">
        <v>3.9713996814818901E-2</v>
      </c>
      <c r="AC261" s="6">
        <v>0</v>
      </c>
      <c r="AD261" s="6">
        <v>1</v>
      </c>
      <c r="AE261" s="6">
        <v>258</v>
      </c>
    </row>
    <row r="262" spans="1:32" x14ac:dyDescent="0.45">
      <c r="A262" s="4" t="s">
        <v>36</v>
      </c>
      <c r="B262" s="5">
        <v>0.76064468833586119</v>
      </c>
      <c r="C262" s="5">
        <v>7.7815769808775942E-2</v>
      </c>
      <c r="D262" s="6">
        <v>0</v>
      </c>
      <c r="E262" s="6">
        <v>1</v>
      </c>
      <c r="F262" s="6">
        <v>34</v>
      </c>
      <c r="G262" s="5">
        <v>0.47021854293445042</v>
      </c>
      <c r="H262" s="5">
        <v>7.9243117363754292E-2</v>
      </c>
      <c r="I262" s="6">
        <v>0</v>
      </c>
      <c r="J262" s="6">
        <v>1</v>
      </c>
      <c r="K262" s="6">
        <v>42</v>
      </c>
      <c r="L262" s="5">
        <v>0.2445206682606792</v>
      </c>
      <c r="M262" s="5">
        <v>6.7154542896761538E-2</v>
      </c>
      <c r="N262" s="6">
        <v>0</v>
      </c>
      <c r="O262" s="6">
        <v>1</v>
      </c>
      <c r="P262" s="6">
        <v>42</v>
      </c>
      <c r="Q262" s="5">
        <v>0.35160809189742964</v>
      </c>
      <c r="R262" s="5">
        <v>7.902438279457083E-2</v>
      </c>
      <c r="S262" s="6">
        <v>0</v>
      </c>
      <c r="T262" s="6">
        <v>1</v>
      </c>
      <c r="U262" s="6">
        <v>40</v>
      </c>
      <c r="V262" s="5">
        <v>0.42925514319553509</v>
      </c>
      <c r="W262" s="5">
        <v>6.917480911456024E-2</v>
      </c>
      <c r="X262" s="6">
        <v>0</v>
      </c>
      <c r="Y262" s="6">
        <v>1</v>
      </c>
      <c r="Z262" s="6">
        <v>100</v>
      </c>
      <c r="AA262" s="12">
        <v>0.36787839094902408</v>
      </c>
      <c r="AB262" s="5">
        <v>4.0690017630809268E-2</v>
      </c>
      <c r="AC262" s="6">
        <v>0</v>
      </c>
      <c r="AD262" s="6">
        <v>1</v>
      </c>
      <c r="AE262" s="6">
        <v>258</v>
      </c>
      <c r="AF262">
        <f>(AA264/AA263)-AA262</f>
        <v>8.8872087247406917E-3</v>
      </c>
    </row>
    <row r="263" spans="1:32" ht="39.4" x14ac:dyDescent="0.45">
      <c r="A263" s="4" t="s">
        <v>18</v>
      </c>
      <c r="B263" s="5">
        <v>0.95343656614872163</v>
      </c>
      <c r="C263" s="5">
        <v>3.2998861160736311E-2</v>
      </c>
      <c r="D263" s="6">
        <v>0</v>
      </c>
      <c r="E263" s="6">
        <v>1</v>
      </c>
      <c r="F263" s="6">
        <v>34</v>
      </c>
      <c r="G263" s="5">
        <v>0.96979725445447418</v>
      </c>
      <c r="H263" s="5">
        <v>3.0016012175185333E-2</v>
      </c>
      <c r="I263" s="6">
        <v>0</v>
      </c>
      <c r="J263" s="6">
        <v>1</v>
      </c>
      <c r="K263" s="6">
        <v>42</v>
      </c>
      <c r="L263" s="5">
        <v>0.87593051101785058</v>
      </c>
      <c r="M263" s="5">
        <v>5.2578277384873313E-2</v>
      </c>
      <c r="N263" s="6">
        <v>0</v>
      </c>
      <c r="O263" s="6">
        <v>1</v>
      </c>
      <c r="P263" s="6">
        <v>44</v>
      </c>
      <c r="Q263" s="5">
        <v>0.9749682228588612</v>
      </c>
      <c r="R263" s="5">
        <v>2.5049499255806983E-2</v>
      </c>
      <c r="S263" s="6">
        <v>0</v>
      </c>
      <c r="T263" s="6">
        <v>1</v>
      </c>
      <c r="U263" s="6">
        <v>40</v>
      </c>
      <c r="V263" s="5">
        <v>0.64843100359019867</v>
      </c>
      <c r="W263" s="5">
        <v>6.691909310816567E-2</v>
      </c>
      <c r="X263" s="6">
        <v>0</v>
      </c>
      <c r="Y263" s="6">
        <v>1</v>
      </c>
      <c r="Z263" s="6">
        <v>104</v>
      </c>
      <c r="AA263" s="12">
        <v>0.920016663772251</v>
      </c>
      <c r="AB263" s="5">
        <v>2.4310884334046948E-2</v>
      </c>
      <c r="AC263" s="6">
        <v>0</v>
      </c>
      <c r="AD263" s="6">
        <v>1</v>
      </c>
      <c r="AE263" s="6">
        <v>264</v>
      </c>
      <c r="AF263">
        <f>(AA264/AA262)-AA263</f>
        <v>2.2225768956123826E-2</v>
      </c>
    </row>
    <row r="264" spans="1:32" x14ac:dyDescent="0.45">
      <c r="A264" s="4" t="s">
        <v>116</v>
      </c>
      <c r="B264" s="5">
        <v>0.71408125448458282</v>
      </c>
      <c r="C264" s="5">
        <v>8.1386787579375203E-2</v>
      </c>
      <c r="D264" s="6">
        <v>0</v>
      </c>
      <c r="E264" s="6">
        <v>1</v>
      </c>
      <c r="F264" s="6">
        <v>34</v>
      </c>
      <c r="G264" s="5">
        <v>0.47021854293445042</v>
      </c>
      <c r="H264" s="5">
        <v>7.9243117363754292E-2</v>
      </c>
      <c r="I264" s="6">
        <v>0</v>
      </c>
      <c r="J264" s="6">
        <v>1</v>
      </c>
      <c r="K264" s="6">
        <v>42</v>
      </c>
      <c r="L264" s="5">
        <v>0.21890470754711744</v>
      </c>
      <c r="M264" s="5">
        <v>6.4218026552161939E-2</v>
      </c>
      <c r="N264" s="6">
        <v>0</v>
      </c>
      <c r="O264" s="6">
        <v>1</v>
      </c>
      <c r="P264" s="6">
        <v>42</v>
      </c>
      <c r="Q264" s="5">
        <v>0.35160809189742964</v>
      </c>
      <c r="R264" s="5">
        <v>7.902438279457083E-2</v>
      </c>
      <c r="S264" s="6">
        <v>0</v>
      </c>
      <c r="T264" s="6">
        <v>1</v>
      </c>
      <c r="U264" s="6">
        <v>40</v>
      </c>
      <c r="V264" s="5">
        <v>0.18243220896592593</v>
      </c>
      <c r="W264" s="5">
        <v>5.4572694382061936E-2</v>
      </c>
      <c r="X264" s="6">
        <v>0</v>
      </c>
      <c r="Y264" s="6">
        <v>1</v>
      </c>
      <c r="Z264" s="6">
        <v>100</v>
      </c>
      <c r="AA264" s="12">
        <v>0.34663063003600858</v>
      </c>
      <c r="AB264" s="5">
        <v>4.0105078856242177E-2</v>
      </c>
      <c r="AC264" s="6">
        <v>0</v>
      </c>
      <c r="AD264" s="6">
        <v>1</v>
      </c>
      <c r="AE264" s="6">
        <v>258</v>
      </c>
    </row>
    <row r="265" spans="1:32" x14ac:dyDescent="0.45">
      <c r="A265" s="4" t="s">
        <v>36</v>
      </c>
      <c r="B265" s="5">
        <v>0.76064468833586119</v>
      </c>
      <c r="C265" s="5">
        <v>7.7815769808775942E-2</v>
      </c>
      <c r="D265" s="6">
        <v>0</v>
      </c>
      <c r="E265" s="6">
        <v>1</v>
      </c>
      <c r="F265" s="6">
        <v>34</v>
      </c>
      <c r="G265" s="5">
        <v>0.47021854293445042</v>
      </c>
      <c r="H265" s="5">
        <v>7.9243117363754292E-2</v>
      </c>
      <c r="I265" s="6">
        <v>0</v>
      </c>
      <c r="J265" s="6">
        <v>1</v>
      </c>
      <c r="K265" s="6">
        <v>42</v>
      </c>
      <c r="L265" s="5">
        <v>0.2445206682606792</v>
      </c>
      <c r="M265" s="5">
        <v>6.7154542896761538E-2</v>
      </c>
      <c r="N265" s="6">
        <v>0</v>
      </c>
      <c r="O265" s="6">
        <v>1</v>
      </c>
      <c r="P265" s="6">
        <v>42</v>
      </c>
      <c r="Q265" s="5">
        <v>0.35160809189742964</v>
      </c>
      <c r="R265" s="5">
        <v>7.902438279457083E-2</v>
      </c>
      <c r="S265" s="6">
        <v>0</v>
      </c>
      <c r="T265" s="6">
        <v>1</v>
      </c>
      <c r="U265" s="6">
        <v>40</v>
      </c>
      <c r="V265" s="5">
        <v>0.42925514319553509</v>
      </c>
      <c r="W265" s="5">
        <v>6.917480911456024E-2</v>
      </c>
      <c r="X265" s="6">
        <v>0</v>
      </c>
      <c r="Y265" s="6">
        <v>1</v>
      </c>
      <c r="Z265" s="6">
        <v>100</v>
      </c>
      <c r="AA265" s="12">
        <v>0.36787839094902408</v>
      </c>
      <c r="AB265" s="5">
        <v>4.0690017630809268E-2</v>
      </c>
      <c r="AC265" s="6">
        <v>0</v>
      </c>
      <c r="AD265" s="6">
        <v>1</v>
      </c>
      <c r="AE265" s="6">
        <v>258</v>
      </c>
      <c r="AF265">
        <f>(AA267/AA266)-AA265</f>
        <v>1.906838455940485E-2</v>
      </c>
    </row>
    <row r="266" spans="1:32" ht="39.4" x14ac:dyDescent="0.45">
      <c r="A266" s="4" t="s">
        <v>20</v>
      </c>
      <c r="B266" s="5">
        <v>0.90678716876013998</v>
      </c>
      <c r="C266" s="5">
        <v>4.9177473357267902E-2</v>
      </c>
      <c r="D266" s="6">
        <v>0</v>
      </c>
      <c r="E266" s="6">
        <v>1</v>
      </c>
      <c r="F266" s="6">
        <v>34</v>
      </c>
      <c r="G266" s="5">
        <v>0.89891076629469935</v>
      </c>
      <c r="H266" s="5">
        <v>4.8893744591203998E-2</v>
      </c>
      <c r="I266" s="6">
        <v>0</v>
      </c>
      <c r="J266" s="6">
        <v>1</v>
      </c>
      <c r="K266" s="6">
        <v>42</v>
      </c>
      <c r="L266" s="5">
        <v>0.84039888724151057</v>
      </c>
      <c r="M266" s="5">
        <v>5.7315203821004336E-2</v>
      </c>
      <c r="N266" s="6">
        <v>0</v>
      </c>
      <c r="O266" s="6">
        <v>1</v>
      </c>
      <c r="P266" s="6">
        <v>44</v>
      </c>
      <c r="Q266" s="5">
        <v>0.94871856326789294</v>
      </c>
      <c r="R266" s="5">
        <v>3.5809222533905935E-2</v>
      </c>
      <c r="S266" s="6">
        <v>0</v>
      </c>
      <c r="T266" s="6">
        <v>1</v>
      </c>
      <c r="U266" s="6">
        <v>40</v>
      </c>
      <c r="V266" s="5">
        <v>0.49530541673349471</v>
      </c>
      <c r="W266" s="5">
        <v>6.7368955173709583E-2</v>
      </c>
      <c r="X266" s="6">
        <v>0</v>
      </c>
      <c r="Y266" s="6">
        <v>1</v>
      </c>
      <c r="Z266" s="6">
        <v>104</v>
      </c>
      <c r="AA266" s="12">
        <v>0.87236824792352818</v>
      </c>
      <c r="AB266" s="5">
        <v>2.8607368369315354E-2</v>
      </c>
      <c r="AC266" s="6">
        <v>0</v>
      </c>
      <c r="AD266" s="6">
        <v>1</v>
      </c>
      <c r="AE266" s="6">
        <v>264</v>
      </c>
      <c r="AF266">
        <f>(AA267/AA265)-AA266</f>
        <v>4.5217804682431195E-2</v>
      </c>
    </row>
    <row r="267" spans="1:32" x14ac:dyDescent="0.45">
      <c r="A267" s="4" t="s">
        <v>117</v>
      </c>
      <c r="B267" s="5">
        <v>0.71408125448458282</v>
      </c>
      <c r="C267" s="5">
        <v>8.1386787579375203E-2</v>
      </c>
      <c r="D267" s="6">
        <v>0</v>
      </c>
      <c r="E267" s="6">
        <v>1</v>
      </c>
      <c r="F267" s="6">
        <v>34</v>
      </c>
      <c r="G267" s="5">
        <v>0.47021854293445042</v>
      </c>
      <c r="H267" s="5">
        <v>7.9243117363754292E-2</v>
      </c>
      <c r="I267" s="6">
        <v>0</v>
      </c>
      <c r="J267" s="6">
        <v>1</v>
      </c>
      <c r="K267" s="6">
        <v>42</v>
      </c>
      <c r="L267" s="5">
        <v>0.21890470754711744</v>
      </c>
      <c r="M267" s="5">
        <v>6.4218026552161939E-2</v>
      </c>
      <c r="N267" s="6">
        <v>0</v>
      </c>
      <c r="O267" s="6">
        <v>1</v>
      </c>
      <c r="P267" s="6">
        <v>42</v>
      </c>
      <c r="Q267" s="5">
        <v>0.32535843230646144</v>
      </c>
      <c r="R267" s="5">
        <v>7.7637397329492389E-2</v>
      </c>
      <c r="S267" s="6">
        <v>0</v>
      </c>
      <c r="T267" s="6">
        <v>1</v>
      </c>
      <c r="U267" s="6">
        <v>40</v>
      </c>
      <c r="V267" s="5">
        <v>8.7980860993806143E-2</v>
      </c>
      <c r="W267" s="5">
        <v>3.0019035047048642E-2</v>
      </c>
      <c r="X267" s="6">
        <v>0</v>
      </c>
      <c r="Y267" s="6">
        <v>1</v>
      </c>
      <c r="Z267" s="6">
        <v>100</v>
      </c>
      <c r="AA267" s="12">
        <v>0.33756008058994691</v>
      </c>
      <c r="AB267" s="5">
        <v>3.9886308615649367E-2</v>
      </c>
      <c r="AC267" s="6">
        <v>0</v>
      </c>
      <c r="AD267" s="6">
        <v>1</v>
      </c>
      <c r="AE267" s="6">
        <v>258</v>
      </c>
    </row>
    <row r="268" spans="1:32" x14ac:dyDescent="0.45">
      <c r="A268" s="4" t="s">
        <v>36</v>
      </c>
      <c r="B268" s="5">
        <v>0.76064468833586119</v>
      </c>
      <c r="C268" s="5">
        <v>7.7815769808775942E-2</v>
      </c>
      <c r="D268" s="6">
        <v>0</v>
      </c>
      <c r="E268" s="6">
        <v>1</v>
      </c>
      <c r="F268" s="6">
        <v>34</v>
      </c>
      <c r="G268" s="5">
        <v>0.47021854293445042</v>
      </c>
      <c r="H268" s="5">
        <v>7.9243117363754292E-2</v>
      </c>
      <c r="I268" s="6">
        <v>0</v>
      </c>
      <c r="J268" s="6">
        <v>1</v>
      </c>
      <c r="K268" s="6">
        <v>42</v>
      </c>
      <c r="L268" s="5">
        <v>0.2445206682606792</v>
      </c>
      <c r="M268" s="5">
        <v>6.7154542896761538E-2</v>
      </c>
      <c r="N268" s="6">
        <v>0</v>
      </c>
      <c r="O268" s="6">
        <v>1</v>
      </c>
      <c r="P268" s="6">
        <v>42</v>
      </c>
      <c r="Q268" s="5">
        <v>0.35160809189742964</v>
      </c>
      <c r="R268" s="5">
        <v>7.902438279457083E-2</v>
      </c>
      <c r="S268" s="6">
        <v>0</v>
      </c>
      <c r="T268" s="6">
        <v>1</v>
      </c>
      <c r="U268" s="6">
        <v>40</v>
      </c>
      <c r="V268" s="5">
        <v>0.42925514319553509</v>
      </c>
      <c r="W268" s="5">
        <v>6.917480911456024E-2</v>
      </c>
      <c r="X268" s="6">
        <v>0</v>
      </c>
      <c r="Y268" s="6">
        <v>1</v>
      </c>
      <c r="Z268" s="6">
        <v>100</v>
      </c>
      <c r="AA268" s="12">
        <v>0.36787839094902408</v>
      </c>
      <c r="AB268" s="5">
        <v>4.0690017630809268E-2</v>
      </c>
      <c r="AC268" s="6">
        <v>0</v>
      </c>
      <c r="AD268" s="6">
        <v>1</v>
      </c>
      <c r="AE268" s="6">
        <v>258</v>
      </c>
      <c r="AF268">
        <f>(AA270/AA269)-AA268</f>
        <v>8.7322785042863726E-3</v>
      </c>
    </row>
    <row r="269" spans="1:32" ht="26.25" x14ac:dyDescent="0.45">
      <c r="A269" s="4" t="s">
        <v>22</v>
      </c>
      <c r="B269" s="5">
        <v>0.84952162550522947</v>
      </c>
      <c r="C269" s="5">
        <v>6.1545774275045921E-2</v>
      </c>
      <c r="D269" s="6">
        <v>0</v>
      </c>
      <c r="E269" s="6">
        <v>1</v>
      </c>
      <c r="F269" s="6">
        <v>34</v>
      </c>
      <c r="G269" s="5">
        <v>0.96979725445447418</v>
      </c>
      <c r="H269" s="5">
        <v>3.0016012175185333E-2</v>
      </c>
      <c r="I269" s="6">
        <v>0</v>
      </c>
      <c r="J269" s="6">
        <v>1</v>
      </c>
      <c r="K269" s="6">
        <v>42</v>
      </c>
      <c r="L269" s="5">
        <v>0.86468560906249525</v>
      </c>
      <c r="M269" s="5">
        <v>5.2374794839710012E-2</v>
      </c>
      <c r="N269" s="6">
        <v>0</v>
      </c>
      <c r="O269" s="6">
        <v>1</v>
      </c>
      <c r="P269" s="6">
        <v>44</v>
      </c>
      <c r="Q269" s="5">
        <v>0.9749682228588612</v>
      </c>
      <c r="R269" s="5">
        <v>2.5049499255806983E-2</v>
      </c>
      <c r="S269" s="6">
        <v>0</v>
      </c>
      <c r="T269" s="6">
        <v>1</v>
      </c>
      <c r="U269" s="6">
        <v>40</v>
      </c>
      <c r="V269" s="5">
        <v>0.67616365127076683</v>
      </c>
      <c r="W269" s="5">
        <v>6.6180623554006821E-2</v>
      </c>
      <c r="X269" s="6">
        <v>0</v>
      </c>
      <c r="Y269" s="6">
        <v>1</v>
      </c>
      <c r="Z269" s="6">
        <v>104</v>
      </c>
      <c r="AA269" s="12">
        <v>0.91020657995142884</v>
      </c>
      <c r="AB269" s="5">
        <v>2.4389856620021973E-2</v>
      </c>
      <c r="AC269" s="6">
        <v>0</v>
      </c>
      <c r="AD269" s="6">
        <v>1</v>
      </c>
      <c r="AE269" s="6">
        <v>264</v>
      </c>
      <c r="AF269">
        <f>(AA270/AA268)-AA269</f>
        <v>2.1605447746103734E-2</v>
      </c>
    </row>
    <row r="270" spans="1:32" x14ac:dyDescent="0.45">
      <c r="A270" s="4" t="s">
        <v>118</v>
      </c>
      <c r="B270" s="5">
        <v>0.63184540363395703</v>
      </c>
      <c r="C270" s="5">
        <v>8.7588084848681191E-2</v>
      </c>
      <c r="D270" s="6">
        <v>0</v>
      </c>
      <c r="E270" s="6">
        <v>1</v>
      </c>
      <c r="F270" s="6">
        <v>34</v>
      </c>
      <c r="G270" s="5">
        <v>0.47021854293445042</v>
      </c>
      <c r="H270" s="5">
        <v>7.9243117363754292E-2</v>
      </c>
      <c r="I270" s="6">
        <v>0</v>
      </c>
      <c r="J270" s="6">
        <v>1</v>
      </c>
      <c r="K270" s="6">
        <v>42</v>
      </c>
      <c r="L270" s="5">
        <v>0.21890470754711744</v>
      </c>
      <c r="M270" s="5">
        <v>6.4218026552161939E-2</v>
      </c>
      <c r="N270" s="6">
        <v>0</v>
      </c>
      <c r="O270" s="6">
        <v>1</v>
      </c>
      <c r="P270" s="6">
        <v>42</v>
      </c>
      <c r="Q270" s="5">
        <v>0.35160809189742964</v>
      </c>
      <c r="R270" s="5">
        <v>7.902438279457083E-2</v>
      </c>
      <c r="S270" s="6">
        <v>0</v>
      </c>
      <c r="T270" s="6">
        <v>1</v>
      </c>
      <c r="U270" s="6">
        <v>40</v>
      </c>
      <c r="V270" s="5">
        <v>0.21552343190487386</v>
      </c>
      <c r="W270" s="5">
        <v>5.7592739252108976E-2</v>
      </c>
      <c r="X270" s="6">
        <v>0</v>
      </c>
      <c r="Y270" s="6">
        <v>1</v>
      </c>
      <c r="Z270" s="6">
        <v>100</v>
      </c>
      <c r="AA270" s="12">
        <v>0.34279350941631576</v>
      </c>
      <c r="AB270" s="5">
        <v>4.0042483796722921E-2</v>
      </c>
      <c r="AC270" s="6">
        <v>0</v>
      </c>
      <c r="AD270" s="6">
        <v>1</v>
      </c>
      <c r="AE270" s="6">
        <v>258</v>
      </c>
    </row>
    <row r="271" spans="1:32" x14ac:dyDescent="0.45">
      <c r="A271" s="4" t="s">
        <v>36</v>
      </c>
      <c r="B271" s="5">
        <v>0.76064468833586119</v>
      </c>
      <c r="C271" s="5">
        <v>7.7815769808775942E-2</v>
      </c>
      <c r="D271" s="6">
        <v>0</v>
      </c>
      <c r="E271" s="6">
        <v>1</v>
      </c>
      <c r="F271" s="6">
        <v>34</v>
      </c>
      <c r="G271" s="5">
        <v>0.47021854293445042</v>
      </c>
      <c r="H271" s="5">
        <v>7.9243117363754292E-2</v>
      </c>
      <c r="I271" s="6">
        <v>0</v>
      </c>
      <c r="J271" s="6">
        <v>1</v>
      </c>
      <c r="K271" s="6">
        <v>42</v>
      </c>
      <c r="L271" s="5">
        <v>0.2445206682606792</v>
      </c>
      <c r="M271" s="5">
        <v>6.7154542896761538E-2</v>
      </c>
      <c r="N271" s="6">
        <v>0</v>
      </c>
      <c r="O271" s="6">
        <v>1</v>
      </c>
      <c r="P271" s="6">
        <v>42</v>
      </c>
      <c r="Q271" s="5">
        <v>0.35160809189742964</v>
      </c>
      <c r="R271" s="5">
        <v>7.902438279457083E-2</v>
      </c>
      <c r="S271" s="6">
        <v>0</v>
      </c>
      <c r="T271" s="6">
        <v>1</v>
      </c>
      <c r="U271" s="6">
        <v>40</v>
      </c>
      <c r="V271" s="5">
        <v>0.42925514319553509</v>
      </c>
      <c r="W271" s="5">
        <v>6.917480911456024E-2</v>
      </c>
      <c r="X271" s="6">
        <v>0</v>
      </c>
      <c r="Y271" s="6">
        <v>1</v>
      </c>
      <c r="Z271" s="6">
        <v>100</v>
      </c>
      <c r="AA271" s="12">
        <v>0.36787839094902408</v>
      </c>
      <c r="AB271" s="5">
        <v>4.0690017630809268E-2</v>
      </c>
      <c r="AC271" s="6">
        <v>0</v>
      </c>
      <c r="AD271" s="6">
        <v>1</v>
      </c>
      <c r="AE271" s="6">
        <v>258</v>
      </c>
      <c r="AF271">
        <f>(AA273/AA272)-AA271</f>
        <v>7.8599254067471258E-3</v>
      </c>
    </row>
    <row r="272" spans="1:32" ht="26.25" x14ac:dyDescent="0.45">
      <c r="A272" s="4" t="s">
        <v>24</v>
      </c>
      <c r="B272" s="5">
        <v>0.59113064078982813</v>
      </c>
      <c r="C272" s="5">
        <v>8.9609791547363538E-2</v>
      </c>
      <c r="D272" s="6">
        <v>0</v>
      </c>
      <c r="E272" s="6">
        <v>1</v>
      </c>
      <c r="F272" s="6">
        <v>34</v>
      </c>
      <c r="G272" s="5">
        <v>0.71909384928754405</v>
      </c>
      <c r="H272" s="5">
        <v>7.2403474018022274E-2</v>
      </c>
      <c r="I272" s="6">
        <v>0</v>
      </c>
      <c r="J272" s="6">
        <v>1</v>
      </c>
      <c r="K272" s="6">
        <v>42</v>
      </c>
      <c r="L272" s="5">
        <v>0.69739462956204068</v>
      </c>
      <c r="M272" s="5">
        <v>7.1809022935466635E-2</v>
      </c>
      <c r="N272" s="6">
        <v>0</v>
      </c>
      <c r="O272" s="6">
        <v>1</v>
      </c>
      <c r="P272" s="6">
        <v>44</v>
      </c>
      <c r="Q272" s="5">
        <v>0.9233668457535289</v>
      </c>
      <c r="R272" s="5">
        <v>4.3202567197263397E-2</v>
      </c>
      <c r="S272" s="6">
        <v>0</v>
      </c>
      <c r="T272" s="6">
        <v>1</v>
      </c>
      <c r="U272" s="6">
        <v>40</v>
      </c>
      <c r="V272" s="5">
        <v>0.65121302184637453</v>
      </c>
      <c r="W272" s="5">
        <v>6.6128687462899488E-2</v>
      </c>
      <c r="X272" s="6">
        <v>0</v>
      </c>
      <c r="Y272" s="6">
        <v>1</v>
      </c>
      <c r="Z272" s="6">
        <v>104</v>
      </c>
      <c r="AA272" s="12">
        <v>0.74577850242169597</v>
      </c>
      <c r="AB272" s="5">
        <v>3.7735522277039836E-2</v>
      </c>
      <c r="AC272" s="6">
        <v>0</v>
      </c>
      <c r="AD272" s="6">
        <v>1</v>
      </c>
      <c r="AE272" s="6">
        <v>264</v>
      </c>
      <c r="AF272">
        <f>(AA273/AA271)-AA272</f>
        <v>1.5933970418508081E-2</v>
      </c>
    </row>
    <row r="273" spans="1:32" x14ac:dyDescent="0.45">
      <c r="A273" s="4" t="s">
        <v>119</v>
      </c>
      <c r="B273" s="5">
        <v>0.4675776335238519</v>
      </c>
      <c r="C273" s="5">
        <v>9.1838013206899285E-2</v>
      </c>
      <c r="D273" s="6">
        <v>0</v>
      </c>
      <c r="E273" s="6">
        <v>1</v>
      </c>
      <c r="F273" s="6">
        <v>34</v>
      </c>
      <c r="G273" s="5">
        <v>0.34018381931036568</v>
      </c>
      <c r="H273" s="5">
        <v>7.5058153252302695E-2</v>
      </c>
      <c r="I273" s="6">
        <v>0</v>
      </c>
      <c r="J273" s="6">
        <v>1</v>
      </c>
      <c r="K273" s="6">
        <v>42</v>
      </c>
      <c r="L273" s="5">
        <v>0.19128749990280863</v>
      </c>
      <c r="M273" s="5">
        <v>6.0280867000327851E-2</v>
      </c>
      <c r="N273" s="6">
        <v>0</v>
      </c>
      <c r="O273" s="6">
        <v>1</v>
      </c>
      <c r="P273" s="6">
        <v>42</v>
      </c>
      <c r="Q273" s="5">
        <v>0.32778843909983685</v>
      </c>
      <c r="R273" s="5">
        <v>7.7908113944837334E-2</v>
      </c>
      <c r="S273" s="6">
        <v>0</v>
      </c>
      <c r="T273" s="6">
        <v>1</v>
      </c>
      <c r="U273" s="6">
        <v>40</v>
      </c>
      <c r="V273" s="5">
        <v>0.20338200115365787</v>
      </c>
      <c r="W273" s="5">
        <v>5.7234203087656595E-2</v>
      </c>
      <c r="X273" s="6">
        <v>0</v>
      </c>
      <c r="Y273" s="6">
        <v>1</v>
      </c>
      <c r="Z273" s="6">
        <v>100</v>
      </c>
      <c r="AA273" s="12">
        <v>0.28021755887425648</v>
      </c>
      <c r="AB273" s="5">
        <v>3.7499031688695075E-2</v>
      </c>
      <c r="AC273" s="6">
        <v>0</v>
      </c>
      <c r="AD273" s="6">
        <v>1</v>
      </c>
      <c r="AE273" s="6">
        <v>258</v>
      </c>
    </row>
    <row r="274" spans="1:32" ht="26.25" x14ac:dyDescent="0.45">
      <c r="A274" s="4" t="s">
        <v>38</v>
      </c>
      <c r="B274" s="5">
        <v>0.84000868272823959</v>
      </c>
      <c r="C274" s="5">
        <v>6.5933157962881336E-2</v>
      </c>
      <c r="D274" s="6">
        <v>0</v>
      </c>
      <c r="E274" s="6">
        <v>1</v>
      </c>
      <c r="F274" s="6">
        <v>34</v>
      </c>
      <c r="G274" s="5">
        <v>0.8757010716140059</v>
      </c>
      <c r="H274" s="5">
        <v>5.3035240634634946E-2</v>
      </c>
      <c r="I274" s="6">
        <v>0</v>
      </c>
      <c r="J274" s="6">
        <v>1</v>
      </c>
      <c r="K274" s="6">
        <v>42</v>
      </c>
      <c r="L274" s="5">
        <v>0.72424862259728484</v>
      </c>
      <c r="M274" s="5">
        <v>6.9698543042307798E-2</v>
      </c>
      <c r="N274" s="6">
        <v>0</v>
      </c>
      <c r="O274" s="6">
        <v>1</v>
      </c>
      <c r="P274" s="6">
        <v>44</v>
      </c>
      <c r="Q274" s="5">
        <v>0.76619872916446996</v>
      </c>
      <c r="R274" s="5">
        <v>6.9319636379783084E-2</v>
      </c>
      <c r="S274" s="6">
        <v>0</v>
      </c>
      <c r="T274" s="6">
        <v>1</v>
      </c>
      <c r="U274" s="6">
        <v>40</v>
      </c>
      <c r="V274" s="5">
        <v>0.41945825525041158</v>
      </c>
      <c r="W274" s="5">
        <v>6.5895940178938919E-2</v>
      </c>
      <c r="X274" s="6">
        <v>0</v>
      </c>
      <c r="Y274" s="6">
        <v>1</v>
      </c>
      <c r="Z274" s="6">
        <v>104</v>
      </c>
      <c r="AA274" s="12">
        <v>0.77070805751749982</v>
      </c>
      <c r="AB274" s="5">
        <v>3.6116125764874885E-2</v>
      </c>
      <c r="AC274" s="6">
        <v>0</v>
      </c>
      <c r="AD274" s="6">
        <v>1</v>
      </c>
      <c r="AE274" s="6">
        <v>264</v>
      </c>
      <c r="AF274">
        <f>(AA276/AA275)-AA274</f>
        <v>8.4499296414712877E-3</v>
      </c>
    </row>
    <row r="275" spans="1:32" x14ac:dyDescent="0.45">
      <c r="A275" s="4" t="s">
        <v>40</v>
      </c>
      <c r="B275" s="5">
        <v>0.47314926338671726</v>
      </c>
      <c r="C275" s="5">
        <v>9.1986997587208227E-2</v>
      </c>
      <c r="D275" s="6">
        <v>0</v>
      </c>
      <c r="E275" s="6">
        <v>1</v>
      </c>
      <c r="F275" s="6">
        <v>34</v>
      </c>
      <c r="G275" s="5">
        <v>0.59916532039375925</v>
      </c>
      <c r="H275" s="5">
        <v>7.8188563211038412E-2</v>
      </c>
      <c r="I275" s="6">
        <v>0</v>
      </c>
      <c r="J275" s="6">
        <v>1</v>
      </c>
      <c r="K275" s="6">
        <v>42</v>
      </c>
      <c r="L275" s="5">
        <v>0.5544767542723662</v>
      </c>
      <c r="M275" s="5">
        <v>7.7775688570457788E-2</v>
      </c>
      <c r="N275" s="6">
        <v>0</v>
      </c>
      <c r="O275" s="6">
        <v>1</v>
      </c>
      <c r="P275" s="6">
        <v>44</v>
      </c>
      <c r="Q275" s="5">
        <v>0.89744052335873858</v>
      </c>
      <c r="R275" s="5">
        <v>4.9355060283969104E-2</v>
      </c>
      <c r="S275" s="6">
        <v>0</v>
      </c>
      <c r="T275" s="6">
        <v>1</v>
      </c>
      <c r="U275" s="6">
        <v>40</v>
      </c>
      <c r="V275" s="5">
        <v>0.64636059193257822</v>
      </c>
      <c r="W275" s="5">
        <v>6.6126331124485585E-2</v>
      </c>
      <c r="X275" s="6">
        <v>0</v>
      </c>
      <c r="Y275" s="6">
        <v>1</v>
      </c>
      <c r="Z275" s="6">
        <v>104</v>
      </c>
      <c r="AA275" s="12">
        <v>0.6412951441068232</v>
      </c>
      <c r="AB275" s="5">
        <v>4.1660786160429293E-2</v>
      </c>
      <c r="AC275" s="6">
        <v>0</v>
      </c>
      <c r="AD275" s="6">
        <v>1</v>
      </c>
      <c r="AE275" s="6">
        <v>264</v>
      </c>
      <c r="AF275">
        <f>(AA276/AA274)-AA275</f>
        <v>7.031065517304258E-3</v>
      </c>
    </row>
    <row r="276" spans="1:32" ht="39.4" x14ac:dyDescent="0.45">
      <c r="A276" s="4" t="s">
        <v>120</v>
      </c>
      <c r="B276" s="5">
        <v>0.36089502294832831</v>
      </c>
      <c r="C276" s="5">
        <v>8.9426067205592735E-2</v>
      </c>
      <c r="D276" s="6">
        <v>0</v>
      </c>
      <c r="E276" s="6">
        <v>1</v>
      </c>
      <c r="F276" s="6">
        <v>34</v>
      </c>
      <c r="G276" s="5">
        <v>0.50506913755329086</v>
      </c>
      <c r="H276" s="5">
        <v>7.9325594856387918E-2</v>
      </c>
      <c r="I276" s="6">
        <v>0</v>
      </c>
      <c r="J276" s="6">
        <v>1</v>
      </c>
      <c r="K276" s="6">
        <v>42</v>
      </c>
      <c r="L276" s="5">
        <v>0.40736748496471425</v>
      </c>
      <c r="M276" s="5">
        <v>7.6785085306588882E-2</v>
      </c>
      <c r="N276" s="6">
        <v>0</v>
      </c>
      <c r="O276" s="6">
        <v>1</v>
      </c>
      <c r="P276" s="6">
        <v>44</v>
      </c>
      <c r="Q276" s="5">
        <v>0.71459735205913777</v>
      </c>
      <c r="R276" s="5">
        <v>7.4008899668613293E-2</v>
      </c>
      <c r="S276" s="6">
        <v>0</v>
      </c>
      <c r="T276" s="6">
        <v>1</v>
      </c>
      <c r="U276" s="6">
        <v>40</v>
      </c>
      <c r="V276" s="5">
        <v>0.41560419529131615</v>
      </c>
      <c r="W276" s="5">
        <v>6.5851112003340845E-2</v>
      </c>
      <c r="X276" s="6">
        <v>0</v>
      </c>
      <c r="Y276" s="6">
        <v>1</v>
      </c>
      <c r="Z276" s="6">
        <v>104</v>
      </c>
      <c r="AA276" s="12">
        <v>0.49967023365709468</v>
      </c>
      <c r="AB276" s="5">
        <v>4.2958551191043227E-2</v>
      </c>
      <c r="AC276" s="6">
        <v>0</v>
      </c>
      <c r="AD276" s="6">
        <v>1</v>
      </c>
      <c r="AE276" s="6">
        <v>264</v>
      </c>
    </row>
    <row r="277" spans="1:32" ht="26.25" x14ac:dyDescent="0.45">
      <c r="A277" s="4" t="s">
        <v>38</v>
      </c>
      <c r="B277" s="5">
        <v>0.84000868272823959</v>
      </c>
      <c r="C277" s="5">
        <v>6.5933157962881336E-2</v>
      </c>
      <c r="D277" s="6">
        <v>0</v>
      </c>
      <c r="E277" s="6">
        <v>1</v>
      </c>
      <c r="F277" s="6">
        <v>34</v>
      </c>
      <c r="G277" s="5">
        <v>0.8757010716140059</v>
      </c>
      <c r="H277" s="5">
        <v>5.3035240634634946E-2</v>
      </c>
      <c r="I277" s="6">
        <v>0</v>
      </c>
      <c r="J277" s="6">
        <v>1</v>
      </c>
      <c r="K277" s="6">
        <v>42</v>
      </c>
      <c r="L277" s="5">
        <v>0.72424862259728484</v>
      </c>
      <c r="M277" s="5">
        <v>6.9698543042307798E-2</v>
      </c>
      <c r="N277" s="6">
        <v>0</v>
      </c>
      <c r="O277" s="6">
        <v>1</v>
      </c>
      <c r="P277" s="6">
        <v>44</v>
      </c>
      <c r="Q277" s="5">
        <v>0.76619872916446996</v>
      </c>
      <c r="R277" s="5">
        <v>6.9319636379783084E-2</v>
      </c>
      <c r="S277" s="6">
        <v>0</v>
      </c>
      <c r="T277" s="6">
        <v>1</v>
      </c>
      <c r="U277" s="6">
        <v>40</v>
      </c>
      <c r="V277" s="5">
        <v>0.41945825525041158</v>
      </c>
      <c r="W277" s="5">
        <v>6.5895940178938919E-2</v>
      </c>
      <c r="X277" s="6">
        <v>0</v>
      </c>
      <c r="Y277" s="6">
        <v>1</v>
      </c>
      <c r="Z277" s="6">
        <v>104</v>
      </c>
      <c r="AA277" s="12">
        <v>0.77070805751749982</v>
      </c>
      <c r="AB277" s="5">
        <v>3.6116125764874885E-2</v>
      </c>
      <c r="AC277" s="6">
        <v>0</v>
      </c>
      <c r="AD277" s="6">
        <v>1</v>
      </c>
      <c r="AE277" s="6">
        <v>264</v>
      </c>
      <c r="AF277">
        <f>(AA279/AA278)-AA277</f>
        <v>4.4680655536859626E-2</v>
      </c>
    </row>
    <row r="278" spans="1:32" x14ac:dyDescent="0.45">
      <c r="A278" s="4" t="s">
        <v>42</v>
      </c>
      <c r="B278" s="5">
        <v>0.70676339075737993</v>
      </c>
      <c r="C278" s="5">
        <v>8.2311257529143506E-2</v>
      </c>
      <c r="D278" s="6">
        <v>0</v>
      </c>
      <c r="E278" s="6">
        <v>1</v>
      </c>
      <c r="F278" s="6">
        <v>34</v>
      </c>
      <c r="G278" s="5">
        <v>0.89745945595635757</v>
      </c>
      <c r="H278" s="5">
        <v>4.9322035621993304E-2</v>
      </c>
      <c r="I278" s="6">
        <v>0</v>
      </c>
      <c r="J278" s="6">
        <v>1</v>
      </c>
      <c r="K278" s="6">
        <v>42</v>
      </c>
      <c r="L278" s="5">
        <v>0.74627430949051987</v>
      </c>
      <c r="M278" s="5">
        <v>6.7544644640920845E-2</v>
      </c>
      <c r="N278" s="6">
        <v>0</v>
      </c>
      <c r="O278" s="6">
        <v>1</v>
      </c>
      <c r="P278" s="6">
        <v>44</v>
      </c>
      <c r="Q278" s="5">
        <v>0.87908303986713809</v>
      </c>
      <c r="R278" s="5">
        <v>5.2789569621478863E-2</v>
      </c>
      <c r="S278" s="6">
        <v>0</v>
      </c>
      <c r="T278" s="6">
        <v>1</v>
      </c>
      <c r="U278" s="6">
        <v>40</v>
      </c>
      <c r="V278" s="5">
        <v>0.5866426892711829</v>
      </c>
      <c r="W278" s="5">
        <v>6.7909303410161284E-2</v>
      </c>
      <c r="X278" s="6">
        <v>0</v>
      </c>
      <c r="Y278" s="6">
        <v>1</v>
      </c>
      <c r="Z278" s="6">
        <v>104</v>
      </c>
      <c r="AA278" s="12">
        <v>0.80877290183625294</v>
      </c>
      <c r="AB278" s="5">
        <v>3.3808580537463842E-2</v>
      </c>
      <c r="AC278" s="6">
        <v>0</v>
      </c>
      <c r="AD278" s="6">
        <v>1</v>
      </c>
      <c r="AE278" s="6">
        <v>264</v>
      </c>
      <c r="AF278">
        <f>(AA279/AA277)-AA278</f>
        <v>4.6887408379886475E-2</v>
      </c>
    </row>
    <row r="279" spans="1:32" ht="39.4" x14ac:dyDescent="0.45">
      <c r="A279" s="4" t="s">
        <v>121</v>
      </c>
      <c r="B279" s="5">
        <v>0.59333550733689799</v>
      </c>
      <c r="C279" s="5">
        <v>8.9867708108030547E-2</v>
      </c>
      <c r="D279" s="6">
        <v>0</v>
      </c>
      <c r="E279" s="6">
        <v>1</v>
      </c>
      <c r="F279" s="6">
        <v>34</v>
      </c>
      <c r="G279" s="5">
        <v>0.80336327311588918</v>
      </c>
      <c r="H279" s="5">
        <v>6.3387860068947005E-2</v>
      </c>
      <c r="I279" s="6">
        <v>0</v>
      </c>
      <c r="J279" s="6">
        <v>1</v>
      </c>
      <c r="K279" s="6">
        <v>42</v>
      </c>
      <c r="L279" s="5">
        <v>0.59459242106995458</v>
      </c>
      <c r="M279" s="5">
        <v>7.638904377569293E-2</v>
      </c>
      <c r="N279" s="6">
        <v>0</v>
      </c>
      <c r="O279" s="6">
        <v>1</v>
      </c>
      <c r="P279" s="6">
        <v>44</v>
      </c>
      <c r="Q279" s="5">
        <v>0.67031354617274685</v>
      </c>
      <c r="R279" s="5">
        <v>7.6998670895300783E-2</v>
      </c>
      <c r="S279" s="6">
        <v>0</v>
      </c>
      <c r="T279" s="6">
        <v>1</v>
      </c>
      <c r="U279" s="6">
        <v>40</v>
      </c>
      <c r="V279" s="5">
        <v>0.3576699409313957</v>
      </c>
      <c r="W279" s="5">
        <v>6.3346613204916857E-2</v>
      </c>
      <c r="X279" s="6">
        <v>0</v>
      </c>
      <c r="Y279" s="6">
        <v>1</v>
      </c>
      <c r="Z279" s="6">
        <v>104</v>
      </c>
      <c r="AA279" s="12">
        <v>0.6594642955815021</v>
      </c>
      <c r="AB279" s="5">
        <v>4.0499828679782364E-2</v>
      </c>
      <c r="AC279" s="6">
        <v>0</v>
      </c>
      <c r="AD279" s="6">
        <v>1</v>
      </c>
      <c r="AE279" s="6">
        <v>264</v>
      </c>
    </row>
    <row r="280" spans="1:32" ht="26.25" x14ac:dyDescent="0.45">
      <c r="A280" s="4" t="s">
        <v>38</v>
      </c>
      <c r="B280" s="5">
        <v>0.84000868272823959</v>
      </c>
      <c r="C280" s="5">
        <v>6.5933157962881336E-2</v>
      </c>
      <c r="D280" s="6">
        <v>0</v>
      </c>
      <c r="E280" s="6">
        <v>1</v>
      </c>
      <c r="F280" s="6">
        <v>34</v>
      </c>
      <c r="G280" s="5">
        <v>0.8757010716140059</v>
      </c>
      <c r="H280" s="5">
        <v>5.3035240634634946E-2</v>
      </c>
      <c r="I280" s="6">
        <v>0</v>
      </c>
      <c r="J280" s="6">
        <v>1</v>
      </c>
      <c r="K280" s="6">
        <v>42</v>
      </c>
      <c r="L280" s="5">
        <v>0.72424862259728484</v>
      </c>
      <c r="M280" s="5">
        <v>6.9698543042307798E-2</v>
      </c>
      <c r="N280" s="6">
        <v>0</v>
      </c>
      <c r="O280" s="6">
        <v>1</v>
      </c>
      <c r="P280" s="6">
        <v>44</v>
      </c>
      <c r="Q280" s="5">
        <v>0.76619872916446996</v>
      </c>
      <c r="R280" s="5">
        <v>6.9319636379783084E-2</v>
      </c>
      <c r="S280" s="6">
        <v>0</v>
      </c>
      <c r="T280" s="6">
        <v>1</v>
      </c>
      <c r="U280" s="6">
        <v>40</v>
      </c>
      <c r="V280" s="5">
        <v>0.41945825525041158</v>
      </c>
      <c r="W280" s="5">
        <v>6.5895940178938919E-2</v>
      </c>
      <c r="X280" s="6">
        <v>0</v>
      </c>
      <c r="Y280" s="6">
        <v>1</v>
      </c>
      <c r="Z280" s="6">
        <v>104</v>
      </c>
      <c r="AA280" s="12">
        <v>0.77070805751749982</v>
      </c>
      <c r="AB280" s="5">
        <v>3.6116125764874885E-2</v>
      </c>
      <c r="AC280" s="6">
        <v>0</v>
      </c>
      <c r="AD280" s="6">
        <v>1</v>
      </c>
      <c r="AE280" s="6">
        <v>264</v>
      </c>
      <c r="AF280">
        <f>(AA282/AA281)-AA280</f>
        <v>-4.900550665649539E-2</v>
      </c>
    </row>
    <row r="281" spans="1:32" x14ac:dyDescent="0.45">
      <c r="A281" s="4" t="s">
        <v>44</v>
      </c>
      <c r="B281" s="5">
        <v>0.26296232107028095</v>
      </c>
      <c r="C281" s="5">
        <v>8.0971230867118368E-2</v>
      </c>
      <c r="D281" s="6">
        <v>0</v>
      </c>
      <c r="E281" s="6">
        <v>1</v>
      </c>
      <c r="F281" s="6">
        <v>34</v>
      </c>
      <c r="G281" s="5">
        <v>0.35571464744938486</v>
      </c>
      <c r="H281" s="5">
        <v>7.5377725145722718E-2</v>
      </c>
      <c r="I281" s="6">
        <v>0</v>
      </c>
      <c r="J281" s="6">
        <v>1</v>
      </c>
      <c r="K281" s="6">
        <v>42</v>
      </c>
      <c r="L281" s="5">
        <v>0.33138587150846482</v>
      </c>
      <c r="M281" s="5">
        <v>7.3951973163393067E-2</v>
      </c>
      <c r="N281" s="6">
        <v>0</v>
      </c>
      <c r="O281" s="6">
        <v>1</v>
      </c>
      <c r="P281" s="6">
        <v>44</v>
      </c>
      <c r="Q281" s="5">
        <v>0.48486364033758289</v>
      </c>
      <c r="R281" s="5">
        <v>8.2351680282883519E-2</v>
      </c>
      <c r="S281" s="6">
        <v>0</v>
      </c>
      <c r="T281" s="6">
        <v>1</v>
      </c>
      <c r="U281" s="6">
        <v>40</v>
      </c>
      <c r="V281" s="5">
        <v>0.24869923971566638</v>
      </c>
      <c r="W281" s="5">
        <v>5.4351819960247037E-2</v>
      </c>
      <c r="X281" s="6">
        <v>0</v>
      </c>
      <c r="Y281" s="6">
        <v>1</v>
      </c>
      <c r="Z281" s="6">
        <v>104</v>
      </c>
      <c r="AA281" s="12">
        <v>0.3652932886037854</v>
      </c>
      <c r="AB281" s="5">
        <v>4.1360781021304437E-2</v>
      </c>
      <c r="AC281" s="6">
        <v>0</v>
      </c>
      <c r="AD281" s="6">
        <v>1</v>
      </c>
      <c r="AE281" s="6">
        <v>264</v>
      </c>
      <c r="AF281">
        <f>(AA282/AA280)-AA281</f>
        <v>-2.3227190259185071E-2</v>
      </c>
    </row>
    <row r="282" spans="1:32" ht="26.25" x14ac:dyDescent="0.45">
      <c r="A282" s="4" t="s">
        <v>122</v>
      </c>
      <c r="B282" s="5">
        <v>0.19618383503838058</v>
      </c>
      <c r="C282" s="5">
        <v>7.2014166789937079E-2</v>
      </c>
      <c r="D282" s="6">
        <v>0</v>
      </c>
      <c r="E282" s="6">
        <v>1</v>
      </c>
      <c r="F282" s="6">
        <v>34</v>
      </c>
      <c r="G282" s="5">
        <v>0.3325049527686913</v>
      </c>
      <c r="H282" s="5">
        <v>7.4140856614995476E-2</v>
      </c>
      <c r="I282" s="6">
        <v>0</v>
      </c>
      <c r="J282" s="6">
        <v>1</v>
      </c>
      <c r="K282" s="6">
        <v>42</v>
      </c>
      <c r="L282" s="5">
        <v>0.21523560686423923</v>
      </c>
      <c r="M282" s="5">
        <v>6.5195959087490402E-2</v>
      </c>
      <c r="N282" s="6">
        <v>0</v>
      </c>
      <c r="O282" s="6">
        <v>1</v>
      </c>
      <c r="P282" s="6">
        <v>44</v>
      </c>
      <c r="Q282" s="5">
        <v>0.30234380623415991</v>
      </c>
      <c r="R282" s="5">
        <v>7.6421473579429897E-2</v>
      </c>
      <c r="S282" s="6">
        <v>0</v>
      </c>
      <c r="T282" s="6">
        <v>1</v>
      </c>
      <c r="U282" s="6">
        <v>40</v>
      </c>
      <c r="V282" s="5">
        <v>0.17285207823258322</v>
      </c>
      <c r="W282" s="5">
        <v>4.8669783264322343E-2</v>
      </c>
      <c r="X282" s="6">
        <v>0</v>
      </c>
      <c r="Y282" s="6">
        <v>1</v>
      </c>
      <c r="Z282" s="6">
        <v>104</v>
      </c>
      <c r="AA282" s="12">
        <v>0.26363309819775699</v>
      </c>
      <c r="AB282" s="5">
        <v>3.7808465086289336E-2</v>
      </c>
      <c r="AC282" s="6">
        <v>0</v>
      </c>
      <c r="AD282" s="6">
        <v>1</v>
      </c>
      <c r="AE282" s="6">
        <v>264</v>
      </c>
    </row>
    <row r="283" spans="1:32" x14ac:dyDescent="0.45">
      <c r="A283" s="4" t="s">
        <v>40</v>
      </c>
      <c r="B283" s="5">
        <v>0.47314926338671726</v>
      </c>
      <c r="C283" s="5">
        <v>9.1986997587208227E-2</v>
      </c>
      <c r="D283" s="6">
        <v>0</v>
      </c>
      <c r="E283" s="6">
        <v>1</v>
      </c>
      <c r="F283" s="6">
        <v>34</v>
      </c>
      <c r="G283" s="5">
        <v>0.59916532039375925</v>
      </c>
      <c r="H283" s="5">
        <v>7.8188563211038412E-2</v>
      </c>
      <c r="I283" s="6">
        <v>0</v>
      </c>
      <c r="J283" s="6">
        <v>1</v>
      </c>
      <c r="K283" s="6">
        <v>42</v>
      </c>
      <c r="L283" s="5">
        <v>0.5544767542723662</v>
      </c>
      <c r="M283" s="5">
        <v>7.7775688570457788E-2</v>
      </c>
      <c r="N283" s="6">
        <v>0</v>
      </c>
      <c r="O283" s="6">
        <v>1</v>
      </c>
      <c r="P283" s="6">
        <v>44</v>
      </c>
      <c r="Q283" s="5">
        <v>0.89744052335873858</v>
      </c>
      <c r="R283" s="5">
        <v>4.9355060283969104E-2</v>
      </c>
      <c r="S283" s="6">
        <v>0</v>
      </c>
      <c r="T283" s="6">
        <v>1</v>
      </c>
      <c r="U283" s="6">
        <v>40</v>
      </c>
      <c r="V283" s="5">
        <v>0.64636059193257822</v>
      </c>
      <c r="W283" s="5">
        <v>6.6126331124485585E-2</v>
      </c>
      <c r="X283" s="6">
        <v>0</v>
      </c>
      <c r="Y283" s="6">
        <v>1</v>
      </c>
      <c r="Z283" s="6">
        <v>104</v>
      </c>
      <c r="AA283" s="12">
        <v>0.6412951441068232</v>
      </c>
      <c r="AB283" s="5">
        <v>4.1660786160429293E-2</v>
      </c>
      <c r="AC283" s="6">
        <v>0</v>
      </c>
      <c r="AD283" s="6">
        <v>1</v>
      </c>
      <c r="AE283" s="6">
        <v>264</v>
      </c>
      <c r="AF283">
        <f>(AA285/AA284)-AA283</f>
        <v>2.6211723106378537E-2</v>
      </c>
    </row>
    <row r="284" spans="1:32" x14ac:dyDescent="0.45">
      <c r="A284" s="4" t="s">
        <v>42</v>
      </c>
      <c r="B284" s="5">
        <v>0.70676339075737993</v>
      </c>
      <c r="C284" s="5">
        <v>8.2311257529143506E-2</v>
      </c>
      <c r="D284" s="6">
        <v>0</v>
      </c>
      <c r="E284" s="6">
        <v>1</v>
      </c>
      <c r="F284" s="6">
        <v>34</v>
      </c>
      <c r="G284" s="5">
        <v>0.89745945595635757</v>
      </c>
      <c r="H284" s="5">
        <v>4.9322035621993304E-2</v>
      </c>
      <c r="I284" s="6">
        <v>0</v>
      </c>
      <c r="J284" s="6">
        <v>1</v>
      </c>
      <c r="K284" s="6">
        <v>42</v>
      </c>
      <c r="L284" s="5">
        <v>0.74627430949051987</v>
      </c>
      <c r="M284" s="5">
        <v>6.7544644640920845E-2</v>
      </c>
      <c r="N284" s="6">
        <v>0</v>
      </c>
      <c r="O284" s="6">
        <v>1</v>
      </c>
      <c r="P284" s="6">
        <v>44</v>
      </c>
      <c r="Q284" s="5">
        <v>0.87908303986713809</v>
      </c>
      <c r="R284" s="5">
        <v>5.2789569621478863E-2</v>
      </c>
      <c r="S284" s="6">
        <v>0</v>
      </c>
      <c r="T284" s="6">
        <v>1</v>
      </c>
      <c r="U284" s="6">
        <v>40</v>
      </c>
      <c r="V284" s="5">
        <v>0.5866426892711829</v>
      </c>
      <c r="W284" s="5">
        <v>6.7909303410161284E-2</v>
      </c>
      <c r="X284" s="6">
        <v>0</v>
      </c>
      <c r="Y284" s="6">
        <v>1</v>
      </c>
      <c r="Z284" s="6">
        <v>104</v>
      </c>
      <c r="AA284" s="12">
        <v>0.80877290183625294</v>
      </c>
      <c r="AB284" s="5">
        <v>3.3808580537463842E-2</v>
      </c>
      <c r="AC284" s="6">
        <v>0</v>
      </c>
      <c r="AD284" s="6">
        <v>1</v>
      </c>
      <c r="AE284" s="6">
        <v>264</v>
      </c>
      <c r="AF284">
        <f>(AA285/AA283)-AA284</f>
        <v>3.3057058912242199E-2</v>
      </c>
    </row>
    <row r="285" spans="1:32" ht="26.25" x14ac:dyDescent="0.45">
      <c r="A285" s="4" t="s">
        <v>123</v>
      </c>
      <c r="B285" s="5">
        <v>0.33039102863886777</v>
      </c>
      <c r="C285" s="5">
        <v>8.7774168371291636E-2</v>
      </c>
      <c r="D285" s="6">
        <v>0</v>
      </c>
      <c r="E285" s="6">
        <v>1</v>
      </c>
      <c r="F285" s="6">
        <v>34</v>
      </c>
      <c r="G285" s="5">
        <v>0.52682752189564253</v>
      </c>
      <c r="H285" s="5">
        <v>7.9308741709721436E-2</v>
      </c>
      <c r="I285" s="6">
        <v>0</v>
      </c>
      <c r="J285" s="6">
        <v>1</v>
      </c>
      <c r="K285" s="6">
        <v>42</v>
      </c>
      <c r="L285" s="5">
        <v>0.43606545470039082</v>
      </c>
      <c r="M285" s="5">
        <v>7.7614630205611865E-2</v>
      </c>
      <c r="N285" s="6">
        <v>0</v>
      </c>
      <c r="O285" s="6">
        <v>1</v>
      </c>
      <c r="P285" s="6">
        <v>44</v>
      </c>
      <c r="Q285" s="5">
        <v>0.80155534036701537</v>
      </c>
      <c r="R285" s="5">
        <v>6.4912559202061237E-2</v>
      </c>
      <c r="S285" s="6">
        <v>0</v>
      </c>
      <c r="T285" s="6">
        <v>1</v>
      </c>
      <c r="U285" s="6">
        <v>40</v>
      </c>
      <c r="V285" s="5">
        <v>0.5568396299329943</v>
      </c>
      <c r="W285" s="5">
        <v>6.7648011527955215E-2</v>
      </c>
      <c r="X285" s="6">
        <v>0</v>
      </c>
      <c r="Y285" s="6">
        <v>1</v>
      </c>
      <c r="Z285" s="6">
        <v>104</v>
      </c>
      <c r="AA285" s="12">
        <v>0.53986146599164753</v>
      </c>
      <c r="AB285" s="5">
        <v>4.2957673555974664E-2</v>
      </c>
      <c r="AC285" s="6">
        <v>0</v>
      </c>
      <c r="AD285" s="6">
        <v>1</v>
      </c>
      <c r="AE285" s="6">
        <v>264</v>
      </c>
    </row>
    <row r="286" spans="1:32" x14ac:dyDescent="0.45">
      <c r="A286" s="4" t="s">
        <v>40</v>
      </c>
      <c r="B286" s="5">
        <v>0.47314926338671726</v>
      </c>
      <c r="C286" s="5">
        <v>9.1986997587208227E-2</v>
      </c>
      <c r="D286" s="6">
        <v>0</v>
      </c>
      <c r="E286" s="6">
        <v>1</v>
      </c>
      <c r="F286" s="6">
        <v>34</v>
      </c>
      <c r="G286" s="5">
        <v>0.59916532039375925</v>
      </c>
      <c r="H286" s="5">
        <v>7.8188563211038412E-2</v>
      </c>
      <c r="I286" s="6">
        <v>0</v>
      </c>
      <c r="J286" s="6">
        <v>1</v>
      </c>
      <c r="K286" s="6">
        <v>42</v>
      </c>
      <c r="L286" s="5">
        <v>0.5544767542723662</v>
      </c>
      <c r="M286" s="5">
        <v>7.7775688570457788E-2</v>
      </c>
      <c r="N286" s="6">
        <v>0</v>
      </c>
      <c r="O286" s="6">
        <v>1</v>
      </c>
      <c r="P286" s="6">
        <v>44</v>
      </c>
      <c r="Q286" s="5">
        <v>0.89744052335873858</v>
      </c>
      <c r="R286" s="5">
        <v>4.9355060283969104E-2</v>
      </c>
      <c r="S286" s="6">
        <v>0</v>
      </c>
      <c r="T286" s="6">
        <v>1</v>
      </c>
      <c r="U286" s="6">
        <v>40</v>
      </c>
      <c r="V286" s="5">
        <v>0.64636059193257822</v>
      </c>
      <c r="W286" s="5">
        <v>6.6126331124485585E-2</v>
      </c>
      <c r="X286" s="6">
        <v>0</v>
      </c>
      <c r="Y286" s="6">
        <v>1</v>
      </c>
      <c r="Z286" s="6">
        <v>104</v>
      </c>
      <c r="AA286" s="12">
        <v>0.6412951441068232</v>
      </c>
      <c r="AB286" s="5">
        <v>4.1660786160429293E-2</v>
      </c>
      <c r="AC286" s="6">
        <v>0</v>
      </c>
      <c r="AD286" s="6">
        <v>1</v>
      </c>
      <c r="AE286" s="6">
        <v>264</v>
      </c>
      <c r="AF286">
        <f>(AA288/AA287)-AA286</f>
        <v>7.267891023667139E-2</v>
      </c>
    </row>
    <row r="287" spans="1:32" x14ac:dyDescent="0.45">
      <c r="A287" s="4" t="s">
        <v>44</v>
      </c>
      <c r="B287" s="5">
        <v>0.26296232107028095</v>
      </c>
      <c r="C287" s="5">
        <v>8.0971230867118368E-2</v>
      </c>
      <c r="D287" s="6">
        <v>0</v>
      </c>
      <c r="E287" s="6">
        <v>1</v>
      </c>
      <c r="F287" s="6">
        <v>34</v>
      </c>
      <c r="G287" s="5">
        <v>0.35571464744938486</v>
      </c>
      <c r="H287" s="5">
        <v>7.5377725145722718E-2</v>
      </c>
      <c r="I287" s="6">
        <v>0</v>
      </c>
      <c r="J287" s="6">
        <v>1</v>
      </c>
      <c r="K287" s="6">
        <v>42</v>
      </c>
      <c r="L287" s="5">
        <v>0.33138587150846482</v>
      </c>
      <c r="M287" s="5">
        <v>7.3951973163393067E-2</v>
      </c>
      <c r="N287" s="6">
        <v>0</v>
      </c>
      <c r="O287" s="6">
        <v>1</v>
      </c>
      <c r="P287" s="6">
        <v>44</v>
      </c>
      <c r="Q287" s="5">
        <v>0.48486364033758289</v>
      </c>
      <c r="R287" s="5">
        <v>8.2351680282883519E-2</v>
      </c>
      <c r="S287" s="6">
        <v>0</v>
      </c>
      <c r="T287" s="6">
        <v>1</v>
      </c>
      <c r="U287" s="6">
        <v>40</v>
      </c>
      <c r="V287" s="5">
        <v>0.24869923971566638</v>
      </c>
      <c r="W287" s="5">
        <v>5.4351819960247037E-2</v>
      </c>
      <c r="X287" s="6">
        <v>0</v>
      </c>
      <c r="Y287" s="6">
        <v>1</v>
      </c>
      <c r="Z287" s="6">
        <v>104</v>
      </c>
      <c r="AA287" s="12">
        <v>0.3652932886037854</v>
      </c>
      <c r="AB287" s="5">
        <v>4.1360781021304437E-2</v>
      </c>
      <c r="AC287" s="6">
        <v>0</v>
      </c>
      <c r="AD287" s="6">
        <v>1</v>
      </c>
      <c r="AE287" s="6">
        <v>264</v>
      </c>
      <c r="AF287">
        <f>(AA288/AA286)-AA287</f>
        <v>4.1399219028034007E-2</v>
      </c>
    </row>
    <row r="288" spans="1:32" ht="26.25" x14ac:dyDescent="0.45">
      <c r="A288" s="4" t="s">
        <v>124</v>
      </c>
      <c r="B288" s="5">
        <v>0.14498094366717013</v>
      </c>
      <c r="C288" s="5">
        <v>6.6153251566500523E-2</v>
      </c>
      <c r="D288" s="6">
        <v>0</v>
      </c>
      <c r="E288" s="6">
        <v>1</v>
      </c>
      <c r="F288" s="6">
        <v>34</v>
      </c>
      <c r="G288" s="5">
        <v>0.23578611855560008</v>
      </c>
      <c r="H288" s="5">
        <v>6.6207142858973458E-2</v>
      </c>
      <c r="I288" s="6">
        <v>0</v>
      </c>
      <c r="J288" s="6">
        <v>1</v>
      </c>
      <c r="K288" s="6">
        <v>42</v>
      </c>
      <c r="L288" s="5">
        <v>0.18846799621879046</v>
      </c>
      <c r="M288" s="5">
        <v>6.1760727752945901E-2</v>
      </c>
      <c r="N288" s="6">
        <v>0</v>
      </c>
      <c r="O288" s="6">
        <v>1</v>
      </c>
      <c r="P288" s="6">
        <v>44</v>
      </c>
      <c r="Q288" s="5">
        <v>0.45893731794279247</v>
      </c>
      <c r="R288" s="5">
        <v>8.2194831626479198E-2</v>
      </c>
      <c r="S288" s="6">
        <v>0</v>
      </c>
      <c r="T288" s="6">
        <v>1</v>
      </c>
      <c r="U288" s="6">
        <v>40</v>
      </c>
      <c r="V288" s="5">
        <v>0.24384680980186998</v>
      </c>
      <c r="W288" s="5">
        <v>5.4164189658898139E-2</v>
      </c>
      <c r="X288" s="6">
        <v>0</v>
      </c>
      <c r="Y288" s="6">
        <v>1</v>
      </c>
      <c r="Z288" s="6">
        <v>104</v>
      </c>
      <c r="AA288" s="12">
        <v>0.26080993028891292</v>
      </c>
      <c r="AB288" s="5">
        <v>3.7174517331264756E-2</v>
      </c>
      <c r="AC288" s="6">
        <v>0</v>
      </c>
      <c r="AD288" s="6">
        <v>1</v>
      </c>
      <c r="AE288" s="6">
        <v>264</v>
      </c>
    </row>
    <row r="289" spans="1:31" ht="26.65" thickBot="1" x14ac:dyDescent="0.5">
      <c r="A289" s="7" t="s">
        <v>125</v>
      </c>
      <c r="B289" s="8">
        <v>34</v>
      </c>
      <c r="C289" s="8" t="s">
        <v>126</v>
      </c>
      <c r="D289" s="9" t="s">
        <v>126</v>
      </c>
      <c r="E289" s="9" t="s">
        <v>126</v>
      </c>
      <c r="F289" s="9" t="s">
        <v>126</v>
      </c>
      <c r="G289" s="8">
        <v>42</v>
      </c>
      <c r="H289" s="8" t="s">
        <v>126</v>
      </c>
      <c r="I289" s="9" t="s">
        <v>126</v>
      </c>
      <c r="J289" s="9" t="s">
        <v>126</v>
      </c>
      <c r="K289" s="9" t="s">
        <v>126</v>
      </c>
      <c r="L289" s="8">
        <v>44</v>
      </c>
      <c r="M289" s="8" t="s">
        <v>126</v>
      </c>
      <c r="N289" s="9" t="s">
        <v>126</v>
      </c>
      <c r="O289" s="9" t="s">
        <v>126</v>
      </c>
      <c r="P289" s="9" t="s">
        <v>126</v>
      </c>
      <c r="Q289" s="8">
        <v>40</v>
      </c>
      <c r="R289" s="8" t="s">
        <v>126</v>
      </c>
      <c r="S289" s="9" t="s">
        <v>126</v>
      </c>
      <c r="T289" s="9" t="s">
        <v>126</v>
      </c>
      <c r="U289" s="9" t="s">
        <v>126</v>
      </c>
      <c r="V289" s="8">
        <v>104</v>
      </c>
      <c r="W289" s="8" t="s">
        <v>126</v>
      </c>
      <c r="X289" s="9" t="s">
        <v>126</v>
      </c>
      <c r="Y289" s="9" t="s">
        <v>126</v>
      </c>
      <c r="Z289" s="9" t="s">
        <v>126</v>
      </c>
      <c r="AA289" s="13">
        <v>264</v>
      </c>
      <c r="AB289" s="8" t="s">
        <v>126</v>
      </c>
      <c r="AC289" s="9" t="s">
        <v>126</v>
      </c>
      <c r="AD289" s="9" t="s">
        <v>126</v>
      </c>
      <c r="AE289" s="9" t="s">
        <v>126</v>
      </c>
    </row>
    <row r="290" spans="1:31" ht="14.65" thickTop="1" x14ac:dyDescent="0.45">
      <c r="A290" s="10" t="s">
        <v>127</v>
      </c>
    </row>
    <row r="291" spans="1:31" x14ac:dyDescent="0.45">
      <c r="A291" s="10" t="s">
        <v>128</v>
      </c>
    </row>
    <row r="292" spans="1:31" x14ac:dyDescent="0.45">
      <c r="A292" s="10" t="s">
        <v>129</v>
      </c>
    </row>
    <row r="293" spans="1:31" x14ac:dyDescent="0.45">
      <c r="A293" s="10" t="s">
        <v>22</v>
      </c>
    </row>
    <row r="294" spans="1:31" x14ac:dyDescent="0.45">
      <c r="A294" s="10" t="s">
        <v>130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conditionalFormatting sqref="AF1:AF1048576">
    <cfRule type="cellIs" dxfId="4" priority="1" operator="greaterThan">
      <formula>0.2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94"/>
  <sheetViews>
    <sheetView workbookViewId="0">
      <pane xSplit="1" ySplit="3" topLeftCell="V267" activePane="bottomRight" state="frozen"/>
      <selection pane="topRight" activeCell="B1" sqref="B1"/>
      <selection pane="bottomLeft" activeCell="A4" sqref="A4"/>
      <selection pane="bottomRight" activeCell="AK289" sqref="AK289:AK290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7" ht="12.75" customHeight="1" x14ac:dyDescent="0.45">
      <c r="A1" s="19" t="s">
        <v>131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spans="1:37" x14ac:dyDescent="0.45">
      <c r="A2" s="1" t="s">
        <v>1</v>
      </c>
      <c r="B2" s="20" t="s">
        <v>132</v>
      </c>
      <c r="C2" s="20"/>
      <c r="D2" s="20"/>
      <c r="E2" s="20"/>
      <c r="F2" s="20"/>
      <c r="G2" s="20" t="s">
        <v>133</v>
      </c>
      <c r="H2" s="20"/>
      <c r="I2" s="20"/>
      <c r="J2" s="20"/>
      <c r="K2" s="20"/>
      <c r="L2" s="20" t="s">
        <v>134</v>
      </c>
      <c r="M2" s="20"/>
      <c r="N2" s="20"/>
      <c r="O2" s="20"/>
      <c r="P2" s="20"/>
      <c r="Q2" s="20" t="s">
        <v>135</v>
      </c>
      <c r="R2" s="20"/>
      <c r="S2" s="20"/>
      <c r="T2" s="20"/>
      <c r="U2" s="20"/>
      <c r="V2" s="20" t="s">
        <v>136</v>
      </c>
      <c r="W2" s="20"/>
      <c r="X2" s="20"/>
      <c r="Y2" s="20"/>
      <c r="Z2" s="20"/>
      <c r="AA2" s="20" t="s">
        <v>137</v>
      </c>
      <c r="AB2" s="20"/>
      <c r="AC2" s="20"/>
      <c r="AD2" s="20"/>
      <c r="AE2" s="20"/>
      <c r="AF2" s="20" t="s">
        <v>6</v>
      </c>
      <c r="AG2" s="20"/>
      <c r="AH2" s="20"/>
      <c r="AI2" s="20"/>
      <c r="AJ2" s="20"/>
    </row>
    <row r="3" spans="1:37" x14ac:dyDescent="0.45">
      <c r="A3" s="1" t="s">
        <v>1</v>
      </c>
      <c r="B3" s="3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3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3" t="s">
        <v>8</v>
      </c>
      <c r="M3" s="3" t="s">
        <v>9</v>
      </c>
      <c r="N3" s="2" t="s">
        <v>10</v>
      </c>
      <c r="O3" s="2" t="s">
        <v>11</v>
      </c>
      <c r="P3" s="2" t="s">
        <v>12</v>
      </c>
      <c r="Q3" s="3" t="s">
        <v>8</v>
      </c>
      <c r="R3" s="3" t="s">
        <v>9</v>
      </c>
      <c r="S3" s="2" t="s">
        <v>10</v>
      </c>
      <c r="T3" s="2" t="s">
        <v>11</v>
      </c>
      <c r="U3" s="2" t="s">
        <v>12</v>
      </c>
      <c r="V3" s="3" t="s">
        <v>8</v>
      </c>
      <c r="W3" s="3" t="s">
        <v>9</v>
      </c>
      <c r="X3" s="2" t="s">
        <v>10</v>
      </c>
      <c r="Y3" s="2" t="s">
        <v>11</v>
      </c>
      <c r="Z3" s="2" t="s">
        <v>12</v>
      </c>
      <c r="AA3" s="3" t="s">
        <v>8</v>
      </c>
      <c r="AB3" s="3" t="s">
        <v>9</v>
      </c>
      <c r="AC3" s="2" t="s">
        <v>10</v>
      </c>
      <c r="AD3" s="2" t="s">
        <v>11</v>
      </c>
      <c r="AE3" s="2" t="s">
        <v>12</v>
      </c>
      <c r="AF3" s="3" t="s">
        <v>8</v>
      </c>
      <c r="AG3" s="3" t="s">
        <v>9</v>
      </c>
      <c r="AH3" s="2" t="s">
        <v>10</v>
      </c>
      <c r="AI3" s="2" t="s">
        <v>11</v>
      </c>
      <c r="AJ3" s="2" t="s">
        <v>12</v>
      </c>
    </row>
    <row r="4" spans="1:37" x14ac:dyDescent="0.45">
      <c r="A4" s="4" t="s">
        <v>13</v>
      </c>
      <c r="B4" s="5">
        <v>0.30675221420982407</v>
      </c>
      <c r="C4" s="5">
        <v>0.10306045185955409</v>
      </c>
      <c r="D4" s="6">
        <v>0</v>
      </c>
      <c r="E4" s="6">
        <v>1</v>
      </c>
      <c r="F4" s="6">
        <v>29</v>
      </c>
      <c r="G4" s="5">
        <v>0.30661429145553415</v>
      </c>
      <c r="H4" s="5">
        <v>0.26350898869548067</v>
      </c>
      <c r="I4" s="6">
        <v>0</v>
      </c>
      <c r="J4" s="6">
        <v>1</v>
      </c>
      <c r="K4" s="6">
        <v>5</v>
      </c>
      <c r="L4" s="5">
        <v>0.93120170116893897</v>
      </c>
      <c r="M4" s="5">
        <v>6.7691016512738053E-2</v>
      </c>
      <c r="N4" s="6">
        <v>0</v>
      </c>
      <c r="O4" s="6">
        <v>1</v>
      </c>
      <c r="P4" s="6">
        <v>19</v>
      </c>
      <c r="Q4" s="5">
        <v>0.34856431510481672</v>
      </c>
      <c r="R4" s="5">
        <v>0.13428004597101759</v>
      </c>
      <c r="S4" s="6">
        <v>0</v>
      </c>
      <c r="T4" s="6">
        <v>1</v>
      </c>
      <c r="U4" s="6">
        <v>19</v>
      </c>
      <c r="V4" s="5">
        <v>1</v>
      </c>
      <c r="W4" s="5">
        <v>0</v>
      </c>
      <c r="X4" s="6">
        <v>1</v>
      </c>
      <c r="Y4" s="6">
        <v>1</v>
      </c>
      <c r="Z4" s="6">
        <v>18</v>
      </c>
      <c r="AA4" s="5">
        <v>0.81077648414690529</v>
      </c>
      <c r="AB4" s="5">
        <v>0.11363495123652066</v>
      </c>
      <c r="AC4" s="6">
        <v>0</v>
      </c>
      <c r="AD4" s="6">
        <v>1</v>
      </c>
      <c r="AE4" s="6">
        <v>14</v>
      </c>
      <c r="AF4" s="5">
        <v>0.60508824197795641</v>
      </c>
      <c r="AG4" s="5">
        <v>6.6968425129205825E-2</v>
      </c>
      <c r="AH4" s="6">
        <v>0</v>
      </c>
      <c r="AI4" s="6">
        <v>1</v>
      </c>
      <c r="AJ4" s="6">
        <v>104</v>
      </c>
      <c r="AK4">
        <f>(AF6/AF5)-AF4</f>
        <v>0.20123886463585827</v>
      </c>
    </row>
    <row r="5" spans="1:37" x14ac:dyDescent="0.45">
      <c r="A5" s="4" t="s">
        <v>14</v>
      </c>
      <c r="B5" s="5">
        <v>0</v>
      </c>
      <c r="C5" s="5">
        <v>0</v>
      </c>
      <c r="D5" s="6">
        <v>0</v>
      </c>
      <c r="E5" s="6">
        <v>0</v>
      </c>
      <c r="F5" s="6">
        <v>29</v>
      </c>
      <c r="G5" s="5">
        <v>0</v>
      </c>
      <c r="H5" s="5">
        <v>0</v>
      </c>
      <c r="I5" s="6">
        <v>0</v>
      </c>
      <c r="J5" s="6">
        <v>0</v>
      </c>
      <c r="K5" s="6">
        <v>5</v>
      </c>
      <c r="L5" s="5">
        <v>0.51550109033725</v>
      </c>
      <c r="M5" s="5">
        <v>0.12005105273537343</v>
      </c>
      <c r="N5" s="6">
        <v>0</v>
      </c>
      <c r="O5" s="6">
        <v>1</v>
      </c>
      <c r="P5" s="6">
        <v>19</v>
      </c>
      <c r="Q5" s="5">
        <v>0.12263212807622212</v>
      </c>
      <c r="R5" s="5">
        <v>7.1298614074622915E-2</v>
      </c>
      <c r="S5" s="6">
        <v>0</v>
      </c>
      <c r="T5" s="6">
        <v>1</v>
      </c>
      <c r="U5" s="6">
        <v>19</v>
      </c>
      <c r="V5" s="5">
        <v>7.3028961692628513E-2</v>
      </c>
      <c r="W5" s="5">
        <v>7.1910419319821686E-2</v>
      </c>
      <c r="X5" s="6">
        <v>0</v>
      </c>
      <c r="Y5" s="6">
        <v>1</v>
      </c>
      <c r="Z5" s="6">
        <v>18</v>
      </c>
      <c r="AA5" s="5">
        <v>0.3983711258467082</v>
      </c>
      <c r="AB5" s="5">
        <v>0.15635659849892011</v>
      </c>
      <c r="AC5" s="6">
        <v>0</v>
      </c>
      <c r="AD5" s="6">
        <v>1</v>
      </c>
      <c r="AE5" s="6">
        <v>14</v>
      </c>
      <c r="AF5" s="5">
        <v>0.22453693331192012</v>
      </c>
      <c r="AG5" s="5">
        <v>5.5524839390507182E-2</v>
      </c>
      <c r="AH5" s="6">
        <v>0</v>
      </c>
      <c r="AI5" s="6">
        <v>1</v>
      </c>
      <c r="AJ5" s="6">
        <v>104</v>
      </c>
      <c r="AK5">
        <f>(AF6/AF4)-AF5</f>
        <v>7.4675980119531665E-2</v>
      </c>
    </row>
    <row r="6" spans="1:37" x14ac:dyDescent="0.45">
      <c r="A6" s="4" t="s">
        <v>15</v>
      </c>
      <c r="B6" s="5">
        <v>0</v>
      </c>
      <c r="C6" s="5">
        <v>0</v>
      </c>
      <c r="D6" s="6">
        <v>0</v>
      </c>
      <c r="E6" s="6">
        <v>0</v>
      </c>
      <c r="F6" s="6">
        <v>29</v>
      </c>
      <c r="G6" s="5">
        <v>0</v>
      </c>
      <c r="H6" s="5">
        <v>0</v>
      </c>
      <c r="I6" s="6">
        <v>0</v>
      </c>
      <c r="J6" s="6">
        <v>0</v>
      </c>
      <c r="K6" s="6">
        <v>5</v>
      </c>
      <c r="L6" s="5">
        <v>0.44670279150618902</v>
      </c>
      <c r="M6" s="5">
        <v>0.11920221129865857</v>
      </c>
      <c r="N6" s="6">
        <v>0</v>
      </c>
      <c r="O6" s="6">
        <v>1</v>
      </c>
      <c r="P6" s="6">
        <v>19</v>
      </c>
      <c r="Q6" s="5">
        <v>0</v>
      </c>
      <c r="R6" s="5">
        <v>0</v>
      </c>
      <c r="S6" s="6">
        <v>0</v>
      </c>
      <c r="T6" s="6">
        <v>0</v>
      </c>
      <c r="U6" s="6">
        <v>19</v>
      </c>
      <c r="V6" s="5">
        <v>7.3028961692628513E-2</v>
      </c>
      <c r="W6" s="5">
        <v>7.1910419319821686E-2</v>
      </c>
      <c r="X6" s="6">
        <v>0</v>
      </c>
      <c r="Y6" s="6">
        <v>1</v>
      </c>
      <c r="Z6" s="6">
        <v>18</v>
      </c>
      <c r="AA6" s="5">
        <v>0.29324346443231486</v>
      </c>
      <c r="AB6" s="5">
        <v>0.14605644865585138</v>
      </c>
      <c r="AC6" s="6">
        <v>0</v>
      </c>
      <c r="AD6" s="6">
        <v>1</v>
      </c>
      <c r="AE6" s="6">
        <v>14</v>
      </c>
      <c r="AF6" s="5">
        <v>0.18105021576533961</v>
      </c>
      <c r="AG6" s="5">
        <v>5.1496402104148964E-2</v>
      </c>
      <c r="AH6" s="6">
        <v>0</v>
      </c>
      <c r="AI6" s="6">
        <v>1</v>
      </c>
      <c r="AJ6" s="6">
        <v>104</v>
      </c>
    </row>
    <row r="7" spans="1:37" x14ac:dyDescent="0.45">
      <c r="A7" s="4" t="s">
        <v>13</v>
      </c>
      <c r="B7" s="5">
        <v>0.30675221420982407</v>
      </c>
      <c r="C7" s="5">
        <v>0.10306045185955409</v>
      </c>
      <c r="D7" s="6">
        <v>0</v>
      </c>
      <c r="E7" s="6">
        <v>1</v>
      </c>
      <c r="F7" s="6">
        <v>29</v>
      </c>
      <c r="G7" s="5">
        <v>0.30661429145553415</v>
      </c>
      <c r="H7" s="5">
        <v>0.26350898869548067</v>
      </c>
      <c r="I7" s="6">
        <v>0</v>
      </c>
      <c r="J7" s="6">
        <v>1</v>
      </c>
      <c r="K7" s="6">
        <v>5</v>
      </c>
      <c r="L7" s="5">
        <v>0.93120170116893897</v>
      </c>
      <c r="M7" s="5">
        <v>6.7691016512738053E-2</v>
      </c>
      <c r="N7" s="6">
        <v>0</v>
      </c>
      <c r="O7" s="6">
        <v>1</v>
      </c>
      <c r="P7" s="6">
        <v>19</v>
      </c>
      <c r="Q7" s="5">
        <v>0.34856431510481672</v>
      </c>
      <c r="R7" s="5">
        <v>0.13428004597101759</v>
      </c>
      <c r="S7" s="6">
        <v>0</v>
      </c>
      <c r="T7" s="6">
        <v>1</v>
      </c>
      <c r="U7" s="6">
        <v>19</v>
      </c>
      <c r="V7" s="5">
        <v>1</v>
      </c>
      <c r="W7" s="5">
        <v>0</v>
      </c>
      <c r="X7" s="6">
        <v>1</v>
      </c>
      <c r="Y7" s="6">
        <v>1</v>
      </c>
      <c r="Z7" s="6">
        <v>18</v>
      </c>
      <c r="AA7" s="5">
        <v>0.81077648414690529</v>
      </c>
      <c r="AB7" s="5">
        <v>0.11363495123652066</v>
      </c>
      <c r="AC7" s="6">
        <v>0</v>
      </c>
      <c r="AD7" s="6">
        <v>1</v>
      </c>
      <c r="AE7" s="6">
        <v>14</v>
      </c>
      <c r="AF7" s="5">
        <v>0.60508824197795641</v>
      </c>
      <c r="AG7" s="5">
        <v>6.6968425129205825E-2</v>
      </c>
      <c r="AH7" s="6">
        <v>0</v>
      </c>
      <c r="AI7" s="6">
        <v>1</v>
      </c>
      <c r="AJ7" s="6">
        <v>104</v>
      </c>
      <c r="AK7">
        <f>(AF9/AF8)-AF7</f>
        <v>0.2657298440507696</v>
      </c>
    </row>
    <row r="8" spans="1:37" ht="39.4" x14ac:dyDescent="0.45">
      <c r="A8" s="4" t="s">
        <v>16</v>
      </c>
      <c r="B8" s="5">
        <v>0.23600168674140035</v>
      </c>
      <c r="C8" s="5">
        <v>9.8121570578696957E-2</v>
      </c>
      <c r="D8" s="6">
        <v>0</v>
      </c>
      <c r="E8" s="6">
        <v>1</v>
      </c>
      <c r="F8" s="6">
        <v>29</v>
      </c>
      <c r="G8" s="5">
        <v>0.28413340654229741</v>
      </c>
      <c r="H8" s="5">
        <v>0.2635701019519151</v>
      </c>
      <c r="I8" s="6">
        <v>0</v>
      </c>
      <c r="J8" s="6">
        <v>1</v>
      </c>
      <c r="K8" s="6">
        <v>5</v>
      </c>
      <c r="L8" s="5">
        <v>1</v>
      </c>
      <c r="M8" s="5">
        <v>0</v>
      </c>
      <c r="N8" s="6">
        <v>1</v>
      </c>
      <c r="O8" s="6">
        <v>1</v>
      </c>
      <c r="P8" s="6">
        <v>19</v>
      </c>
      <c r="Q8" s="5">
        <v>0.85289731615094222</v>
      </c>
      <c r="R8" s="5">
        <v>0.10368836461541529</v>
      </c>
      <c r="S8" s="6">
        <v>0</v>
      </c>
      <c r="T8" s="6">
        <v>1</v>
      </c>
      <c r="U8" s="6">
        <v>19</v>
      </c>
      <c r="V8" s="5">
        <v>0.92129013297297091</v>
      </c>
      <c r="W8" s="5">
        <v>7.2142407889520602E-2</v>
      </c>
      <c r="X8" s="6">
        <v>0</v>
      </c>
      <c r="Y8" s="6">
        <v>1</v>
      </c>
      <c r="Z8" s="6">
        <v>18</v>
      </c>
      <c r="AA8" s="5">
        <v>0.69525614240739586</v>
      </c>
      <c r="AB8" s="5">
        <v>0.14429635514835867</v>
      </c>
      <c r="AC8" s="6">
        <v>0</v>
      </c>
      <c r="AD8" s="6">
        <v>1</v>
      </c>
      <c r="AE8" s="6">
        <v>14</v>
      </c>
      <c r="AF8" s="5">
        <v>0.6502146518916736</v>
      </c>
      <c r="AG8" s="5">
        <v>6.6144933824160743E-2</v>
      </c>
      <c r="AH8" s="6">
        <v>0</v>
      </c>
      <c r="AI8" s="6">
        <v>1</v>
      </c>
      <c r="AJ8" s="6">
        <v>104</v>
      </c>
      <c r="AK8">
        <f>(AF9/AF7)-AF8</f>
        <v>0.28554750540499574</v>
      </c>
    </row>
    <row r="9" spans="1:37" x14ac:dyDescent="0.45">
      <c r="A9" s="4" t="s">
        <v>17</v>
      </c>
      <c r="B9" s="5">
        <v>0.23600168674140035</v>
      </c>
      <c r="C9" s="5">
        <v>9.8121570578696957E-2</v>
      </c>
      <c r="D9" s="6">
        <v>0</v>
      </c>
      <c r="E9" s="6">
        <v>1</v>
      </c>
      <c r="F9" s="6">
        <v>29</v>
      </c>
      <c r="G9" s="5">
        <v>0.28413340654229741</v>
      </c>
      <c r="H9" s="5">
        <v>0.2635701019519151</v>
      </c>
      <c r="I9" s="6">
        <v>0</v>
      </c>
      <c r="J9" s="6">
        <v>1</v>
      </c>
      <c r="K9" s="6">
        <v>5</v>
      </c>
      <c r="L9" s="5">
        <v>0.93120170116893897</v>
      </c>
      <c r="M9" s="5">
        <v>6.7691016512738053E-2</v>
      </c>
      <c r="N9" s="6">
        <v>0</v>
      </c>
      <c r="O9" s="6">
        <v>1</v>
      </c>
      <c r="P9" s="6">
        <v>19</v>
      </c>
      <c r="Q9" s="5">
        <v>0.34856431510481672</v>
      </c>
      <c r="R9" s="5">
        <v>0.13428004597101759</v>
      </c>
      <c r="S9" s="6">
        <v>0</v>
      </c>
      <c r="T9" s="6">
        <v>1</v>
      </c>
      <c r="U9" s="6">
        <v>19</v>
      </c>
      <c r="V9" s="5">
        <v>0.92129013297297091</v>
      </c>
      <c r="W9" s="5">
        <v>7.2142407889520602E-2</v>
      </c>
      <c r="X9" s="6">
        <v>0</v>
      </c>
      <c r="Y9" s="6">
        <v>1</v>
      </c>
      <c r="Z9" s="6">
        <v>18</v>
      </c>
      <c r="AA9" s="5">
        <v>0.59012848099300264</v>
      </c>
      <c r="AB9" s="5">
        <v>0.15543794127437505</v>
      </c>
      <c r="AC9" s="6">
        <v>0</v>
      </c>
      <c r="AD9" s="6">
        <v>1</v>
      </c>
      <c r="AE9" s="6">
        <v>14</v>
      </c>
      <c r="AF9" s="5">
        <v>0.56621867866814157</v>
      </c>
      <c r="AG9" s="5">
        <v>6.7051417536787047E-2</v>
      </c>
      <c r="AH9" s="6">
        <v>0</v>
      </c>
      <c r="AI9" s="6">
        <v>1</v>
      </c>
      <c r="AJ9" s="6">
        <v>104</v>
      </c>
    </row>
    <row r="10" spans="1:37" x14ac:dyDescent="0.45">
      <c r="A10" s="4" t="s">
        <v>13</v>
      </c>
      <c r="B10" s="5">
        <v>0.30675221420982407</v>
      </c>
      <c r="C10" s="5">
        <v>0.10306045185955409</v>
      </c>
      <c r="D10" s="6">
        <v>0</v>
      </c>
      <c r="E10" s="6">
        <v>1</v>
      </c>
      <c r="F10" s="6">
        <v>29</v>
      </c>
      <c r="G10" s="5">
        <v>0.30661429145553415</v>
      </c>
      <c r="H10" s="5">
        <v>0.26350898869548067</v>
      </c>
      <c r="I10" s="6">
        <v>0</v>
      </c>
      <c r="J10" s="6">
        <v>1</v>
      </c>
      <c r="K10" s="6">
        <v>5</v>
      </c>
      <c r="L10" s="5">
        <v>0.93120170116893897</v>
      </c>
      <c r="M10" s="5">
        <v>6.7691016512738053E-2</v>
      </c>
      <c r="N10" s="6">
        <v>0</v>
      </c>
      <c r="O10" s="6">
        <v>1</v>
      </c>
      <c r="P10" s="6">
        <v>19</v>
      </c>
      <c r="Q10" s="5">
        <v>0.34856431510481672</v>
      </c>
      <c r="R10" s="5">
        <v>0.13428004597101759</v>
      </c>
      <c r="S10" s="6">
        <v>0</v>
      </c>
      <c r="T10" s="6">
        <v>1</v>
      </c>
      <c r="U10" s="6">
        <v>19</v>
      </c>
      <c r="V10" s="5">
        <v>1</v>
      </c>
      <c r="W10" s="5">
        <v>0</v>
      </c>
      <c r="X10" s="6">
        <v>1</v>
      </c>
      <c r="Y10" s="6">
        <v>1</v>
      </c>
      <c r="Z10" s="6">
        <v>18</v>
      </c>
      <c r="AA10" s="5">
        <v>0.81077648414690529</v>
      </c>
      <c r="AB10" s="5">
        <v>0.11363495123652066</v>
      </c>
      <c r="AC10" s="6">
        <v>0</v>
      </c>
      <c r="AD10" s="6">
        <v>1</v>
      </c>
      <c r="AE10" s="6">
        <v>14</v>
      </c>
      <c r="AF10" s="5">
        <v>0.60508824197795641</v>
      </c>
      <c r="AG10" s="5">
        <v>6.6968425129205825E-2</v>
      </c>
      <c r="AH10" s="6">
        <v>0</v>
      </c>
      <c r="AI10" s="6">
        <v>1</v>
      </c>
      <c r="AJ10" s="6">
        <v>104</v>
      </c>
      <c r="AK10">
        <f>(AF12/AF11)-AF10</f>
        <v>0.25789116115761657</v>
      </c>
    </row>
    <row r="11" spans="1:37" ht="39.4" x14ac:dyDescent="0.45">
      <c r="A11" s="4" t="s">
        <v>18</v>
      </c>
      <c r="B11" s="5">
        <v>0.14679233898869379</v>
      </c>
      <c r="C11" s="5">
        <v>7.21952874481087E-2</v>
      </c>
      <c r="D11" s="6">
        <v>0</v>
      </c>
      <c r="E11" s="6">
        <v>1</v>
      </c>
      <c r="F11" s="6">
        <v>29</v>
      </c>
      <c r="G11" s="5">
        <v>0.28413340654229741</v>
      </c>
      <c r="H11" s="5">
        <v>0.2635701019519151</v>
      </c>
      <c r="I11" s="6">
        <v>0</v>
      </c>
      <c r="J11" s="6">
        <v>1</v>
      </c>
      <c r="K11" s="6">
        <v>5</v>
      </c>
      <c r="L11" s="5">
        <v>1</v>
      </c>
      <c r="M11" s="5">
        <v>0</v>
      </c>
      <c r="N11" s="6">
        <v>1</v>
      </c>
      <c r="O11" s="6">
        <v>1</v>
      </c>
      <c r="P11" s="6">
        <v>19</v>
      </c>
      <c r="Q11" s="5">
        <v>0.89861962585941668</v>
      </c>
      <c r="R11" s="5">
        <v>9.6845778169611332E-2</v>
      </c>
      <c r="S11" s="6">
        <v>0</v>
      </c>
      <c r="T11" s="6">
        <v>1</v>
      </c>
      <c r="U11" s="6">
        <v>19</v>
      </c>
      <c r="V11" s="5">
        <v>1</v>
      </c>
      <c r="W11" s="5">
        <v>0</v>
      </c>
      <c r="X11" s="6">
        <v>1</v>
      </c>
      <c r="Y11" s="6">
        <v>1</v>
      </c>
      <c r="Z11" s="6">
        <v>18</v>
      </c>
      <c r="AA11" s="5">
        <v>0.91590414556129873</v>
      </c>
      <c r="AB11" s="5">
        <v>5.7720093761496942E-2</v>
      </c>
      <c r="AC11" s="6">
        <v>0</v>
      </c>
      <c r="AD11" s="6">
        <v>1</v>
      </c>
      <c r="AE11" s="6">
        <v>14</v>
      </c>
      <c r="AF11" s="5">
        <v>0.64843100359019867</v>
      </c>
      <c r="AG11" s="5">
        <v>6.691909310816567E-2</v>
      </c>
      <c r="AH11" s="6">
        <v>0</v>
      </c>
      <c r="AI11" s="6">
        <v>1</v>
      </c>
      <c r="AJ11" s="6">
        <v>104</v>
      </c>
      <c r="AK11">
        <f>(AF12/AF10)-AF11</f>
        <v>0.27636402898829926</v>
      </c>
    </row>
    <row r="12" spans="1:37" x14ac:dyDescent="0.45">
      <c r="A12" s="4" t="s">
        <v>19</v>
      </c>
      <c r="B12" s="5">
        <v>0.14679233898869379</v>
      </c>
      <c r="C12" s="5">
        <v>7.21952874481087E-2</v>
      </c>
      <c r="D12" s="6">
        <v>0</v>
      </c>
      <c r="E12" s="6">
        <v>1</v>
      </c>
      <c r="F12" s="6">
        <v>29</v>
      </c>
      <c r="G12" s="5">
        <v>0.28413340654229741</v>
      </c>
      <c r="H12" s="5">
        <v>0.2635701019519151</v>
      </c>
      <c r="I12" s="6">
        <v>0</v>
      </c>
      <c r="J12" s="6">
        <v>1</v>
      </c>
      <c r="K12" s="6">
        <v>5</v>
      </c>
      <c r="L12" s="5">
        <v>0.93120170116893897</v>
      </c>
      <c r="M12" s="5">
        <v>6.7691016512738053E-2</v>
      </c>
      <c r="N12" s="6">
        <v>0</v>
      </c>
      <c r="O12" s="6">
        <v>1</v>
      </c>
      <c r="P12" s="6">
        <v>19</v>
      </c>
      <c r="Q12" s="5">
        <v>0.34856431510481672</v>
      </c>
      <c r="R12" s="5">
        <v>0.13428004597101759</v>
      </c>
      <c r="S12" s="6">
        <v>0</v>
      </c>
      <c r="T12" s="6">
        <v>1</v>
      </c>
      <c r="U12" s="6">
        <v>19</v>
      </c>
      <c r="V12" s="5">
        <v>1</v>
      </c>
      <c r="W12" s="5">
        <v>0</v>
      </c>
      <c r="X12" s="6">
        <v>1</v>
      </c>
      <c r="Y12" s="6">
        <v>1</v>
      </c>
      <c r="Z12" s="6">
        <v>18</v>
      </c>
      <c r="AA12" s="5">
        <v>0.81077648414690529</v>
      </c>
      <c r="AB12" s="5">
        <v>0.11363495123652066</v>
      </c>
      <c r="AC12" s="6">
        <v>0</v>
      </c>
      <c r="AD12" s="6">
        <v>1</v>
      </c>
      <c r="AE12" s="6">
        <v>14</v>
      </c>
      <c r="AF12" s="5">
        <v>0.55958260045287023</v>
      </c>
      <c r="AG12" s="5">
        <v>6.7374496286803573E-2</v>
      </c>
      <c r="AH12" s="6">
        <v>0</v>
      </c>
      <c r="AI12" s="6">
        <v>1</v>
      </c>
      <c r="AJ12" s="6">
        <v>104</v>
      </c>
    </row>
    <row r="13" spans="1:37" x14ac:dyDescent="0.45">
      <c r="A13" s="4" t="s">
        <v>13</v>
      </c>
      <c r="B13" s="5">
        <v>0.30675221420982407</v>
      </c>
      <c r="C13" s="5">
        <v>0.10306045185955409</v>
      </c>
      <c r="D13" s="6">
        <v>0</v>
      </c>
      <c r="E13" s="6">
        <v>1</v>
      </c>
      <c r="F13" s="6">
        <v>29</v>
      </c>
      <c r="G13" s="5">
        <v>0.30661429145553415</v>
      </c>
      <c r="H13" s="5">
        <v>0.26350898869548067</v>
      </c>
      <c r="I13" s="6">
        <v>0</v>
      </c>
      <c r="J13" s="6">
        <v>1</v>
      </c>
      <c r="K13" s="6">
        <v>5</v>
      </c>
      <c r="L13" s="5">
        <v>0.93120170116893897</v>
      </c>
      <c r="M13" s="5">
        <v>6.7691016512738053E-2</v>
      </c>
      <c r="N13" s="6">
        <v>0</v>
      </c>
      <c r="O13" s="6">
        <v>1</v>
      </c>
      <c r="P13" s="6">
        <v>19</v>
      </c>
      <c r="Q13" s="5">
        <v>0.34856431510481672</v>
      </c>
      <c r="R13" s="5">
        <v>0.13428004597101759</v>
      </c>
      <c r="S13" s="6">
        <v>0</v>
      </c>
      <c r="T13" s="6">
        <v>1</v>
      </c>
      <c r="U13" s="6">
        <v>19</v>
      </c>
      <c r="V13" s="5">
        <v>1</v>
      </c>
      <c r="W13" s="5">
        <v>0</v>
      </c>
      <c r="X13" s="6">
        <v>1</v>
      </c>
      <c r="Y13" s="6">
        <v>1</v>
      </c>
      <c r="Z13" s="6">
        <v>18</v>
      </c>
      <c r="AA13" s="5">
        <v>0.81077648414690529</v>
      </c>
      <c r="AB13" s="5">
        <v>0.11363495123652066</v>
      </c>
      <c r="AC13" s="6">
        <v>0</v>
      </c>
      <c r="AD13" s="6">
        <v>1</v>
      </c>
      <c r="AE13" s="6">
        <v>14</v>
      </c>
      <c r="AF13" s="5">
        <v>0.60508824197795641</v>
      </c>
      <c r="AG13" s="5">
        <v>6.6968425129205825E-2</v>
      </c>
      <c r="AH13" s="6">
        <v>0</v>
      </c>
      <c r="AI13" s="6">
        <v>1</v>
      </c>
      <c r="AJ13" s="6">
        <v>104</v>
      </c>
      <c r="AK13">
        <f>(AF15/AF14)-AF13</f>
        <v>0.26375709221931865</v>
      </c>
    </row>
    <row r="14" spans="1:37" ht="39.4" x14ac:dyDescent="0.45">
      <c r="A14" s="4" t="s">
        <v>20</v>
      </c>
      <c r="B14" s="5">
        <v>0</v>
      </c>
      <c r="C14" s="5">
        <v>0</v>
      </c>
      <c r="D14" s="6">
        <v>0</v>
      </c>
      <c r="E14" s="6">
        <v>0</v>
      </c>
      <c r="F14" s="6">
        <v>29</v>
      </c>
      <c r="G14" s="5">
        <v>0</v>
      </c>
      <c r="H14" s="5">
        <v>0</v>
      </c>
      <c r="I14" s="6">
        <v>0</v>
      </c>
      <c r="J14" s="6">
        <v>0</v>
      </c>
      <c r="K14" s="6">
        <v>5</v>
      </c>
      <c r="L14" s="5">
        <v>1</v>
      </c>
      <c r="M14" s="5">
        <v>0</v>
      </c>
      <c r="N14" s="6">
        <v>1</v>
      </c>
      <c r="O14" s="6">
        <v>1</v>
      </c>
      <c r="P14" s="6">
        <v>19</v>
      </c>
      <c r="Q14" s="5">
        <v>0.61840113049179313</v>
      </c>
      <c r="R14" s="5">
        <v>0.13006566375416401</v>
      </c>
      <c r="S14" s="6">
        <v>0</v>
      </c>
      <c r="T14" s="6">
        <v>1</v>
      </c>
      <c r="U14" s="6">
        <v>19</v>
      </c>
      <c r="V14" s="5">
        <v>0.62484576595299168</v>
      </c>
      <c r="W14" s="5">
        <v>0.12235387804662534</v>
      </c>
      <c r="X14" s="6">
        <v>0</v>
      </c>
      <c r="Y14" s="6">
        <v>1</v>
      </c>
      <c r="Z14" s="6">
        <v>18</v>
      </c>
      <c r="AA14" s="5">
        <v>0.59238861673724996</v>
      </c>
      <c r="AB14" s="5">
        <v>0.15320552322461192</v>
      </c>
      <c r="AC14" s="6">
        <v>0</v>
      </c>
      <c r="AD14" s="6">
        <v>1</v>
      </c>
      <c r="AE14" s="6">
        <v>14</v>
      </c>
      <c r="AF14" s="5">
        <v>0.49530541673349471</v>
      </c>
      <c r="AG14" s="5">
        <v>6.7368955173709583E-2</v>
      </c>
      <c r="AH14" s="6">
        <v>0</v>
      </c>
      <c r="AI14" s="6">
        <v>1</v>
      </c>
      <c r="AJ14" s="6">
        <v>104</v>
      </c>
      <c r="AK14">
        <f>(AF15/AF13)-AF14</f>
        <v>0.21590291698787245</v>
      </c>
    </row>
    <row r="15" spans="1:37" x14ac:dyDescent="0.45">
      <c r="A15" s="4" t="s">
        <v>21</v>
      </c>
      <c r="B15" s="5">
        <v>0</v>
      </c>
      <c r="C15" s="5">
        <v>0</v>
      </c>
      <c r="D15" s="6">
        <v>0</v>
      </c>
      <c r="E15" s="6">
        <v>0</v>
      </c>
      <c r="F15" s="6">
        <v>29</v>
      </c>
      <c r="G15" s="5">
        <v>0</v>
      </c>
      <c r="H15" s="5">
        <v>0</v>
      </c>
      <c r="I15" s="6">
        <v>0</v>
      </c>
      <c r="J15" s="6">
        <v>0</v>
      </c>
      <c r="K15" s="6">
        <v>5</v>
      </c>
      <c r="L15" s="5">
        <v>0.93120170116893897</v>
      </c>
      <c r="M15" s="5">
        <v>6.7691016512738053E-2</v>
      </c>
      <c r="N15" s="6">
        <v>0</v>
      </c>
      <c r="O15" s="6">
        <v>1</v>
      </c>
      <c r="P15" s="6">
        <v>19</v>
      </c>
      <c r="Q15" s="5">
        <v>0.29342048963598616</v>
      </c>
      <c r="R15" s="5">
        <v>0.13272189381863247</v>
      </c>
      <c r="S15" s="6">
        <v>0</v>
      </c>
      <c r="T15" s="6">
        <v>1</v>
      </c>
      <c r="U15" s="6">
        <v>19</v>
      </c>
      <c r="V15" s="5">
        <v>0.62484576595299168</v>
      </c>
      <c r="W15" s="5">
        <v>0.12235387804662534</v>
      </c>
      <c r="X15" s="6">
        <v>0</v>
      </c>
      <c r="Y15" s="6">
        <v>1</v>
      </c>
      <c r="Z15" s="6">
        <v>18</v>
      </c>
      <c r="AA15" s="5">
        <v>0.48726095532285674</v>
      </c>
      <c r="AB15" s="5">
        <v>0.15746205493428006</v>
      </c>
      <c r="AC15" s="6">
        <v>0</v>
      </c>
      <c r="AD15" s="6">
        <v>1</v>
      </c>
      <c r="AE15" s="6">
        <v>14</v>
      </c>
      <c r="AF15" s="5">
        <v>0.4303438003315338</v>
      </c>
      <c r="AG15" s="5">
        <v>6.6036705547393146E-2</v>
      </c>
      <c r="AH15" s="6">
        <v>0</v>
      </c>
      <c r="AI15" s="6">
        <v>1</v>
      </c>
      <c r="AJ15" s="6">
        <v>104</v>
      </c>
    </row>
    <row r="16" spans="1:37" x14ac:dyDescent="0.45">
      <c r="A16" s="4" t="s">
        <v>13</v>
      </c>
      <c r="B16" s="5">
        <v>0.30675221420982407</v>
      </c>
      <c r="C16" s="5">
        <v>0.10306045185955409</v>
      </c>
      <c r="D16" s="6">
        <v>0</v>
      </c>
      <c r="E16" s="6">
        <v>1</v>
      </c>
      <c r="F16" s="6">
        <v>29</v>
      </c>
      <c r="G16" s="5">
        <v>0.30661429145553415</v>
      </c>
      <c r="H16" s="5">
        <v>0.26350898869548067</v>
      </c>
      <c r="I16" s="6">
        <v>0</v>
      </c>
      <c r="J16" s="6">
        <v>1</v>
      </c>
      <c r="K16" s="6">
        <v>5</v>
      </c>
      <c r="L16" s="5">
        <v>0.93120170116893897</v>
      </c>
      <c r="M16" s="5">
        <v>6.7691016512738053E-2</v>
      </c>
      <c r="N16" s="6">
        <v>0</v>
      </c>
      <c r="O16" s="6">
        <v>1</v>
      </c>
      <c r="P16" s="6">
        <v>19</v>
      </c>
      <c r="Q16" s="5">
        <v>0.34856431510481672</v>
      </c>
      <c r="R16" s="5">
        <v>0.13428004597101759</v>
      </c>
      <c r="S16" s="6">
        <v>0</v>
      </c>
      <c r="T16" s="6">
        <v>1</v>
      </c>
      <c r="U16" s="6">
        <v>19</v>
      </c>
      <c r="V16" s="5">
        <v>1</v>
      </c>
      <c r="W16" s="5">
        <v>0</v>
      </c>
      <c r="X16" s="6">
        <v>1</v>
      </c>
      <c r="Y16" s="6">
        <v>1</v>
      </c>
      <c r="Z16" s="6">
        <v>18</v>
      </c>
      <c r="AA16" s="5">
        <v>0.81077648414690529</v>
      </c>
      <c r="AB16" s="5">
        <v>0.11363495123652066</v>
      </c>
      <c r="AC16" s="6">
        <v>0</v>
      </c>
      <c r="AD16" s="6">
        <v>1</v>
      </c>
      <c r="AE16" s="6">
        <v>14</v>
      </c>
      <c r="AF16" s="5">
        <v>0.60508824197795641</v>
      </c>
      <c r="AG16" s="5">
        <v>6.6968425129205825E-2</v>
      </c>
      <c r="AH16" s="6">
        <v>0</v>
      </c>
      <c r="AI16" s="6">
        <v>1</v>
      </c>
      <c r="AJ16" s="6">
        <v>104</v>
      </c>
      <c r="AK16">
        <f>(AF18/AF17)-AF16</f>
        <v>0.26351101950208788</v>
      </c>
    </row>
    <row r="17" spans="1:37" ht="26.25" x14ac:dyDescent="0.45">
      <c r="A17" s="4" t="s">
        <v>22</v>
      </c>
      <c r="B17" s="5">
        <v>0.26511382125444838</v>
      </c>
      <c r="C17" s="5">
        <v>9.9160906951506367E-2</v>
      </c>
      <c r="D17" s="6">
        <v>0</v>
      </c>
      <c r="E17" s="6">
        <v>1</v>
      </c>
      <c r="F17" s="6">
        <v>29</v>
      </c>
      <c r="G17" s="5">
        <v>0.28413340654229741</v>
      </c>
      <c r="H17" s="5">
        <v>0.2635701019519151</v>
      </c>
      <c r="I17" s="6">
        <v>0</v>
      </c>
      <c r="J17" s="6">
        <v>1</v>
      </c>
      <c r="K17" s="6">
        <v>5</v>
      </c>
      <c r="L17" s="5">
        <v>1</v>
      </c>
      <c r="M17" s="5">
        <v>0</v>
      </c>
      <c r="N17" s="6">
        <v>1</v>
      </c>
      <c r="O17" s="6">
        <v>1</v>
      </c>
      <c r="P17" s="6">
        <v>19</v>
      </c>
      <c r="Q17" s="5">
        <v>0.89861962585941668</v>
      </c>
      <c r="R17" s="5">
        <v>9.6845778169611332E-2</v>
      </c>
      <c r="S17" s="6">
        <v>0</v>
      </c>
      <c r="T17" s="6">
        <v>1</v>
      </c>
      <c r="U17" s="6">
        <v>19</v>
      </c>
      <c r="V17" s="5">
        <v>0.94505098249148323</v>
      </c>
      <c r="W17" s="5">
        <v>5.5165329624764066E-2</v>
      </c>
      <c r="X17" s="6">
        <v>0</v>
      </c>
      <c r="Y17" s="6">
        <v>1</v>
      </c>
      <c r="Z17" s="6">
        <v>18</v>
      </c>
      <c r="AA17" s="5">
        <v>0.91590414556129873</v>
      </c>
      <c r="AB17" s="5">
        <v>5.7720093761496942E-2</v>
      </c>
      <c r="AC17" s="6">
        <v>0</v>
      </c>
      <c r="AD17" s="6">
        <v>1</v>
      </c>
      <c r="AE17" s="6">
        <v>14</v>
      </c>
      <c r="AF17" s="5">
        <v>0.67616365127076683</v>
      </c>
      <c r="AG17" s="5">
        <v>6.6180623554006821E-2</v>
      </c>
      <c r="AH17" s="6">
        <v>0</v>
      </c>
      <c r="AI17" s="6">
        <v>1</v>
      </c>
      <c r="AJ17" s="6">
        <v>104</v>
      </c>
      <c r="AK17">
        <f>(AF18/AF16)-AF17</f>
        <v>0.29446378352052827</v>
      </c>
    </row>
    <row r="18" spans="1:37" x14ac:dyDescent="0.45">
      <c r="A18" s="4" t="s">
        <v>23</v>
      </c>
      <c r="B18" s="5">
        <v>0.26511382125444838</v>
      </c>
      <c r="C18" s="5">
        <v>9.9160906951506367E-2</v>
      </c>
      <c r="D18" s="6">
        <v>0</v>
      </c>
      <c r="E18" s="6">
        <v>1</v>
      </c>
      <c r="F18" s="6">
        <v>29</v>
      </c>
      <c r="G18" s="5">
        <v>0.28413340654229741</v>
      </c>
      <c r="H18" s="5">
        <v>0.2635701019519151</v>
      </c>
      <c r="I18" s="6">
        <v>0</v>
      </c>
      <c r="J18" s="6">
        <v>1</v>
      </c>
      <c r="K18" s="6">
        <v>5</v>
      </c>
      <c r="L18" s="5">
        <v>0.93120170116893897</v>
      </c>
      <c r="M18" s="5">
        <v>6.7691016512738053E-2</v>
      </c>
      <c r="N18" s="6">
        <v>0</v>
      </c>
      <c r="O18" s="6">
        <v>1</v>
      </c>
      <c r="P18" s="6">
        <v>19</v>
      </c>
      <c r="Q18" s="5">
        <v>0.34856431510481672</v>
      </c>
      <c r="R18" s="5">
        <v>0.13428004597101759</v>
      </c>
      <c r="S18" s="6">
        <v>0</v>
      </c>
      <c r="T18" s="6">
        <v>1</v>
      </c>
      <c r="U18" s="6">
        <v>19</v>
      </c>
      <c r="V18" s="5">
        <v>0.94505098249148323</v>
      </c>
      <c r="W18" s="5">
        <v>5.5165329624764066E-2</v>
      </c>
      <c r="X18" s="6">
        <v>0</v>
      </c>
      <c r="Y18" s="6">
        <v>1</v>
      </c>
      <c r="Z18" s="6">
        <v>18</v>
      </c>
      <c r="AA18" s="5">
        <v>0.81077648414690529</v>
      </c>
      <c r="AB18" s="5">
        <v>0.11363495123652066</v>
      </c>
      <c r="AC18" s="6">
        <v>0</v>
      </c>
      <c r="AD18" s="6">
        <v>1</v>
      </c>
      <c r="AE18" s="6">
        <v>14</v>
      </c>
      <c r="AF18" s="5">
        <v>0.58731524813343827</v>
      </c>
      <c r="AG18" s="5">
        <v>6.7026919796109849E-2</v>
      </c>
      <c r="AH18" s="6">
        <v>0</v>
      </c>
      <c r="AI18" s="6">
        <v>1</v>
      </c>
      <c r="AJ18" s="6">
        <v>104</v>
      </c>
    </row>
    <row r="19" spans="1:37" x14ac:dyDescent="0.45">
      <c r="A19" s="4" t="s">
        <v>13</v>
      </c>
      <c r="B19" s="5">
        <v>0.30675221420982407</v>
      </c>
      <c r="C19" s="5">
        <v>0.10306045185955409</v>
      </c>
      <c r="D19" s="6">
        <v>0</v>
      </c>
      <c r="E19" s="6">
        <v>1</v>
      </c>
      <c r="F19" s="6">
        <v>29</v>
      </c>
      <c r="G19" s="5">
        <v>0.30661429145553415</v>
      </c>
      <c r="H19" s="5">
        <v>0.26350898869548067</v>
      </c>
      <c r="I19" s="6">
        <v>0</v>
      </c>
      <c r="J19" s="6">
        <v>1</v>
      </c>
      <c r="K19" s="6">
        <v>5</v>
      </c>
      <c r="L19" s="5">
        <v>0.93120170116893897</v>
      </c>
      <c r="M19" s="5">
        <v>6.7691016512738053E-2</v>
      </c>
      <c r="N19" s="6">
        <v>0</v>
      </c>
      <c r="O19" s="6">
        <v>1</v>
      </c>
      <c r="P19" s="6">
        <v>19</v>
      </c>
      <c r="Q19" s="5">
        <v>0.34856431510481672</v>
      </c>
      <c r="R19" s="5">
        <v>0.13428004597101759</v>
      </c>
      <c r="S19" s="6">
        <v>0</v>
      </c>
      <c r="T19" s="6">
        <v>1</v>
      </c>
      <c r="U19" s="6">
        <v>19</v>
      </c>
      <c r="V19" s="5">
        <v>1</v>
      </c>
      <c r="W19" s="5">
        <v>0</v>
      </c>
      <c r="X19" s="6">
        <v>1</v>
      </c>
      <c r="Y19" s="6">
        <v>1</v>
      </c>
      <c r="Z19" s="6">
        <v>18</v>
      </c>
      <c r="AA19" s="5">
        <v>0.81077648414690529</v>
      </c>
      <c r="AB19" s="5">
        <v>0.11363495123652066</v>
      </c>
      <c r="AC19" s="6">
        <v>0</v>
      </c>
      <c r="AD19" s="6">
        <v>1</v>
      </c>
      <c r="AE19" s="6">
        <v>14</v>
      </c>
      <c r="AF19" s="5">
        <v>0.60508824197795641</v>
      </c>
      <c r="AG19" s="5">
        <v>6.6968425129205825E-2</v>
      </c>
      <c r="AH19" s="6">
        <v>0</v>
      </c>
      <c r="AI19" s="6">
        <v>1</v>
      </c>
      <c r="AJ19" s="6">
        <v>104</v>
      </c>
      <c r="AK19">
        <f>(AF21/AF20)-AF19</f>
        <v>0.2584765207698495</v>
      </c>
    </row>
    <row r="20" spans="1:37" ht="26.25" x14ac:dyDescent="0.45">
      <c r="A20" s="4" t="s">
        <v>24</v>
      </c>
      <c r="B20" s="5">
        <v>0.23600168674140035</v>
      </c>
      <c r="C20" s="5">
        <v>9.8121570578696957E-2</v>
      </c>
      <c r="D20" s="6">
        <v>0</v>
      </c>
      <c r="E20" s="6">
        <v>1</v>
      </c>
      <c r="F20" s="6">
        <v>29</v>
      </c>
      <c r="G20" s="5">
        <v>0.28413340654229741</v>
      </c>
      <c r="H20" s="5">
        <v>0.2635701019519151</v>
      </c>
      <c r="I20" s="6">
        <v>0</v>
      </c>
      <c r="J20" s="6">
        <v>1</v>
      </c>
      <c r="K20" s="6">
        <v>5</v>
      </c>
      <c r="L20" s="5">
        <v>1</v>
      </c>
      <c r="M20" s="5">
        <v>0</v>
      </c>
      <c r="N20" s="6">
        <v>1</v>
      </c>
      <c r="O20" s="6">
        <v>1</v>
      </c>
      <c r="P20" s="6">
        <v>19</v>
      </c>
      <c r="Q20" s="5">
        <v>0.89861962585941668</v>
      </c>
      <c r="R20" s="5">
        <v>9.6845778169611332E-2</v>
      </c>
      <c r="S20" s="6">
        <v>0</v>
      </c>
      <c r="T20" s="6">
        <v>1</v>
      </c>
      <c r="U20" s="6">
        <v>19</v>
      </c>
      <c r="V20" s="5">
        <v>0.86634111546445414</v>
      </c>
      <c r="W20" s="5">
        <v>8.7661072043173624E-2</v>
      </c>
      <c r="X20" s="6">
        <v>0</v>
      </c>
      <c r="Y20" s="6">
        <v>1</v>
      </c>
      <c r="Z20" s="6">
        <v>18</v>
      </c>
      <c r="AA20" s="5">
        <v>0.68542702638902031</v>
      </c>
      <c r="AB20" s="5">
        <v>0.14449500923918335</v>
      </c>
      <c r="AC20" s="6">
        <v>0</v>
      </c>
      <c r="AD20" s="6">
        <v>1</v>
      </c>
      <c r="AE20" s="6">
        <v>14</v>
      </c>
      <c r="AF20" s="5">
        <v>0.65121302184637453</v>
      </c>
      <c r="AG20" s="5">
        <v>6.6128687462899488E-2</v>
      </c>
      <c r="AH20" s="6">
        <v>0</v>
      </c>
      <c r="AI20" s="6">
        <v>1</v>
      </c>
      <c r="AJ20" s="6">
        <v>104</v>
      </c>
      <c r="AK20">
        <f>(AF21/AF19)-AF20</f>
        <v>0.27817971741880743</v>
      </c>
    </row>
    <row r="21" spans="1:37" x14ac:dyDescent="0.45">
      <c r="A21" s="4" t="s">
        <v>25</v>
      </c>
      <c r="B21" s="5">
        <v>0.23600168674140035</v>
      </c>
      <c r="C21" s="5">
        <v>9.8121570578696957E-2</v>
      </c>
      <c r="D21" s="6">
        <v>0</v>
      </c>
      <c r="E21" s="6">
        <v>1</v>
      </c>
      <c r="F21" s="6">
        <v>29</v>
      </c>
      <c r="G21" s="5">
        <v>0.28413340654229741</v>
      </c>
      <c r="H21" s="5">
        <v>0.2635701019519151</v>
      </c>
      <c r="I21" s="6">
        <v>0</v>
      </c>
      <c r="J21" s="6">
        <v>1</v>
      </c>
      <c r="K21" s="6">
        <v>5</v>
      </c>
      <c r="L21" s="5">
        <v>0.93120170116893897</v>
      </c>
      <c r="M21" s="5">
        <v>6.7691016512738053E-2</v>
      </c>
      <c r="N21" s="6">
        <v>0</v>
      </c>
      <c r="O21" s="6">
        <v>1</v>
      </c>
      <c r="P21" s="6">
        <v>19</v>
      </c>
      <c r="Q21" s="5">
        <v>0.34856431510481672</v>
      </c>
      <c r="R21" s="5">
        <v>0.13428004597101759</v>
      </c>
      <c r="S21" s="6">
        <v>0</v>
      </c>
      <c r="T21" s="6">
        <v>1</v>
      </c>
      <c r="U21" s="6">
        <v>19</v>
      </c>
      <c r="V21" s="5">
        <v>0.86634111546445414</v>
      </c>
      <c r="W21" s="5">
        <v>8.7661072043173624E-2</v>
      </c>
      <c r="X21" s="6">
        <v>0</v>
      </c>
      <c r="Y21" s="6">
        <v>1</v>
      </c>
      <c r="Z21" s="6">
        <v>18</v>
      </c>
      <c r="AA21" s="5">
        <v>0.58029936497462697</v>
      </c>
      <c r="AB21" s="5">
        <v>0.15545852097425128</v>
      </c>
      <c r="AC21" s="6">
        <v>0</v>
      </c>
      <c r="AD21" s="6">
        <v>1</v>
      </c>
      <c r="AE21" s="6">
        <v>14</v>
      </c>
      <c r="AF21" s="5">
        <v>0.56236461870904619</v>
      </c>
      <c r="AG21" s="5">
        <v>6.7052525680788108E-2</v>
      </c>
      <c r="AH21" s="6">
        <v>0</v>
      </c>
      <c r="AI21" s="6">
        <v>1</v>
      </c>
      <c r="AJ21" s="6">
        <v>104</v>
      </c>
    </row>
    <row r="22" spans="1:37" x14ac:dyDescent="0.45">
      <c r="A22" s="4" t="s">
        <v>13</v>
      </c>
      <c r="B22" s="5">
        <v>0.30675221420982407</v>
      </c>
      <c r="C22" s="5">
        <v>0.10306045185955409</v>
      </c>
      <c r="D22" s="6">
        <v>0</v>
      </c>
      <c r="E22" s="6">
        <v>1</v>
      </c>
      <c r="F22" s="6">
        <v>29</v>
      </c>
      <c r="G22" s="5">
        <v>0.30661429145553415</v>
      </c>
      <c r="H22" s="5">
        <v>0.26350898869548067</v>
      </c>
      <c r="I22" s="6">
        <v>0</v>
      </c>
      <c r="J22" s="6">
        <v>1</v>
      </c>
      <c r="K22" s="6">
        <v>5</v>
      </c>
      <c r="L22" s="5">
        <v>0.93120170116893897</v>
      </c>
      <c r="M22" s="5">
        <v>6.7691016512738053E-2</v>
      </c>
      <c r="N22" s="6">
        <v>0</v>
      </c>
      <c r="O22" s="6">
        <v>1</v>
      </c>
      <c r="P22" s="6">
        <v>19</v>
      </c>
      <c r="Q22" s="5">
        <v>0.34856431510481672</v>
      </c>
      <c r="R22" s="5">
        <v>0.13428004597101759</v>
      </c>
      <c r="S22" s="6">
        <v>0</v>
      </c>
      <c r="T22" s="6">
        <v>1</v>
      </c>
      <c r="U22" s="6">
        <v>19</v>
      </c>
      <c r="V22" s="5">
        <v>1</v>
      </c>
      <c r="W22" s="5">
        <v>0</v>
      </c>
      <c r="X22" s="6">
        <v>1</v>
      </c>
      <c r="Y22" s="6">
        <v>1</v>
      </c>
      <c r="Z22" s="6">
        <v>18</v>
      </c>
      <c r="AA22" s="5">
        <v>0.81077648414690529</v>
      </c>
      <c r="AB22" s="5">
        <v>0.11363495123652066</v>
      </c>
      <c r="AC22" s="6">
        <v>0</v>
      </c>
      <c r="AD22" s="6">
        <v>1</v>
      </c>
      <c r="AE22" s="6">
        <v>14</v>
      </c>
      <c r="AF22" s="5">
        <v>0.60508824197795641</v>
      </c>
      <c r="AG22" s="5">
        <v>6.6968425129205825E-2</v>
      </c>
      <c r="AH22" s="6">
        <v>0</v>
      </c>
      <c r="AI22" s="6">
        <v>1</v>
      </c>
      <c r="AJ22" s="6">
        <v>104</v>
      </c>
      <c r="AK22">
        <f>(AF24/AF23)-AF22</f>
        <v>0.27529133778965498</v>
      </c>
    </row>
    <row r="23" spans="1:37" x14ac:dyDescent="0.45">
      <c r="A23" s="4" t="s">
        <v>26</v>
      </c>
      <c r="B23" s="5">
        <v>0</v>
      </c>
      <c r="C23" s="5">
        <v>0</v>
      </c>
      <c r="D23" s="6">
        <v>0</v>
      </c>
      <c r="E23" s="6">
        <v>0</v>
      </c>
      <c r="F23" s="6">
        <v>29</v>
      </c>
      <c r="G23" s="5">
        <v>0</v>
      </c>
      <c r="H23" s="5">
        <v>0</v>
      </c>
      <c r="I23" s="6">
        <v>0</v>
      </c>
      <c r="J23" s="6">
        <v>0</v>
      </c>
      <c r="K23" s="6">
        <v>5</v>
      </c>
      <c r="L23" s="5">
        <v>0.66388051962713335</v>
      </c>
      <c r="M23" s="5">
        <v>0.11460855436927163</v>
      </c>
      <c r="N23" s="6">
        <v>0</v>
      </c>
      <c r="O23" s="6">
        <v>1</v>
      </c>
      <c r="P23" s="6">
        <v>19</v>
      </c>
      <c r="Q23" s="5">
        <v>0.29374289139203691</v>
      </c>
      <c r="R23" s="5">
        <v>0.11283736420444235</v>
      </c>
      <c r="S23" s="6">
        <v>0</v>
      </c>
      <c r="T23" s="6">
        <v>1</v>
      </c>
      <c r="U23" s="6">
        <v>19</v>
      </c>
      <c r="V23" s="5">
        <v>0.36680645879208712</v>
      </c>
      <c r="W23" s="5">
        <v>0.12383916979165614</v>
      </c>
      <c r="X23" s="6">
        <v>0</v>
      </c>
      <c r="Y23" s="6">
        <v>1</v>
      </c>
      <c r="Z23" s="6">
        <v>18</v>
      </c>
      <c r="AA23" s="5">
        <v>0.30087795573298015</v>
      </c>
      <c r="AB23" s="5">
        <v>0.14549325187447498</v>
      </c>
      <c r="AC23" s="6">
        <v>0</v>
      </c>
      <c r="AD23" s="6">
        <v>1</v>
      </c>
      <c r="AE23" s="6">
        <v>14</v>
      </c>
      <c r="AF23" s="5">
        <v>0.30849368526502607</v>
      </c>
      <c r="AG23" s="5">
        <v>6.0369974510870769E-2</v>
      </c>
      <c r="AH23" s="6">
        <v>0</v>
      </c>
      <c r="AI23" s="6">
        <v>1</v>
      </c>
      <c r="AJ23" s="6">
        <v>104</v>
      </c>
      <c r="AK23">
        <f>(AF24/AF22)-AF23</f>
        <v>0.14035248650454474</v>
      </c>
    </row>
    <row r="24" spans="1:37" x14ac:dyDescent="0.45">
      <c r="A24" s="4" t="s">
        <v>27</v>
      </c>
      <c r="B24" s="5">
        <v>0</v>
      </c>
      <c r="C24" s="5">
        <v>0</v>
      </c>
      <c r="D24" s="6">
        <v>0</v>
      </c>
      <c r="E24" s="6">
        <v>0</v>
      </c>
      <c r="F24" s="6">
        <v>29</v>
      </c>
      <c r="G24" s="5">
        <v>0</v>
      </c>
      <c r="H24" s="5">
        <v>0</v>
      </c>
      <c r="I24" s="6">
        <v>0</v>
      </c>
      <c r="J24" s="6">
        <v>0</v>
      </c>
      <c r="K24" s="6">
        <v>5</v>
      </c>
      <c r="L24" s="5">
        <v>0.66388051962713335</v>
      </c>
      <c r="M24" s="5">
        <v>0.11460855436927163</v>
      </c>
      <c r="N24" s="6">
        <v>0</v>
      </c>
      <c r="O24" s="6">
        <v>1</v>
      </c>
      <c r="P24" s="6">
        <v>19</v>
      </c>
      <c r="Q24" s="5">
        <v>0</v>
      </c>
      <c r="R24" s="5">
        <v>0</v>
      </c>
      <c r="S24" s="6">
        <v>0</v>
      </c>
      <c r="T24" s="6">
        <v>0</v>
      </c>
      <c r="U24" s="6">
        <v>19</v>
      </c>
      <c r="V24" s="5">
        <v>0.36680645879208712</v>
      </c>
      <c r="W24" s="5">
        <v>0.12383916979165614</v>
      </c>
      <c r="X24" s="6">
        <v>0</v>
      </c>
      <c r="Y24" s="6">
        <v>1</v>
      </c>
      <c r="Z24" s="6">
        <v>18</v>
      </c>
      <c r="AA24" s="5">
        <v>0.19575029431858679</v>
      </c>
      <c r="AB24" s="5">
        <v>0.12323932251988755</v>
      </c>
      <c r="AC24" s="6">
        <v>0</v>
      </c>
      <c r="AD24" s="6">
        <v>1</v>
      </c>
      <c r="AE24" s="6">
        <v>14</v>
      </c>
      <c r="AF24" s="5">
        <v>0.27159154099458543</v>
      </c>
      <c r="AG24" s="5">
        <v>5.9410939677914998E-2</v>
      </c>
      <c r="AH24" s="6">
        <v>0</v>
      </c>
      <c r="AI24" s="6">
        <v>1</v>
      </c>
      <c r="AJ24" s="6">
        <v>104</v>
      </c>
    </row>
    <row r="25" spans="1:37" x14ac:dyDescent="0.45">
      <c r="A25" s="4" t="s">
        <v>13</v>
      </c>
      <c r="B25" s="5">
        <v>0.30675221420982407</v>
      </c>
      <c r="C25" s="5">
        <v>0.10306045185955409</v>
      </c>
      <c r="D25" s="6">
        <v>0</v>
      </c>
      <c r="E25" s="6">
        <v>1</v>
      </c>
      <c r="F25" s="6">
        <v>29</v>
      </c>
      <c r="G25" s="5">
        <v>0.30661429145553415</v>
      </c>
      <c r="H25" s="5">
        <v>0.26350898869548067</v>
      </c>
      <c r="I25" s="6">
        <v>0</v>
      </c>
      <c r="J25" s="6">
        <v>1</v>
      </c>
      <c r="K25" s="6">
        <v>5</v>
      </c>
      <c r="L25" s="5">
        <v>0.93120170116893897</v>
      </c>
      <c r="M25" s="5">
        <v>6.7691016512738053E-2</v>
      </c>
      <c r="N25" s="6">
        <v>0</v>
      </c>
      <c r="O25" s="6">
        <v>1</v>
      </c>
      <c r="P25" s="6">
        <v>19</v>
      </c>
      <c r="Q25" s="5">
        <v>0.34856431510481672</v>
      </c>
      <c r="R25" s="5">
        <v>0.13428004597101759</v>
      </c>
      <c r="S25" s="6">
        <v>0</v>
      </c>
      <c r="T25" s="6">
        <v>1</v>
      </c>
      <c r="U25" s="6">
        <v>19</v>
      </c>
      <c r="V25" s="5">
        <v>1</v>
      </c>
      <c r="W25" s="5">
        <v>0</v>
      </c>
      <c r="X25" s="6">
        <v>1</v>
      </c>
      <c r="Y25" s="6">
        <v>1</v>
      </c>
      <c r="Z25" s="6">
        <v>18</v>
      </c>
      <c r="AA25" s="5">
        <v>0.81077648414690529</v>
      </c>
      <c r="AB25" s="5">
        <v>0.11363495123652066</v>
      </c>
      <c r="AC25" s="6">
        <v>0</v>
      </c>
      <c r="AD25" s="6">
        <v>1</v>
      </c>
      <c r="AE25" s="6">
        <v>14</v>
      </c>
      <c r="AF25" s="5">
        <v>0.60508824197795641</v>
      </c>
      <c r="AG25" s="5">
        <v>6.6968425129205825E-2</v>
      </c>
      <c r="AH25" s="6">
        <v>0</v>
      </c>
      <c r="AI25" s="6">
        <v>1</v>
      </c>
      <c r="AJ25" s="6">
        <v>104</v>
      </c>
      <c r="AK25">
        <f>(AF27/AF26)-AF25</f>
        <v>0.21492694331311601</v>
      </c>
    </row>
    <row r="26" spans="1:37" x14ac:dyDescent="0.45">
      <c r="A26" s="4" t="s">
        <v>28</v>
      </c>
      <c r="B26" s="5">
        <v>0</v>
      </c>
      <c r="C26" s="5">
        <v>0</v>
      </c>
      <c r="D26" s="6">
        <v>0</v>
      </c>
      <c r="E26" s="6">
        <v>0</v>
      </c>
      <c r="F26" s="6">
        <v>29</v>
      </c>
      <c r="G26" s="5">
        <v>0</v>
      </c>
      <c r="H26" s="5">
        <v>0</v>
      </c>
      <c r="I26" s="6">
        <v>0</v>
      </c>
      <c r="J26" s="6">
        <v>0</v>
      </c>
      <c r="K26" s="6">
        <v>5</v>
      </c>
      <c r="L26" s="5">
        <v>0.72893530797081907</v>
      </c>
      <c r="M26" s="5">
        <v>0.10669463220715278</v>
      </c>
      <c r="N26" s="6">
        <v>0</v>
      </c>
      <c r="O26" s="6">
        <v>1</v>
      </c>
      <c r="P26" s="6">
        <v>19</v>
      </c>
      <c r="Q26" s="5">
        <v>0.63622677312988607</v>
      </c>
      <c r="R26" s="5">
        <v>0.12689047883012006</v>
      </c>
      <c r="S26" s="6">
        <v>0</v>
      </c>
      <c r="T26" s="6">
        <v>1</v>
      </c>
      <c r="U26" s="6">
        <v>19</v>
      </c>
      <c r="V26" s="5">
        <v>0.73611457017133053</v>
      </c>
      <c r="W26" s="5">
        <v>0.11141004702384433</v>
      </c>
      <c r="X26" s="6">
        <v>0</v>
      </c>
      <c r="Y26" s="6">
        <v>1</v>
      </c>
      <c r="Z26" s="6">
        <v>18</v>
      </c>
      <c r="AA26" s="5">
        <v>0.50250462712121191</v>
      </c>
      <c r="AB26" s="5">
        <v>0.15738307630952827</v>
      </c>
      <c r="AC26" s="6">
        <v>0</v>
      </c>
      <c r="AD26" s="6">
        <v>1</v>
      </c>
      <c r="AE26" s="6">
        <v>14</v>
      </c>
      <c r="AF26" s="5">
        <v>0.40152770724557457</v>
      </c>
      <c r="AG26" s="5">
        <v>6.4202011804989259E-2</v>
      </c>
      <c r="AH26" s="6">
        <v>0</v>
      </c>
      <c r="AI26" s="6">
        <v>1</v>
      </c>
      <c r="AJ26" s="6">
        <v>104</v>
      </c>
      <c r="AK26">
        <f>(AF27/AF25)-AF26</f>
        <v>0.14262237602190747</v>
      </c>
    </row>
    <row r="27" spans="1:37" x14ac:dyDescent="0.45">
      <c r="A27" s="4" t="s">
        <v>29</v>
      </c>
      <c r="B27" s="5">
        <v>0</v>
      </c>
      <c r="C27" s="5">
        <v>0</v>
      </c>
      <c r="D27" s="6">
        <v>0</v>
      </c>
      <c r="E27" s="6">
        <v>0</v>
      </c>
      <c r="F27" s="6">
        <v>29</v>
      </c>
      <c r="G27" s="5">
        <v>0</v>
      </c>
      <c r="H27" s="5">
        <v>0</v>
      </c>
      <c r="I27" s="6">
        <v>0</v>
      </c>
      <c r="J27" s="6">
        <v>0</v>
      </c>
      <c r="K27" s="6">
        <v>5</v>
      </c>
      <c r="L27" s="5">
        <v>0.66013700913975815</v>
      </c>
      <c r="M27" s="5">
        <v>0.11517668313636714</v>
      </c>
      <c r="N27" s="6">
        <v>0</v>
      </c>
      <c r="O27" s="6">
        <v>1</v>
      </c>
      <c r="P27" s="6">
        <v>19</v>
      </c>
      <c r="Q27" s="5">
        <v>0.24239291192656121</v>
      </c>
      <c r="R27" s="5">
        <v>0.13076079182844053</v>
      </c>
      <c r="S27" s="6">
        <v>0</v>
      </c>
      <c r="T27" s="6">
        <v>1</v>
      </c>
      <c r="U27" s="6">
        <v>19</v>
      </c>
      <c r="V27" s="5">
        <v>0.73611457017133053</v>
      </c>
      <c r="W27" s="5">
        <v>0.11141004702384433</v>
      </c>
      <c r="X27" s="6">
        <v>0</v>
      </c>
      <c r="Y27" s="6">
        <v>1</v>
      </c>
      <c r="Z27" s="6">
        <v>18</v>
      </c>
      <c r="AA27" s="5">
        <v>0.39737696570681863</v>
      </c>
      <c r="AB27" s="5">
        <v>0.15492687057336302</v>
      </c>
      <c r="AC27" s="6">
        <v>0</v>
      </c>
      <c r="AD27" s="6">
        <v>1</v>
      </c>
      <c r="AE27" s="6">
        <v>14</v>
      </c>
      <c r="AF27" s="5">
        <v>0.32925881725647932</v>
      </c>
      <c r="AG27" s="5">
        <v>6.1090244100511011E-2</v>
      </c>
      <c r="AH27" s="6">
        <v>0</v>
      </c>
      <c r="AI27" s="6">
        <v>1</v>
      </c>
      <c r="AJ27" s="6">
        <v>104</v>
      </c>
    </row>
    <row r="28" spans="1:37" x14ac:dyDescent="0.45">
      <c r="A28" s="4" t="s">
        <v>13</v>
      </c>
      <c r="B28" s="5">
        <v>0.30675221420982407</v>
      </c>
      <c r="C28" s="5">
        <v>0.10306045185955409</v>
      </c>
      <c r="D28" s="6">
        <v>0</v>
      </c>
      <c r="E28" s="6">
        <v>1</v>
      </c>
      <c r="F28" s="6">
        <v>29</v>
      </c>
      <c r="G28" s="5">
        <v>0.30661429145553415</v>
      </c>
      <c r="H28" s="5">
        <v>0.26350898869548067</v>
      </c>
      <c r="I28" s="6">
        <v>0</v>
      </c>
      <c r="J28" s="6">
        <v>1</v>
      </c>
      <c r="K28" s="6">
        <v>5</v>
      </c>
      <c r="L28" s="5">
        <v>0.93120170116893897</v>
      </c>
      <c r="M28" s="5">
        <v>6.7691016512738053E-2</v>
      </c>
      <c r="N28" s="6">
        <v>0</v>
      </c>
      <c r="O28" s="6">
        <v>1</v>
      </c>
      <c r="P28" s="6">
        <v>19</v>
      </c>
      <c r="Q28" s="5">
        <v>0.34856431510481672</v>
      </c>
      <c r="R28" s="5">
        <v>0.13428004597101759</v>
      </c>
      <c r="S28" s="6">
        <v>0</v>
      </c>
      <c r="T28" s="6">
        <v>1</v>
      </c>
      <c r="U28" s="6">
        <v>19</v>
      </c>
      <c r="V28" s="5">
        <v>1</v>
      </c>
      <c r="W28" s="5">
        <v>0</v>
      </c>
      <c r="X28" s="6">
        <v>1</v>
      </c>
      <c r="Y28" s="6">
        <v>1</v>
      </c>
      <c r="Z28" s="6">
        <v>18</v>
      </c>
      <c r="AA28" s="5">
        <v>0.81077648414690529</v>
      </c>
      <c r="AB28" s="5">
        <v>0.11363495123652066</v>
      </c>
      <c r="AC28" s="6">
        <v>0</v>
      </c>
      <c r="AD28" s="6">
        <v>1</v>
      </c>
      <c r="AE28" s="6">
        <v>14</v>
      </c>
      <c r="AF28" s="5">
        <v>0.60508824197795641</v>
      </c>
      <c r="AG28" s="5">
        <v>6.6968425129205825E-2</v>
      </c>
      <c r="AH28" s="6">
        <v>0</v>
      </c>
      <c r="AI28" s="6">
        <v>1</v>
      </c>
      <c r="AJ28" s="6">
        <v>104</v>
      </c>
      <c r="AK28">
        <f>(AF30/AF29)-AF28</f>
        <v>0.13852210175288937</v>
      </c>
    </row>
    <row r="29" spans="1:37" x14ac:dyDescent="0.45">
      <c r="A29" s="4" t="s">
        <v>30</v>
      </c>
      <c r="B29" s="5">
        <v>0.13367672028482241</v>
      </c>
      <c r="C29" s="5">
        <v>6.7499531890097414E-2</v>
      </c>
      <c r="D29" s="6">
        <v>0</v>
      </c>
      <c r="E29" s="6">
        <v>1</v>
      </c>
      <c r="F29" s="6">
        <v>29</v>
      </c>
      <c r="G29" s="5">
        <v>0</v>
      </c>
      <c r="H29" s="5">
        <v>0</v>
      </c>
      <c r="I29" s="6">
        <v>0</v>
      </c>
      <c r="J29" s="6">
        <v>0</v>
      </c>
      <c r="K29" s="6">
        <v>5</v>
      </c>
      <c r="L29" s="5">
        <v>5.2410271788350123E-2</v>
      </c>
      <c r="M29" s="5">
        <v>5.248010773581166E-2</v>
      </c>
      <c r="N29" s="6">
        <v>0</v>
      </c>
      <c r="O29" s="6">
        <v>1</v>
      </c>
      <c r="P29" s="6">
        <v>19</v>
      </c>
      <c r="Q29" s="5">
        <v>0</v>
      </c>
      <c r="R29" s="5">
        <v>0</v>
      </c>
      <c r="S29" s="6">
        <v>0</v>
      </c>
      <c r="T29" s="6">
        <v>0</v>
      </c>
      <c r="U29" s="6">
        <v>19</v>
      </c>
      <c r="V29" s="5">
        <v>0.15550626739573795</v>
      </c>
      <c r="W29" s="5">
        <v>8.6631727868310957E-2</v>
      </c>
      <c r="X29" s="6">
        <v>0</v>
      </c>
      <c r="Y29" s="6">
        <v>1</v>
      </c>
      <c r="Z29" s="6">
        <v>18</v>
      </c>
      <c r="AA29" s="5">
        <v>0.14494874528348178</v>
      </c>
      <c r="AB29" s="5">
        <v>0.10516460199040556</v>
      </c>
      <c r="AC29" s="6">
        <v>0</v>
      </c>
      <c r="AD29" s="6">
        <v>1</v>
      </c>
      <c r="AE29" s="6">
        <v>14</v>
      </c>
      <c r="AF29" s="5">
        <v>7.1219747701667446E-2</v>
      </c>
      <c r="AG29" s="5">
        <v>2.7252423041304919E-2</v>
      </c>
      <c r="AH29" s="6">
        <v>0</v>
      </c>
      <c r="AI29" s="6">
        <v>1</v>
      </c>
      <c r="AJ29" s="6">
        <v>104</v>
      </c>
      <c r="AK29">
        <f>(AF30/AF28)-AF29</f>
        <v>1.6304248626111781E-2</v>
      </c>
    </row>
    <row r="30" spans="1:37" ht="26.25" x14ac:dyDescent="0.45">
      <c r="A30" s="4" t="s">
        <v>31</v>
      </c>
      <c r="B30" s="5">
        <v>7.3987091538873048E-2</v>
      </c>
      <c r="C30" s="5">
        <v>5.1908162785215629E-2</v>
      </c>
      <c r="D30" s="6">
        <v>0</v>
      </c>
      <c r="E30" s="6">
        <v>1</v>
      </c>
      <c r="F30" s="6">
        <v>29</v>
      </c>
      <c r="G30" s="5">
        <v>0</v>
      </c>
      <c r="H30" s="5">
        <v>0</v>
      </c>
      <c r="I30" s="6">
        <v>0</v>
      </c>
      <c r="J30" s="6">
        <v>0</v>
      </c>
      <c r="K30" s="6">
        <v>5</v>
      </c>
      <c r="L30" s="5">
        <v>5.2410271788350123E-2</v>
      </c>
      <c r="M30" s="5">
        <v>5.248010773581166E-2</v>
      </c>
      <c r="N30" s="6">
        <v>0</v>
      </c>
      <c r="O30" s="6">
        <v>1</v>
      </c>
      <c r="P30" s="6">
        <v>19</v>
      </c>
      <c r="Q30" s="5">
        <v>0</v>
      </c>
      <c r="R30" s="5">
        <v>0</v>
      </c>
      <c r="S30" s="6">
        <v>0</v>
      </c>
      <c r="T30" s="6">
        <v>0</v>
      </c>
      <c r="U30" s="6">
        <v>19</v>
      </c>
      <c r="V30" s="5">
        <v>0.15550626739573795</v>
      </c>
      <c r="W30" s="5">
        <v>8.6631727868310957E-2</v>
      </c>
      <c r="X30" s="6">
        <v>0</v>
      </c>
      <c r="Y30" s="6">
        <v>1</v>
      </c>
      <c r="Z30" s="6">
        <v>18</v>
      </c>
      <c r="AA30" s="5">
        <v>9.7308248581917819E-2</v>
      </c>
      <c r="AB30" s="5">
        <v>9.5663044906004094E-2</v>
      </c>
      <c r="AC30" s="6">
        <v>0</v>
      </c>
      <c r="AD30" s="6">
        <v>1</v>
      </c>
      <c r="AE30" s="6">
        <v>14</v>
      </c>
      <c r="AF30" s="5">
        <v>5.2959741068861046E-2</v>
      </c>
      <c r="AG30" s="5">
        <v>2.4376527963588471E-2</v>
      </c>
      <c r="AH30" s="6">
        <v>0</v>
      </c>
      <c r="AI30" s="6">
        <v>1</v>
      </c>
      <c r="AJ30" s="6">
        <v>104</v>
      </c>
    </row>
    <row r="31" spans="1:37" x14ac:dyDescent="0.45">
      <c r="A31" s="4" t="s">
        <v>13</v>
      </c>
      <c r="B31" s="5">
        <v>0.30675221420982407</v>
      </c>
      <c r="C31" s="5">
        <v>0.10306045185955409</v>
      </c>
      <c r="D31" s="6">
        <v>0</v>
      </c>
      <c r="E31" s="6">
        <v>1</v>
      </c>
      <c r="F31" s="6">
        <v>29</v>
      </c>
      <c r="G31" s="5">
        <v>0.30661429145553415</v>
      </c>
      <c r="H31" s="5">
        <v>0.26350898869548067</v>
      </c>
      <c r="I31" s="6">
        <v>0</v>
      </c>
      <c r="J31" s="6">
        <v>1</v>
      </c>
      <c r="K31" s="6">
        <v>5</v>
      </c>
      <c r="L31" s="5">
        <v>0.93120170116893897</v>
      </c>
      <c r="M31" s="5">
        <v>6.7691016512738053E-2</v>
      </c>
      <c r="N31" s="6">
        <v>0</v>
      </c>
      <c r="O31" s="6">
        <v>1</v>
      </c>
      <c r="P31" s="6">
        <v>19</v>
      </c>
      <c r="Q31" s="5">
        <v>0.34856431510481672</v>
      </c>
      <c r="R31" s="5">
        <v>0.13428004597101759</v>
      </c>
      <c r="S31" s="6">
        <v>0</v>
      </c>
      <c r="T31" s="6">
        <v>1</v>
      </c>
      <c r="U31" s="6">
        <v>19</v>
      </c>
      <c r="V31" s="5">
        <v>1</v>
      </c>
      <c r="W31" s="5">
        <v>0</v>
      </c>
      <c r="X31" s="6">
        <v>1</v>
      </c>
      <c r="Y31" s="6">
        <v>1</v>
      </c>
      <c r="Z31" s="6">
        <v>18</v>
      </c>
      <c r="AA31" s="5">
        <v>0.81077648414690529</v>
      </c>
      <c r="AB31" s="5">
        <v>0.11363495123652066</v>
      </c>
      <c r="AC31" s="6">
        <v>0</v>
      </c>
      <c r="AD31" s="6">
        <v>1</v>
      </c>
      <c r="AE31" s="6">
        <v>14</v>
      </c>
      <c r="AF31" s="5">
        <v>0.60508824197795641</v>
      </c>
      <c r="AG31" s="5">
        <v>6.6968425129205825E-2</v>
      </c>
      <c r="AH31" s="6">
        <v>0</v>
      </c>
      <c r="AI31" s="6">
        <v>1</v>
      </c>
      <c r="AJ31" s="6">
        <v>104</v>
      </c>
      <c r="AK31">
        <f>(AF33/AF32)-AF31</f>
        <v>0.24338987590443462</v>
      </c>
    </row>
    <row r="32" spans="1:37" x14ac:dyDescent="0.45">
      <c r="A32" s="4" t="s">
        <v>32</v>
      </c>
      <c r="B32" s="5">
        <v>4.300104465507152E-2</v>
      </c>
      <c r="C32" s="5">
        <v>3.8529376428579974E-2</v>
      </c>
      <c r="D32" s="6">
        <v>0</v>
      </c>
      <c r="E32" s="6">
        <v>1</v>
      </c>
      <c r="F32" s="6">
        <v>29</v>
      </c>
      <c r="G32" s="5">
        <v>0</v>
      </c>
      <c r="H32" s="5">
        <v>0</v>
      </c>
      <c r="I32" s="6">
        <v>0</v>
      </c>
      <c r="J32" s="6">
        <v>0</v>
      </c>
      <c r="K32" s="6">
        <v>5</v>
      </c>
      <c r="L32" s="5">
        <v>0.32310688832667722</v>
      </c>
      <c r="M32" s="5">
        <v>0.11194939263044702</v>
      </c>
      <c r="N32" s="6">
        <v>0</v>
      </c>
      <c r="O32" s="6">
        <v>1</v>
      </c>
      <c r="P32" s="6">
        <v>19</v>
      </c>
      <c r="Q32" s="5">
        <v>0.41381121420178746</v>
      </c>
      <c r="R32" s="5">
        <v>0.12969928853703966</v>
      </c>
      <c r="S32" s="6">
        <v>0</v>
      </c>
      <c r="T32" s="6">
        <v>1</v>
      </c>
      <c r="U32" s="6">
        <v>19</v>
      </c>
      <c r="V32" s="5">
        <v>0.23553150148432661</v>
      </c>
      <c r="W32" s="5">
        <v>0.10224133114104708</v>
      </c>
      <c r="X32" s="6">
        <v>0</v>
      </c>
      <c r="Y32" s="6">
        <v>1</v>
      </c>
      <c r="Z32" s="6">
        <v>18</v>
      </c>
      <c r="AA32" s="5">
        <v>0.62380644277621733</v>
      </c>
      <c r="AB32" s="5">
        <v>0.15335862727964425</v>
      </c>
      <c r="AC32" s="6">
        <v>0</v>
      </c>
      <c r="AD32" s="6">
        <v>1</v>
      </c>
      <c r="AE32" s="6">
        <v>14</v>
      </c>
      <c r="AF32" s="5">
        <v>0.21962332207176813</v>
      </c>
      <c r="AG32" s="5">
        <v>4.9938905008240317E-2</v>
      </c>
      <c r="AH32" s="6">
        <v>0</v>
      </c>
      <c r="AI32" s="6">
        <v>1</v>
      </c>
      <c r="AJ32" s="6">
        <v>104</v>
      </c>
      <c r="AK32">
        <f>(AF33/AF31)-AF32</f>
        <v>8.8340987969015433E-2</v>
      </c>
    </row>
    <row r="33" spans="1:37" x14ac:dyDescent="0.45">
      <c r="A33" s="4" t="s">
        <v>33</v>
      </c>
      <c r="B33" s="5">
        <v>3.8003295157684171E-2</v>
      </c>
      <c r="C33" s="5">
        <v>3.814851254383702E-2</v>
      </c>
      <c r="D33" s="6">
        <v>0</v>
      </c>
      <c r="E33" s="6">
        <v>1</v>
      </c>
      <c r="F33" s="6">
        <v>29</v>
      </c>
      <c r="G33" s="5">
        <v>0</v>
      </c>
      <c r="H33" s="5">
        <v>0</v>
      </c>
      <c r="I33" s="6">
        <v>0</v>
      </c>
      <c r="J33" s="6">
        <v>0</v>
      </c>
      <c r="K33" s="6">
        <v>5</v>
      </c>
      <c r="L33" s="5">
        <v>0.32310688832667722</v>
      </c>
      <c r="M33" s="5">
        <v>0.11194939263044702</v>
      </c>
      <c r="N33" s="6">
        <v>0</v>
      </c>
      <c r="O33" s="6">
        <v>1</v>
      </c>
      <c r="P33" s="6">
        <v>19</v>
      </c>
      <c r="Q33" s="5">
        <v>0.15578060005800187</v>
      </c>
      <c r="R33" s="5">
        <v>8.7256143398724159E-2</v>
      </c>
      <c r="S33" s="6">
        <v>0</v>
      </c>
      <c r="T33" s="6">
        <v>1</v>
      </c>
      <c r="U33" s="6">
        <v>19</v>
      </c>
      <c r="V33" s="5">
        <v>0.23553150148432661</v>
      </c>
      <c r="W33" s="5">
        <v>0.10224133114104708</v>
      </c>
      <c r="X33" s="6">
        <v>0</v>
      </c>
      <c r="Y33" s="6">
        <v>1</v>
      </c>
      <c r="Z33" s="6">
        <v>18</v>
      </c>
      <c r="AA33" s="5">
        <v>0.53971058833751606</v>
      </c>
      <c r="AB33" s="5">
        <v>0.15587888524556878</v>
      </c>
      <c r="AC33" s="6">
        <v>0</v>
      </c>
      <c r="AD33" s="6">
        <v>1</v>
      </c>
      <c r="AE33" s="6">
        <v>14</v>
      </c>
      <c r="AF33" s="5">
        <v>0.18634558295453202</v>
      </c>
      <c r="AG33" s="5">
        <v>4.8045092097974529E-2</v>
      </c>
      <c r="AH33" s="6">
        <v>0</v>
      </c>
      <c r="AI33" s="6">
        <v>1</v>
      </c>
      <c r="AJ33" s="6">
        <v>104</v>
      </c>
    </row>
    <row r="34" spans="1:37" x14ac:dyDescent="0.45">
      <c r="A34" s="4" t="s">
        <v>13</v>
      </c>
      <c r="B34" s="5">
        <v>0.30675221420982407</v>
      </c>
      <c r="C34" s="5">
        <v>0.10306045185955409</v>
      </c>
      <c r="D34" s="6">
        <v>0</v>
      </c>
      <c r="E34" s="6">
        <v>1</v>
      </c>
      <c r="F34" s="6">
        <v>29</v>
      </c>
      <c r="G34" s="5">
        <v>0.30661429145553415</v>
      </c>
      <c r="H34" s="5">
        <v>0.26350898869548067</v>
      </c>
      <c r="I34" s="6">
        <v>0</v>
      </c>
      <c r="J34" s="6">
        <v>1</v>
      </c>
      <c r="K34" s="6">
        <v>5</v>
      </c>
      <c r="L34" s="5">
        <v>0.93120170116893897</v>
      </c>
      <c r="M34" s="5">
        <v>6.7691016512738053E-2</v>
      </c>
      <c r="N34" s="6">
        <v>0</v>
      </c>
      <c r="O34" s="6">
        <v>1</v>
      </c>
      <c r="P34" s="6">
        <v>19</v>
      </c>
      <c r="Q34" s="5">
        <v>0.34856431510481672</v>
      </c>
      <c r="R34" s="5">
        <v>0.13428004597101759</v>
      </c>
      <c r="S34" s="6">
        <v>0</v>
      </c>
      <c r="T34" s="6">
        <v>1</v>
      </c>
      <c r="U34" s="6">
        <v>19</v>
      </c>
      <c r="V34" s="5">
        <v>1</v>
      </c>
      <c r="W34" s="5">
        <v>0</v>
      </c>
      <c r="X34" s="6">
        <v>1</v>
      </c>
      <c r="Y34" s="6">
        <v>1</v>
      </c>
      <c r="Z34" s="6">
        <v>18</v>
      </c>
      <c r="AA34" s="5">
        <v>0.81077648414690529</v>
      </c>
      <c r="AB34" s="5">
        <v>0.11363495123652066</v>
      </c>
      <c r="AC34" s="6">
        <v>0</v>
      </c>
      <c r="AD34" s="6">
        <v>1</v>
      </c>
      <c r="AE34" s="6">
        <v>14</v>
      </c>
      <c r="AF34" s="5">
        <v>0.60508824197795641</v>
      </c>
      <c r="AG34" s="5">
        <v>6.6968425129205825E-2</v>
      </c>
      <c r="AH34" s="6">
        <v>0</v>
      </c>
      <c r="AI34" s="6">
        <v>1</v>
      </c>
      <c r="AJ34" s="6">
        <v>104</v>
      </c>
      <c r="AK34">
        <f>(AF36/AF35)-AF34</f>
        <v>0.35603666209579965</v>
      </c>
    </row>
    <row r="35" spans="1:37" x14ac:dyDescent="0.45">
      <c r="A35" s="4" t="s">
        <v>34</v>
      </c>
      <c r="B35" s="5">
        <v>4.9977494973873441E-3</v>
      </c>
      <c r="C35" s="5">
        <v>5.1842481806806187E-3</v>
      </c>
      <c r="D35" s="6">
        <v>0</v>
      </c>
      <c r="E35" s="6">
        <v>1</v>
      </c>
      <c r="F35" s="6">
        <v>29</v>
      </c>
      <c r="G35" s="5">
        <v>0</v>
      </c>
      <c r="H35" s="5">
        <v>0</v>
      </c>
      <c r="I35" s="6">
        <v>0</v>
      </c>
      <c r="J35" s="6">
        <v>0</v>
      </c>
      <c r="K35" s="6">
        <v>5</v>
      </c>
      <c r="L35" s="5">
        <v>0.1089926005638932</v>
      </c>
      <c r="M35" s="5">
        <v>7.4809215374932528E-2</v>
      </c>
      <c r="N35" s="6">
        <v>0</v>
      </c>
      <c r="O35" s="6">
        <v>1</v>
      </c>
      <c r="P35" s="6">
        <v>19</v>
      </c>
      <c r="Q35" s="5">
        <v>0</v>
      </c>
      <c r="R35" s="5">
        <v>0</v>
      </c>
      <c r="S35" s="6">
        <v>0</v>
      </c>
      <c r="T35" s="6">
        <v>0</v>
      </c>
      <c r="U35" s="6">
        <v>19</v>
      </c>
      <c r="V35" s="5">
        <v>0.18749442370539304</v>
      </c>
      <c r="W35" s="5">
        <v>9.5653225655299184E-2</v>
      </c>
      <c r="X35" s="6">
        <v>0</v>
      </c>
      <c r="Y35" s="6">
        <v>1</v>
      </c>
      <c r="Z35" s="6">
        <v>18</v>
      </c>
      <c r="AA35" s="5">
        <v>0.10851687170393783</v>
      </c>
      <c r="AB35" s="5">
        <v>9.1959813331468687E-2</v>
      </c>
      <c r="AC35" s="6">
        <v>0</v>
      </c>
      <c r="AD35" s="6">
        <v>1</v>
      </c>
      <c r="AE35" s="6">
        <v>14</v>
      </c>
      <c r="AF35" s="5">
        <v>5.7747988593625371E-2</v>
      </c>
      <c r="AG35" s="5">
        <v>2.8391611186991999E-2</v>
      </c>
      <c r="AH35" s="6">
        <v>0</v>
      </c>
      <c r="AI35" s="6">
        <v>1</v>
      </c>
      <c r="AJ35" s="6">
        <v>104</v>
      </c>
      <c r="AK35">
        <f>(AF36/AF34)-AF35</f>
        <v>3.3979178035936308E-2</v>
      </c>
    </row>
    <row r="36" spans="1:37" ht="26.25" x14ac:dyDescent="0.45">
      <c r="A36" s="4" t="s">
        <v>35</v>
      </c>
      <c r="B36" s="5">
        <v>0</v>
      </c>
      <c r="C36" s="5">
        <v>0</v>
      </c>
      <c r="D36" s="6">
        <v>0</v>
      </c>
      <c r="E36" s="6">
        <v>0</v>
      </c>
      <c r="F36" s="6">
        <v>29</v>
      </c>
      <c r="G36" s="5">
        <v>0</v>
      </c>
      <c r="H36" s="5">
        <v>0</v>
      </c>
      <c r="I36" s="6">
        <v>0</v>
      </c>
      <c r="J36" s="6">
        <v>0</v>
      </c>
      <c r="K36" s="6">
        <v>5</v>
      </c>
      <c r="L36" s="5">
        <v>0.1089926005638932</v>
      </c>
      <c r="M36" s="5">
        <v>7.4809215374932528E-2</v>
      </c>
      <c r="N36" s="6">
        <v>0</v>
      </c>
      <c r="O36" s="6">
        <v>1</v>
      </c>
      <c r="P36" s="6">
        <v>19</v>
      </c>
      <c r="Q36" s="5">
        <v>0</v>
      </c>
      <c r="R36" s="5">
        <v>0</v>
      </c>
      <c r="S36" s="6">
        <v>0</v>
      </c>
      <c r="T36" s="6">
        <v>0</v>
      </c>
      <c r="U36" s="6">
        <v>19</v>
      </c>
      <c r="V36" s="5">
        <v>0.18749442370539304</v>
      </c>
      <c r="W36" s="5">
        <v>9.5653225655299184E-2</v>
      </c>
      <c r="X36" s="6">
        <v>0</v>
      </c>
      <c r="Y36" s="6">
        <v>1</v>
      </c>
      <c r="Z36" s="6">
        <v>18</v>
      </c>
      <c r="AA36" s="5">
        <v>9.1385137798670593E-2</v>
      </c>
      <c r="AB36" s="5">
        <v>9.0431079609862339E-2</v>
      </c>
      <c r="AC36" s="6">
        <v>0</v>
      </c>
      <c r="AD36" s="6">
        <v>1</v>
      </c>
      <c r="AE36" s="6">
        <v>14</v>
      </c>
      <c r="AF36" s="5">
        <v>5.5503029997500543E-2</v>
      </c>
      <c r="AG36" s="5">
        <v>2.8335752969865423E-2</v>
      </c>
      <c r="AH36" s="6">
        <v>0</v>
      </c>
      <c r="AI36" s="6">
        <v>1</v>
      </c>
      <c r="AJ36" s="6">
        <v>104</v>
      </c>
    </row>
    <row r="37" spans="1:37" x14ac:dyDescent="0.45">
      <c r="A37" s="4" t="s">
        <v>13</v>
      </c>
      <c r="B37" s="5">
        <v>0.30675221420982407</v>
      </c>
      <c r="C37" s="5">
        <v>0.10306045185955409</v>
      </c>
      <c r="D37" s="6">
        <v>0</v>
      </c>
      <c r="E37" s="6">
        <v>1</v>
      </c>
      <c r="F37" s="6">
        <v>29</v>
      </c>
      <c r="G37" s="5">
        <v>0.30661429145553415</v>
      </c>
      <c r="H37" s="5">
        <v>0.26350898869548067</v>
      </c>
      <c r="I37" s="6">
        <v>0</v>
      </c>
      <c r="J37" s="6">
        <v>1</v>
      </c>
      <c r="K37" s="6">
        <v>5</v>
      </c>
      <c r="L37" s="5">
        <v>0.93120170116893897</v>
      </c>
      <c r="M37" s="5">
        <v>6.7691016512738053E-2</v>
      </c>
      <c r="N37" s="6">
        <v>0</v>
      </c>
      <c r="O37" s="6">
        <v>1</v>
      </c>
      <c r="P37" s="6">
        <v>19</v>
      </c>
      <c r="Q37" s="5">
        <v>0.34856431510481672</v>
      </c>
      <c r="R37" s="5">
        <v>0.13428004597101759</v>
      </c>
      <c r="S37" s="6">
        <v>0</v>
      </c>
      <c r="T37" s="6">
        <v>1</v>
      </c>
      <c r="U37" s="6">
        <v>19</v>
      </c>
      <c r="V37" s="5">
        <v>1</v>
      </c>
      <c r="W37" s="5">
        <v>0</v>
      </c>
      <c r="X37" s="6">
        <v>1</v>
      </c>
      <c r="Y37" s="6">
        <v>1</v>
      </c>
      <c r="Z37" s="6">
        <v>18</v>
      </c>
      <c r="AA37" s="5">
        <v>0.81077648414690529</v>
      </c>
      <c r="AB37" s="5">
        <v>0.11363495123652066</v>
      </c>
      <c r="AC37" s="6">
        <v>0</v>
      </c>
      <c r="AD37" s="6">
        <v>1</v>
      </c>
      <c r="AE37" s="6">
        <v>14</v>
      </c>
      <c r="AF37" s="5">
        <v>0.60508824197795641</v>
      </c>
      <c r="AG37" s="5">
        <v>6.6968425129205825E-2</v>
      </c>
      <c r="AH37" s="6">
        <v>0</v>
      </c>
      <c r="AI37" s="6">
        <v>1</v>
      </c>
      <c r="AJ37" s="6">
        <v>104</v>
      </c>
      <c r="AK37">
        <f>(AF39/AF38)-AF37</f>
        <v>-9.0092650545195441E-2</v>
      </c>
    </row>
    <row r="38" spans="1:37" x14ac:dyDescent="0.45">
      <c r="A38" s="4" t="s">
        <v>36</v>
      </c>
      <c r="B38" s="5">
        <v>0.75033349718812381</v>
      </c>
      <c r="C38" s="5">
        <v>0.11113628937183456</v>
      </c>
      <c r="D38" s="6">
        <v>0</v>
      </c>
      <c r="E38" s="6">
        <v>1</v>
      </c>
      <c r="F38" s="6">
        <v>28</v>
      </c>
      <c r="G38" s="5">
        <v>0.69890286206955909</v>
      </c>
      <c r="H38" s="5">
        <v>0.26064905237909602</v>
      </c>
      <c r="I38" s="6">
        <v>0</v>
      </c>
      <c r="J38" s="6">
        <v>1</v>
      </c>
      <c r="K38" s="6">
        <v>5</v>
      </c>
      <c r="L38" s="5">
        <v>7.6528749224782755E-2</v>
      </c>
      <c r="M38" s="5">
        <v>6.4008315307330796E-2</v>
      </c>
      <c r="N38" s="6">
        <v>0</v>
      </c>
      <c r="O38" s="6">
        <v>1</v>
      </c>
      <c r="P38" s="6">
        <v>16</v>
      </c>
      <c r="Q38" s="5">
        <v>0.13638212532932661</v>
      </c>
      <c r="R38" s="5">
        <v>0.12489587163927413</v>
      </c>
      <c r="S38" s="6">
        <v>0</v>
      </c>
      <c r="T38" s="6">
        <v>1</v>
      </c>
      <c r="U38" s="6">
        <v>19</v>
      </c>
      <c r="V38" s="5">
        <v>0.35584441822330487</v>
      </c>
      <c r="W38" s="5">
        <v>0.12202753204157965</v>
      </c>
      <c r="X38" s="6">
        <v>0</v>
      </c>
      <c r="Y38" s="6">
        <v>1</v>
      </c>
      <c r="Z38" s="6">
        <v>18</v>
      </c>
      <c r="AA38" s="5">
        <v>0.74429546837714122</v>
      </c>
      <c r="AB38" s="5">
        <v>0.12930236493328284</v>
      </c>
      <c r="AC38" s="6">
        <v>0</v>
      </c>
      <c r="AD38" s="6">
        <v>1</v>
      </c>
      <c r="AE38" s="6">
        <v>14</v>
      </c>
      <c r="AF38" s="5">
        <v>0.42925514319553509</v>
      </c>
      <c r="AG38" s="5">
        <v>6.917480911456024E-2</v>
      </c>
      <c r="AH38" s="6">
        <v>0</v>
      </c>
      <c r="AI38" s="6">
        <v>1</v>
      </c>
      <c r="AJ38" s="6">
        <v>100</v>
      </c>
      <c r="AK38">
        <f>(AF39/AF37)-AF38</f>
        <v>-6.3912551802736972E-2</v>
      </c>
    </row>
    <row r="39" spans="1:37" x14ac:dyDescent="0.45">
      <c r="A39" s="4" t="s">
        <v>37</v>
      </c>
      <c r="B39" s="5">
        <v>0.27732846867742567</v>
      </c>
      <c r="C39" s="5">
        <v>0.103441489656173</v>
      </c>
      <c r="D39" s="6">
        <v>0</v>
      </c>
      <c r="E39" s="6">
        <v>1</v>
      </c>
      <c r="F39" s="6">
        <v>28</v>
      </c>
      <c r="G39" s="5">
        <v>0.28413340654229741</v>
      </c>
      <c r="H39" s="5">
        <v>0.2635701019519151</v>
      </c>
      <c r="I39" s="6">
        <v>0</v>
      </c>
      <c r="J39" s="6">
        <v>1</v>
      </c>
      <c r="K39" s="6">
        <v>5</v>
      </c>
      <c r="L39" s="5">
        <v>7.6528749224782755E-2</v>
      </c>
      <c r="M39" s="5">
        <v>6.4008315307330796E-2</v>
      </c>
      <c r="N39" s="6">
        <v>0</v>
      </c>
      <c r="O39" s="6">
        <v>1</v>
      </c>
      <c r="P39" s="6">
        <v>16</v>
      </c>
      <c r="Q39" s="5">
        <v>0.13638212532932661</v>
      </c>
      <c r="R39" s="5">
        <v>0.12489587163927413</v>
      </c>
      <c r="S39" s="6">
        <v>0</v>
      </c>
      <c r="T39" s="6">
        <v>1</v>
      </c>
      <c r="U39" s="6">
        <v>19</v>
      </c>
      <c r="V39" s="5">
        <v>0.35584441822330487</v>
      </c>
      <c r="W39" s="5">
        <v>0.12202753204157965</v>
      </c>
      <c r="X39" s="6">
        <v>0</v>
      </c>
      <c r="Y39" s="6">
        <v>1</v>
      </c>
      <c r="Z39" s="6">
        <v>18</v>
      </c>
      <c r="AA39" s="5">
        <v>0.59152731026118399</v>
      </c>
      <c r="AB39" s="5">
        <v>0.15166514368286213</v>
      </c>
      <c r="AC39" s="6">
        <v>0</v>
      </c>
      <c r="AD39" s="6">
        <v>1</v>
      </c>
      <c r="AE39" s="6">
        <v>14</v>
      </c>
      <c r="AF39" s="5">
        <v>0.22106450634553909</v>
      </c>
      <c r="AG39" s="5">
        <v>5.8070871316351469E-2</v>
      </c>
      <c r="AH39" s="6">
        <v>0</v>
      </c>
      <c r="AI39" s="6">
        <v>1</v>
      </c>
      <c r="AJ39" s="6">
        <v>100</v>
      </c>
    </row>
    <row r="40" spans="1:37" x14ac:dyDescent="0.45">
      <c r="A40" s="4" t="s">
        <v>13</v>
      </c>
      <c r="B40" s="5">
        <v>0.30675221420982407</v>
      </c>
      <c r="C40" s="5">
        <v>0.10306045185955409</v>
      </c>
      <c r="D40" s="6">
        <v>0</v>
      </c>
      <c r="E40" s="6">
        <v>1</v>
      </c>
      <c r="F40" s="6">
        <v>29</v>
      </c>
      <c r="G40" s="5">
        <v>0.30661429145553415</v>
      </c>
      <c r="H40" s="5">
        <v>0.26350898869548067</v>
      </c>
      <c r="I40" s="6">
        <v>0</v>
      </c>
      <c r="J40" s="6">
        <v>1</v>
      </c>
      <c r="K40" s="6">
        <v>5</v>
      </c>
      <c r="L40" s="5">
        <v>0.93120170116893897</v>
      </c>
      <c r="M40" s="5">
        <v>6.7691016512738053E-2</v>
      </c>
      <c r="N40" s="6">
        <v>0</v>
      </c>
      <c r="O40" s="6">
        <v>1</v>
      </c>
      <c r="P40" s="6">
        <v>19</v>
      </c>
      <c r="Q40" s="5">
        <v>0.34856431510481672</v>
      </c>
      <c r="R40" s="5">
        <v>0.13428004597101759</v>
      </c>
      <c r="S40" s="6">
        <v>0</v>
      </c>
      <c r="T40" s="6">
        <v>1</v>
      </c>
      <c r="U40" s="6">
        <v>19</v>
      </c>
      <c r="V40" s="5">
        <v>1</v>
      </c>
      <c r="W40" s="5">
        <v>0</v>
      </c>
      <c r="X40" s="6">
        <v>1</v>
      </c>
      <c r="Y40" s="6">
        <v>1</v>
      </c>
      <c r="Z40" s="6">
        <v>18</v>
      </c>
      <c r="AA40" s="5">
        <v>0.81077648414690529</v>
      </c>
      <c r="AB40" s="5">
        <v>0.11363495123652066</v>
      </c>
      <c r="AC40" s="6">
        <v>0</v>
      </c>
      <c r="AD40" s="6">
        <v>1</v>
      </c>
      <c r="AE40" s="6">
        <v>14</v>
      </c>
      <c r="AF40" s="5">
        <v>0.60508824197795641</v>
      </c>
      <c r="AG40" s="5">
        <v>6.6968425129205825E-2</v>
      </c>
      <c r="AH40" s="6">
        <v>0</v>
      </c>
      <c r="AI40" s="6">
        <v>1</v>
      </c>
      <c r="AJ40" s="6">
        <v>104</v>
      </c>
      <c r="AK40">
        <f>(AF42/AF41)-AF40</f>
        <v>0.27779696936288112</v>
      </c>
    </row>
    <row r="41" spans="1:37" ht="26.25" x14ac:dyDescent="0.45">
      <c r="A41" s="4" t="s">
        <v>38</v>
      </c>
      <c r="B41" s="5">
        <v>0</v>
      </c>
      <c r="C41" s="5">
        <v>0</v>
      </c>
      <c r="D41" s="6">
        <v>0</v>
      </c>
      <c r="E41" s="6">
        <v>0</v>
      </c>
      <c r="F41" s="6">
        <v>29</v>
      </c>
      <c r="G41" s="5">
        <v>0</v>
      </c>
      <c r="H41" s="5">
        <v>0</v>
      </c>
      <c r="I41" s="6">
        <v>0</v>
      </c>
      <c r="J41" s="6">
        <v>0</v>
      </c>
      <c r="K41" s="6">
        <v>5</v>
      </c>
      <c r="L41" s="5">
        <v>0.94219031834334444</v>
      </c>
      <c r="M41" s="5">
        <v>5.7556730985345819E-2</v>
      </c>
      <c r="N41" s="6">
        <v>0</v>
      </c>
      <c r="O41" s="6">
        <v>1</v>
      </c>
      <c r="P41" s="6">
        <v>19</v>
      </c>
      <c r="Q41" s="5">
        <v>0.23215855473296679</v>
      </c>
      <c r="R41" s="5">
        <v>9.9015389508305698E-2</v>
      </c>
      <c r="S41" s="6">
        <v>0</v>
      </c>
      <c r="T41" s="6">
        <v>1</v>
      </c>
      <c r="U41" s="6">
        <v>19</v>
      </c>
      <c r="V41" s="5">
        <v>0.47441656189365872</v>
      </c>
      <c r="W41" s="5">
        <v>0.1275876604219422</v>
      </c>
      <c r="X41" s="6">
        <v>0</v>
      </c>
      <c r="Y41" s="6">
        <v>1</v>
      </c>
      <c r="Z41" s="6">
        <v>18</v>
      </c>
      <c r="AA41" s="5">
        <v>0.50100347893857933</v>
      </c>
      <c r="AB41" s="5">
        <v>0.15741214876712428</v>
      </c>
      <c r="AC41" s="6">
        <v>0</v>
      </c>
      <c r="AD41" s="6">
        <v>1</v>
      </c>
      <c r="AE41" s="6">
        <v>14</v>
      </c>
      <c r="AF41" s="5">
        <v>0.41945825525041158</v>
      </c>
      <c r="AG41" s="5">
        <v>6.5895940178938919E-2</v>
      </c>
      <c r="AH41" s="6">
        <v>0</v>
      </c>
      <c r="AI41" s="6">
        <v>1</v>
      </c>
      <c r="AJ41" s="6">
        <v>104</v>
      </c>
      <c r="AK41">
        <f>(AF42/AF40)-AF41</f>
        <v>0.19257394872176548</v>
      </c>
    </row>
    <row r="42" spans="1:37" ht="26.25" x14ac:dyDescent="0.45">
      <c r="A42" s="4" t="s">
        <v>39</v>
      </c>
      <c r="B42" s="5">
        <v>0</v>
      </c>
      <c r="C42" s="5">
        <v>0</v>
      </c>
      <c r="D42" s="6">
        <v>0</v>
      </c>
      <c r="E42" s="6">
        <v>0</v>
      </c>
      <c r="F42" s="6">
        <v>29</v>
      </c>
      <c r="G42" s="5">
        <v>0</v>
      </c>
      <c r="H42" s="5">
        <v>0</v>
      </c>
      <c r="I42" s="6">
        <v>0</v>
      </c>
      <c r="J42" s="6">
        <v>0</v>
      </c>
      <c r="K42" s="6">
        <v>5</v>
      </c>
      <c r="L42" s="5">
        <v>0.87339201951228362</v>
      </c>
      <c r="M42" s="5">
        <v>8.5388623283967069E-2</v>
      </c>
      <c r="N42" s="6">
        <v>0</v>
      </c>
      <c r="O42" s="6">
        <v>1</v>
      </c>
      <c r="P42" s="6">
        <v>19</v>
      </c>
      <c r="Q42" s="5">
        <v>5.640158971748821E-2</v>
      </c>
      <c r="R42" s="5">
        <v>5.25456185638144E-2</v>
      </c>
      <c r="S42" s="6">
        <v>0</v>
      </c>
      <c r="T42" s="6">
        <v>1</v>
      </c>
      <c r="U42" s="6">
        <v>19</v>
      </c>
      <c r="V42" s="5">
        <v>0.47441656189365872</v>
      </c>
      <c r="W42" s="5">
        <v>0.1275876604219422</v>
      </c>
      <c r="X42" s="6">
        <v>0</v>
      </c>
      <c r="Y42" s="6">
        <v>1</v>
      </c>
      <c r="Z42" s="6">
        <v>18</v>
      </c>
      <c r="AA42" s="5">
        <v>0.3958758175241861</v>
      </c>
      <c r="AB42" s="5">
        <v>0.15472386323655241</v>
      </c>
      <c r="AC42" s="6">
        <v>0</v>
      </c>
      <c r="AD42" s="6">
        <v>1</v>
      </c>
      <c r="AE42" s="6">
        <v>14</v>
      </c>
      <c r="AF42" s="5">
        <v>0.37033349033541862</v>
      </c>
      <c r="AG42" s="5">
        <v>6.4342089014173584E-2</v>
      </c>
      <c r="AH42" s="6">
        <v>0</v>
      </c>
      <c r="AI42" s="6">
        <v>1</v>
      </c>
      <c r="AJ42" s="6">
        <v>104</v>
      </c>
    </row>
    <row r="43" spans="1:37" x14ac:dyDescent="0.45">
      <c r="A43" s="4" t="s">
        <v>13</v>
      </c>
      <c r="B43" s="5">
        <v>0.30675221420982407</v>
      </c>
      <c r="C43" s="5">
        <v>0.10306045185955409</v>
      </c>
      <c r="D43" s="6">
        <v>0</v>
      </c>
      <c r="E43" s="6">
        <v>1</v>
      </c>
      <c r="F43" s="6">
        <v>29</v>
      </c>
      <c r="G43" s="5">
        <v>0.30661429145553415</v>
      </c>
      <c r="H43" s="5">
        <v>0.26350898869548067</v>
      </c>
      <c r="I43" s="6">
        <v>0</v>
      </c>
      <c r="J43" s="6">
        <v>1</v>
      </c>
      <c r="K43" s="6">
        <v>5</v>
      </c>
      <c r="L43" s="5">
        <v>0.93120170116893897</v>
      </c>
      <c r="M43" s="5">
        <v>6.7691016512738053E-2</v>
      </c>
      <c r="N43" s="6">
        <v>0</v>
      </c>
      <c r="O43" s="6">
        <v>1</v>
      </c>
      <c r="P43" s="6">
        <v>19</v>
      </c>
      <c r="Q43" s="5">
        <v>0.34856431510481672</v>
      </c>
      <c r="R43" s="5">
        <v>0.13428004597101759</v>
      </c>
      <c r="S43" s="6">
        <v>0</v>
      </c>
      <c r="T43" s="6">
        <v>1</v>
      </c>
      <c r="U43" s="6">
        <v>19</v>
      </c>
      <c r="V43" s="5">
        <v>1</v>
      </c>
      <c r="W43" s="5">
        <v>0</v>
      </c>
      <c r="X43" s="6">
        <v>1</v>
      </c>
      <c r="Y43" s="6">
        <v>1</v>
      </c>
      <c r="Z43" s="6">
        <v>18</v>
      </c>
      <c r="AA43" s="5">
        <v>0.81077648414690529</v>
      </c>
      <c r="AB43" s="5">
        <v>0.11363495123652066</v>
      </c>
      <c r="AC43" s="6">
        <v>0</v>
      </c>
      <c r="AD43" s="6">
        <v>1</v>
      </c>
      <c r="AE43" s="6">
        <v>14</v>
      </c>
      <c r="AF43" s="5">
        <v>0.60508824197795641</v>
      </c>
      <c r="AG43" s="5">
        <v>6.6968425129205825E-2</v>
      </c>
      <c r="AH43" s="6">
        <v>0</v>
      </c>
      <c r="AI43" s="6">
        <v>1</v>
      </c>
      <c r="AJ43" s="6">
        <v>104</v>
      </c>
      <c r="AK43">
        <f>(AF45/AF44)-AF43</f>
        <v>0.26495956992160685</v>
      </c>
    </row>
    <row r="44" spans="1:37" x14ac:dyDescent="0.45">
      <c r="A44" s="4" t="s">
        <v>40</v>
      </c>
      <c r="B44" s="5">
        <v>0.23600168674140035</v>
      </c>
      <c r="C44" s="5">
        <v>9.8121570578696957E-2</v>
      </c>
      <c r="D44" s="6">
        <v>0</v>
      </c>
      <c r="E44" s="6">
        <v>1</v>
      </c>
      <c r="F44" s="6">
        <v>29</v>
      </c>
      <c r="G44" s="5">
        <v>0.28413340654229741</v>
      </c>
      <c r="H44" s="5">
        <v>0.2635701019519151</v>
      </c>
      <c r="I44" s="6">
        <v>0</v>
      </c>
      <c r="J44" s="6">
        <v>1</v>
      </c>
      <c r="K44" s="6">
        <v>5</v>
      </c>
      <c r="L44" s="5">
        <v>1</v>
      </c>
      <c r="M44" s="5">
        <v>0</v>
      </c>
      <c r="N44" s="6">
        <v>1</v>
      </c>
      <c r="O44" s="6">
        <v>1</v>
      </c>
      <c r="P44" s="6">
        <v>19</v>
      </c>
      <c r="Q44" s="5">
        <v>0.85289731615094222</v>
      </c>
      <c r="R44" s="5">
        <v>0.10368836461541529</v>
      </c>
      <c r="S44" s="6">
        <v>0</v>
      </c>
      <c r="T44" s="6">
        <v>1</v>
      </c>
      <c r="U44" s="6">
        <v>19</v>
      </c>
      <c r="V44" s="5">
        <v>0.86634111546445414</v>
      </c>
      <c r="W44" s="5">
        <v>8.7661072043173624E-2</v>
      </c>
      <c r="X44" s="6">
        <v>0</v>
      </c>
      <c r="Y44" s="6">
        <v>1</v>
      </c>
      <c r="Z44" s="6">
        <v>18</v>
      </c>
      <c r="AA44" s="5">
        <v>0.68542702638902031</v>
      </c>
      <c r="AB44" s="5">
        <v>0.14449500923918335</v>
      </c>
      <c r="AC44" s="6">
        <v>0</v>
      </c>
      <c r="AD44" s="6">
        <v>1</v>
      </c>
      <c r="AE44" s="6">
        <v>14</v>
      </c>
      <c r="AF44" s="5">
        <v>0.64636059193257822</v>
      </c>
      <c r="AG44" s="5">
        <v>6.6126331124485585E-2</v>
      </c>
      <c r="AH44" s="6">
        <v>0</v>
      </c>
      <c r="AI44" s="6">
        <v>1</v>
      </c>
      <c r="AJ44" s="6">
        <v>104</v>
      </c>
      <c r="AK44">
        <f>(AF45/AF43)-AF44</f>
        <v>0.28303214733260373</v>
      </c>
    </row>
    <row r="45" spans="1:37" ht="26.25" x14ac:dyDescent="0.45">
      <c r="A45" s="4" t="s">
        <v>41</v>
      </c>
      <c r="B45" s="5">
        <v>0.23600168674140035</v>
      </c>
      <c r="C45" s="5">
        <v>9.8121570578696957E-2</v>
      </c>
      <c r="D45" s="6">
        <v>0</v>
      </c>
      <c r="E45" s="6">
        <v>1</v>
      </c>
      <c r="F45" s="6">
        <v>29</v>
      </c>
      <c r="G45" s="5">
        <v>0.28413340654229741</v>
      </c>
      <c r="H45" s="5">
        <v>0.2635701019519151</v>
      </c>
      <c r="I45" s="6">
        <v>0</v>
      </c>
      <c r="J45" s="6">
        <v>1</v>
      </c>
      <c r="K45" s="6">
        <v>5</v>
      </c>
      <c r="L45" s="5">
        <v>0.93120170116893897</v>
      </c>
      <c r="M45" s="5">
        <v>6.7691016512738053E-2</v>
      </c>
      <c r="N45" s="6">
        <v>0</v>
      </c>
      <c r="O45" s="6">
        <v>1</v>
      </c>
      <c r="P45" s="6">
        <v>19</v>
      </c>
      <c r="Q45" s="5">
        <v>0.34856431510481672</v>
      </c>
      <c r="R45" s="5">
        <v>0.13428004597101759</v>
      </c>
      <c r="S45" s="6">
        <v>0</v>
      </c>
      <c r="T45" s="6">
        <v>1</v>
      </c>
      <c r="U45" s="6">
        <v>19</v>
      </c>
      <c r="V45" s="5">
        <v>0.86634111546445414</v>
      </c>
      <c r="W45" s="5">
        <v>8.7661072043173624E-2</v>
      </c>
      <c r="X45" s="6">
        <v>0</v>
      </c>
      <c r="Y45" s="6">
        <v>1</v>
      </c>
      <c r="Z45" s="6">
        <v>18</v>
      </c>
      <c r="AA45" s="5">
        <v>0.58029936497462697</v>
      </c>
      <c r="AB45" s="5">
        <v>0.15545852097425128</v>
      </c>
      <c r="AC45" s="6">
        <v>0</v>
      </c>
      <c r="AD45" s="6">
        <v>1</v>
      </c>
      <c r="AE45" s="6">
        <v>14</v>
      </c>
      <c r="AF45" s="5">
        <v>0.56236461870904619</v>
      </c>
      <c r="AG45" s="5">
        <v>6.7052525680788108E-2</v>
      </c>
      <c r="AH45" s="6">
        <v>0</v>
      </c>
      <c r="AI45" s="6">
        <v>1</v>
      </c>
      <c r="AJ45" s="6">
        <v>104</v>
      </c>
    </row>
    <row r="46" spans="1:37" x14ac:dyDescent="0.45">
      <c r="A46" s="4" t="s">
        <v>13</v>
      </c>
      <c r="B46" s="5">
        <v>0.30675221420982407</v>
      </c>
      <c r="C46" s="5">
        <v>0.10306045185955409</v>
      </c>
      <c r="D46" s="6">
        <v>0</v>
      </c>
      <c r="E46" s="6">
        <v>1</v>
      </c>
      <c r="F46" s="6">
        <v>29</v>
      </c>
      <c r="G46" s="5">
        <v>0.30661429145553415</v>
      </c>
      <c r="H46" s="5">
        <v>0.26350898869548067</v>
      </c>
      <c r="I46" s="6">
        <v>0</v>
      </c>
      <c r="J46" s="6">
        <v>1</v>
      </c>
      <c r="K46" s="6">
        <v>5</v>
      </c>
      <c r="L46" s="5">
        <v>0.93120170116893897</v>
      </c>
      <c r="M46" s="5">
        <v>6.7691016512738053E-2</v>
      </c>
      <c r="N46" s="6">
        <v>0</v>
      </c>
      <c r="O46" s="6">
        <v>1</v>
      </c>
      <c r="P46" s="6">
        <v>19</v>
      </c>
      <c r="Q46" s="5">
        <v>0.34856431510481672</v>
      </c>
      <c r="R46" s="5">
        <v>0.13428004597101759</v>
      </c>
      <c r="S46" s="6">
        <v>0</v>
      </c>
      <c r="T46" s="6">
        <v>1</v>
      </c>
      <c r="U46" s="6">
        <v>19</v>
      </c>
      <c r="V46" s="5">
        <v>1</v>
      </c>
      <c r="W46" s="5">
        <v>0</v>
      </c>
      <c r="X46" s="6">
        <v>1</v>
      </c>
      <c r="Y46" s="6">
        <v>1</v>
      </c>
      <c r="Z46" s="6">
        <v>18</v>
      </c>
      <c r="AA46" s="5">
        <v>0.81077648414690529</v>
      </c>
      <c r="AB46" s="5">
        <v>0.11363495123652066</v>
      </c>
      <c r="AC46" s="6">
        <v>0</v>
      </c>
      <c r="AD46" s="6">
        <v>1</v>
      </c>
      <c r="AE46" s="6">
        <v>14</v>
      </c>
      <c r="AF46" s="5">
        <v>0.60508824197795641</v>
      </c>
      <c r="AG46" s="5">
        <v>6.6968425129205825E-2</v>
      </c>
      <c r="AH46" s="6">
        <v>0</v>
      </c>
      <c r="AI46" s="6">
        <v>1</v>
      </c>
      <c r="AJ46" s="6">
        <v>104</v>
      </c>
      <c r="AK46">
        <f>(AF48/AF47)-AF46</f>
        <v>0.24345942636900686</v>
      </c>
    </row>
    <row r="47" spans="1:37" x14ac:dyDescent="0.45">
      <c r="A47" s="4" t="s">
        <v>42</v>
      </c>
      <c r="B47" s="5">
        <v>0.14679233898869379</v>
      </c>
      <c r="C47" s="5">
        <v>7.21952874481087E-2</v>
      </c>
      <c r="D47" s="6">
        <v>0</v>
      </c>
      <c r="E47" s="6">
        <v>1</v>
      </c>
      <c r="F47" s="6">
        <v>29</v>
      </c>
      <c r="G47" s="5">
        <v>0.28413340654229741</v>
      </c>
      <c r="H47" s="5">
        <v>0.2635701019519151</v>
      </c>
      <c r="I47" s="6">
        <v>0</v>
      </c>
      <c r="J47" s="6">
        <v>1</v>
      </c>
      <c r="K47" s="6">
        <v>5</v>
      </c>
      <c r="L47" s="5">
        <v>0.83743216794734465</v>
      </c>
      <c r="M47" s="5">
        <v>8.8339131816845065E-2</v>
      </c>
      <c r="N47" s="6">
        <v>0</v>
      </c>
      <c r="O47" s="6">
        <v>1</v>
      </c>
      <c r="P47" s="6">
        <v>19</v>
      </c>
      <c r="Q47" s="5">
        <v>0.89861962585941668</v>
      </c>
      <c r="R47" s="5">
        <v>9.6845778169611332E-2</v>
      </c>
      <c r="S47" s="6">
        <v>0</v>
      </c>
      <c r="T47" s="6">
        <v>1</v>
      </c>
      <c r="U47" s="6">
        <v>19</v>
      </c>
      <c r="V47" s="5">
        <v>0.94505098249148323</v>
      </c>
      <c r="W47" s="5">
        <v>5.5165329624764066E-2</v>
      </c>
      <c r="X47" s="6">
        <v>0</v>
      </c>
      <c r="Y47" s="6">
        <v>1</v>
      </c>
      <c r="Z47" s="6">
        <v>18</v>
      </c>
      <c r="AA47" s="5">
        <v>0.91590414556129873</v>
      </c>
      <c r="AB47" s="5">
        <v>5.7720093761496942E-2</v>
      </c>
      <c r="AC47" s="6">
        <v>0</v>
      </c>
      <c r="AD47" s="6">
        <v>1</v>
      </c>
      <c r="AE47" s="6">
        <v>14</v>
      </c>
      <c r="AF47" s="5">
        <v>0.5866426892711829</v>
      </c>
      <c r="AG47" s="5">
        <v>6.7909303410161284E-2</v>
      </c>
      <c r="AH47" s="6">
        <v>0</v>
      </c>
      <c r="AI47" s="6">
        <v>1</v>
      </c>
      <c r="AJ47" s="6">
        <v>104</v>
      </c>
      <c r="AK47">
        <f>(AF48/AF46)-AF47</f>
        <v>0.23603779201965858</v>
      </c>
    </row>
    <row r="48" spans="1:37" ht="26.25" x14ac:dyDescent="0.45">
      <c r="A48" s="4" t="s">
        <v>43</v>
      </c>
      <c r="B48" s="5">
        <v>0.14679233898869379</v>
      </c>
      <c r="C48" s="5">
        <v>7.21952874481087E-2</v>
      </c>
      <c r="D48" s="6">
        <v>0</v>
      </c>
      <c r="E48" s="6">
        <v>1</v>
      </c>
      <c r="F48" s="6">
        <v>29</v>
      </c>
      <c r="G48" s="5">
        <v>0.28413340654229741</v>
      </c>
      <c r="H48" s="5">
        <v>0.2635701019519151</v>
      </c>
      <c r="I48" s="6">
        <v>0</v>
      </c>
      <c r="J48" s="6">
        <v>1</v>
      </c>
      <c r="K48" s="6">
        <v>5</v>
      </c>
      <c r="L48" s="5">
        <v>0.76863386911628384</v>
      </c>
      <c r="M48" s="5">
        <v>0.10379530195737023</v>
      </c>
      <c r="N48" s="6">
        <v>0</v>
      </c>
      <c r="O48" s="6">
        <v>1</v>
      </c>
      <c r="P48" s="6">
        <v>19</v>
      </c>
      <c r="Q48" s="5">
        <v>0.34856431510481672</v>
      </c>
      <c r="R48" s="5">
        <v>0.13428004597101759</v>
      </c>
      <c r="S48" s="6">
        <v>0</v>
      </c>
      <c r="T48" s="6">
        <v>1</v>
      </c>
      <c r="U48" s="6">
        <v>19</v>
      </c>
      <c r="V48" s="5">
        <v>0.94505098249148323</v>
      </c>
      <c r="W48" s="5">
        <v>5.5165329624764066E-2</v>
      </c>
      <c r="X48" s="6">
        <v>0</v>
      </c>
      <c r="Y48" s="6">
        <v>1</v>
      </c>
      <c r="Z48" s="6">
        <v>18</v>
      </c>
      <c r="AA48" s="5">
        <v>0.81077648414690529</v>
      </c>
      <c r="AB48" s="5">
        <v>0.11363495123652066</v>
      </c>
      <c r="AC48" s="6">
        <v>0</v>
      </c>
      <c r="AD48" s="6">
        <v>1</v>
      </c>
      <c r="AE48" s="6">
        <v>14</v>
      </c>
      <c r="AF48" s="5">
        <v>0.49779428613385435</v>
      </c>
      <c r="AG48" s="5">
        <v>6.7430400097943516E-2</v>
      </c>
      <c r="AH48" s="6">
        <v>0</v>
      </c>
      <c r="AI48" s="6">
        <v>1</v>
      </c>
      <c r="AJ48" s="6">
        <v>104</v>
      </c>
    </row>
    <row r="49" spans="1:37" x14ac:dyDescent="0.45">
      <c r="A49" s="4" t="s">
        <v>13</v>
      </c>
      <c r="B49" s="5">
        <v>0.30675221420982407</v>
      </c>
      <c r="C49" s="5">
        <v>0.10306045185955409</v>
      </c>
      <c r="D49" s="6">
        <v>0</v>
      </c>
      <c r="E49" s="6">
        <v>1</v>
      </c>
      <c r="F49" s="6">
        <v>29</v>
      </c>
      <c r="G49" s="5">
        <v>0.30661429145553415</v>
      </c>
      <c r="H49" s="5">
        <v>0.26350898869548067</v>
      </c>
      <c r="I49" s="6">
        <v>0</v>
      </c>
      <c r="J49" s="6">
        <v>1</v>
      </c>
      <c r="K49" s="6">
        <v>5</v>
      </c>
      <c r="L49" s="5">
        <v>0.93120170116893897</v>
      </c>
      <c r="M49" s="5">
        <v>6.7691016512738053E-2</v>
      </c>
      <c r="N49" s="6">
        <v>0</v>
      </c>
      <c r="O49" s="6">
        <v>1</v>
      </c>
      <c r="P49" s="6">
        <v>19</v>
      </c>
      <c r="Q49" s="5">
        <v>0.34856431510481672</v>
      </c>
      <c r="R49" s="5">
        <v>0.13428004597101759</v>
      </c>
      <c r="S49" s="6">
        <v>0</v>
      </c>
      <c r="T49" s="6">
        <v>1</v>
      </c>
      <c r="U49" s="6">
        <v>19</v>
      </c>
      <c r="V49" s="5">
        <v>1</v>
      </c>
      <c r="W49" s="5">
        <v>0</v>
      </c>
      <c r="X49" s="6">
        <v>1</v>
      </c>
      <c r="Y49" s="6">
        <v>1</v>
      </c>
      <c r="Z49" s="6">
        <v>18</v>
      </c>
      <c r="AA49" s="5">
        <v>0.81077648414690529</v>
      </c>
      <c r="AB49" s="5">
        <v>0.11363495123652066</v>
      </c>
      <c r="AC49" s="6">
        <v>0</v>
      </c>
      <c r="AD49" s="6">
        <v>1</v>
      </c>
      <c r="AE49" s="6">
        <v>14</v>
      </c>
      <c r="AF49" s="5">
        <v>0.60508824197795641</v>
      </c>
      <c r="AG49" s="5">
        <v>6.6968425129205825E-2</v>
      </c>
      <c r="AH49" s="6">
        <v>0</v>
      </c>
      <c r="AI49" s="6">
        <v>1</v>
      </c>
      <c r="AJ49" s="6">
        <v>104</v>
      </c>
      <c r="AK49">
        <f>(AF51/AF50)-AF49</f>
        <v>0.27185145051268766</v>
      </c>
    </row>
    <row r="50" spans="1:37" x14ac:dyDescent="0.45">
      <c r="A50" s="4" t="s">
        <v>44</v>
      </c>
      <c r="B50" s="5">
        <v>0</v>
      </c>
      <c r="C50" s="5">
        <v>0</v>
      </c>
      <c r="D50" s="6">
        <v>0</v>
      </c>
      <c r="E50" s="6">
        <v>0</v>
      </c>
      <c r="F50" s="6">
        <v>29</v>
      </c>
      <c r="G50" s="5">
        <v>0</v>
      </c>
      <c r="H50" s="5">
        <v>0</v>
      </c>
      <c r="I50" s="6">
        <v>0</v>
      </c>
      <c r="J50" s="6">
        <v>0</v>
      </c>
      <c r="K50" s="6">
        <v>5</v>
      </c>
      <c r="L50" s="5">
        <v>0.43080549064057538</v>
      </c>
      <c r="M50" s="5">
        <v>0.1188108626030543</v>
      </c>
      <c r="N50" s="6">
        <v>0</v>
      </c>
      <c r="O50" s="6">
        <v>1</v>
      </c>
      <c r="P50" s="6">
        <v>19</v>
      </c>
      <c r="Q50" s="5">
        <v>0.58179797025751767</v>
      </c>
      <c r="R50" s="5">
        <v>0.13112718214255636</v>
      </c>
      <c r="S50" s="6">
        <v>0</v>
      </c>
      <c r="T50" s="6">
        <v>1</v>
      </c>
      <c r="U50" s="6">
        <v>19</v>
      </c>
      <c r="V50" s="5">
        <v>0.27840718326047831</v>
      </c>
      <c r="W50" s="5">
        <v>0.11962958289453833</v>
      </c>
      <c r="X50" s="6">
        <v>0</v>
      </c>
      <c r="Y50" s="6">
        <v>1</v>
      </c>
      <c r="Z50" s="6">
        <v>18</v>
      </c>
      <c r="AA50" s="5">
        <v>0.27889208014984646</v>
      </c>
      <c r="AB50" s="5">
        <v>0.14163420824029879</v>
      </c>
      <c r="AC50" s="6">
        <v>0</v>
      </c>
      <c r="AD50" s="6">
        <v>1</v>
      </c>
      <c r="AE50" s="6">
        <v>14</v>
      </c>
      <c r="AF50" s="5">
        <v>0.24869923971566638</v>
      </c>
      <c r="AG50" s="5">
        <v>5.4351819960247037E-2</v>
      </c>
      <c r="AH50" s="6">
        <v>0</v>
      </c>
      <c r="AI50" s="6">
        <v>1</v>
      </c>
      <c r="AJ50" s="6">
        <v>104</v>
      </c>
      <c r="AK50">
        <f>(AF51/AF49)-AF50</f>
        <v>0.11173452790472432</v>
      </c>
    </row>
    <row r="51" spans="1:37" x14ac:dyDescent="0.45">
      <c r="A51" s="4" t="s">
        <v>45</v>
      </c>
      <c r="B51" s="5">
        <v>0</v>
      </c>
      <c r="C51" s="5">
        <v>0</v>
      </c>
      <c r="D51" s="6">
        <v>0</v>
      </c>
      <c r="E51" s="6">
        <v>0</v>
      </c>
      <c r="F51" s="6">
        <v>29</v>
      </c>
      <c r="G51" s="5">
        <v>0</v>
      </c>
      <c r="H51" s="5">
        <v>0</v>
      </c>
      <c r="I51" s="6">
        <v>0</v>
      </c>
      <c r="J51" s="6">
        <v>0</v>
      </c>
      <c r="K51" s="6">
        <v>5</v>
      </c>
      <c r="L51" s="5">
        <v>0.43080549064057538</v>
      </c>
      <c r="M51" s="5">
        <v>0.1188108626030543</v>
      </c>
      <c r="N51" s="6">
        <v>0</v>
      </c>
      <c r="O51" s="6">
        <v>1</v>
      </c>
      <c r="P51" s="6">
        <v>19</v>
      </c>
      <c r="Q51" s="5">
        <v>0.29342048963598616</v>
      </c>
      <c r="R51" s="5">
        <v>0.13272189381863247</v>
      </c>
      <c r="S51" s="6">
        <v>0</v>
      </c>
      <c r="T51" s="6">
        <v>1</v>
      </c>
      <c r="U51" s="6">
        <v>19</v>
      </c>
      <c r="V51" s="5">
        <v>0.27840718326047831</v>
      </c>
      <c r="W51" s="5">
        <v>0.11962958289453833</v>
      </c>
      <c r="X51" s="6">
        <v>0</v>
      </c>
      <c r="Y51" s="6">
        <v>1</v>
      </c>
      <c r="Z51" s="6">
        <v>18</v>
      </c>
      <c r="AA51" s="5">
        <v>0.27889208014984646</v>
      </c>
      <c r="AB51" s="5">
        <v>0.14163420824029879</v>
      </c>
      <c r="AC51" s="6">
        <v>0</v>
      </c>
      <c r="AD51" s="6">
        <v>1</v>
      </c>
      <c r="AE51" s="6">
        <v>14</v>
      </c>
      <c r="AF51" s="5">
        <v>0.21809423479891346</v>
      </c>
      <c r="AG51" s="5">
        <v>5.3215386169966121E-2</v>
      </c>
      <c r="AH51" s="6">
        <v>0</v>
      </c>
      <c r="AI51" s="6">
        <v>1</v>
      </c>
      <c r="AJ51" s="6">
        <v>104</v>
      </c>
    </row>
    <row r="52" spans="1:37" x14ac:dyDescent="0.45">
      <c r="A52" s="4" t="s">
        <v>14</v>
      </c>
      <c r="B52" s="5">
        <v>0</v>
      </c>
      <c r="C52" s="5">
        <v>0</v>
      </c>
      <c r="D52" s="6">
        <v>0</v>
      </c>
      <c r="E52" s="6">
        <v>0</v>
      </c>
      <c r="F52" s="6">
        <v>29</v>
      </c>
      <c r="G52" s="5">
        <v>0</v>
      </c>
      <c r="H52" s="5">
        <v>0</v>
      </c>
      <c r="I52" s="6">
        <v>0</v>
      </c>
      <c r="J52" s="6">
        <v>0</v>
      </c>
      <c r="K52" s="6">
        <v>5</v>
      </c>
      <c r="L52" s="5">
        <v>0.51550109033725</v>
      </c>
      <c r="M52" s="5">
        <v>0.12005105273537343</v>
      </c>
      <c r="N52" s="6">
        <v>0</v>
      </c>
      <c r="O52" s="6">
        <v>1</v>
      </c>
      <c r="P52" s="6">
        <v>19</v>
      </c>
      <c r="Q52" s="5">
        <v>0.12263212807622212</v>
      </c>
      <c r="R52" s="5">
        <v>7.1298614074622915E-2</v>
      </c>
      <c r="S52" s="6">
        <v>0</v>
      </c>
      <c r="T52" s="6">
        <v>1</v>
      </c>
      <c r="U52" s="6">
        <v>19</v>
      </c>
      <c r="V52" s="5">
        <v>7.3028961692628513E-2</v>
      </c>
      <c r="W52" s="5">
        <v>7.1910419319821686E-2</v>
      </c>
      <c r="X52" s="6">
        <v>0</v>
      </c>
      <c r="Y52" s="6">
        <v>1</v>
      </c>
      <c r="Z52" s="6">
        <v>18</v>
      </c>
      <c r="AA52" s="5">
        <v>0.3983711258467082</v>
      </c>
      <c r="AB52" s="5">
        <v>0.15635659849892011</v>
      </c>
      <c r="AC52" s="6">
        <v>0</v>
      </c>
      <c r="AD52" s="6">
        <v>1</v>
      </c>
      <c r="AE52" s="6">
        <v>14</v>
      </c>
      <c r="AF52" s="5">
        <v>0.22453693331192012</v>
      </c>
      <c r="AG52" s="5">
        <v>5.5524839390507182E-2</v>
      </c>
      <c r="AH52" s="6">
        <v>0</v>
      </c>
      <c r="AI52" s="6">
        <v>1</v>
      </c>
      <c r="AJ52" s="6">
        <v>104</v>
      </c>
      <c r="AK52">
        <f>(AF54/AF53)-AF52</f>
        <v>0.16933786434254641</v>
      </c>
    </row>
    <row r="53" spans="1:37" x14ac:dyDescent="0.45">
      <c r="A53" s="4" t="s">
        <v>26</v>
      </c>
      <c r="B53" s="5">
        <v>0</v>
      </c>
      <c r="C53" s="5">
        <v>0</v>
      </c>
      <c r="D53" s="6">
        <v>0</v>
      </c>
      <c r="E53" s="6">
        <v>0</v>
      </c>
      <c r="F53" s="6">
        <v>29</v>
      </c>
      <c r="G53" s="5">
        <v>0</v>
      </c>
      <c r="H53" s="5">
        <v>0</v>
      </c>
      <c r="I53" s="6">
        <v>0</v>
      </c>
      <c r="J53" s="6">
        <v>0</v>
      </c>
      <c r="K53" s="6">
        <v>5</v>
      </c>
      <c r="L53" s="5">
        <v>0.66388051962713335</v>
      </c>
      <c r="M53" s="5">
        <v>0.11460855436927163</v>
      </c>
      <c r="N53" s="6">
        <v>0</v>
      </c>
      <c r="O53" s="6">
        <v>1</v>
      </c>
      <c r="P53" s="6">
        <v>19</v>
      </c>
      <c r="Q53" s="5">
        <v>0.29374289139203691</v>
      </c>
      <c r="R53" s="5">
        <v>0.11283736420444235</v>
      </c>
      <c r="S53" s="6">
        <v>0</v>
      </c>
      <c r="T53" s="6">
        <v>1</v>
      </c>
      <c r="U53" s="6">
        <v>19</v>
      </c>
      <c r="V53" s="5">
        <v>0.36680645879208712</v>
      </c>
      <c r="W53" s="5">
        <v>0.12383916979165614</v>
      </c>
      <c r="X53" s="6">
        <v>0</v>
      </c>
      <c r="Y53" s="6">
        <v>1</v>
      </c>
      <c r="Z53" s="6">
        <v>18</v>
      </c>
      <c r="AA53" s="5">
        <v>0.30087795573298015</v>
      </c>
      <c r="AB53" s="5">
        <v>0.14549325187447498</v>
      </c>
      <c r="AC53" s="6">
        <v>0</v>
      </c>
      <c r="AD53" s="6">
        <v>1</v>
      </c>
      <c r="AE53" s="6">
        <v>14</v>
      </c>
      <c r="AF53" s="5">
        <v>0.30849368526502607</v>
      </c>
      <c r="AG53" s="5">
        <v>6.0369974510870769E-2</v>
      </c>
      <c r="AH53" s="6">
        <v>0</v>
      </c>
      <c r="AI53" s="6">
        <v>1</v>
      </c>
      <c r="AJ53" s="6">
        <v>104</v>
      </c>
      <c r="AK53">
        <f>(AF54/AF52)-AF53</f>
        <v>0.23265509622584624</v>
      </c>
    </row>
    <row r="54" spans="1:37" x14ac:dyDescent="0.45">
      <c r="A54" s="4" t="s">
        <v>46</v>
      </c>
      <c r="B54" s="5">
        <v>0</v>
      </c>
      <c r="C54" s="5">
        <v>0</v>
      </c>
      <c r="D54" s="6">
        <v>0</v>
      </c>
      <c r="E54" s="6">
        <v>0</v>
      </c>
      <c r="F54" s="6">
        <v>29</v>
      </c>
      <c r="G54" s="5">
        <v>0</v>
      </c>
      <c r="H54" s="5">
        <v>0</v>
      </c>
      <c r="I54" s="6">
        <v>0</v>
      </c>
      <c r="J54" s="6">
        <v>0</v>
      </c>
      <c r="K54" s="6">
        <v>5</v>
      </c>
      <c r="L54" s="5">
        <v>0.28242111904928735</v>
      </c>
      <c r="M54" s="5">
        <v>0.10679841757169566</v>
      </c>
      <c r="N54" s="6">
        <v>0</v>
      </c>
      <c r="O54" s="6">
        <v>1</v>
      </c>
      <c r="P54" s="6">
        <v>19</v>
      </c>
      <c r="Q54" s="5">
        <v>8.6028967841946608E-2</v>
      </c>
      <c r="R54" s="5">
        <v>6.1316507590465301E-2</v>
      </c>
      <c r="S54" s="6">
        <v>0</v>
      </c>
      <c r="T54" s="6">
        <v>1</v>
      </c>
      <c r="U54" s="6">
        <v>19</v>
      </c>
      <c r="V54" s="5">
        <v>0</v>
      </c>
      <c r="W54" s="5">
        <v>0</v>
      </c>
      <c r="X54" s="6">
        <v>0</v>
      </c>
      <c r="Y54" s="6">
        <v>0</v>
      </c>
      <c r="Z54" s="6">
        <v>18</v>
      </c>
      <c r="AA54" s="5">
        <v>0.19824560264110891</v>
      </c>
      <c r="AB54" s="5">
        <v>0.12928507317232338</v>
      </c>
      <c r="AC54" s="6">
        <v>0</v>
      </c>
      <c r="AD54" s="6">
        <v>1</v>
      </c>
      <c r="AE54" s="6">
        <v>14</v>
      </c>
      <c r="AF54" s="5">
        <v>0.12150788786144283</v>
      </c>
      <c r="AG54" s="5">
        <v>4.2530264642681025E-2</v>
      </c>
      <c r="AH54" s="6">
        <v>0</v>
      </c>
      <c r="AI54" s="6">
        <v>1</v>
      </c>
      <c r="AJ54" s="6">
        <v>104</v>
      </c>
    </row>
    <row r="55" spans="1:37" x14ac:dyDescent="0.45">
      <c r="A55" s="4" t="s">
        <v>14</v>
      </c>
      <c r="B55" s="5">
        <v>0</v>
      </c>
      <c r="C55" s="5">
        <v>0</v>
      </c>
      <c r="D55" s="6">
        <v>0</v>
      </c>
      <c r="E55" s="6">
        <v>0</v>
      </c>
      <c r="F55" s="6">
        <v>29</v>
      </c>
      <c r="G55" s="5">
        <v>0</v>
      </c>
      <c r="H55" s="5">
        <v>0</v>
      </c>
      <c r="I55" s="6">
        <v>0</v>
      </c>
      <c r="J55" s="6">
        <v>0</v>
      </c>
      <c r="K55" s="6">
        <v>5</v>
      </c>
      <c r="L55" s="5">
        <v>0.51550109033725</v>
      </c>
      <c r="M55" s="5">
        <v>0.12005105273537343</v>
      </c>
      <c r="N55" s="6">
        <v>0</v>
      </c>
      <c r="O55" s="6">
        <v>1</v>
      </c>
      <c r="P55" s="6">
        <v>19</v>
      </c>
      <c r="Q55" s="5">
        <v>0.12263212807622212</v>
      </c>
      <c r="R55" s="5">
        <v>7.1298614074622915E-2</v>
      </c>
      <c r="S55" s="6">
        <v>0</v>
      </c>
      <c r="T55" s="6">
        <v>1</v>
      </c>
      <c r="U55" s="6">
        <v>19</v>
      </c>
      <c r="V55" s="5">
        <v>7.3028961692628513E-2</v>
      </c>
      <c r="W55" s="5">
        <v>7.1910419319821686E-2</v>
      </c>
      <c r="X55" s="6">
        <v>0</v>
      </c>
      <c r="Y55" s="6">
        <v>1</v>
      </c>
      <c r="Z55" s="6">
        <v>18</v>
      </c>
      <c r="AA55" s="5">
        <v>0.3983711258467082</v>
      </c>
      <c r="AB55" s="5">
        <v>0.15635659849892011</v>
      </c>
      <c r="AC55" s="6">
        <v>0</v>
      </c>
      <c r="AD55" s="6">
        <v>1</v>
      </c>
      <c r="AE55" s="6">
        <v>14</v>
      </c>
      <c r="AF55" s="5">
        <v>0.22453693331192012</v>
      </c>
      <c r="AG55" s="5">
        <v>5.5524839390507182E-2</v>
      </c>
      <c r="AH55" s="6">
        <v>0</v>
      </c>
      <c r="AI55" s="6">
        <v>1</v>
      </c>
      <c r="AJ55" s="6">
        <v>104</v>
      </c>
      <c r="AK55">
        <f>(AF57/AF56)-AF55</f>
        <v>0.21143740357835319</v>
      </c>
    </row>
    <row r="56" spans="1:37" x14ac:dyDescent="0.45">
      <c r="A56" s="4" t="s">
        <v>28</v>
      </c>
      <c r="B56" s="5">
        <v>0</v>
      </c>
      <c r="C56" s="5">
        <v>0</v>
      </c>
      <c r="D56" s="6">
        <v>0</v>
      </c>
      <c r="E56" s="6">
        <v>0</v>
      </c>
      <c r="F56" s="6">
        <v>29</v>
      </c>
      <c r="G56" s="5">
        <v>0</v>
      </c>
      <c r="H56" s="5">
        <v>0</v>
      </c>
      <c r="I56" s="6">
        <v>0</v>
      </c>
      <c r="J56" s="6">
        <v>0</v>
      </c>
      <c r="K56" s="6">
        <v>5</v>
      </c>
      <c r="L56" s="5">
        <v>0.72893530797081907</v>
      </c>
      <c r="M56" s="5">
        <v>0.10669463220715278</v>
      </c>
      <c r="N56" s="6">
        <v>0</v>
      </c>
      <c r="O56" s="6">
        <v>1</v>
      </c>
      <c r="P56" s="6">
        <v>19</v>
      </c>
      <c r="Q56" s="5">
        <v>0.63622677312988607</v>
      </c>
      <c r="R56" s="5">
        <v>0.12689047883012006</v>
      </c>
      <c r="S56" s="6">
        <v>0</v>
      </c>
      <c r="T56" s="6">
        <v>1</v>
      </c>
      <c r="U56" s="6">
        <v>19</v>
      </c>
      <c r="V56" s="5">
        <v>0.73611457017133053</v>
      </c>
      <c r="W56" s="5">
        <v>0.11141004702384433</v>
      </c>
      <c r="X56" s="6">
        <v>0</v>
      </c>
      <c r="Y56" s="6">
        <v>1</v>
      </c>
      <c r="Z56" s="6">
        <v>18</v>
      </c>
      <c r="AA56" s="5">
        <v>0.50250462712121191</v>
      </c>
      <c r="AB56" s="5">
        <v>0.15738307630952827</v>
      </c>
      <c r="AC56" s="6">
        <v>0</v>
      </c>
      <c r="AD56" s="6">
        <v>1</v>
      </c>
      <c r="AE56" s="6">
        <v>14</v>
      </c>
      <c r="AF56" s="5">
        <v>0.40152770724557457</v>
      </c>
      <c r="AG56" s="5">
        <v>6.4202011804989259E-2</v>
      </c>
      <c r="AH56" s="6">
        <v>0</v>
      </c>
      <c r="AI56" s="6">
        <v>1</v>
      </c>
      <c r="AJ56" s="6">
        <v>104</v>
      </c>
      <c r="AK56">
        <f>(AF57/AF55)-AF56</f>
        <v>0.37810250025476039</v>
      </c>
    </row>
    <row r="57" spans="1:37" x14ac:dyDescent="0.45">
      <c r="A57" s="4" t="s">
        <v>47</v>
      </c>
      <c r="B57" s="5">
        <v>0</v>
      </c>
      <c r="C57" s="5">
        <v>0</v>
      </c>
      <c r="D57" s="6">
        <v>0</v>
      </c>
      <c r="E57" s="6">
        <v>0</v>
      </c>
      <c r="F57" s="6">
        <v>29</v>
      </c>
      <c r="G57" s="5">
        <v>0</v>
      </c>
      <c r="H57" s="5">
        <v>0</v>
      </c>
      <c r="I57" s="6">
        <v>0</v>
      </c>
      <c r="J57" s="6">
        <v>0</v>
      </c>
      <c r="K57" s="6">
        <v>5</v>
      </c>
      <c r="L57" s="5">
        <v>0.40302416348620018</v>
      </c>
      <c r="M57" s="5">
        <v>0.11802652846478209</v>
      </c>
      <c r="N57" s="6">
        <v>0</v>
      </c>
      <c r="O57" s="6">
        <v>1</v>
      </c>
      <c r="P57" s="6">
        <v>19</v>
      </c>
      <c r="Q57" s="5">
        <v>8.6028967841946608E-2</v>
      </c>
      <c r="R57" s="5">
        <v>6.1316507590465301E-2</v>
      </c>
      <c r="S57" s="6">
        <v>0</v>
      </c>
      <c r="T57" s="6">
        <v>1</v>
      </c>
      <c r="U57" s="6">
        <v>19</v>
      </c>
      <c r="V57" s="5">
        <v>7.3028961692628513E-2</v>
      </c>
      <c r="W57" s="5">
        <v>7.1910419319821686E-2</v>
      </c>
      <c r="X57" s="6">
        <v>0</v>
      </c>
      <c r="Y57" s="6">
        <v>1</v>
      </c>
      <c r="Z57" s="6">
        <v>18</v>
      </c>
      <c r="AA57" s="5">
        <v>0.30398212472224795</v>
      </c>
      <c r="AB57" s="5">
        <v>0.14902226098887475</v>
      </c>
      <c r="AC57" s="6">
        <v>0</v>
      </c>
      <c r="AD57" s="6">
        <v>1</v>
      </c>
      <c r="AE57" s="6">
        <v>14</v>
      </c>
      <c r="AF57" s="5">
        <v>0.17505577590946117</v>
      </c>
      <c r="AG57" s="5">
        <v>5.043943960964456E-2</v>
      </c>
      <c r="AH57" s="6">
        <v>0</v>
      </c>
      <c r="AI57" s="6">
        <v>1</v>
      </c>
      <c r="AJ57" s="6">
        <v>104</v>
      </c>
    </row>
    <row r="58" spans="1:37" x14ac:dyDescent="0.45">
      <c r="A58" s="4" t="s">
        <v>14</v>
      </c>
      <c r="B58" s="5">
        <v>0</v>
      </c>
      <c r="C58" s="5">
        <v>0</v>
      </c>
      <c r="D58" s="6">
        <v>0</v>
      </c>
      <c r="E58" s="6">
        <v>0</v>
      </c>
      <c r="F58" s="6">
        <v>29</v>
      </c>
      <c r="G58" s="5">
        <v>0</v>
      </c>
      <c r="H58" s="5">
        <v>0</v>
      </c>
      <c r="I58" s="6">
        <v>0</v>
      </c>
      <c r="J58" s="6">
        <v>0</v>
      </c>
      <c r="K58" s="6">
        <v>5</v>
      </c>
      <c r="L58" s="5">
        <v>0.51550109033725</v>
      </c>
      <c r="M58" s="5">
        <v>0.12005105273537343</v>
      </c>
      <c r="N58" s="6">
        <v>0</v>
      </c>
      <c r="O58" s="6">
        <v>1</v>
      </c>
      <c r="P58" s="6">
        <v>19</v>
      </c>
      <c r="Q58" s="5">
        <v>0.12263212807622212</v>
      </c>
      <c r="R58" s="5">
        <v>7.1298614074622915E-2</v>
      </c>
      <c r="S58" s="6">
        <v>0</v>
      </c>
      <c r="T58" s="6">
        <v>1</v>
      </c>
      <c r="U58" s="6">
        <v>19</v>
      </c>
      <c r="V58" s="5">
        <v>7.3028961692628513E-2</v>
      </c>
      <c r="W58" s="5">
        <v>7.1910419319821686E-2</v>
      </c>
      <c r="X58" s="6">
        <v>0</v>
      </c>
      <c r="Y58" s="6">
        <v>1</v>
      </c>
      <c r="Z58" s="6">
        <v>18</v>
      </c>
      <c r="AA58" s="5">
        <v>0.3983711258467082</v>
      </c>
      <c r="AB58" s="5">
        <v>0.15635659849892011</v>
      </c>
      <c r="AC58" s="6">
        <v>0</v>
      </c>
      <c r="AD58" s="6">
        <v>1</v>
      </c>
      <c r="AE58" s="6">
        <v>14</v>
      </c>
      <c r="AF58" s="5">
        <v>0.22453693331192012</v>
      </c>
      <c r="AG58" s="5">
        <v>5.5524839390507182E-2</v>
      </c>
      <c r="AH58" s="6">
        <v>0</v>
      </c>
      <c r="AI58" s="6">
        <v>1</v>
      </c>
      <c r="AJ58" s="6">
        <v>104</v>
      </c>
      <c r="AK58">
        <f>(AF60/AF59)-AF58</f>
        <v>4.013800190980929E-2</v>
      </c>
    </row>
    <row r="59" spans="1:37" x14ac:dyDescent="0.45">
      <c r="A59" s="4" t="s">
        <v>30</v>
      </c>
      <c r="B59" s="5">
        <v>0.13367672028482241</v>
      </c>
      <c r="C59" s="5">
        <v>6.7499531890097414E-2</v>
      </c>
      <c r="D59" s="6">
        <v>0</v>
      </c>
      <c r="E59" s="6">
        <v>1</v>
      </c>
      <c r="F59" s="6">
        <v>29</v>
      </c>
      <c r="G59" s="5">
        <v>0</v>
      </c>
      <c r="H59" s="5">
        <v>0</v>
      </c>
      <c r="I59" s="6">
        <v>0</v>
      </c>
      <c r="J59" s="6">
        <v>0</v>
      </c>
      <c r="K59" s="6">
        <v>5</v>
      </c>
      <c r="L59" s="5">
        <v>5.2410271788350123E-2</v>
      </c>
      <c r="M59" s="5">
        <v>5.248010773581166E-2</v>
      </c>
      <c r="N59" s="6">
        <v>0</v>
      </c>
      <c r="O59" s="6">
        <v>1</v>
      </c>
      <c r="P59" s="6">
        <v>19</v>
      </c>
      <c r="Q59" s="5">
        <v>0</v>
      </c>
      <c r="R59" s="5">
        <v>0</v>
      </c>
      <c r="S59" s="6">
        <v>0</v>
      </c>
      <c r="T59" s="6">
        <v>0</v>
      </c>
      <c r="U59" s="6">
        <v>19</v>
      </c>
      <c r="V59" s="5">
        <v>0.15550626739573795</v>
      </c>
      <c r="W59" s="5">
        <v>8.6631727868310957E-2</v>
      </c>
      <c r="X59" s="6">
        <v>0</v>
      </c>
      <c r="Y59" s="6">
        <v>1</v>
      </c>
      <c r="Z59" s="6">
        <v>18</v>
      </c>
      <c r="AA59" s="5">
        <v>0.14494874528348178</v>
      </c>
      <c r="AB59" s="5">
        <v>0.10516460199040556</v>
      </c>
      <c r="AC59" s="6">
        <v>0</v>
      </c>
      <c r="AD59" s="6">
        <v>1</v>
      </c>
      <c r="AE59" s="6">
        <v>14</v>
      </c>
      <c r="AF59" s="5">
        <v>7.1219747701667446E-2</v>
      </c>
      <c r="AG59" s="5">
        <v>2.7252423041304919E-2</v>
      </c>
      <c r="AH59" s="6">
        <v>0</v>
      </c>
      <c r="AI59" s="6">
        <v>1</v>
      </c>
      <c r="AJ59" s="6">
        <v>104</v>
      </c>
      <c r="AK59">
        <f>(AF60/AF58)-AF59</f>
        <v>1.2731172226773738E-2</v>
      </c>
    </row>
    <row r="60" spans="1:37" x14ac:dyDescent="0.45">
      <c r="A60" s="4" t="s">
        <v>48</v>
      </c>
      <c r="B60" s="5">
        <v>0</v>
      </c>
      <c r="C60" s="5">
        <v>0</v>
      </c>
      <c r="D60" s="6">
        <v>0</v>
      </c>
      <c r="E60" s="6">
        <v>0</v>
      </c>
      <c r="F60" s="6">
        <v>29</v>
      </c>
      <c r="G60" s="5">
        <v>0</v>
      </c>
      <c r="H60" s="5">
        <v>0</v>
      </c>
      <c r="I60" s="6">
        <v>0</v>
      </c>
      <c r="J60" s="6">
        <v>0</v>
      </c>
      <c r="K60" s="6">
        <v>5</v>
      </c>
      <c r="L60" s="5">
        <v>5.2410271788350123E-2</v>
      </c>
      <c r="M60" s="5">
        <v>5.248010773581166E-2</v>
      </c>
      <c r="N60" s="6">
        <v>0</v>
      </c>
      <c r="O60" s="6">
        <v>1</v>
      </c>
      <c r="P60" s="6">
        <v>19</v>
      </c>
      <c r="Q60" s="5">
        <v>0</v>
      </c>
      <c r="R60" s="5">
        <v>0</v>
      </c>
      <c r="S60" s="6">
        <v>0</v>
      </c>
      <c r="T60" s="6">
        <v>0</v>
      </c>
      <c r="U60" s="6">
        <v>19</v>
      </c>
      <c r="V60" s="5">
        <v>0</v>
      </c>
      <c r="W60" s="5">
        <v>0</v>
      </c>
      <c r="X60" s="6">
        <v>0</v>
      </c>
      <c r="Y60" s="6">
        <v>0</v>
      </c>
      <c r="Z60" s="6">
        <v>18</v>
      </c>
      <c r="AA60" s="5">
        <v>0</v>
      </c>
      <c r="AB60" s="5">
        <v>0</v>
      </c>
      <c r="AC60" s="6">
        <v>0</v>
      </c>
      <c r="AD60" s="6">
        <v>0</v>
      </c>
      <c r="AE60" s="6">
        <v>14</v>
      </c>
      <c r="AF60" s="5">
        <v>1.8850082109446744E-2</v>
      </c>
      <c r="AG60" s="5">
        <v>1.8754070891494938E-2</v>
      </c>
      <c r="AH60" s="6">
        <v>0</v>
      </c>
      <c r="AI60" s="6">
        <v>1</v>
      </c>
      <c r="AJ60" s="6">
        <v>104</v>
      </c>
    </row>
    <row r="61" spans="1:37" x14ac:dyDescent="0.45">
      <c r="A61" s="4" t="s">
        <v>14</v>
      </c>
      <c r="B61" s="5">
        <v>0</v>
      </c>
      <c r="C61" s="5">
        <v>0</v>
      </c>
      <c r="D61" s="6">
        <v>0</v>
      </c>
      <c r="E61" s="6">
        <v>0</v>
      </c>
      <c r="F61" s="6">
        <v>29</v>
      </c>
      <c r="G61" s="5">
        <v>0</v>
      </c>
      <c r="H61" s="5">
        <v>0</v>
      </c>
      <c r="I61" s="6">
        <v>0</v>
      </c>
      <c r="J61" s="6">
        <v>0</v>
      </c>
      <c r="K61" s="6">
        <v>5</v>
      </c>
      <c r="L61" s="5">
        <v>0.51550109033725</v>
      </c>
      <c r="M61" s="5">
        <v>0.12005105273537343</v>
      </c>
      <c r="N61" s="6">
        <v>0</v>
      </c>
      <c r="O61" s="6">
        <v>1</v>
      </c>
      <c r="P61" s="6">
        <v>19</v>
      </c>
      <c r="Q61" s="5">
        <v>0.12263212807622212</v>
      </c>
      <c r="R61" s="5">
        <v>7.1298614074622915E-2</v>
      </c>
      <c r="S61" s="6">
        <v>0</v>
      </c>
      <c r="T61" s="6">
        <v>1</v>
      </c>
      <c r="U61" s="6">
        <v>19</v>
      </c>
      <c r="V61" s="5">
        <v>7.3028961692628513E-2</v>
      </c>
      <c r="W61" s="5">
        <v>7.1910419319821686E-2</v>
      </c>
      <c r="X61" s="6">
        <v>0</v>
      </c>
      <c r="Y61" s="6">
        <v>1</v>
      </c>
      <c r="Z61" s="6">
        <v>18</v>
      </c>
      <c r="AA61" s="5">
        <v>0.3983711258467082</v>
      </c>
      <c r="AB61" s="5">
        <v>0.15635659849892011</v>
      </c>
      <c r="AC61" s="6">
        <v>0</v>
      </c>
      <c r="AD61" s="6">
        <v>1</v>
      </c>
      <c r="AE61" s="6">
        <v>14</v>
      </c>
      <c r="AF61" s="5">
        <v>0.22453693331192012</v>
      </c>
      <c r="AG61" s="5">
        <v>5.5524839390507182E-2</v>
      </c>
      <c r="AH61" s="6">
        <v>0</v>
      </c>
      <c r="AI61" s="6">
        <v>1</v>
      </c>
      <c r="AJ61" s="6">
        <v>104</v>
      </c>
      <c r="AK61">
        <f>(AF63/AF62)-AF61</f>
        <v>8.9544751502639436E-2</v>
      </c>
    </row>
    <row r="62" spans="1:37" x14ac:dyDescent="0.45">
      <c r="A62" s="4" t="s">
        <v>32</v>
      </c>
      <c r="B62" s="5">
        <v>4.300104465507152E-2</v>
      </c>
      <c r="C62" s="5">
        <v>3.8529376428579974E-2</v>
      </c>
      <c r="D62" s="6">
        <v>0</v>
      </c>
      <c r="E62" s="6">
        <v>1</v>
      </c>
      <c r="F62" s="6">
        <v>29</v>
      </c>
      <c r="G62" s="5">
        <v>0</v>
      </c>
      <c r="H62" s="5">
        <v>0</v>
      </c>
      <c r="I62" s="6">
        <v>0</v>
      </c>
      <c r="J62" s="6">
        <v>0</v>
      </c>
      <c r="K62" s="6">
        <v>5</v>
      </c>
      <c r="L62" s="5">
        <v>0.32310688832667722</v>
      </c>
      <c r="M62" s="5">
        <v>0.11194939263044702</v>
      </c>
      <c r="N62" s="6">
        <v>0</v>
      </c>
      <c r="O62" s="6">
        <v>1</v>
      </c>
      <c r="P62" s="6">
        <v>19</v>
      </c>
      <c r="Q62" s="5">
        <v>0.41381121420178746</v>
      </c>
      <c r="R62" s="5">
        <v>0.12969928853703966</v>
      </c>
      <c r="S62" s="6">
        <v>0</v>
      </c>
      <c r="T62" s="6">
        <v>1</v>
      </c>
      <c r="U62" s="6">
        <v>19</v>
      </c>
      <c r="V62" s="5">
        <v>0.23553150148432661</v>
      </c>
      <c r="W62" s="5">
        <v>0.10224133114104708</v>
      </c>
      <c r="X62" s="6">
        <v>0</v>
      </c>
      <c r="Y62" s="6">
        <v>1</v>
      </c>
      <c r="Z62" s="6">
        <v>18</v>
      </c>
      <c r="AA62" s="5">
        <v>0.62380644277621733</v>
      </c>
      <c r="AB62" s="5">
        <v>0.15335862727964425</v>
      </c>
      <c r="AC62" s="6">
        <v>0</v>
      </c>
      <c r="AD62" s="6">
        <v>1</v>
      </c>
      <c r="AE62" s="6">
        <v>14</v>
      </c>
      <c r="AF62" s="5">
        <v>0.21962332207176813</v>
      </c>
      <c r="AG62" s="5">
        <v>4.9938905008240317E-2</v>
      </c>
      <c r="AH62" s="6">
        <v>0</v>
      </c>
      <c r="AI62" s="6">
        <v>1</v>
      </c>
      <c r="AJ62" s="6">
        <v>104</v>
      </c>
      <c r="AK62">
        <f>(AF63/AF61)-AF62</f>
        <v>8.7585215977725311E-2</v>
      </c>
    </row>
    <row r="63" spans="1:37" x14ac:dyDescent="0.45">
      <c r="A63" s="4" t="s">
        <v>49</v>
      </c>
      <c r="B63" s="5">
        <v>0</v>
      </c>
      <c r="C63" s="5">
        <v>0</v>
      </c>
      <c r="D63" s="6">
        <v>0</v>
      </c>
      <c r="E63" s="6">
        <v>0</v>
      </c>
      <c r="F63" s="6">
        <v>29</v>
      </c>
      <c r="G63" s="5">
        <v>0</v>
      </c>
      <c r="H63" s="5">
        <v>0</v>
      </c>
      <c r="I63" s="6">
        <v>0</v>
      </c>
      <c r="J63" s="6">
        <v>0</v>
      </c>
      <c r="K63" s="6">
        <v>5</v>
      </c>
      <c r="L63" s="5">
        <v>0.16147335415938205</v>
      </c>
      <c r="M63" s="5">
        <v>8.7894863311307289E-2</v>
      </c>
      <c r="N63" s="6">
        <v>0</v>
      </c>
      <c r="O63" s="6">
        <v>1</v>
      </c>
      <c r="P63" s="6">
        <v>19</v>
      </c>
      <c r="Q63" s="5">
        <v>0</v>
      </c>
      <c r="R63" s="5">
        <v>0</v>
      </c>
      <c r="S63" s="6">
        <v>0</v>
      </c>
      <c r="T63" s="6">
        <v>0</v>
      </c>
      <c r="U63" s="6">
        <v>19</v>
      </c>
      <c r="V63" s="5">
        <v>0</v>
      </c>
      <c r="W63" s="5">
        <v>0</v>
      </c>
      <c r="X63" s="6">
        <v>0</v>
      </c>
      <c r="Y63" s="6">
        <v>0</v>
      </c>
      <c r="Z63" s="6">
        <v>18</v>
      </c>
      <c r="AA63" s="5">
        <v>0.20012552320559931</v>
      </c>
      <c r="AB63" s="5">
        <v>0.13017631379082442</v>
      </c>
      <c r="AC63" s="6">
        <v>0</v>
      </c>
      <c r="AD63" s="6">
        <v>1</v>
      </c>
      <c r="AE63" s="6">
        <v>14</v>
      </c>
      <c r="AF63" s="5">
        <v>6.8979663020871579E-2</v>
      </c>
      <c r="AG63" s="5">
        <v>3.34421856076626E-2</v>
      </c>
      <c r="AH63" s="6">
        <v>0</v>
      </c>
      <c r="AI63" s="6">
        <v>1</v>
      </c>
      <c r="AJ63" s="6">
        <v>104</v>
      </c>
    </row>
    <row r="64" spans="1:37" x14ac:dyDescent="0.45">
      <c r="A64" s="4" t="s">
        <v>14</v>
      </c>
      <c r="B64" s="5">
        <v>0</v>
      </c>
      <c r="C64" s="5">
        <v>0</v>
      </c>
      <c r="D64" s="6">
        <v>0</v>
      </c>
      <c r="E64" s="6">
        <v>0</v>
      </c>
      <c r="F64" s="6">
        <v>29</v>
      </c>
      <c r="G64" s="5">
        <v>0</v>
      </c>
      <c r="H64" s="5">
        <v>0</v>
      </c>
      <c r="I64" s="6">
        <v>0</v>
      </c>
      <c r="J64" s="6">
        <v>0</v>
      </c>
      <c r="K64" s="6">
        <v>5</v>
      </c>
      <c r="L64" s="5">
        <v>0.51550109033725</v>
      </c>
      <c r="M64" s="5">
        <v>0.12005105273537343</v>
      </c>
      <c r="N64" s="6">
        <v>0</v>
      </c>
      <c r="O64" s="6">
        <v>1</v>
      </c>
      <c r="P64" s="6">
        <v>19</v>
      </c>
      <c r="Q64" s="5">
        <v>0.12263212807622212</v>
      </c>
      <c r="R64" s="5">
        <v>7.1298614074622915E-2</v>
      </c>
      <c r="S64" s="6">
        <v>0</v>
      </c>
      <c r="T64" s="6">
        <v>1</v>
      </c>
      <c r="U64" s="6">
        <v>19</v>
      </c>
      <c r="V64" s="5">
        <v>7.3028961692628513E-2</v>
      </c>
      <c r="W64" s="5">
        <v>7.1910419319821686E-2</v>
      </c>
      <c r="X64" s="6">
        <v>0</v>
      </c>
      <c r="Y64" s="6">
        <v>1</v>
      </c>
      <c r="Z64" s="6">
        <v>18</v>
      </c>
      <c r="AA64" s="5">
        <v>0.3983711258467082</v>
      </c>
      <c r="AB64" s="5">
        <v>0.15635659849892011</v>
      </c>
      <c r="AC64" s="6">
        <v>0</v>
      </c>
      <c r="AD64" s="6">
        <v>1</v>
      </c>
      <c r="AE64" s="6">
        <v>14</v>
      </c>
      <c r="AF64" s="5">
        <v>0.22453693331192012</v>
      </c>
      <c r="AG64" s="5">
        <v>5.5524839390507182E-2</v>
      </c>
      <c r="AH64" s="6">
        <v>0</v>
      </c>
      <c r="AI64" s="6">
        <v>1</v>
      </c>
      <c r="AJ64" s="6">
        <v>104</v>
      </c>
      <c r="AK64">
        <f>(AF66/AF65)-AF64</f>
        <v>0.45428675231771709</v>
      </c>
    </row>
    <row r="65" spans="1:37" x14ac:dyDescent="0.45">
      <c r="A65" s="4" t="s">
        <v>34</v>
      </c>
      <c r="B65" s="5">
        <v>4.9977494973873441E-3</v>
      </c>
      <c r="C65" s="5">
        <v>5.1842481806806187E-3</v>
      </c>
      <c r="D65" s="6">
        <v>0</v>
      </c>
      <c r="E65" s="6">
        <v>1</v>
      </c>
      <c r="F65" s="6">
        <v>29</v>
      </c>
      <c r="G65" s="5">
        <v>0</v>
      </c>
      <c r="H65" s="5">
        <v>0</v>
      </c>
      <c r="I65" s="6">
        <v>0</v>
      </c>
      <c r="J65" s="6">
        <v>0</v>
      </c>
      <c r="K65" s="6">
        <v>5</v>
      </c>
      <c r="L65" s="5">
        <v>0.1089926005638932</v>
      </c>
      <c r="M65" s="5">
        <v>7.4809215374932528E-2</v>
      </c>
      <c r="N65" s="6">
        <v>0</v>
      </c>
      <c r="O65" s="6">
        <v>1</v>
      </c>
      <c r="P65" s="6">
        <v>19</v>
      </c>
      <c r="Q65" s="5">
        <v>0</v>
      </c>
      <c r="R65" s="5">
        <v>0</v>
      </c>
      <c r="S65" s="6">
        <v>0</v>
      </c>
      <c r="T65" s="6">
        <v>0</v>
      </c>
      <c r="U65" s="6">
        <v>19</v>
      </c>
      <c r="V65" s="5">
        <v>0.18749442370539304</v>
      </c>
      <c r="W65" s="5">
        <v>9.5653225655299184E-2</v>
      </c>
      <c r="X65" s="6">
        <v>0</v>
      </c>
      <c r="Y65" s="6">
        <v>1</v>
      </c>
      <c r="Z65" s="6">
        <v>18</v>
      </c>
      <c r="AA65" s="5">
        <v>0.10851687170393783</v>
      </c>
      <c r="AB65" s="5">
        <v>9.1959813331468687E-2</v>
      </c>
      <c r="AC65" s="6">
        <v>0</v>
      </c>
      <c r="AD65" s="6">
        <v>1</v>
      </c>
      <c r="AE65" s="6">
        <v>14</v>
      </c>
      <c r="AF65" s="5">
        <v>5.7747988593625371E-2</v>
      </c>
      <c r="AG65" s="5">
        <v>2.8391611186991999E-2</v>
      </c>
      <c r="AH65" s="6">
        <v>0</v>
      </c>
      <c r="AI65" s="6">
        <v>1</v>
      </c>
      <c r="AJ65" s="6">
        <v>104</v>
      </c>
      <c r="AK65">
        <f>(AF66/AF64)-AF65</f>
        <v>0.11683666381349803</v>
      </c>
    </row>
    <row r="66" spans="1:37" ht="26.25" x14ac:dyDescent="0.45">
      <c r="A66" s="4" t="s">
        <v>50</v>
      </c>
      <c r="B66" s="5">
        <v>0</v>
      </c>
      <c r="C66" s="5">
        <v>0</v>
      </c>
      <c r="D66" s="6">
        <v>0</v>
      </c>
      <c r="E66" s="6">
        <v>0</v>
      </c>
      <c r="F66" s="6">
        <v>29</v>
      </c>
      <c r="G66" s="5">
        <v>0</v>
      </c>
      <c r="H66" s="5">
        <v>0</v>
      </c>
      <c r="I66" s="6">
        <v>0</v>
      </c>
      <c r="J66" s="6">
        <v>0</v>
      </c>
      <c r="K66" s="6">
        <v>5</v>
      </c>
      <c r="L66" s="5">
        <v>0.1089926005638932</v>
      </c>
      <c r="M66" s="5">
        <v>7.4809215374932528E-2</v>
      </c>
      <c r="N66" s="6">
        <v>0</v>
      </c>
      <c r="O66" s="6">
        <v>1</v>
      </c>
      <c r="P66" s="6">
        <v>19</v>
      </c>
      <c r="Q66" s="5">
        <v>0</v>
      </c>
      <c r="R66" s="5">
        <v>0</v>
      </c>
      <c r="S66" s="6">
        <v>0</v>
      </c>
      <c r="T66" s="6">
        <v>0</v>
      </c>
      <c r="U66" s="6">
        <v>19</v>
      </c>
      <c r="V66" s="5">
        <v>0</v>
      </c>
      <c r="W66" s="5">
        <v>0</v>
      </c>
      <c r="X66" s="6">
        <v>0</v>
      </c>
      <c r="Y66" s="6">
        <v>0</v>
      </c>
      <c r="Z66" s="6">
        <v>18</v>
      </c>
      <c r="AA66" s="5">
        <v>0</v>
      </c>
      <c r="AB66" s="5">
        <v>0</v>
      </c>
      <c r="AC66" s="6">
        <v>0</v>
      </c>
      <c r="AD66" s="6">
        <v>0</v>
      </c>
      <c r="AE66" s="6">
        <v>14</v>
      </c>
      <c r="AF66" s="5">
        <v>3.9200702454823023E-2</v>
      </c>
      <c r="AG66" s="5">
        <v>2.7276662808993577E-2</v>
      </c>
      <c r="AH66" s="6">
        <v>0</v>
      </c>
      <c r="AI66" s="6">
        <v>1</v>
      </c>
      <c r="AJ66" s="6">
        <v>104</v>
      </c>
    </row>
    <row r="67" spans="1:37" x14ac:dyDescent="0.45">
      <c r="A67" s="4" t="s">
        <v>14</v>
      </c>
      <c r="B67" s="5">
        <v>0</v>
      </c>
      <c r="C67" s="5">
        <v>0</v>
      </c>
      <c r="D67" s="6">
        <v>0</v>
      </c>
      <c r="E67" s="6">
        <v>0</v>
      </c>
      <c r="F67" s="6">
        <v>29</v>
      </c>
      <c r="G67" s="5">
        <v>0</v>
      </c>
      <c r="H67" s="5">
        <v>0</v>
      </c>
      <c r="I67" s="6">
        <v>0</v>
      </c>
      <c r="J67" s="6">
        <v>0</v>
      </c>
      <c r="K67" s="6">
        <v>5</v>
      </c>
      <c r="L67" s="5">
        <v>0.51550109033725</v>
      </c>
      <c r="M67" s="5">
        <v>0.12005105273537343</v>
      </c>
      <c r="N67" s="6">
        <v>0</v>
      </c>
      <c r="O67" s="6">
        <v>1</v>
      </c>
      <c r="P67" s="6">
        <v>19</v>
      </c>
      <c r="Q67" s="5">
        <v>0.12263212807622212</v>
      </c>
      <c r="R67" s="5">
        <v>7.1298614074622915E-2</v>
      </c>
      <c r="S67" s="6">
        <v>0</v>
      </c>
      <c r="T67" s="6">
        <v>1</v>
      </c>
      <c r="U67" s="6">
        <v>19</v>
      </c>
      <c r="V67" s="5">
        <v>7.3028961692628513E-2</v>
      </c>
      <c r="W67" s="5">
        <v>7.1910419319821686E-2</v>
      </c>
      <c r="X67" s="6">
        <v>0</v>
      </c>
      <c r="Y67" s="6">
        <v>1</v>
      </c>
      <c r="Z67" s="6">
        <v>18</v>
      </c>
      <c r="AA67" s="5">
        <v>0.3983711258467082</v>
      </c>
      <c r="AB67" s="5">
        <v>0.15635659849892011</v>
      </c>
      <c r="AC67" s="6">
        <v>0</v>
      </c>
      <c r="AD67" s="6">
        <v>1</v>
      </c>
      <c r="AE67" s="6">
        <v>14</v>
      </c>
      <c r="AF67" s="5">
        <v>0.22453693331192012</v>
      </c>
      <c r="AG67" s="5">
        <v>5.5524839390507182E-2</v>
      </c>
      <c r="AH67" s="6">
        <v>0</v>
      </c>
      <c r="AI67" s="6">
        <v>1</v>
      </c>
      <c r="AJ67" s="6">
        <v>104</v>
      </c>
      <c r="AK67">
        <f>(AF69/AF68)-AF67</f>
        <v>-0.11497364525170468</v>
      </c>
    </row>
    <row r="68" spans="1:37" x14ac:dyDescent="0.45">
      <c r="A68" s="4" t="s">
        <v>36</v>
      </c>
      <c r="B68" s="5">
        <v>0.75033349718812381</v>
      </c>
      <c r="C68" s="5">
        <v>0.11113628937183456</v>
      </c>
      <c r="D68" s="6">
        <v>0</v>
      </c>
      <c r="E68" s="6">
        <v>1</v>
      </c>
      <c r="F68" s="6">
        <v>28</v>
      </c>
      <c r="G68" s="5">
        <v>0.69890286206955909</v>
      </c>
      <c r="H68" s="5">
        <v>0.26064905237909602</v>
      </c>
      <c r="I68" s="6">
        <v>0</v>
      </c>
      <c r="J68" s="6">
        <v>1</v>
      </c>
      <c r="K68" s="6">
        <v>5</v>
      </c>
      <c r="L68" s="5">
        <v>7.6528749224782755E-2</v>
      </c>
      <c r="M68" s="5">
        <v>6.4008315307330796E-2</v>
      </c>
      <c r="N68" s="6">
        <v>0</v>
      </c>
      <c r="O68" s="6">
        <v>1</v>
      </c>
      <c r="P68" s="6">
        <v>16</v>
      </c>
      <c r="Q68" s="5">
        <v>0.13638212532932661</v>
      </c>
      <c r="R68" s="5">
        <v>0.12489587163927413</v>
      </c>
      <c r="S68" s="6">
        <v>0</v>
      </c>
      <c r="T68" s="6">
        <v>1</v>
      </c>
      <c r="U68" s="6">
        <v>19</v>
      </c>
      <c r="V68" s="5">
        <v>0.35584441822330487</v>
      </c>
      <c r="W68" s="5">
        <v>0.12202753204157965</v>
      </c>
      <c r="X68" s="6">
        <v>0</v>
      </c>
      <c r="Y68" s="6">
        <v>1</v>
      </c>
      <c r="Z68" s="6">
        <v>18</v>
      </c>
      <c r="AA68" s="5">
        <v>0.74429546837714122</v>
      </c>
      <c r="AB68" s="5">
        <v>0.12930236493328284</v>
      </c>
      <c r="AC68" s="6">
        <v>0</v>
      </c>
      <c r="AD68" s="6">
        <v>1</v>
      </c>
      <c r="AE68" s="6">
        <v>14</v>
      </c>
      <c r="AF68" s="5">
        <v>0.42925514319553509</v>
      </c>
      <c r="AG68" s="5">
        <v>6.917480911456024E-2</v>
      </c>
      <c r="AH68" s="6">
        <v>0</v>
      </c>
      <c r="AI68" s="6">
        <v>1</v>
      </c>
      <c r="AJ68" s="6">
        <v>100</v>
      </c>
      <c r="AK68">
        <f>(AF69/AF67)-AF68</f>
        <v>-0.21979915654977511</v>
      </c>
    </row>
    <row r="69" spans="1:37" x14ac:dyDescent="0.45">
      <c r="A69" s="4" t="s">
        <v>51</v>
      </c>
      <c r="B69" s="5">
        <v>0</v>
      </c>
      <c r="C69" s="5">
        <v>0</v>
      </c>
      <c r="D69" s="6">
        <v>0</v>
      </c>
      <c r="E69" s="6">
        <v>0</v>
      </c>
      <c r="F69" s="6">
        <v>28</v>
      </c>
      <c r="G69" s="5">
        <v>0</v>
      </c>
      <c r="H69" s="5">
        <v>0</v>
      </c>
      <c r="I69" s="6">
        <v>0</v>
      </c>
      <c r="J69" s="6">
        <v>0</v>
      </c>
      <c r="K69" s="6">
        <v>5</v>
      </c>
      <c r="L69" s="5">
        <v>7.6528749224782755E-2</v>
      </c>
      <c r="M69" s="5">
        <v>6.4008315307330796E-2</v>
      </c>
      <c r="N69" s="6">
        <v>0</v>
      </c>
      <c r="O69" s="6">
        <v>1</v>
      </c>
      <c r="P69" s="6">
        <v>16</v>
      </c>
      <c r="Q69" s="5">
        <v>0</v>
      </c>
      <c r="R69" s="5">
        <v>0</v>
      </c>
      <c r="S69" s="6">
        <v>0</v>
      </c>
      <c r="T69" s="6">
        <v>0</v>
      </c>
      <c r="U69" s="6">
        <v>19</v>
      </c>
      <c r="V69" s="5">
        <v>7.3028961692628513E-2</v>
      </c>
      <c r="W69" s="5">
        <v>7.1910419319821686E-2</v>
      </c>
      <c r="X69" s="6">
        <v>0</v>
      </c>
      <c r="Y69" s="6">
        <v>1</v>
      </c>
      <c r="Z69" s="6">
        <v>18</v>
      </c>
      <c r="AA69" s="5">
        <v>0.30398212472224795</v>
      </c>
      <c r="AB69" s="5">
        <v>0.14902226098887475</v>
      </c>
      <c r="AC69" s="6">
        <v>0</v>
      </c>
      <c r="AD69" s="6">
        <v>1</v>
      </c>
      <c r="AE69" s="6">
        <v>14</v>
      </c>
      <c r="AF69" s="5">
        <v>4.7030604905261439E-2</v>
      </c>
      <c r="AG69" s="5">
        <v>2.3388984029070074E-2</v>
      </c>
      <c r="AH69" s="6">
        <v>0</v>
      </c>
      <c r="AI69" s="6">
        <v>1</v>
      </c>
      <c r="AJ69" s="6">
        <v>100</v>
      </c>
    </row>
    <row r="70" spans="1:37" x14ac:dyDescent="0.45">
      <c r="A70" s="4" t="s">
        <v>26</v>
      </c>
      <c r="B70" s="5">
        <v>0</v>
      </c>
      <c r="C70" s="5">
        <v>0</v>
      </c>
      <c r="D70" s="6">
        <v>0</v>
      </c>
      <c r="E70" s="6">
        <v>0</v>
      </c>
      <c r="F70" s="6">
        <v>29</v>
      </c>
      <c r="G70" s="5">
        <v>0</v>
      </c>
      <c r="H70" s="5">
        <v>0</v>
      </c>
      <c r="I70" s="6">
        <v>0</v>
      </c>
      <c r="J70" s="6">
        <v>0</v>
      </c>
      <c r="K70" s="6">
        <v>5</v>
      </c>
      <c r="L70" s="5">
        <v>0.66388051962713335</v>
      </c>
      <c r="M70" s="5">
        <v>0.11460855436927163</v>
      </c>
      <c r="N70" s="6">
        <v>0</v>
      </c>
      <c r="O70" s="6">
        <v>1</v>
      </c>
      <c r="P70" s="6">
        <v>19</v>
      </c>
      <c r="Q70" s="5">
        <v>0.29374289139203691</v>
      </c>
      <c r="R70" s="5">
        <v>0.11283736420444235</v>
      </c>
      <c r="S70" s="6">
        <v>0</v>
      </c>
      <c r="T70" s="6">
        <v>1</v>
      </c>
      <c r="U70" s="6">
        <v>19</v>
      </c>
      <c r="V70" s="5">
        <v>0.36680645879208712</v>
      </c>
      <c r="W70" s="5">
        <v>0.12383916979165614</v>
      </c>
      <c r="X70" s="6">
        <v>0</v>
      </c>
      <c r="Y70" s="6">
        <v>1</v>
      </c>
      <c r="Z70" s="6">
        <v>18</v>
      </c>
      <c r="AA70" s="5">
        <v>0.30087795573298015</v>
      </c>
      <c r="AB70" s="5">
        <v>0.14549325187447498</v>
      </c>
      <c r="AC70" s="6">
        <v>0</v>
      </c>
      <c r="AD70" s="6">
        <v>1</v>
      </c>
      <c r="AE70" s="6">
        <v>14</v>
      </c>
      <c r="AF70" s="5">
        <v>0.30849368526502607</v>
      </c>
      <c r="AG70" s="5">
        <v>6.0369974510870769E-2</v>
      </c>
      <c r="AH70" s="6">
        <v>0</v>
      </c>
      <c r="AI70" s="6">
        <v>1</v>
      </c>
      <c r="AJ70" s="6">
        <v>104</v>
      </c>
      <c r="AK70">
        <f>(AF72/AF71)-AF70</f>
        <v>0.33394940383062266</v>
      </c>
    </row>
    <row r="71" spans="1:37" x14ac:dyDescent="0.45">
      <c r="A71" s="4" t="s">
        <v>28</v>
      </c>
      <c r="B71" s="5">
        <v>0</v>
      </c>
      <c r="C71" s="5">
        <v>0</v>
      </c>
      <c r="D71" s="6">
        <v>0</v>
      </c>
      <c r="E71" s="6">
        <v>0</v>
      </c>
      <c r="F71" s="6">
        <v>29</v>
      </c>
      <c r="G71" s="5">
        <v>0</v>
      </c>
      <c r="H71" s="5">
        <v>0</v>
      </c>
      <c r="I71" s="6">
        <v>0</v>
      </c>
      <c r="J71" s="6">
        <v>0</v>
      </c>
      <c r="K71" s="6">
        <v>5</v>
      </c>
      <c r="L71" s="5">
        <v>0.72893530797081907</v>
      </c>
      <c r="M71" s="5">
        <v>0.10669463220715278</v>
      </c>
      <c r="N71" s="6">
        <v>0</v>
      </c>
      <c r="O71" s="6">
        <v>1</v>
      </c>
      <c r="P71" s="6">
        <v>19</v>
      </c>
      <c r="Q71" s="5">
        <v>0.63622677312988607</v>
      </c>
      <c r="R71" s="5">
        <v>0.12689047883012006</v>
      </c>
      <c r="S71" s="6">
        <v>0</v>
      </c>
      <c r="T71" s="6">
        <v>1</v>
      </c>
      <c r="U71" s="6">
        <v>19</v>
      </c>
      <c r="V71" s="5">
        <v>0.73611457017133053</v>
      </c>
      <c r="W71" s="5">
        <v>0.11141004702384433</v>
      </c>
      <c r="X71" s="6">
        <v>0</v>
      </c>
      <c r="Y71" s="6">
        <v>1</v>
      </c>
      <c r="Z71" s="6">
        <v>18</v>
      </c>
      <c r="AA71" s="5">
        <v>0.50250462712121191</v>
      </c>
      <c r="AB71" s="5">
        <v>0.15738307630952827</v>
      </c>
      <c r="AC71" s="6">
        <v>0</v>
      </c>
      <c r="AD71" s="6">
        <v>1</v>
      </c>
      <c r="AE71" s="6">
        <v>14</v>
      </c>
      <c r="AF71" s="5">
        <v>0.40152770724557457</v>
      </c>
      <c r="AG71" s="5">
        <v>6.4202011804989259E-2</v>
      </c>
      <c r="AH71" s="6">
        <v>0</v>
      </c>
      <c r="AI71" s="6">
        <v>1</v>
      </c>
      <c r="AJ71" s="6">
        <v>104</v>
      </c>
      <c r="AK71">
        <f>(AF72/AF70)-AF71</f>
        <v>0.43466023734307596</v>
      </c>
    </row>
    <row r="72" spans="1:37" x14ac:dyDescent="0.45">
      <c r="A72" s="4" t="s">
        <v>52</v>
      </c>
      <c r="B72" s="5">
        <v>0</v>
      </c>
      <c r="C72" s="5">
        <v>0</v>
      </c>
      <c r="D72" s="6">
        <v>0</v>
      </c>
      <c r="E72" s="6">
        <v>0</v>
      </c>
      <c r="F72" s="6">
        <v>29</v>
      </c>
      <c r="G72" s="5">
        <v>0</v>
      </c>
      <c r="H72" s="5">
        <v>0</v>
      </c>
      <c r="I72" s="6">
        <v>0</v>
      </c>
      <c r="J72" s="6">
        <v>0</v>
      </c>
      <c r="K72" s="6">
        <v>5</v>
      </c>
      <c r="L72" s="5">
        <v>0.55688054432264278</v>
      </c>
      <c r="M72" s="5">
        <v>0.1196795601775614</v>
      </c>
      <c r="N72" s="6">
        <v>0</v>
      </c>
      <c r="O72" s="6">
        <v>1</v>
      </c>
      <c r="P72" s="6">
        <v>19</v>
      </c>
      <c r="Q72" s="5">
        <v>0.29374289139203691</v>
      </c>
      <c r="R72" s="5">
        <v>0.11283736420444235</v>
      </c>
      <c r="S72" s="6">
        <v>0</v>
      </c>
      <c r="T72" s="6">
        <v>1</v>
      </c>
      <c r="U72" s="6">
        <v>19</v>
      </c>
      <c r="V72" s="5">
        <v>0.25098645394655406</v>
      </c>
      <c r="W72" s="5">
        <v>0.11309022700715959</v>
      </c>
      <c r="X72" s="6">
        <v>0</v>
      </c>
      <c r="Y72" s="6">
        <v>1</v>
      </c>
      <c r="Z72" s="6">
        <v>18</v>
      </c>
      <c r="AA72" s="5">
        <v>0.20807471865948446</v>
      </c>
      <c r="AB72" s="5">
        <v>0.12943632036264704</v>
      </c>
      <c r="AC72" s="6">
        <v>0</v>
      </c>
      <c r="AD72" s="6">
        <v>1</v>
      </c>
      <c r="AE72" s="6">
        <v>14</v>
      </c>
      <c r="AF72" s="5">
        <v>0.25795870060034021</v>
      </c>
      <c r="AG72" s="5">
        <v>5.693358803412274E-2</v>
      </c>
      <c r="AH72" s="6">
        <v>0</v>
      </c>
      <c r="AI72" s="6">
        <v>1</v>
      </c>
      <c r="AJ72" s="6">
        <v>104</v>
      </c>
    </row>
    <row r="73" spans="1:37" x14ac:dyDescent="0.45">
      <c r="A73" s="4" t="s">
        <v>26</v>
      </c>
      <c r="B73" s="5">
        <v>0</v>
      </c>
      <c r="C73" s="5">
        <v>0</v>
      </c>
      <c r="D73" s="6">
        <v>0</v>
      </c>
      <c r="E73" s="6">
        <v>0</v>
      </c>
      <c r="F73" s="6">
        <v>29</v>
      </c>
      <c r="G73" s="5">
        <v>0</v>
      </c>
      <c r="H73" s="5">
        <v>0</v>
      </c>
      <c r="I73" s="6">
        <v>0</v>
      </c>
      <c r="J73" s="6">
        <v>0</v>
      </c>
      <c r="K73" s="6">
        <v>5</v>
      </c>
      <c r="L73" s="5">
        <v>0.66388051962713335</v>
      </c>
      <c r="M73" s="5">
        <v>0.11460855436927163</v>
      </c>
      <c r="N73" s="6">
        <v>0</v>
      </c>
      <c r="O73" s="6">
        <v>1</v>
      </c>
      <c r="P73" s="6">
        <v>19</v>
      </c>
      <c r="Q73" s="5">
        <v>0.29374289139203691</v>
      </c>
      <c r="R73" s="5">
        <v>0.11283736420444235</v>
      </c>
      <c r="S73" s="6">
        <v>0</v>
      </c>
      <c r="T73" s="6">
        <v>1</v>
      </c>
      <c r="U73" s="6">
        <v>19</v>
      </c>
      <c r="V73" s="5">
        <v>0.36680645879208712</v>
      </c>
      <c r="W73" s="5">
        <v>0.12383916979165614</v>
      </c>
      <c r="X73" s="6">
        <v>0</v>
      </c>
      <c r="Y73" s="6">
        <v>1</v>
      </c>
      <c r="Z73" s="6">
        <v>18</v>
      </c>
      <c r="AA73" s="5">
        <v>0.30087795573298015</v>
      </c>
      <c r="AB73" s="5">
        <v>0.14549325187447498</v>
      </c>
      <c r="AC73" s="6">
        <v>0</v>
      </c>
      <c r="AD73" s="6">
        <v>1</v>
      </c>
      <c r="AE73" s="6">
        <v>14</v>
      </c>
      <c r="AF73" s="5">
        <v>0.30849368526502607</v>
      </c>
      <c r="AG73" s="5">
        <v>6.0369974510870769E-2</v>
      </c>
      <c r="AH73" s="6">
        <v>0</v>
      </c>
      <c r="AI73" s="6">
        <v>1</v>
      </c>
      <c r="AJ73" s="6">
        <v>104</v>
      </c>
      <c r="AK73">
        <f>(AF75/AF74)-AF73</f>
        <v>8.8047617913251164E-2</v>
      </c>
    </row>
    <row r="74" spans="1:37" x14ac:dyDescent="0.45">
      <c r="A74" s="4" t="s">
        <v>30</v>
      </c>
      <c r="B74" s="5">
        <v>0.13367672028482241</v>
      </c>
      <c r="C74" s="5">
        <v>6.7499531890097414E-2</v>
      </c>
      <c r="D74" s="6">
        <v>0</v>
      </c>
      <c r="E74" s="6">
        <v>1</v>
      </c>
      <c r="F74" s="6">
        <v>29</v>
      </c>
      <c r="G74" s="5">
        <v>0</v>
      </c>
      <c r="H74" s="5">
        <v>0</v>
      </c>
      <c r="I74" s="6">
        <v>0</v>
      </c>
      <c r="J74" s="6">
        <v>0</v>
      </c>
      <c r="K74" s="6">
        <v>5</v>
      </c>
      <c r="L74" s="5">
        <v>5.2410271788350123E-2</v>
      </c>
      <c r="M74" s="5">
        <v>5.248010773581166E-2</v>
      </c>
      <c r="N74" s="6">
        <v>0</v>
      </c>
      <c r="O74" s="6">
        <v>1</v>
      </c>
      <c r="P74" s="6">
        <v>19</v>
      </c>
      <c r="Q74" s="5">
        <v>0</v>
      </c>
      <c r="R74" s="5">
        <v>0</v>
      </c>
      <c r="S74" s="6">
        <v>0</v>
      </c>
      <c r="T74" s="6">
        <v>0</v>
      </c>
      <c r="U74" s="6">
        <v>19</v>
      </c>
      <c r="V74" s="5">
        <v>0.15550626739573795</v>
      </c>
      <c r="W74" s="5">
        <v>8.6631727868310957E-2</v>
      </c>
      <c r="X74" s="6">
        <v>0</v>
      </c>
      <c r="Y74" s="6">
        <v>1</v>
      </c>
      <c r="Z74" s="6">
        <v>18</v>
      </c>
      <c r="AA74" s="5">
        <v>0.14494874528348178</v>
      </c>
      <c r="AB74" s="5">
        <v>0.10516460199040556</v>
      </c>
      <c r="AC74" s="6">
        <v>0</v>
      </c>
      <c r="AD74" s="6">
        <v>1</v>
      </c>
      <c r="AE74" s="6">
        <v>14</v>
      </c>
      <c r="AF74" s="5">
        <v>7.1219747701667446E-2</v>
      </c>
      <c r="AG74" s="5">
        <v>2.7252423041304919E-2</v>
      </c>
      <c r="AH74" s="6">
        <v>0</v>
      </c>
      <c r="AI74" s="6">
        <v>1</v>
      </c>
      <c r="AJ74" s="6">
        <v>104</v>
      </c>
      <c r="AK74">
        <f>(AF75/AF73)-AF74</f>
        <v>2.0326928663474575E-2</v>
      </c>
    </row>
    <row r="75" spans="1:37" ht="26.25" x14ac:dyDescent="0.45">
      <c r="A75" s="4" t="s">
        <v>53</v>
      </c>
      <c r="B75" s="5">
        <v>0</v>
      </c>
      <c r="C75" s="5">
        <v>0</v>
      </c>
      <c r="D75" s="6">
        <v>0</v>
      </c>
      <c r="E75" s="6">
        <v>0</v>
      </c>
      <c r="F75" s="6">
        <v>29</v>
      </c>
      <c r="G75" s="5">
        <v>0</v>
      </c>
      <c r="H75" s="5">
        <v>0</v>
      </c>
      <c r="I75" s="6">
        <v>0</v>
      </c>
      <c r="J75" s="6">
        <v>0</v>
      </c>
      <c r="K75" s="6">
        <v>5</v>
      </c>
      <c r="L75" s="5">
        <v>5.2410271788350123E-2</v>
      </c>
      <c r="M75" s="5">
        <v>5.248010773581166E-2</v>
      </c>
      <c r="N75" s="6">
        <v>0</v>
      </c>
      <c r="O75" s="6">
        <v>1</v>
      </c>
      <c r="P75" s="6">
        <v>19</v>
      </c>
      <c r="Q75" s="5">
        <v>0</v>
      </c>
      <c r="R75" s="5">
        <v>0</v>
      </c>
      <c r="S75" s="6">
        <v>0</v>
      </c>
      <c r="T75" s="6">
        <v>0</v>
      </c>
      <c r="U75" s="6">
        <v>19</v>
      </c>
      <c r="V75" s="5">
        <v>0.15550626739573795</v>
      </c>
      <c r="W75" s="5">
        <v>8.6631727868310957E-2</v>
      </c>
      <c r="X75" s="6">
        <v>0</v>
      </c>
      <c r="Y75" s="6">
        <v>1</v>
      </c>
      <c r="Z75" s="6">
        <v>18</v>
      </c>
      <c r="AA75" s="5">
        <v>0</v>
      </c>
      <c r="AB75" s="5">
        <v>0</v>
      </c>
      <c r="AC75" s="6">
        <v>0</v>
      </c>
      <c r="AD75" s="6">
        <v>0</v>
      </c>
      <c r="AE75" s="6">
        <v>14</v>
      </c>
      <c r="AF75" s="5">
        <v>2.8241571565647324E-2</v>
      </c>
      <c r="AG75" s="5">
        <v>1.9525234439272805E-2</v>
      </c>
      <c r="AH75" s="6">
        <v>0</v>
      </c>
      <c r="AI75" s="6">
        <v>1</v>
      </c>
      <c r="AJ75" s="6">
        <v>104</v>
      </c>
    </row>
    <row r="76" spans="1:37" x14ac:dyDescent="0.45">
      <c r="A76" s="4" t="s">
        <v>26</v>
      </c>
      <c r="B76" s="5">
        <v>0</v>
      </c>
      <c r="C76" s="5">
        <v>0</v>
      </c>
      <c r="D76" s="6">
        <v>0</v>
      </c>
      <c r="E76" s="6">
        <v>0</v>
      </c>
      <c r="F76" s="6">
        <v>29</v>
      </c>
      <c r="G76" s="5">
        <v>0</v>
      </c>
      <c r="H76" s="5">
        <v>0</v>
      </c>
      <c r="I76" s="6">
        <v>0</v>
      </c>
      <c r="J76" s="6">
        <v>0</v>
      </c>
      <c r="K76" s="6">
        <v>5</v>
      </c>
      <c r="L76" s="5">
        <v>0.66388051962713335</v>
      </c>
      <c r="M76" s="5">
        <v>0.11460855436927163</v>
      </c>
      <c r="N76" s="6">
        <v>0</v>
      </c>
      <c r="O76" s="6">
        <v>1</v>
      </c>
      <c r="P76" s="6">
        <v>19</v>
      </c>
      <c r="Q76" s="5">
        <v>0.29374289139203691</v>
      </c>
      <c r="R76" s="5">
        <v>0.11283736420444235</v>
      </c>
      <c r="S76" s="6">
        <v>0</v>
      </c>
      <c r="T76" s="6">
        <v>1</v>
      </c>
      <c r="U76" s="6">
        <v>19</v>
      </c>
      <c r="V76" s="5">
        <v>0.36680645879208712</v>
      </c>
      <c r="W76" s="5">
        <v>0.12383916979165614</v>
      </c>
      <c r="X76" s="6">
        <v>0</v>
      </c>
      <c r="Y76" s="6">
        <v>1</v>
      </c>
      <c r="Z76" s="6">
        <v>18</v>
      </c>
      <c r="AA76" s="5">
        <v>0.30087795573298015</v>
      </c>
      <c r="AB76" s="5">
        <v>0.14549325187447498</v>
      </c>
      <c r="AC76" s="6">
        <v>0</v>
      </c>
      <c r="AD76" s="6">
        <v>1</v>
      </c>
      <c r="AE76" s="6">
        <v>14</v>
      </c>
      <c r="AF76" s="5">
        <v>0.30849368526502607</v>
      </c>
      <c r="AG76" s="5">
        <v>6.0369974510870769E-2</v>
      </c>
      <c r="AH76" s="6">
        <v>0</v>
      </c>
      <c r="AI76" s="6">
        <v>1</v>
      </c>
      <c r="AJ76" s="6">
        <v>104</v>
      </c>
      <c r="AK76">
        <f>(AF78/AF77)-AF76</f>
        <v>9.9249063599118226E-2</v>
      </c>
    </row>
    <row r="77" spans="1:37" x14ac:dyDescent="0.45">
      <c r="A77" s="4" t="s">
        <v>32</v>
      </c>
      <c r="B77" s="5">
        <v>4.300104465507152E-2</v>
      </c>
      <c r="C77" s="5">
        <v>3.8529376428579974E-2</v>
      </c>
      <c r="D77" s="6">
        <v>0</v>
      </c>
      <c r="E77" s="6">
        <v>1</v>
      </c>
      <c r="F77" s="6">
        <v>29</v>
      </c>
      <c r="G77" s="5">
        <v>0</v>
      </c>
      <c r="H77" s="5">
        <v>0</v>
      </c>
      <c r="I77" s="6">
        <v>0</v>
      </c>
      <c r="J77" s="6">
        <v>0</v>
      </c>
      <c r="K77" s="6">
        <v>5</v>
      </c>
      <c r="L77" s="5">
        <v>0.32310688832667722</v>
      </c>
      <c r="M77" s="5">
        <v>0.11194939263044702</v>
      </c>
      <c r="N77" s="6">
        <v>0</v>
      </c>
      <c r="O77" s="6">
        <v>1</v>
      </c>
      <c r="P77" s="6">
        <v>19</v>
      </c>
      <c r="Q77" s="5">
        <v>0.41381121420178746</v>
      </c>
      <c r="R77" s="5">
        <v>0.12969928853703966</v>
      </c>
      <c r="S77" s="6">
        <v>0</v>
      </c>
      <c r="T77" s="6">
        <v>1</v>
      </c>
      <c r="U77" s="6">
        <v>19</v>
      </c>
      <c r="V77" s="5">
        <v>0.23553150148432661</v>
      </c>
      <c r="W77" s="5">
        <v>0.10224133114104708</v>
      </c>
      <c r="X77" s="6">
        <v>0</v>
      </c>
      <c r="Y77" s="6">
        <v>1</v>
      </c>
      <c r="Z77" s="6">
        <v>18</v>
      </c>
      <c r="AA77" s="5">
        <v>0.62380644277621733</v>
      </c>
      <c r="AB77" s="5">
        <v>0.15335862727964425</v>
      </c>
      <c r="AC77" s="6">
        <v>0</v>
      </c>
      <c r="AD77" s="6">
        <v>1</v>
      </c>
      <c r="AE77" s="6">
        <v>14</v>
      </c>
      <c r="AF77" s="5">
        <v>0.21962332207176813</v>
      </c>
      <c r="AG77" s="5">
        <v>4.9938905008240317E-2</v>
      </c>
      <c r="AH77" s="6">
        <v>0</v>
      </c>
      <c r="AI77" s="6">
        <v>1</v>
      </c>
      <c r="AJ77" s="6">
        <v>104</v>
      </c>
      <c r="AK77">
        <f>(AF78/AF76)-AF77</f>
        <v>7.0657553464747419E-2</v>
      </c>
    </row>
    <row r="78" spans="1:37" ht="26.25" x14ac:dyDescent="0.45">
      <c r="A78" s="4" t="s">
        <v>54</v>
      </c>
      <c r="B78" s="5">
        <v>0</v>
      </c>
      <c r="C78" s="5">
        <v>0</v>
      </c>
      <c r="D78" s="6">
        <v>0</v>
      </c>
      <c r="E78" s="6">
        <v>0</v>
      </c>
      <c r="F78" s="6">
        <v>29</v>
      </c>
      <c r="G78" s="5">
        <v>0</v>
      </c>
      <c r="H78" s="5">
        <v>0</v>
      </c>
      <c r="I78" s="6">
        <v>0</v>
      </c>
      <c r="J78" s="6">
        <v>0</v>
      </c>
      <c r="K78" s="6">
        <v>5</v>
      </c>
      <c r="L78" s="5">
        <v>0.21711634675147426</v>
      </c>
      <c r="M78" s="5">
        <v>9.8830449381174995E-2</v>
      </c>
      <c r="N78" s="6">
        <v>0</v>
      </c>
      <c r="O78" s="6">
        <v>1</v>
      </c>
      <c r="P78" s="6">
        <v>19</v>
      </c>
      <c r="Q78" s="5">
        <v>4.5722309708474441E-2</v>
      </c>
      <c r="R78" s="5">
        <v>4.6404065730070082E-2</v>
      </c>
      <c r="S78" s="6">
        <v>0</v>
      </c>
      <c r="T78" s="6">
        <v>1</v>
      </c>
      <c r="U78" s="6">
        <v>19</v>
      </c>
      <c r="V78" s="5">
        <v>0.10055724988722109</v>
      </c>
      <c r="W78" s="5">
        <v>7.0534767449922611E-2</v>
      </c>
      <c r="X78" s="6">
        <v>0</v>
      </c>
      <c r="Y78" s="6">
        <v>1</v>
      </c>
      <c r="Z78" s="6">
        <v>18</v>
      </c>
      <c r="AA78" s="5">
        <v>9.8291160183755343E-3</v>
      </c>
      <c r="AB78" s="5">
        <v>1.0562930652329066E-2</v>
      </c>
      <c r="AC78" s="6">
        <v>0</v>
      </c>
      <c r="AD78" s="6">
        <v>1</v>
      </c>
      <c r="AE78" s="6">
        <v>14</v>
      </c>
      <c r="AF78" s="5">
        <v>8.9549817056218034E-2</v>
      </c>
      <c r="AG78" s="5">
        <v>3.80254621126467E-2</v>
      </c>
      <c r="AH78" s="6">
        <v>0</v>
      </c>
      <c r="AI78" s="6">
        <v>1</v>
      </c>
      <c r="AJ78" s="6">
        <v>104</v>
      </c>
    </row>
    <row r="79" spans="1:37" x14ac:dyDescent="0.45">
      <c r="A79" s="4" t="s">
        <v>26</v>
      </c>
      <c r="B79" s="5">
        <v>0</v>
      </c>
      <c r="C79" s="5">
        <v>0</v>
      </c>
      <c r="D79" s="6">
        <v>0</v>
      </c>
      <c r="E79" s="6">
        <v>0</v>
      </c>
      <c r="F79" s="6">
        <v>29</v>
      </c>
      <c r="G79" s="5">
        <v>0</v>
      </c>
      <c r="H79" s="5">
        <v>0</v>
      </c>
      <c r="I79" s="6">
        <v>0</v>
      </c>
      <c r="J79" s="6">
        <v>0</v>
      </c>
      <c r="K79" s="6">
        <v>5</v>
      </c>
      <c r="L79" s="5">
        <v>0.66388051962713335</v>
      </c>
      <c r="M79" s="5">
        <v>0.11460855436927163</v>
      </c>
      <c r="N79" s="6">
        <v>0</v>
      </c>
      <c r="O79" s="6">
        <v>1</v>
      </c>
      <c r="P79" s="6">
        <v>19</v>
      </c>
      <c r="Q79" s="5">
        <v>0.29374289139203691</v>
      </c>
      <c r="R79" s="5">
        <v>0.11283736420444235</v>
      </c>
      <c r="S79" s="6">
        <v>0</v>
      </c>
      <c r="T79" s="6">
        <v>1</v>
      </c>
      <c r="U79" s="6">
        <v>19</v>
      </c>
      <c r="V79" s="5">
        <v>0.36680645879208712</v>
      </c>
      <c r="W79" s="5">
        <v>0.12383916979165614</v>
      </c>
      <c r="X79" s="6">
        <v>0</v>
      </c>
      <c r="Y79" s="6">
        <v>1</v>
      </c>
      <c r="Z79" s="6">
        <v>18</v>
      </c>
      <c r="AA79" s="5">
        <v>0.30087795573298015</v>
      </c>
      <c r="AB79" s="5">
        <v>0.14549325187447498</v>
      </c>
      <c r="AC79" s="6">
        <v>0</v>
      </c>
      <c r="AD79" s="6">
        <v>1</v>
      </c>
      <c r="AE79" s="6">
        <v>14</v>
      </c>
      <c r="AF79" s="5">
        <v>0.30849368526502607</v>
      </c>
      <c r="AG79" s="5">
        <v>6.0369974510870769E-2</v>
      </c>
      <c r="AH79" s="6">
        <v>0</v>
      </c>
      <c r="AI79" s="6">
        <v>1</v>
      </c>
      <c r="AJ79" s="6">
        <v>104</v>
      </c>
      <c r="AK79">
        <f>(AF81/AF80)-AF79</f>
        <v>0.47549303347235461</v>
      </c>
    </row>
    <row r="80" spans="1:37" x14ac:dyDescent="0.45">
      <c r="A80" s="4" t="s">
        <v>34</v>
      </c>
      <c r="B80" s="5">
        <v>4.9977494973873441E-3</v>
      </c>
      <c r="C80" s="5">
        <v>5.1842481806806187E-3</v>
      </c>
      <c r="D80" s="6">
        <v>0</v>
      </c>
      <c r="E80" s="6">
        <v>1</v>
      </c>
      <c r="F80" s="6">
        <v>29</v>
      </c>
      <c r="G80" s="5">
        <v>0</v>
      </c>
      <c r="H80" s="5">
        <v>0</v>
      </c>
      <c r="I80" s="6">
        <v>0</v>
      </c>
      <c r="J80" s="6">
        <v>0</v>
      </c>
      <c r="K80" s="6">
        <v>5</v>
      </c>
      <c r="L80" s="5">
        <v>0.1089926005638932</v>
      </c>
      <c r="M80" s="5">
        <v>7.4809215374932528E-2</v>
      </c>
      <c r="N80" s="6">
        <v>0</v>
      </c>
      <c r="O80" s="6">
        <v>1</v>
      </c>
      <c r="P80" s="6">
        <v>19</v>
      </c>
      <c r="Q80" s="5">
        <v>0</v>
      </c>
      <c r="R80" s="5">
        <v>0</v>
      </c>
      <c r="S80" s="6">
        <v>0</v>
      </c>
      <c r="T80" s="6">
        <v>0</v>
      </c>
      <c r="U80" s="6">
        <v>19</v>
      </c>
      <c r="V80" s="5">
        <v>0.18749442370539304</v>
      </c>
      <c r="W80" s="5">
        <v>9.5653225655299184E-2</v>
      </c>
      <c r="X80" s="6">
        <v>0</v>
      </c>
      <c r="Y80" s="6">
        <v>1</v>
      </c>
      <c r="Z80" s="6">
        <v>18</v>
      </c>
      <c r="AA80" s="5">
        <v>0.10851687170393783</v>
      </c>
      <c r="AB80" s="5">
        <v>9.1959813331468687E-2</v>
      </c>
      <c r="AC80" s="6">
        <v>0</v>
      </c>
      <c r="AD80" s="6">
        <v>1</v>
      </c>
      <c r="AE80" s="6">
        <v>14</v>
      </c>
      <c r="AF80" s="5">
        <v>5.7747988593625371E-2</v>
      </c>
      <c r="AG80" s="5">
        <v>2.8391611186991999E-2</v>
      </c>
      <c r="AH80" s="6">
        <v>0</v>
      </c>
      <c r="AI80" s="6">
        <v>1</v>
      </c>
      <c r="AJ80" s="6">
        <v>104</v>
      </c>
      <c r="AK80">
        <f>(AF81/AF79)-AF80</f>
        <v>8.9009168047378712E-2</v>
      </c>
    </row>
    <row r="81" spans="1:37" ht="26.25" x14ac:dyDescent="0.45">
      <c r="A81" s="4" t="s">
        <v>55</v>
      </c>
      <c r="B81" s="5">
        <v>0</v>
      </c>
      <c r="C81" s="5">
        <v>0</v>
      </c>
      <c r="D81" s="6">
        <v>0</v>
      </c>
      <c r="E81" s="6">
        <v>0</v>
      </c>
      <c r="F81" s="6">
        <v>29</v>
      </c>
      <c r="G81" s="5">
        <v>0</v>
      </c>
      <c r="H81" s="5">
        <v>0</v>
      </c>
      <c r="I81" s="6">
        <v>0</v>
      </c>
      <c r="J81" s="6">
        <v>0</v>
      </c>
      <c r="K81" s="6">
        <v>5</v>
      </c>
      <c r="L81" s="5">
        <v>0.1089926005638932</v>
      </c>
      <c r="M81" s="5">
        <v>7.4809215374932528E-2</v>
      </c>
      <c r="N81" s="6">
        <v>0</v>
      </c>
      <c r="O81" s="6">
        <v>1</v>
      </c>
      <c r="P81" s="6">
        <v>19</v>
      </c>
      <c r="Q81" s="5">
        <v>0</v>
      </c>
      <c r="R81" s="5">
        <v>0</v>
      </c>
      <c r="S81" s="6">
        <v>0</v>
      </c>
      <c r="T81" s="6">
        <v>0</v>
      </c>
      <c r="U81" s="6">
        <v>19</v>
      </c>
      <c r="V81" s="5">
        <v>0.10055724988722109</v>
      </c>
      <c r="W81" s="5">
        <v>7.0534767449922611E-2</v>
      </c>
      <c r="X81" s="6">
        <v>0</v>
      </c>
      <c r="Y81" s="6">
        <v>1</v>
      </c>
      <c r="Z81" s="6">
        <v>18</v>
      </c>
      <c r="AA81" s="5">
        <v>0</v>
      </c>
      <c r="AB81" s="5">
        <v>0</v>
      </c>
      <c r="AC81" s="6">
        <v>0</v>
      </c>
      <c r="AD81" s="6">
        <v>0</v>
      </c>
      <c r="AE81" s="6">
        <v>14</v>
      </c>
      <c r="AF81" s="5">
        <v>4.5273656091200043E-2</v>
      </c>
      <c r="AG81" s="5">
        <v>2.7586118395512331E-2</v>
      </c>
      <c r="AH81" s="6">
        <v>0</v>
      </c>
      <c r="AI81" s="6">
        <v>1</v>
      </c>
      <c r="AJ81" s="6">
        <v>104</v>
      </c>
    </row>
    <row r="82" spans="1:37" x14ac:dyDescent="0.45">
      <c r="A82" s="4" t="s">
        <v>26</v>
      </c>
      <c r="B82" s="5">
        <v>0</v>
      </c>
      <c r="C82" s="5">
        <v>0</v>
      </c>
      <c r="D82" s="6">
        <v>0</v>
      </c>
      <c r="E82" s="6">
        <v>0</v>
      </c>
      <c r="F82" s="6">
        <v>29</v>
      </c>
      <c r="G82" s="5">
        <v>0</v>
      </c>
      <c r="H82" s="5">
        <v>0</v>
      </c>
      <c r="I82" s="6">
        <v>0</v>
      </c>
      <c r="J82" s="6">
        <v>0</v>
      </c>
      <c r="K82" s="6">
        <v>5</v>
      </c>
      <c r="L82" s="5">
        <v>0.66388051962713335</v>
      </c>
      <c r="M82" s="5">
        <v>0.11460855436927163</v>
      </c>
      <c r="N82" s="6">
        <v>0</v>
      </c>
      <c r="O82" s="6">
        <v>1</v>
      </c>
      <c r="P82" s="6">
        <v>19</v>
      </c>
      <c r="Q82" s="5">
        <v>0.29374289139203691</v>
      </c>
      <c r="R82" s="5">
        <v>0.11283736420444235</v>
      </c>
      <c r="S82" s="6">
        <v>0</v>
      </c>
      <c r="T82" s="6">
        <v>1</v>
      </c>
      <c r="U82" s="6">
        <v>19</v>
      </c>
      <c r="V82" s="5">
        <v>0.36680645879208712</v>
      </c>
      <c r="W82" s="5">
        <v>0.12383916979165614</v>
      </c>
      <c r="X82" s="6">
        <v>0</v>
      </c>
      <c r="Y82" s="6">
        <v>1</v>
      </c>
      <c r="Z82" s="6">
        <v>18</v>
      </c>
      <c r="AA82" s="5">
        <v>0.30087795573298015</v>
      </c>
      <c r="AB82" s="5">
        <v>0.14549325187447498</v>
      </c>
      <c r="AC82" s="6">
        <v>0</v>
      </c>
      <c r="AD82" s="6">
        <v>1</v>
      </c>
      <c r="AE82" s="6">
        <v>14</v>
      </c>
      <c r="AF82" s="5">
        <v>0.30849368526502607</v>
      </c>
      <c r="AG82" s="5">
        <v>6.0369974510870769E-2</v>
      </c>
      <c r="AH82" s="6">
        <v>0</v>
      </c>
      <c r="AI82" s="6">
        <v>1</v>
      </c>
      <c r="AJ82" s="6">
        <v>104</v>
      </c>
      <c r="AK82">
        <f>(AF84/AF83)-AF82</f>
        <v>-0.1965523315657792</v>
      </c>
    </row>
    <row r="83" spans="1:37" x14ac:dyDescent="0.45">
      <c r="A83" s="4" t="s">
        <v>36</v>
      </c>
      <c r="B83" s="5">
        <v>0.75033349718812381</v>
      </c>
      <c r="C83" s="5">
        <v>0.11113628937183456</v>
      </c>
      <c r="D83" s="6">
        <v>0</v>
      </c>
      <c r="E83" s="6">
        <v>1</v>
      </c>
      <c r="F83" s="6">
        <v>28</v>
      </c>
      <c r="G83" s="5">
        <v>0.69890286206955909</v>
      </c>
      <c r="H83" s="5">
        <v>0.26064905237909602</v>
      </c>
      <c r="I83" s="6">
        <v>0</v>
      </c>
      <c r="J83" s="6">
        <v>1</v>
      </c>
      <c r="K83" s="6">
        <v>5</v>
      </c>
      <c r="L83" s="5">
        <v>7.6528749224782755E-2</v>
      </c>
      <c r="M83" s="5">
        <v>6.4008315307330796E-2</v>
      </c>
      <c r="N83" s="6">
        <v>0</v>
      </c>
      <c r="O83" s="6">
        <v>1</v>
      </c>
      <c r="P83" s="6">
        <v>16</v>
      </c>
      <c r="Q83" s="5">
        <v>0.13638212532932661</v>
      </c>
      <c r="R83" s="5">
        <v>0.12489587163927413</v>
      </c>
      <c r="S83" s="6">
        <v>0</v>
      </c>
      <c r="T83" s="6">
        <v>1</v>
      </c>
      <c r="U83" s="6">
        <v>19</v>
      </c>
      <c r="V83" s="5">
        <v>0.35584441822330487</v>
      </c>
      <c r="W83" s="5">
        <v>0.12202753204157965</v>
      </c>
      <c r="X83" s="6">
        <v>0</v>
      </c>
      <c r="Y83" s="6">
        <v>1</v>
      </c>
      <c r="Z83" s="6">
        <v>18</v>
      </c>
      <c r="AA83" s="5">
        <v>0.74429546837714122</v>
      </c>
      <c r="AB83" s="5">
        <v>0.12930236493328284</v>
      </c>
      <c r="AC83" s="6">
        <v>0</v>
      </c>
      <c r="AD83" s="6">
        <v>1</v>
      </c>
      <c r="AE83" s="6">
        <v>14</v>
      </c>
      <c r="AF83" s="5">
        <v>0.42925514319553509</v>
      </c>
      <c r="AG83" s="5">
        <v>6.917480911456024E-2</v>
      </c>
      <c r="AH83" s="6">
        <v>0</v>
      </c>
      <c r="AI83" s="6">
        <v>1</v>
      </c>
      <c r="AJ83" s="6">
        <v>100</v>
      </c>
      <c r="AK83">
        <f>(AF84/AF82)-AF83</f>
        <v>-0.27349376425388372</v>
      </c>
    </row>
    <row r="84" spans="1:37" x14ac:dyDescent="0.45">
      <c r="A84" s="4" t="s">
        <v>56</v>
      </c>
      <c r="B84" s="5">
        <v>0</v>
      </c>
      <c r="C84" s="5">
        <v>0</v>
      </c>
      <c r="D84" s="6">
        <v>0</v>
      </c>
      <c r="E84" s="6">
        <v>0</v>
      </c>
      <c r="F84" s="6">
        <v>28</v>
      </c>
      <c r="G84" s="5">
        <v>0</v>
      </c>
      <c r="H84" s="5">
        <v>0</v>
      </c>
      <c r="I84" s="6">
        <v>0</v>
      </c>
      <c r="J84" s="6">
        <v>0</v>
      </c>
      <c r="K84" s="6">
        <v>5</v>
      </c>
      <c r="L84" s="5">
        <v>7.6528749224782755E-2</v>
      </c>
      <c r="M84" s="5">
        <v>6.4008315307330796E-2</v>
      </c>
      <c r="N84" s="6">
        <v>0</v>
      </c>
      <c r="O84" s="6">
        <v>1</v>
      </c>
      <c r="P84" s="6">
        <v>16</v>
      </c>
      <c r="Q84" s="5">
        <v>0</v>
      </c>
      <c r="R84" s="5">
        <v>0</v>
      </c>
      <c r="S84" s="6">
        <v>0</v>
      </c>
      <c r="T84" s="6">
        <v>0</v>
      </c>
      <c r="U84" s="6">
        <v>19</v>
      </c>
      <c r="V84" s="5">
        <v>0.10055724988722109</v>
      </c>
      <c r="W84" s="5">
        <v>7.0534767449922611E-2</v>
      </c>
      <c r="X84" s="6">
        <v>0</v>
      </c>
      <c r="Y84" s="6">
        <v>1</v>
      </c>
      <c r="Z84" s="6">
        <v>18</v>
      </c>
      <c r="AA84" s="5">
        <v>0.2910488397146046</v>
      </c>
      <c r="AB84" s="5">
        <v>0.14543018181319689</v>
      </c>
      <c r="AC84" s="6">
        <v>0</v>
      </c>
      <c r="AD84" s="6">
        <v>1</v>
      </c>
      <c r="AE84" s="6">
        <v>14</v>
      </c>
      <c r="AF84" s="5">
        <v>4.8051401811672258E-2</v>
      </c>
      <c r="AG84" s="5">
        <v>2.3216455077341634E-2</v>
      </c>
      <c r="AH84" s="6">
        <v>0</v>
      </c>
      <c r="AI84" s="6">
        <v>1</v>
      </c>
      <c r="AJ84" s="6">
        <v>100</v>
      </c>
    </row>
    <row r="85" spans="1:37" x14ac:dyDescent="0.45">
      <c r="A85" s="4" t="s">
        <v>26</v>
      </c>
      <c r="B85" s="5">
        <v>0</v>
      </c>
      <c r="C85" s="5">
        <v>0</v>
      </c>
      <c r="D85" s="6">
        <v>0</v>
      </c>
      <c r="E85" s="6">
        <v>0</v>
      </c>
      <c r="F85" s="6">
        <v>29</v>
      </c>
      <c r="G85" s="5">
        <v>0</v>
      </c>
      <c r="H85" s="5">
        <v>0</v>
      </c>
      <c r="I85" s="6">
        <v>0</v>
      </c>
      <c r="J85" s="6">
        <v>0</v>
      </c>
      <c r="K85" s="6">
        <v>5</v>
      </c>
      <c r="L85" s="5">
        <v>0.66388051962713335</v>
      </c>
      <c r="M85" s="5">
        <v>0.11460855436927163</v>
      </c>
      <c r="N85" s="6">
        <v>0</v>
      </c>
      <c r="O85" s="6">
        <v>1</v>
      </c>
      <c r="P85" s="6">
        <v>19</v>
      </c>
      <c r="Q85" s="5">
        <v>0.29374289139203691</v>
      </c>
      <c r="R85" s="5">
        <v>0.11283736420444235</v>
      </c>
      <c r="S85" s="6">
        <v>0</v>
      </c>
      <c r="T85" s="6">
        <v>1</v>
      </c>
      <c r="U85" s="6">
        <v>19</v>
      </c>
      <c r="V85" s="5">
        <v>0.36680645879208712</v>
      </c>
      <c r="W85" s="5">
        <v>0.12383916979165614</v>
      </c>
      <c r="X85" s="6">
        <v>0</v>
      </c>
      <c r="Y85" s="6">
        <v>1</v>
      </c>
      <c r="Z85" s="6">
        <v>18</v>
      </c>
      <c r="AA85" s="5">
        <v>0.30087795573298015</v>
      </c>
      <c r="AB85" s="5">
        <v>0.14549325187447498</v>
      </c>
      <c r="AC85" s="6">
        <v>0</v>
      </c>
      <c r="AD85" s="6">
        <v>1</v>
      </c>
      <c r="AE85" s="6">
        <v>14</v>
      </c>
      <c r="AF85" s="5">
        <v>0.30849368526502607</v>
      </c>
      <c r="AG85" s="5">
        <v>6.0369974510870769E-2</v>
      </c>
      <c r="AH85" s="6">
        <v>0</v>
      </c>
      <c r="AI85" s="6">
        <v>1</v>
      </c>
      <c r="AJ85" s="6">
        <v>104</v>
      </c>
      <c r="AK85">
        <f>(AF87/AF86)-AF85</f>
        <v>0.30318205638390228</v>
      </c>
    </row>
    <row r="86" spans="1:37" ht="26.25" x14ac:dyDescent="0.45">
      <c r="A86" s="4" t="s">
        <v>38</v>
      </c>
      <c r="B86" s="5">
        <v>0</v>
      </c>
      <c r="C86" s="5">
        <v>0</v>
      </c>
      <c r="D86" s="6">
        <v>0</v>
      </c>
      <c r="E86" s="6">
        <v>0</v>
      </c>
      <c r="F86" s="6">
        <v>29</v>
      </c>
      <c r="G86" s="5">
        <v>0</v>
      </c>
      <c r="H86" s="5">
        <v>0</v>
      </c>
      <c r="I86" s="6">
        <v>0</v>
      </c>
      <c r="J86" s="6">
        <v>0</v>
      </c>
      <c r="K86" s="6">
        <v>5</v>
      </c>
      <c r="L86" s="5">
        <v>0.94219031834334444</v>
      </c>
      <c r="M86" s="5">
        <v>5.7556730985345819E-2</v>
      </c>
      <c r="N86" s="6">
        <v>0</v>
      </c>
      <c r="O86" s="6">
        <v>1</v>
      </c>
      <c r="P86" s="6">
        <v>19</v>
      </c>
      <c r="Q86" s="5">
        <v>0.23215855473296679</v>
      </c>
      <c r="R86" s="5">
        <v>9.9015389508305698E-2</v>
      </c>
      <c r="S86" s="6">
        <v>0</v>
      </c>
      <c r="T86" s="6">
        <v>1</v>
      </c>
      <c r="U86" s="6">
        <v>19</v>
      </c>
      <c r="V86" s="5">
        <v>0.47441656189365872</v>
      </c>
      <c r="W86" s="5">
        <v>0.1275876604219422</v>
      </c>
      <c r="X86" s="6">
        <v>0</v>
      </c>
      <c r="Y86" s="6">
        <v>1</v>
      </c>
      <c r="Z86" s="6">
        <v>18</v>
      </c>
      <c r="AA86" s="5">
        <v>0.50100347893857933</v>
      </c>
      <c r="AB86" s="5">
        <v>0.15741214876712428</v>
      </c>
      <c r="AC86" s="6">
        <v>0</v>
      </c>
      <c r="AD86" s="6">
        <v>1</v>
      </c>
      <c r="AE86" s="6">
        <v>14</v>
      </c>
      <c r="AF86" s="5">
        <v>0.41945825525041158</v>
      </c>
      <c r="AG86" s="5">
        <v>6.5895940178938919E-2</v>
      </c>
      <c r="AH86" s="6">
        <v>0</v>
      </c>
      <c r="AI86" s="6">
        <v>1</v>
      </c>
      <c r="AJ86" s="6">
        <v>104</v>
      </c>
      <c r="AK86">
        <f>(AF87/AF85)-AF86</f>
        <v>0.41223604393966851</v>
      </c>
    </row>
    <row r="87" spans="1:37" ht="26.25" x14ac:dyDescent="0.45">
      <c r="A87" s="4" t="s">
        <v>57</v>
      </c>
      <c r="B87" s="5">
        <v>0</v>
      </c>
      <c r="C87" s="5">
        <v>0</v>
      </c>
      <c r="D87" s="6">
        <v>0</v>
      </c>
      <c r="E87" s="6">
        <v>0</v>
      </c>
      <c r="F87" s="6">
        <v>29</v>
      </c>
      <c r="G87" s="5">
        <v>0</v>
      </c>
      <c r="H87" s="5">
        <v>0</v>
      </c>
      <c r="I87" s="6">
        <v>0</v>
      </c>
      <c r="J87" s="6">
        <v>0</v>
      </c>
      <c r="K87" s="6">
        <v>5</v>
      </c>
      <c r="L87" s="5">
        <v>0.60607083797047789</v>
      </c>
      <c r="M87" s="5">
        <v>0.11827593813891527</v>
      </c>
      <c r="N87" s="6">
        <v>0</v>
      </c>
      <c r="O87" s="6">
        <v>1</v>
      </c>
      <c r="P87" s="6">
        <v>19</v>
      </c>
      <c r="Q87" s="5">
        <v>8.6028967841946608E-2</v>
      </c>
      <c r="R87" s="5">
        <v>6.1316507590465301E-2</v>
      </c>
      <c r="S87" s="6">
        <v>0</v>
      </c>
      <c r="T87" s="6">
        <v>1</v>
      </c>
      <c r="U87" s="6">
        <v>19</v>
      </c>
      <c r="V87" s="5">
        <v>0.21637725473275415</v>
      </c>
      <c r="W87" s="5">
        <v>0.10082174388357018</v>
      </c>
      <c r="X87" s="6">
        <v>0</v>
      </c>
      <c r="Y87" s="6">
        <v>1</v>
      </c>
      <c r="Z87" s="6">
        <v>18</v>
      </c>
      <c r="AA87" s="5">
        <v>0.30087795573298015</v>
      </c>
      <c r="AB87" s="5">
        <v>0.14549325187447498</v>
      </c>
      <c r="AC87" s="6">
        <v>0</v>
      </c>
      <c r="AD87" s="6">
        <v>1</v>
      </c>
      <c r="AE87" s="6">
        <v>14</v>
      </c>
      <c r="AF87" s="5">
        <v>0.256572439371061</v>
      </c>
      <c r="AG87" s="5">
        <v>5.7731482754816758E-2</v>
      </c>
      <c r="AH87" s="6">
        <v>0</v>
      </c>
      <c r="AI87" s="6">
        <v>1</v>
      </c>
      <c r="AJ87" s="6">
        <v>104</v>
      </c>
    </row>
    <row r="88" spans="1:37" x14ac:dyDescent="0.45">
      <c r="A88" s="4" t="s">
        <v>26</v>
      </c>
      <c r="B88" s="5">
        <v>0</v>
      </c>
      <c r="C88" s="5">
        <v>0</v>
      </c>
      <c r="D88" s="6">
        <v>0</v>
      </c>
      <c r="E88" s="6">
        <v>0</v>
      </c>
      <c r="F88" s="6">
        <v>29</v>
      </c>
      <c r="G88" s="5">
        <v>0</v>
      </c>
      <c r="H88" s="5">
        <v>0</v>
      </c>
      <c r="I88" s="6">
        <v>0</v>
      </c>
      <c r="J88" s="6">
        <v>0</v>
      </c>
      <c r="K88" s="6">
        <v>5</v>
      </c>
      <c r="L88" s="5">
        <v>0.66388051962713335</v>
      </c>
      <c r="M88" s="5">
        <v>0.11460855436927163</v>
      </c>
      <c r="N88" s="6">
        <v>0</v>
      </c>
      <c r="O88" s="6">
        <v>1</v>
      </c>
      <c r="P88" s="6">
        <v>19</v>
      </c>
      <c r="Q88" s="5">
        <v>0.29374289139203691</v>
      </c>
      <c r="R88" s="5">
        <v>0.11283736420444235</v>
      </c>
      <c r="S88" s="6">
        <v>0</v>
      </c>
      <c r="T88" s="6">
        <v>1</v>
      </c>
      <c r="U88" s="6">
        <v>19</v>
      </c>
      <c r="V88" s="5">
        <v>0.36680645879208712</v>
      </c>
      <c r="W88" s="5">
        <v>0.12383916979165614</v>
      </c>
      <c r="X88" s="6">
        <v>0</v>
      </c>
      <c r="Y88" s="6">
        <v>1</v>
      </c>
      <c r="Z88" s="6">
        <v>18</v>
      </c>
      <c r="AA88" s="5">
        <v>0.30087795573298015</v>
      </c>
      <c r="AB88" s="5">
        <v>0.14549325187447498</v>
      </c>
      <c r="AC88" s="6">
        <v>0</v>
      </c>
      <c r="AD88" s="6">
        <v>1</v>
      </c>
      <c r="AE88" s="6">
        <v>14</v>
      </c>
      <c r="AF88" s="5">
        <v>0.30849368526502607</v>
      </c>
      <c r="AG88" s="5">
        <v>6.0369974510870769E-2</v>
      </c>
      <c r="AH88" s="6">
        <v>0</v>
      </c>
      <c r="AI88" s="6">
        <v>1</v>
      </c>
      <c r="AJ88" s="6">
        <v>104</v>
      </c>
      <c r="AK88">
        <f>(AF90/AF89)-AF88</f>
        <v>0.15531428683888743</v>
      </c>
    </row>
    <row r="89" spans="1:37" x14ac:dyDescent="0.45">
      <c r="A89" s="4" t="s">
        <v>40</v>
      </c>
      <c r="B89" s="5">
        <v>0.23600168674140035</v>
      </c>
      <c r="C89" s="5">
        <v>9.8121570578696957E-2</v>
      </c>
      <c r="D89" s="6">
        <v>0</v>
      </c>
      <c r="E89" s="6">
        <v>1</v>
      </c>
      <c r="F89" s="6">
        <v>29</v>
      </c>
      <c r="G89" s="5">
        <v>0.28413340654229741</v>
      </c>
      <c r="H89" s="5">
        <v>0.2635701019519151</v>
      </c>
      <c r="I89" s="6">
        <v>0</v>
      </c>
      <c r="J89" s="6">
        <v>1</v>
      </c>
      <c r="K89" s="6">
        <v>5</v>
      </c>
      <c r="L89" s="5">
        <v>1</v>
      </c>
      <c r="M89" s="5">
        <v>0</v>
      </c>
      <c r="N89" s="6">
        <v>1</v>
      </c>
      <c r="O89" s="6">
        <v>1</v>
      </c>
      <c r="P89" s="6">
        <v>19</v>
      </c>
      <c r="Q89" s="5">
        <v>0.85289731615094222</v>
      </c>
      <c r="R89" s="5">
        <v>0.10368836461541529</v>
      </c>
      <c r="S89" s="6">
        <v>0</v>
      </c>
      <c r="T89" s="6">
        <v>1</v>
      </c>
      <c r="U89" s="6">
        <v>19</v>
      </c>
      <c r="V89" s="5">
        <v>0.86634111546445414</v>
      </c>
      <c r="W89" s="5">
        <v>8.7661072043173624E-2</v>
      </c>
      <c r="X89" s="6">
        <v>0</v>
      </c>
      <c r="Y89" s="6">
        <v>1</v>
      </c>
      <c r="Z89" s="6">
        <v>18</v>
      </c>
      <c r="AA89" s="5">
        <v>0.68542702638902031</v>
      </c>
      <c r="AB89" s="5">
        <v>0.14449500923918335</v>
      </c>
      <c r="AC89" s="6">
        <v>0</v>
      </c>
      <c r="AD89" s="6">
        <v>1</v>
      </c>
      <c r="AE89" s="6">
        <v>14</v>
      </c>
      <c r="AF89" s="5">
        <v>0.64636059193257822</v>
      </c>
      <c r="AG89" s="5">
        <v>6.6126331124485585E-2</v>
      </c>
      <c r="AH89" s="6">
        <v>0</v>
      </c>
      <c r="AI89" s="6">
        <v>1</v>
      </c>
      <c r="AJ89" s="6">
        <v>104</v>
      </c>
      <c r="AK89">
        <f>(AF90/AF88)-AF89</f>
        <v>0.32541682106240066</v>
      </c>
    </row>
    <row r="90" spans="1:37" ht="26.25" x14ac:dyDescent="0.45">
      <c r="A90" s="4" t="s">
        <v>58</v>
      </c>
      <c r="B90" s="5">
        <v>0</v>
      </c>
      <c r="C90" s="5">
        <v>0</v>
      </c>
      <c r="D90" s="6">
        <v>0</v>
      </c>
      <c r="E90" s="6">
        <v>0</v>
      </c>
      <c r="F90" s="6">
        <v>29</v>
      </c>
      <c r="G90" s="5">
        <v>0</v>
      </c>
      <c r="H90" s="5">
        <v>0</v>
      </c>
      <c r="I90" s="6">
        <v>0</v>
      </c>
      <c r="J90" s="6">
        <v>0</v>
      </c>
      <c r="K90" s="6">
        <v>5</v>
      </c>
      <c r="L90" s="5">
        <v>0.66388051962713335</v>
      </c>
      <c r="M90" s="5">
        <v>0.11460855436927163</v>
      </c>
      <c r="N90" s="6">
        <v>0</v>
      </c>
      <c r="O90" s="6">
        <v>1</v>
      </c>
      <c r="P90" s="6">
        <v>19</v>
      </c>
      <c r="Q90" s="5">
        <v>0.24802058168356245</v>
      </c>
      <c r="R90" s="5">
        <v>0.10642040987644531</v>
      </c>
      <c r="S90" s="6">
        <v>0</v>
      </c>
      <c r="T90" s="6">
        <v>1</v>
      </c>
      <c r="U90" s="6">
        <v>19</v>
      </c>
      <c r="V90" s="5">
        <v>0.31185744128357024</v>
      </c>
      <c r="W90" s="5">
        <v>0.11995177798510508</v>
      </c>
      <c r="X90" s="6">
        <v>0</v>
      </c>
      <c r="Y90" s="6">
        <v>1</v>
      </c>
      <c r="Z90" s="6">
        <v>18</v>
      </c>
      <c r="AA90" s="5">
        <v>0.2910488397146046</v>
      </c>
      <c r="AB90" s="5">
        <v>0.14543018181319689</v>
      </c>
      <c r="AC90" s="6">
        <v>0</v>
      </c>
      <c r="AD90" s="6">
        <v>1</v>
      </c>
      <c r="AE90" s="6">
        <v>14</v>
      </c>
      <c r="AF90" s="5">
        <v>0.29978719539213428</v>
      </c>
      <c r="AG90" s="5">
        <v>6.017506367114378E-2</v>
      </c>
      <c r="AH90" s="6">
        <v>0</v>
      </c>
      <c r="AI90" s="6">
        <v>1</v>
      </c>
      <c r="AJ90" s="6">
        <v>104</v>
      </c>
    </row>
    <row r="91" spans="1:37" x14ac:dyDescent="0.45">
      <c r="A91" s="4" t="s">
        <v>26</v>
      </c>
      <c r="B91" s="5">
        <v>0</v>
      </c>
      <c r="C91" s="5">
        <v>0</v>
      </c>
      <c r="D91" s="6">
        <v>0</v>
      </c>
      <c r="E91" s="6">
        <v>0</v>
      </c>
      <c r="F91" s="6">
        <v>29</v>
      </c>
      <c r="G91" s="5">
        <v>0</v>
      </c>
      <c r="H91" s="5">
        <v>0</v>
      </c>
      <c r="I91" s="6">
        <v>0</v>
      </c>
      <c r="J91" s="6">
        <v>0</v>
      </c>
      <c r="K91" s="6">
        <v>5</v>
      </c>
      <c r="L91" s="5">
        <v>0.66388051962713335</v>
      </c>
      <c r="M91" s="5">
        <v>0.11460855436927163</v>
      </c>
      <c r="N91" s="6">
        <v>0</v>
      </c>
      <c r="O91" s="6">
        <v>1</v>
      </c>
      <c r="P91" s="6">
        <v>19</v>
      </c>
      <c r="Q91" s="5">
        <v>0.29374289139203691</v>
      </c>
      <c r="R91" s="5">
        <v>0.11283736420444235</v>
      </c>
      <c r="S91" s="6">
        <v>0</v>
      </c>
      <c r="T91" s="6">
        <v>1</v>
      </c>
      <c r="U91" s="6">
        <v>19</v>
      </c>
      <c r="V91" s="5">
        <v>0.36680645879208712</v>
      </c>
      <c r="W91" s="5">
        <v>0.12383916979165614</v>
      </c>
      <c r="X91" s="6">
        <v>0</v>
      </c>
      <c r="Y91" s="6">
        <v>1</v>
      </c>
      <c r="Z91" s="6">
        <v>18</v>
      </c>
      <c r="AA91" s="5">
        <v>0.30087795573298015</v>
      </c>
      <c r="AB91" s="5">
        <v>0.14549325187447498</v>
      </c>
      <c r="AC91" s="6">
        <v>0</v>
      </c>
      <c r="AD91" s="6">
        <v>1</v>
      </c>
      <c r="AE91" s="6">
        <v>14</v>
      </c>
      <c r="AF91" s="5">
        <v>0.30849368526502607</v>
      </c>
      <c r="AG91" s="5">
        <v>6.0369974510870769E-2</v>
      </c>
      <c r="AH91" s="6">
        <v>0</v>
      </c>
      <c r="AI91" s="6">
        <v>1</v>
      </c>
      <c r="AJ91" s="6">
        <v>104</v>
      </c>
      <c r="AK91">
        <f>(AF93/AF92)-AF91</f>
        <v>0.14485025677555763</v>
      </c>
    </row>
    <row r="92" spans="1:37" x14ac:dyDescent="0.45">
      <c r="A92" s="4" t="s">
        <v>42</v>
      </c>
      <c r="B92" s="5">
        <v>0.14679233898869379</v>
      </c>
      <c r="C92" s="5">
        <v>7.21952874481087E-2</v>
      </c>
      <c r="D92" s="6">
        <v>0</v>
      </c>
      <c r="E92" s="6">
        <v>1</v>
      </c>
      <c r="F92" s="6">
        <v>29</v>
      </c>
      <c r="G92" s="5">
        <v>0.28413340654229741</v>
      </c>
      <c r="H92" s="5">
        <v>0.2635701019519151</v>
      </c>
      <c r="I92" s="6">
        <v>0</v>
      </c>
      <c r="J92" s="6">
        <v>1</v>
      </c>
      <c r="K92" s="6">
        <v>5</v>
      </c>
      <c r="L92" s="5">
        <v>0.83743216794734465</v>
      </c>
      <c r="M92" s="5">
        <v>8.8339131816845065E-2</v>
      </c>
      <c r="N92" s="6">
        <v>0</v>
      </c>
      <c r="O92" s="6">
        <v>1</v>
      </c>
      <c r="P92" s="6">
        <v>19</v>
      </c>
      <c r="Q92" s="5">
        <v>0.89861962585941668</v>
      </c>
      <c r="R92" s="5">
        <v>9.6845778169611332E-2</v>
      </c>
      <c r="S92" s="6">
        <v>0</v>
      </c>
      <c r="T92" s="6">
        <v>1</v>
      </c>
      <c r="U92" s="6">
        <v>19</v>
      </c>
      <c r="V92" s="5">
        <v>0.94505098249148323</v>
      </c>
      <c r="W92" s="5">
        <v>5.5165329624764066E-2</v>
      </c>
      <c r="X92" s="6">
        <v>0</v>
      </c>
      <c r="Y92" s="6">
        <v>1</v>
      </c>
      <c r="Z92" s="6">
        <v>18</v>
      </c>
      <c r="AA92" s="5">
        <v>0.91590414556129873</v>
      </c>
      <c r="AB92" s="5">
        <v>5.7720093761496942E-2</v>
      </c>
      <c r="AC92" s="6">
        <v>0</v>
      </c>
      <c r="AD92" s="6">
        <v>1</v>
      </c>
      <c r="AE92" s="6">
        <v>14</v>
      </c>
      <c r="AF92" s="5">
        <v>0.5866426892711829</v>
      </c>
      <c r="AG92" s="5">
        <v>6.7909303410161284E-2</v>
      </c>
      <c r="AH92" s="6">
        <v>0</v>
      </c>
      <c r="AI92" s="6">
        <v>1</v>
      </c>
      <c r="AJ92" s="6">
        <v>104</v>
      </c>
      <c r="AK92">
        <f>(AF93/AF91)-AF92</f>
        <v>0.27545245894881909</v>
      </c>
    </row>
    <row r="93" spans="1:37" ht="26.25" x14ac:dyDescent="0.45">
      <c r="A93" s="4" t="s">
        <v>59</v>
      </c>
      <c r="B93" s="5">
        <v>0</v>
      </c>
      <c r="C93" s="5">
        <v>0</v>
      </c>
      <c r="D93" s="6">
        <v>0</v>
      </c>
      <c r="E93" s="6">
        <v>0</v>
      </c>
      <c r="F93" s="6">
        <v>29</v>
      </c>
      <c r="G93" s="5">
        <v>0</v>
      </c>
      <c r="H93" s="5">
        <v>0</v>
      </c>
      <c r="I93" s="6">
        <v>0</v>
      </c>
      <c r="J93" s="6">
        <v>0</v>
      </c>
      <c r="K93" s="6">
        <v>5</v>
      </c>
      <c r="L93" s="5">
        <v>0.55482247555419217</v>
      </c>
      <c r="M93" s="5">
        <v>0.11977421968927554</v>
      </c>
      <c r="N93" s="6">
        <v>0</v>
      </c>
      <c r="O93" s="6">
        <v>1</v>
      </c>
      <c r="P93" s="6">
        <v>19</v>
      </c>
      <c r="Q93" s="5">
        <v>0.29374289139203691</v>
      </c>
      <c r="R93" s="5">
        <v>0.11283736420444235</v>
      </c>
      <c r="S93" s="6">
        <v>0</v>
      </c>
      <c r="T93" s="6">
        <v>1</v>
      </c>
      <c r="U93" s="6">
        <v>19</v>
      </c>
      <c r="V93" s="5">
        <v>0.31185744128357024</v>
      </c>
      <c r="W93" s="5">
        <v>0.11995177798510508</v>
      </c>
      <c r="X93" s="6">
        <v>0</v>
      </c>
      <c r="Y93" s="6">
        <v>1</v>
      </c>
      <c r="Z93" s="6">
        <v>18</v>
      </c>
      <c r="AA93" s="5">
        <v>0.30087795573298015</v>
      </c>
      <c r="AB93" s="5">
        <v>0.14549325187447498</v>
      </c>
      <c r="AC93" s="6">
        <v>0</v>
      </c>
      <c r="AD93" s="6">
        <v>1</v>
      </c>
      <c r="AE93" s="6">
        <v>14</v>
      </c>
      <c r="AF93" s="5">
        <v>0.26595090932348731</v>
      </c>
      <c r="AG93" s="5">
        <v>5.7059964188966895E-2</v>
      </c>
      <c r="AH93" s="6">
        <v>0</v>
      </c>
      <c r="AI93" s="6">
        <v>1</v>
      </c>
      <c r="AJ93" s="6">
        <v>104</v>
      </c>
    </row>
    <row r="94" spans="1:37" x14ac:dyDescent="0.45">
      <c r="A94" s="4" t="s">
        <v>26</v>
      </c>
      <c r="B94" s="5">
        <v>0</v>
      </c>
      <c r="C94" s="5">
        <v>0</v>
      </c>
      <c r="D94" s="6">
        <v>0</v>
      </c>
      <c r="E94" s="6">
        <v>0</v>
      </c>
      <c r="F94" s="6">
        <v>29</v>
      </c>
      <c r="G94" s="5">
        <v>0</v>
      </c>
      <c r="H94" s="5">
        <v>0</v>
      </c>
      <c r="I94" s="6">
        <v>0</v>
      </c>
      <c r="J94" s="6">
        <v>0</v>
      </c>
      <c r="K94" s="6">
        <v>5</v>
      </c>
      <c r="L94" s="5">
        <v>0.66388051962713335</v>
      </c>
      <c r="M94" s="5">
        <v>0.11460855436927163</v>
      </c>
      <c r="N94" s="6">
        <v>0</v>
      </c>
      <c r="O94" s="6">
        <v>1</v>
      </c>
      <c r="P94" s="6">
        <v>19</v>
      </c>
      <c r="Q94" s="5">
        <v>0.29374289139203691</v>
      </c>
      <c r="R94" s="5">
        <v>0.11283736420444235</v>
      </c>
      <c r="S94" s="6">
        <v>0</v>
      </c>
      <c r="T94" s="6">
        <v>1</v>
      </c>
      <c r="U94" s="6">
        <v>19</v>
      </c>
      <c r="V94" s="5">
        <v>0.36680645879208712</v>
      </c>
      <c r="W94" s="5">
        <v>0.12383916979165614</v>
      </c>
      <c r="X94" s="6">
        <v>0</v>
      </c>
      <c r="Y94" s="6">
        <v>1</v>
      </c>
      <c r="Z94" s="6">
        <v>18</v>
      </c>
      <c r="AA94" s="5">
        <v>0.30087795573298015</v>
      </c>
      <c r="AB94" s="5">
        <v>0.14549325187447498</v>
      </c>
      <c r="AC94" s="6">
        <v>0</v>
      </c>
      <c r="AD94" s="6">
        <v>1</v>
      </c>
      <c r="AE94" s="6">
        <v>14</v>
      </c>
      <c r="AF94" s="5">
        <v>0.30849368526502607</v>
      </c>
      <c r="AG94" s="5">
        <v>6.0369974510870769E-2</v>
      </c>
      <c r="AH94" s="6">
        <v>0</v>
      </c>
      <c r="AI94" s="6">
        <v>1</v>
      </c>
      <c r="AJ94" s="6">
        <v>104</v>
      </c>
      <c r="AK94">
        <f>(AF96/AF95)-AF94</f>
        <v>0.38458997921482219</v>
      </c>
    </row>
    <row r="95" spans="1:37" x14ac:dyDescent="0.45">
      <c r="A95" s="4" t="s">
        <v>44</v>
      </c>
      <c r="B95" s="5">
        <v>0</v>
      </c>
      <c r="C95" s="5">
        <v>0</v>
      </c>
      <c r="D95" s="6">
        <v>0</v>
      </c>
      <c r="E95" s="6">
        <v>0</v>
      </c>
      <c r="F95" s="6">
        <v>29</v>
      </c>
      <c r="G95" s="5">
        <v>0</v>
      </c>
      <c r="H95" s="5">
        <v>0</v>
      </c>
      <c r="I95" s="6">
        <v>0</v>
      </c>
      <c r="J95" s="6">
        <v>0</v>
      </c>
      <c r="K95" s="6">
        <v>5</v>
      </c>
      <c r="L95" s="5">
        <v>0.43080549064057538</v>
      </c>
      <c r="M95" s="5">
        <v>0.1188108626030543</v>
      </c>
      <c r="N95" s="6">
        <v>0</v>
      </c>
      <c r="O95" s="6">
        <v>1</v>
      </c>
      <c r="P95" s="6">
        <v>19</v>
      </c>
      <c r="Q95" s="5">
        <v>0.58179797025751767</v>
      </c>
      <c r="R95" s="5">
        <v>0.13112718214255636</v>
      </c>
      <c r="S95" s="6">
        <v>0</v>
      </c>
      <c r="T95" s="6">
        <v>1</v>
      </c>
      <c r="U95" s="6">
        <v>19</v>
      </c>
      <c r="V95" s="5">
        <v>0.27840718326047831</v>
      </c>
      <c r="W95" s="5">
        <v>0.11962958289453833</v>
      </c>
      <c r="X95" s="6">
        <v>0</v>
      </c>
      <c r="Y95" s="6">
        <v>1</v>
      </c>
      <c r="Z95" s="6">
        <v>18</v>
      </c>
      <c r="AA95" s="5">
        <v>0.27889208014984646</v>
      </c>
      <c r="AB95" s="5">
        <v>0.14163420824029879</v>
      </c>
      <c r="AC95" s="6">
        <v>0</v>
      </c>
      <c r="AD95" s="6">
        <v>1</v>
      </c>
      <c r="AE95" s="6">
        <v>14</v>
      </c>
      <c r="AF95" s="5">
        <v>0.24869923971566638</v>
      </c>
      <c r="AG95" s="5">
        <v>5.4351819960247037E-2</v>
      </c>
      <c r="AH95" s="6">
        <v>0</v>
      </c>
      <c r="AI95" s="6">
        <v>1</v>
      </c>
      <c r="AJ95" s="6">
        <v>104</v>
      </c>
      <c r="AK95">
        <f>(AF96/AF94)-AF95</f>
        <v>0.31004600742741278</v>
      </c>
    </row>
    <row r="96" spans="1:37" ht="26.25" x14ac:dyDescent="0.45">
      <c r="A96" s="4" t="s">
        <v>60</v>
      </c>
      <c r="B96" s="5">
        <v>0</v>
      </c>
      <c r="C96" s="5">
        <v>0</v>
      </c>
      <c r="D96" s="6">
        <v>0</v>
      </c>
      <c r="E96" s="6">
        <v>0</v>
      </c>
      <c r="F96" s="6">
        <v>29</v>
      </c>
      <c r="G96" s="5">
        <v>0</v>
      </c>
      <c r="H96" s="5">
        <v>0</v>
      </c>
      <c r="I96" s="6">
        <v>0</v>
      </c>
      <c r="J96" s="6">
        <v>0</v>
      </c>
      <c r="K96" s="6">
        <v>5</v>
      </c>
      <c r="L96" s="5">
        <v>0.38127576953538544</v>
      </c>
      <c r="M96" s="5">
        <v>0.116660816077943</v>
      </c>
      <c r="N96" s="6">
        <v>0</v>
      </c>
      <c r="O96" s="6">
        <v>1</v>
      </c>
      <c r="P96" s="6">
        <v>19</v>
      </c>
      <c r="Q96" s="5">
        <v>0.16735843342458021</v>
      </c>
      <c r="R96" s="5">
        <v>8.3343701512196902E-2</v>
      </c>
      <c r="S96" s="6">
        <v>0</v>
      </c>
      <c r="T96" s="6">
        <v>1</v>
      </c>
      <c r="U96" s="6">
        <v>19</v>
      </c>
      <c r="V96" s="5">
        <v>0.20537822156784982</v>
      </c>
      <c r="W96" s="5">
        <v>0.10824673907644407</v>
      </c>
      <c r="X96" s="6">
        <v>0</v>
      </c>
      <c r="Y96" s="6">
        <v>1</v>
      </c>
      <c r="Z96" s="6">
        <v>18</v>
      </c>
      <c r="AA96" s="5">
        <v>9.3117941226715614E-2</v>
      </c>
      <c r="AB96" s="5">
        <v>9.1970024702460393E-2</v>
      </c>
      <c r="AC96" s="6">
        <v>0</v>
      </c>
      <c r="AD96" s="6">
        <v>1</v>
      </c>
      <c r="AE96" s="6">
        <v>14</v>
      </c>
      <c r="AF96" s="5">
        <v>0.17236938041548627</v>
      </c>
      <c r="AG96" s="5">
        <v>4.924722632788496E-2</v>
      </c>
      <c r="AH96" s="6">
        <v>0</v>
      </c>
      <c r="AI96" s="6">
        <v>1</v>
      </c>
      <c r="AJ96" s="6">
        <v>104</v>
      </c>
    </row>
    <row r="97" spans="1:37" x14ac:dyDescent="0.45">
      <c r="A97" s="4" t="s">
        <v>26</v>
      </c>
      <c r="B97" s="5">
        <v>0</v>
      </c>
      <c r="C97" s="5">
        <v>0</v>
      </c>
      <c r="D97" s="6">
        <v>0</v>
      </c>
      <c r="E97" s="6">
        <v>0</v>
      </c>
      <c r="F97" s="6">
        <v>29</v>
      </c>
      <c r="G97" s="5">
        <v>0</v>
      </c>
      <c r="H97" s="5">
        <v>0</v>
      </c>
      <c r="I97" s="6">
        <v>0</v>
      </c>
      <c r="J97" s="6">
        <v>0</v>
      </c>
      <c r="K97" s="6">
        <v>5</v>
      </c>
      <c r="L97" s="5">
        <v>0.66388051962713335</v>
      </c>
      <c r="M97" s="5">
        <v>0.11460855436927163</v>
      </c>
      <c r="N97" s="6">
        <v>0</v>
      </c>
      <c r="O97" s="6">
        <v>1</v>
      </c>
      <c r="P97" s="6">
        <v>19</v>
      </c>
      <c r="Q97" s="5">
        <v>0.29374289139203691</v>
      </c>
      <c r="R97" s="5">
        <v>0.11283736420444235</v>
      </c>
      <c r="S97" s="6">
        <v>0</v>
      </c>
      <c r="T97" s="6">
        <v>1</v>
      </c>
      <c r="U97" s="6">
        <v>19</v>
      </c>
      <c r="V97" s="5">
        <v>0.36680645879208712</v>
      </c>
      <c r="W97" s="5">
        <v>0.12383916979165614</v>
      </c>
      <c r="X97" s="6">
        <v>0</v>
      </c>
      <c r="Y97" s="6">
        <v>1</v>
      </c>
      <c r="Z97" s="6">
        <v>18</v>
      </c>
      <c r="AA97" s="5">
        <v>0.30087795573298015</v>
      </c>
      <c r="AB97" s="5">
        <v>0.14549325187447498</v>
      </c>
      <c r="AC97" s="6">
        <v>0</v>
      </c>
      <c r="AD97" s="6">
        <v>1</v>
      </c>
      <c r="AE97" s="6">
        <v>14</v>
      </c>
      <c r="AF97" s="5">
        <v>0.30849368526502607</v>
      </c>
      <c r="AG97" s="5">
        <v>6.0369974510870769E-2</v>
      </c>
      <c r="AH97" s="6">
        <v>0</v>
      </c>
      <c r="AI97" s="6">
        <v>1</v>
      </c>
      <c r="AJ97" s="6">
        <v>104</v>
      </c>
      <c r="AK97">
        <f>(AF99/AF98)-AF97</f>
        <v>0.15849249301909024</v>
      </c>
    </row>
    <row r="98" spans="1:37" ht="39.4" x14ac:dyDescent="0.45">
      <c r="A98" s="4" t="s">
        <v>16</v>
      </c>
      <c r="B98" s="5">
        <v>0.23600168674140035</v>
      </c>
      <c r="C98" s="5">
        <v>9.8121570578696957E-2</v>
      </c>
      <c r="D98" s="6">
        <v>0</v>
      </c>
      <c r="E98" s="6">
        <v>1</v>
      </c>
      <c r="F98" s="6">
        <v>29</v>
      </c>
      <c r="G98" s="5">
        <v>0.28413340654229741</v>
      </c>
      <c r="H98" s="5">
        <v>0.2635701019519151</v>
      </c>
      <c r="I98" s="6">
        <v>0</v>
      </c>
      <c r="J98" s="6">
        <v>1</v>
      </c>
      <c r="K98" s="6">
        <v>5</v>
      </c>
      <c r="L98" s="5">
        <v>1</v>
      </c>
      <c r="M98" s="5">
        <v>0</v>
      </c>
      <c r="N98" s="6">
        <v>1</v>
      </c>
      <c r="O98" s="6">
        <v>1</v>
      </c>
      <c r="P98" s="6">
        <v>19</v>
      </c>
      <c r="Q98" s="5">
        <v>0.85289731615094222</v>
      </c>
      <c r="R98" s="5">
        <v>0.10368836461541529</v>
      </c>
      <c r="S98" s="6">
        <v>0</v>
      </c>
      <c r="T98" s="6">
        <v>1</v>
      </c>
      <c r="U98" s="6">
        <v>19</v>
      </c>
      <c r="V98" s="5">
        <v>0.92129013297297091</v>
      </c>
      <c r="W98" s="5">
        <v>7.2142407889520602E-2</v>
      </c>
      <c r="X98" s="6">
        <v>0</v>
      </c>
      <c r="Y98" s="6">
        <v>1</v>
      </c>
      <c r="Z98" s="6">
        <v>18</v>
      </c>
      <c r="AA98" s="5">
        <v>0.69525614240739586</v>
      </c>
      <c r="AB98" s="5">
        <v>0.14429635514835867</v>
      </c>
      <c r="AC98" s="6">
        <v>0</v>
      </c>
      <c r="AD98" s="6">
        <v>1</v>
      </c>
      <c r="AE98" s="6">
        <v>14</v>
      </c>
      <c r="AF98" s="5">
        <v>0.6502146518916736</v>
      </c>
      <c r="AG98" s="5">
        <v>6.6144933824160743E-2</v>
      </c>
      <c r="AH98" s="6">
        <v>0</v>
      </c>
      <c r="AI98" s="6">
        <v>1</v>
      </c>
      <c r="AJ98" s="6">
        <v>104</v>
      </c>
      <c r="AK98">
        <f>(AF99/AF97)-AF98</f>
        <v>0.33405591782962341</v>
      </c>
    </row>
    <row r="99" spans="1:37" x14ac:dyDescent="0.45">
      <c r="A99" s="4" t="s">
        <v>61</v>
      </c>
      <c r="B99" s="5">
        <v>0</v>
      </c>
      <c r="C99" s="5">
        <v>0</v>
      </c>
      <c r="D99" s="6">
        <v>0</v>
      </c>
      <c r="E99" s="6">
        <v>0</v>
      </c>
      <c r="F99" s="6">
        <v>29</v>
      </c>
      <c r="G99" s="5">
        <v>0</v>
      </c>
      <c r="H99" s="5">
        <v>0</v>
      </c>
      <c r="I99" s="6">
        <v>0</v>
      </c>
      <c r="J99" s="6">
        <v>0</v>
      </c>
      <c r="K99" s="6">
        <v>5</v>
      </c>
      <c r="L99" s="5">
        <v>0.66388051962713335</v>
      </c>
      <c r="M99" s="5">
        <v>0.11460855436927163</v>
      </c>
      <c r="N99" s="6">
        <v>0</v>
      </c>
      <c r="O99" s="6">
        <v>1</v>
      </c>
      <c r="P99" s="6">
        <v>19</v>
      </c>
      <c r="Q99" s="5">
        <v>0.24802058168356245</v>
      </c>
      <c r="R99" s="5">
        <v>0.10642040987644531</v>
      </c>
      <c r="S99" s="6">
        <v>0</v>
      </c>
      <c r="T99" s="6">
        <v>1</v>
      </c>
      <c r="U99" s="6">
        <v>19</v>
      </c>
      <c r="V99" s="5">
        <v>0.36680645879208712</v>
      </c>
      <c r="W99" s="5">
        <v>0.12383916979165614</v>
      </c>
      <c r="X99" s="6">
        <v>0</v>
      </c>
      <c r="Y99" s="6">
        <v>1</v>
      </c>
      <c r="Z99" s="6">
        <v>18</v>
      </c>
      <c r="AA99" s="5">
        <v>0.30087795573298015</v>
      </c>
      <c r="AB99" s="5">
        <v>0.14549325187447498</v>
      </c>
      <c r="AC99" s="6">
        <v>0</v>
      </c>
      <c r="AD99" s="6">
        <v>1</v>
      </c>
      <c r="AE99" s="6">
        <v>14</v>
      </c>
      <c r="AF99" s="5">
        <v>0.30364125535122971</v>
      </c>
      <c r="AG99" s="5">
        <v>6.0246277279502006E-2</v>
      </c>
      <c r="AH99" s="6">
        <v>0</v>
      </c>
      <c r="AI99" s="6">
        <v>1</v>
      </c>
      <c r="AJ99" s="6">
        <v>104</v>
      </c>
    </row>
    <row r="100" spans="1:37" x14ac:dyDescent="0.45">
      <c r="A100" s="4" t="s">
        <v>26</v>
      </c>
      <c r="B100" s="5">
        <v>0</v>
      </c>
      <c r="C100" s="5">
        <v>0</v>
      </c>
      <c r="D100" s="6">
        <v>0</v>
      </c>
      <c r="E100" s="6">
        <v>0</v>
      </c>
      <c r="F100" s="6">
        <v>29</v>
      </c>
      <c r="G100" s="5">
        <v>0</v>
      </c>
      <c r="H100" s="5">
        <v>0</v>
      </c>
      <c r="I100" s="6">
        <v>0</v>
      </c>
      <c r="J100" s="6">
        <v>0</v>
      </c>
      <c r="K100" s="6">
        <v>5</v>
      </c>
      <c r="L100" s="5">
        <v>0.66388051962713335</v>
      </c>
      <c r="M100" s="5">
        <v>0.11460855436927163</v>
      </c>
      <c r="N100" s="6">
        <v>0</v>
      </c>
      <c r="O100" s="6">
        <v>1</v>
      </c>
      <c r="P100" s="6">
        <v>19</v>
      </c>
      <c r="Q100" s="5">
        <v>0.29374289139203691</v>
      </c>
      <c r="R100" s="5">
        <v>0.11283736420444235</v>
      </c>
      <c r="S100" s="6">
        <v>0</v>
      </c>
      <c r="T100" s="6">
        <v>1</v>
      </c>
      <c r="U100" s="6">
        <v>19</v>
      </c>
      <c r="V100" s="5">
        <v>0.36680645879208712</v>
      </c>
      <c r="W100" s="5">
        <v>0.12383916979165614</v>
      </c>
      <c r="X100" s="6">
        <v>0</v>
      </c>
      <c r="Y100" s="6">
        <v>1</v>
      </c>
      <c r="Z100" s="6">
        <v>18</v>
      </c>
      <c r="AA100" s="5">
        <v>0.30087795573298015</v>
      </c>
      <c r="AB100" s="5">
        <v>0.14549325187447498</v>
      </c>
      <c r="AC100" s="6">
        <v>0</v>
      </c>
      <c r="AD100" s="6">
        <v>1</v>
      </c>
      <c r="AE100" s="6">
        <v>14</v>
      </c>
      <c r="AF100" s="5">
        <v>0.30849368526502607</v>
      </c>
      <c r="AG100" s="5">
        <v>6.0369974510870769E-2</v>
      </c>
      <c r="AH100" s="6">
        <v>0</v>
      </c>
      <c r="AI100" s="6">
        <v>1</v>
      </c>
      <c r="AJ100" s="6">
        <v>104</v>
      </c>
      <c r="AK100">
        <f>(AF102/AF101)-AF100</f>
        <v>0.16726037886357736</v>
      </c>
    </row>
    <row r="101" spans="1:37" ht="39.4" x14ac:dyDescent="0.45">
      <c r="A101" s="4" t="s">
        <v>18</v>
      </c>
      <c r="B101" s="5">
        <v>0.14679233898869379</v>
      </c>
      <c r="C101" s="5">
        <v>7.21952874481087E-2</v>
      </c>
      <c r="D101" s="6">
        <v>0</v>
      </c>
      <c r="E101" s="6">
        <v>1</v>
      </c>
      <c r="F101" s="6">
        <v>29</v>
      </c>
      <c r="G101" s="5">
        <v>0.28413340654229741</v>
      </c>
      <c r="H101" s="5">
        <v>0.2635701019519151</v>
      </c>
      <c r="I101" s="6">
        <v>0</v>
      </c>
      <c r="J101" s="6">
        <v>1</v>
      </c>
      <c r="K101" s="6">
        <v>5</v>
      </c>
      <c r="L101" s="5">
        <v>1</v>
      </c>
      <c r="M101" s="5">
        <v>0</v>
      </c>
      <c r="N101" s="6">
        <v>1</v>
      </c>
      <c r="O101" s="6">
        <v>1</v>
      </c>
      <c r="P101" s="6">
        <v>19</v>
      </c>
      <c r="Q101" s="5">
        <v>0.89861962585941668</v>
      </c>
      <c r="R101" s="5">
        <v>9.6845778169611332E-2</v>
      </c>
      <c r="S101" s="6">
        <v>0</v>
      </c>
      <c r="T101" s="6">
        <v>1</v>
      </c>
      <c r="U101" s="6">
        <v>19</v>
      </c>
      <c r="V101" s="5">
        <v>1</v>
      </c>
      <c r="W101" s="5">
        <v>0</v>
      </c>
      <c r="X101" s="6">
        <v>1</v>
      </c>
      <c r="Y101" s="6">
        <v>1</v>
      </c>
      <c r="Z101" s="6">
        <v>18</v>
      </c>
      <c r="AA101" s="5">
        <v>0.91590414556129873</v>
      </c>
      <c r="AB101" s="5">
        <v>5.7720093761496942E-2</v>
      </c>
      <c r="AC101" s="6">
        <v>0</v>
      </c>
      <c r="AD101" s="6">
        <v>1</v>
      </c>
      <c r="AE101" s="6">
        <v>14</v>
      </c>
      <c r="AF101" s="5">
        <v>0.64843100359019867</v>
      </c>
      <c r="AG101" s="5">
        <v>6.691909310816567E-2</v>
      </c>
      <c r="AH101" s="6">
        <v>0</v>
      </c>
      <c r="AI101" s="6">
        <v>1</v>
      </c>
      <c r="AJ101" s="6">
        <v>104</v>
      </c>
      <c r="AK101">
        <f>(AF102/AF100)-AF101</f>
        <v>0.35156899640980133</v>
      </c>
    </row>
    <row r="102" spans="1:37" x14ac:dyDescent="0.45">
      <c r="A102" s="4" t="s">
        <v>62</v>
      </c>
      <c r="B102" s="5">
        <v>0</v>
      </c>
      <c r="C102" s="5">
        <v>0</v>
      </c>
      <c r="D102" s="6">
        <v>0</v>
      </c>
      <c r="E102" s="6">
        <v>0</v>
      </c>
      <c r="F102" s="6">
        <v>29</v>
      </c>
      <c r="G102" s="5">
        <v>0</v>
      </c>
      <c r="H102" s="5">
        <v>0</v>
      </c>
      <c r="I102" s="6">
        <v>0</v>
      </c>
      <c r="J102" s="6">
        <v>0</v>
      </c>
      <c r="K102" s="6">
        <v>5</v>
      </c>
      <c r="L102" s="5">
        <v>0.66388051962713335</v>
      </c>
      <c r="M102" s="5">
        <v>0.11460855436927163</v>
      </c>
      <c r="N102" s="6">
        <v>0</v>
      </c>
      <c r="O102" s="6">
        <v>1</v>
      </c>
      <c r="P102" s="6">
        <v>19</v>
      </c>
      <c r="Q102" s="5">
        <v>0.29374289139203691</v>
      </c>
      <c r="R102" s="5">
        <v>0.11283736420444235</v>
      </c>
      <c r="S102" s="6">
        <v>0</v>
      </c>
      <c r="T102" s="6">
        <v>1</v>
      </c>
      <c r="U102" s="6">
        <v>19</v>
      </c>
      <c r="V102" s="5">
        <v>0.36680645879208712</v>
      </c>
      <c r="W102" s="5">
        <v>0.12383916979165614</v>
      </c>
      <c r="X102" s="6">
        <v>0</v>
      </c>
      <c r="Y102" s="6">
        <v>1</v>
      </c>
      <c r="Z102" s="6">
        <v>18</v>
      </c>
      <c r="AA102" s="5">
        <v>0.30087795573298015</v>
      </c>
      <c r="AB102" s="5">
        <v>0.14549325187447498</v>
      </c>
      <c r="AC102" s="6">
        <v>0</v>
      </c>
      <c r="AD102" s="6">
        <v>1</v>
      </c>
      <c r="AE102" s="6">
        <v>14</v>
      </c>
      <c r="AF102" s="5">
        <v>0.30849368526502607</v>
      </c>
      <c r="AG102" s="5">
        <v>6.0369974510870769E-2</v>
      </c>
      <c r="AH102" s="6">
        <v>0</v>
      </c>
      <c r="AI102" s="6">
        <v>1</v>
      </c>
      <c r="AJ102" s="6">
        <v>104</v>
      </c>
    </row>
    <row r="103" spans="1:37" x14ac:dyDescent="0.45">
      <c r="A103" s="4" t="s">
        <v>26</v>
      </c>
      <c r="B103" s="5">
        <v>0</v>
      </c>
      <c r="C103" s="5">
        <v>0</v>
      </c>
      <c r="D103" s="6">
        <v>0</v>
      </c>
      <c r="E103" s="6">
        <v>0</v>
      </c>
      <c r="F103" s="6">
        <v>29</v>
      </c>
      <c r="G103" s="5">
        <v>0</v>
      </c>
      <c r="H103" s="5">
        <v>0</v>
      </c>
      <c r="I103" s="6">
        <v>0</v>
      </c>
      <c r="J103" s="6">
        <v>0</v>
      </c>
      <c r="K103" s="6">
        <v>5</v>
      </c>
      <c r="L103" s="5">
        <v>0.66388051962713335</v>
      </c>
      <c r="M103" s="5">
        <v>0.11460855436927163</v>
      </c>
      <c r="N103" s="6">
        <v>0</v>
      </c>
      <c r="O103" s="6">
        <v>1</v>
      </c>
      <c r="P103" s="6">
        <v>19</v>
      </c>
      <c r="Q103" s="5">
        <v>0.29374289139203691</v>
      </c>
      <c r="R103" s="5">
        <v>0.11283736420444235</v>
      </c>
      <c r="S103" s="6">
        <v>0</v>
      </c>
      <c r="T103" s="6">
        <v>1</v>
      </c>
      <c r="U103" s="6">
        <v>19</v>
      </c>
      <c r="V103" s="5">
        <v>0.36680645879208712</v>
      </c>
      <c r="W103" s="5">
        <v>0.12383916979165614</v>
      </c>
      <c r="X103" s="6">
        <v>0</v>
      </c>
      <c r="Y103" s="6">
        <v>1</v>
      </c>
      <c r="Z103" s="6">
        <v>18</v>
      </c>
      <c r="AA103" s="5">
        <v>0.30087795573298015</v>
      </c>
      <c r="AB103" s="5">
        <v>0.14549325187447498</v>
      </c>
      <c r="AC103" s="6">
        <v>0</v>
      </c>
      <c r="AD103" s="6">
        <v>1</v>
      </c>
      <c r="AE103" s="6">
        <v>14</v>
      </c>
      <c r="AF103" s="5">
        <v>0.30849368526502607</v>
      </c>
      <c r="AG103" s="5">
        <v>6.0369974510870769E-2</v>
      </c>
      <c r="AH103" s="6">
        <v>0</v>
      </c>
      <c r="AI103" s="6">
        <v>1</v>
      </c>
      <c r="AJ103" s="6">
        <v>104</v>
      </c>
      <c r="AK103">
        <f>(AF105/AF104)-AF103</f>
        <v>0.28726139964193043</v>
      </c>
    </row>
    <row r="104" spans="1:37" ht="39.4" x14ac:dyDescent="0.45">
      <c r="A104" s="4" t="s">
        <v>20</v>
      </c>
      <c r="B104" s="5">
        <v>0</v>
      </c>
      <c r="C104" s="5">
        <v>0</v>
      </c>
      <c r="D104" s="6">
        <v>0</v>
      </c>
      <c r="E104" s="6">
        <v>0</v>
      </c>
      <c r="F104" s="6">
        <v>29</v>
      </c>
      <c r="G104" s="5">
        <v>0</v>
      </c>
      <c r="H104" s="5">
        <v>0</v>
      </c>
      <c r="I104" s="6">
        <v>0</v>
      </c>
      <c r="J104" s="6">
        <v>0</v>
      </c>
      <c r="K104" s="6">
        <v>5</v>
      </c>
      <c r="L104" s="5">
        <v>1</v>
      </c>
      <c r="M104" s="5">
        <v>0</v>
      </c>
      <c r="N104" s="6">
        <v>1</v>
      </c>
      <c r="O104" s="6">
        <v>1</v>
      </c>
      <c r="P104" s="6">
        <v>19</v>
      </c>
      <c r="Q104" s="5">
        <v>0.61840113049179313</v>
      </c>
      <c r="R104" s="5">
        <v>0.13006566375416401</v>
      </c>
      <c r="S104" s="6">
        <v>0</v>
      </c>
      <c r="T104" s="6">
        <v>1</v>
      </c>
      <c r="U104" s="6">
        <v>19</v>
      </c>
      <c r="V104" s="5">
        <v>0.62484576595299168</v>
      </c>
      <c r="W104" s="5">
        <v>0.12235387804662534</v>
      </c>
      <c r="X104" s="6">
        <v>0</v>
      </c>
      <c r="Y104" s="6">
        <v>1</v>
      </c>
      <c r="Z104" s="6">
        <v>18</v>
      </c>
      <c r="AA104" s="5">
        <v>0.59238861673724996</v>
      </c>
      <c r="AB104" s="5">
        <v>0.15320552322461192</v>
      </c>
      <c r="AC104" s="6">
        <v>0</v>
      </c>
      <c r="AD104" s="6">
        <v>1</v>
      </c>
      <c r="AE104" s="6">
        <v>14</v>
      </c>
      <c r="AF104" s="5">
        <v>0.49530541673349471</v>
      </c>
      <c r="AG104" s="5">
        <v>6.7368955173709583E-2</v>
      </c>
      <c r="AH104" s="6">
        <v>0</v>
      </c>
      <c r="AI104" s="6">
        <v>1</v>
      </c>
      <c r="AJ104" s="6">
        <v>104</v>
      </c>
      <c r="AK104">
        <f>(AF105/AF103)-AF104</f>
        <v>0.46121568789603951</v>
      </c>
    </row>
    <row r="105" spans="1:37" x14ac:dyDescent="0.45">
      <c r="A105" s="4" t="s">
        <v>63</v>
      </c>
      <c r="B105" s="5">
        <v>0</v>
      </c>
      <c r="C105" s="5">
        <v>0</v>
      </c>
      <c r="D105" s="6">
        <v>0</v>
      </c>
      <c r="E105" s="6">
        <v>0</v>
      </c>
      <c r="F105" s="6">
        <v>29</v>
      </c>
      <c r="G105" s="5">
        <v>0</v>
      </c>
      <c r="H105" s="5">
        <v>0</v>
      </c>
      <c r="I105" s="6">
        <v>0</v>
      </c>
      <c r="J105" s="6">
        <v>0</v>
      </c>
      <c r="K105" s="6">
        <v>5</v>
      </c>
      <c r="L105" s="5">
        <v>0.66388051962713335</v>
      </c>
      <c r="M105" s="5">
        <v>0.11460855436927163</v>
      </c>
      <c r="N105" s="6">
        <v>0</v>
      </c>
      <c r="O105" s="6">
        <v>1</v>
      </c>
      <c r="P105" s="6">
        <v>19</v>
      </c>
      <c r="Q105" s="5">
        <v>0.16735843342458021</v>
      </c>
      <c r="R105" s="5">
        <v>8.3343701512196902E-2</v>
      </c>
      <c r="S105" s="6">
        <v>0</v>
      </c>
      <c r="T105" s="6">
        <v>1</v>
      </c>
      <c r="U105" s="6">
        <v>19</v>
      </c>
      <c r="V105" s="5">
        <v>0.36680645879208712</v>
      </c>
      <c r="W105" s="5">
        <v>0.12383916979165614</v>
      </c>
      <c r="X105" s="6">
        <v>0</v>
      </c>
      <c r="Y105" s="6">
        <v>1</v>
      </c>
      <c r="Z105" s="6">
        <v>18</v>
      </c>
      <c r="AA105" s="5">
        <v>0.30087795573298015</v>
      </c>
      <c r="AB105" s="5">
        <v>0.14549325187447498</v>
      </c>
      <c r="AC105" s="6">
        <v>0</v>
      </c>
      <c r="AD105" s="6">
        <v>1</v>
      </c>
      <c r="AE105" s="6">
        <v>14</v>
      </c>
      <c r="AF105" s="5">
        <v>0.2950807206009386</v>
      </c>
      <c r="AG105" s="5">
        <v>5.9944910694651944E-2</v>
      </c>
      <c r="AH105" s="6">
        <v>0</v>
      </c>
      <c r="AI105" s="6">
        <v>1</v>
      </c>
      <c r="AJ105" s="6">
        <v>104</v>
      </c>
    </row>
    <row r="106" spans="1:37" x14ac:dyDescent="0.45">
      <c r="A106" s="4" t="s">
        <v>26</v>
      </c>
      <c r="B106" s="5">
        <v>0</v>
      </c>
      <c r="C106" s="5">
        <v>0</v>
      </c>
      <c r="D106" s="6">
        <v>0</v>
      </c>
      <c r="E106" s="6">
        <v>0</v>
      </c>
      <c r="F106" s="6">
        <v>29</v>
      </c>
      <c r="G106" s="5">
        <v>0</v>
      </c>
      <c r="H106" s="5">
        <v>0</v>
      </c>
      <c r="I106" s="6">
        <v>0</v>
      </c>
      <c r="J106" s="6">
        <v>0</v>
      </c>
      <c r="K106" s="6">
        <v>5</v>
      </c>
      <c r="L106" s="5">
        <v>0.66388051962713335</v>
      </c>
      <c r="M106" s="5">
        <v>0.11460855436927163</v>
      </c>
      <c r="N106" s="6">
        <v>0</v>
      </c>
      <c r="O106" s="6">
        <v>1</v>
      </c>
      <c r="P106" s="6">
        <v>19</v>
      </c>
      <c r="Q106" s="5">
        <v>0.29374289139203691</v>
      </c>
      <c r="R106" s="5">
        <v>0.11283736420444235</v>
      </c>
      <c r="S106" s="6">
        <v>0</v>
      </c>
      <c r="T106" s="6">
        <v>1</v>
      </c>
      <c r="U106" s="6">
        <v>19</v>
      </c>
      <c r="V106" s="5">
        <v>0.36680645879208712</v>
      </c>
      <c r="W106" s="5">
        <v>0.12383916979165614</v>
      </c>
      <c r="X106" s="6">
        <v>0</v>
      </c>
      <c r="Y106" s="6">
        <v>1</v>
      </c>
      <c r="Z106" s="6">
        <v>18</v>
      </c>
      <c r="AA106" s="5">
        <v>0.30087795573298015</v>
      </c>
      <c r="AB106" s="5">
        <v>0.14549325187447498</v>
      </c>
      <c r="AC106" s="6">
        <v>0</v>
      </c>
      <c r="AD106" s="6">
        <v>1</v>
      </c>
      <c r="AE106" s="6">
        <v>14</v>
      </c>
      <c r="AF106" s="5">
        <v>0.30849368526502607</v>
      </c>
      <c r="AG106" s="5">
        <v>6.0369974510870769E-2</v>
      </c>
      <c r="AH106" s="6">
        <v>0</v>
      </c>
      <c r="AI106" s="6">
        <v>1</v>
      </c>
      <c r="AJ106" s="6">
        <v>104</v>
      </c>
      <c r="AK106">
        <f>(AF108/AF107)-AF106</f>
        <v>0.14283958127727203</v>
      </c>
    </row>
    <row r="107" spans="1:37" ht="26.25" x14ac:dyDescent="0.45">
      <c r="A107" s="4" t="s">
        <v>22</v>
      </c>
      <c r="B107" s="5">
        <v>0.26511382125444838</v>
      </c>
      <c r="C107" s="5">
        <v>9.9160906951506367E-2</v>
      </c>
      <c r="D107" s="6">
        <v>0</v>
      </c>
      <c r="E107" s="6">
        <v>1</v>
      </c>
      <c r="F107" s="6">
        <v>29</v>
      </c>
      <c r="G107" s="5">
        <v>0.28413340654229741</v>
      </c>
      <c r="H107" s="5">
        <v>0.2635701019519151</v>
      </c>
      <c r="I107" s="6">
        <v>0</v>
      </c>
      <c r="J107" s="6">
        <v>1</v>
      </c>
      <c r="K107" s="6">
        <v>5</v>
      </c>
      <c r="L107" s="5">
        <v>1</v>
      </c>
      <c r="M107" s="5">
        <v>0</v>
      </c>
      <c r="N107" s="6">
        <v>1</v>
      </c>
      <c r="O107" s="6">
        <v>1</v>
      </c>
      <c r="P107" s="6">
        <v>19</v>
      </c>
      <c r="Q107" s="5">
        <v>0.89861962585941668</v>
      </c>
      <c r="R107" s="5">
        <v>9.6845778169611332E-2</v>
      </c>
      <c r="S107" s="6">
        <v>0</v>
      </c>
      <c r="T107" s="6">
        <v>1</v>
      </c>
      <c r="U107" s="6">
        <v>19</v>
      </c>
      <c r="V107" s="5">
        <v>0.94505098249148323</v>
      </c>
      <c r="W107" s="5">
        <v>5.5165329624764066E-2</v>
      </c>
      <c r="X107" s="6">
        <v>0</v>
      </c>
      <c r="Y107" s="6">
        <v>1</v>
      </c>
      <c r="Z107" s="6">
        <v>18</v>
      </c>
      <c r="AA107" s="5">
        <v>0.91590414556129873</v>
      </c>
      <c r="AB107" s="5">
        <v>5.7720093761496942E-2</v>
      </c>
      <c r="AC107" s="6">
        <v>0</v>
      </c>
      <c r="AD107" s="6">
        <v>1</v>
      </c>
      <c r="AE107" s="6">
        <v>14</v>
      </c>
      <c r="AF107" s="5">
        <v>0.67616365127076683</v>
      </c>
      <c r="AG107" s="5">
        <v>6.6180623554006821E-2</v>
      </c>
      <c r="AH107" s="6">
        <v>0</v>
      </c>
      <c r="AI107" s="6">
        <v>1</v>
      </c>
      <c r="AJ107" s="6">
        <v>104</v>
      </c>
      <c r="AK107">
        <f>(AF108/AF106)-AF107</f>
        <v>0.31307912425971895</v>
      </c>
    </row>
    <row r="108" spans="1:37" x14ac:dyDescent="0.45">
      <c r="A108" s="4" t="s">
        <v>64</v>
      </c>
      <c r="B108" s="5">
        <v>0</v>
      </c>
      <c r="C108" s="5">
        <v>0</v>
      </c>
      <c r="D108" s="6">
        <v>0</v>
      </c>
      <c r="E108" s="6">
        <v>0</v>
      </c>
      <c r="F108" s="6">
        <v>29</v>
      </c>
      <c r="G108" s="5">
        <v>0</v>
      </c>
      <c r="H108" s="5">
        <v>0</v>
      </c>
      <c r="I108" s="6">
        <v>0</v>
      </c>
      <c r="J108" s="6">
        <v>0</v>
      </c>
      <c r="K108" s="6">
        <v>5</v>
      </c>
      <c r="L108" s="5">
        <v>0.66388051962713335</v>
      </c>
      <c r="M108" s="5">
        <v>0.11460855436927163</v>
      </c>
      <c r="N108" s="6">
        <v>0</v>
      </c>
      <c r="O108" s="6">
        <v>1</v>
      </c>
      <c r="P108" s="6">
        <v>19</v>
      </c>
      <c r="Q108" s="5">
        <v>0.29374289139203691</v>
      </c>
      <c r="R108" s="5">
        <v>0.11283736420444235</v>
      </c>
      <c r="S108" s="6">
        <v>0</v>
      </c>
      <c r="T108" s="6">
        <v>1</v>
      </c>
      <c r="U108" s="6">
        <v>19</v>
      </c>
      <c r="V108" s="5">
        <v>0.31185744128357024</v>
      </c>
      <c r="W108" s="5">
        <v>0.11995177798510508</v>
      </c>
      <c r="X108" s="6">
        <v>0</v>
      </c>
      <c r="Y108" s="6">
        <v>1</v>
      </c>
      <c r="Z108" s="6">
        <v>18</v>
      </c>
      <c r="AA108" s="5">
        <v>0.30087795573298015</v>
      </c>
      <c r="AB108" s="5">
        <v>0.14549325187447498</v>
      </c>
      <c r="AC108" s="6">
        <v>0</v>
      </c>
      <c r="AD108" s="6">
        <v>1</v>
      </c>
      <c r="AE108" s="6">
        <v>14</v>
      </c>
      <c r="AF108" s="5">
        <v>0.30517514944520252</v>
      </c>
      <c r="AG108" s="5">
        <v>6.0301659756589347E-2</v>
      </c>
      <c r="AH108" s="6">
        <v>0</v>
      </c>
      <c r="AI108" s="6">
        <v>1</v>
      </c>
      <c r="AJ108" s="6">
        <v>104</v>
      </c>
    </row>
    <row r="109" spans="1:37" x14ac:dyDescent="0.45">
      <c r="A109" s="4" t="s">
        <v>26</v>
      </c>
      <c r="B109" s="5">
        <v>0</v>
      </c>
      <c r="C109" s="5">
        <v>0</v>
      </c>
      <c r="D109" s="6">
        <v>0</v>
      </c>
      <c r="E109" s="6">
        <v>0</v>
      </c>
      <c r="F109" s="6">
        <v>29</v>
      </c>
      <c r="G109" s="5">
        <v>0</v>
      </c>
      <c r="H109" s="5">
        <v>0</v>
      </c>
      <c r="I109" s="6">
        <v>0</v>
      </c>
      <c r="J109" s="6">
        <v>0</v>
      </c>
      <c r="K109" s="6">
        <v>5</v>
      </c>
      <c r="L109" s="5">
        <v>0.66388051962713335</v>
      </c>
      <c r="M109" s="5">
        <v>0.11460855436927163</v>
      </c>
      <c r="N109" s="6">
        <v>0</v>
      </c>
      <c r="O109" s="6">
        <v>1</v>
      </c>
      <c r="P109" s="6">
        <v>19</v>
      </c>
      <c r="Q109" s="5">
        <v>0.29374289139203691</v>
      </c>
      <c r="R109" s="5">
        <v>0.11283736420444235</v>
      </c>
      <c r="S109" s="6">
        <v>0</v>
      </c>
      <c r="T109" s="6">
        <v>1</v>
      </c>
      <c r="U109" s="6">
        <v>19</v>
      </c>
      <c r="V109" s="5">
        <v>0.36680645879208712</v>
      </c>
      <c r="W109" s="5">
        <v>0.12383916979165614</v>
      </c>
      <c r="X109" s="6">
        <v>0</v>
      </c>
      <c r="Y109" s="6">
        <v>1</v>
      </c>
      <c r="Z109" s="6">
        <v>18</v>
      </c>
      <c r="AA109" s="5">
        <v>0.30087795573298015</v>
      </c>
      <c r="AB109" s="5">
        <v>0.14549325187447498</v>
      </c>
      <c r="AC109" s="6">
        <v>0</v>
      </c>
      <c r="AD109" s="6">
        <v>1</v>
      </c>
      <c r="AE109" s="6">
        <v>14</v>
      </c>
      <c r="AF109" s="5">
        <v>0.30849368526502607</v>
      </c>
      <c r="AG109" s="5">
        <v>6.0369974510870769E-2</v>
      </c>
      <c r="AH109" s="6">
        <v>0</v>
      </c>
      <c r="AI109" s="6">
        <v>1</v>
      </c>
      <c r="AJ109" s="6">
        <v>104</v>
      </c>
      <c r="AK109">
        <f>(AF111/AF110)-AF109</f>
        <v>0.15930965263843055</v>
      </c>
    </row>
    <row r="110" spans="1:37" ht="26.25" x14ac:dyDescent="0.45">
      <c r="A110" s="4" t="s">
        <v>24</v>
      </c>
      <c r="B110" s="5">
        <v>0.23600168674140035</v>
      </c>
      <c r="C110" s="5">
        <v>9.8121570578696957E-2</v>
      </c>
      <c r="D110" s="6">
        <v>0</v>
      </c>
      <c r="E110" s="6">
        <v>1</v>
      </c>
      <c r="F110" s="6">
        <v>29</v>
      </c>
      <c r="G110" s="5">
        <v>0.28413340654229741</v>
      </c>
      <c r="H110" s="5">
        <v>0.2635701019519151</v>
      </c>
      <c r="I110" s="6">
        <v>0</v>
      </c>
      <c r="J110" s="6">
        <v>1</v>
      </c>
      <c r="K110" s="6">
        <v>5</v>
      </c>
      <c r="L110" s="5">
        <v>1</v>
      </c>
      <c r="M110" s="5">
        <v>0</v>
      </c>
      <c r="N110" s="6">
        <v>1</v>
      </c>
      <c r="O110" s="6">
        <v>1</v>
      </c>
      <c r="P110" s="6">
        <v>19</v>
      </c>
      <c r="Q110" s="5">
        <v>0.89861962585941668</v>
      </c>
      <c r="R110" s="5">
        <v>9.6845778169611332E-2</v>
      </c>
      <c r="S110" s="6">
        <v>0</v>
      </c>
      <c r="T110" s="6">
        <v>1</v>
      </c>
      <c r="U110" s="6">
        <v>19</v>
      </c>
      <c r="V110" s="5">
        <v>0.86634111546445414</v>
      </c>
      <c r="W110" s="5">
        <v>8.7661072043173624E-2</v>
      </c>
      <c r="X110" s="6">
        <v>0</v>
      </c>
      <c r="Y110" s="6">
        <v>1</v>
      </c>
      <c r="Z110" s="6">
        <v>18</v>
      </c>
      <c r="AA110" s="5">
        <v>0.68542702638902031</v>
      </c>
      <c r="AB110" s="5">
        <v>0.14449500923918335</v>
      </c>
      <c r="AC110" s="6">
        <v>0</v>
      </c>
      <c r="AD110" s="6">
        <v>1</v>
      </c>
      <c r="AE110" s="6">
        <v>14</v>
      </c>
      <c r="AF110" s="5">
        <v>0.65121302184637453</v>
      </c>
      <c r="AG110" s="5">
        <v>6.6128687462899488E-2</v>
      </c>
      <c r="AH110" s="6">
        <v>0</v>
      </c>
      <c r="AI110" s="6">
        <v>1</v>
      </c>
      <c r="AJ110" s="6">
        <v>104</v>
      </c>
      <c r="AK110">
        <f>(AF111/AF109)-AF110</f>
        <v>0.33629382142730735</v>
      </c>
    </row>
    <row r="111" spans="1:37" x14ac:dyDescent="0.45">
      <c r="A111" s="4" t="s">
        <v>65</v>
      </c>
      <c r="B111" s="5">
        <v>0</v>
      </c>
      <c r="C111" s="5">
        <v>0</v>
      </c>
      <c r="D111" s="6">
        <v>0</v>
      </c>
      <c r="E111" s="6">
        <v>0</v>
      </c>
      <c r="F111" s="6">
        <v>29</v>
      </c>
      <c r="G111" s="5">
        <v>0</v>
      </c>
      <c r="H111" s="5">
        <v>0</v>
      </c>
      <c r="I111" s="6">
        <v>0</v>
      </c>
      <c r="J111" s="6">
        <v>0</v>
      </c>
      <c r="K111" s="6">
        <v>5</v>
      </c>
      <c r="L111" s="5">
        <v>0.66388051962713335</v>
      </c>
      <c r="M111" s="5">
        <v>0.11460855436927163</v>
      </c>
      <c r="N111" s="6">
        <v>0</v>
      </c>
      <c r="O111" s="6">
        <v>1</v>
      </c>
      <c r="P111" s="6">
        <v>19</v>
      </c>
      <c r="Q111" s="5">
        <v>0.29374289139203691</v>
      </c>
      <c r="R111" s="5">
        <v>0.11283736420444235</v>
      </c>
      <c r="S111" s="6">
        <v>0</v>
      </c>
      <c r="T111" s="6">
        <v>1</v>
      </c>
      <c r="U111" s="6">
        <v>19</v>
      </c>
      <c r="V111" s="5">
        <v>0.31185744128357024</v>
      </c>
      <c r="W111" s="5">
        <v>0.11995177798510508</v>
      </c>
      <c r="X111" s="6">
        <v>0</v>
      </c>
      <c r="Y111" s="6">
        <v>1</v>
      </c>
      <c r="Z111" s="6">
        <v>18</v>
      </c>
      <c r="AA111" s="5">
        <v>0.2910488397146046</v>
      </c>
      <c r="AB111" s="5">
        <v>0.14543018181319689</v>
      </c>
      <c r="AC111" s="6">
        <v>0</v>
      </c>
      <c r="AD111" s="6">
        <v>1</v>
      </c>
      <c r="AE111" s="6">
        <v>14</v>
      </c>
      <c r="AF111" s="5">
        <v>0.30463962530593064</v>
      </c>
      <c r="AG111" s="5">
        <v>6.0295700994636894E-2</v>
      </c>
      <c r="AH111" s="6">
        <v>0</v>
      </c>
      <c r="AI111" s="6">
        <v>1</v>
      </c>
      <c r="AJ111" s="6">
        <v>104</v>
      </c>
    </row>
    <row r="112" spans="1:37" x14ac:dyDescent="0.45">
      <c r="A112" s="4" t="s">
        <v>28</v>
      </c>
      <c r="B112" s="5">
        <v>0</v>
      </c>
      <c r="C112" s="5">
        <v>0</v>
      </c>
      <c r="D112" s="6">
        <v>0</v>
      </c>
      <c r="E112" s="6">
        <v>0</v>
      </c>
      <c r="F112" s="6">
        <v>29</v>
      </c>
      <c r="G112" s="5">
        <v>0</v>
      </c>
      <c r="H112" s="5">
        <v>0</v>
      </c>
      <c r="I112" s="6">
        <v>0</v>
      </c>
      <c r="J112" s="6">
        <v>0</v>
      </c>
      <c r="K112" s="6">
        <v>5</v>
      </c>
      <c r="L112" s="5">
        <v>0.72893530797081907</v>
      </c>
      <c r="M112" s="5">
        <v>0.10669463220715278</v>
      </c>
      <c r="N112" s="6">
        <v>0</v>
      </c>
      <c r="O112" s="6">
        <v>1</v>
      </c>
      <c r="P112" s="6">
        <v>19</v>
      </c>
      <c r="Q112" s="5">
        <v>0.63622677312988607</v>
      </c>
      <c r="R112" s="5">
        <v>0.12689047883012006</v>
      </c>
      <c r="S112" s="6">
        <v>0</v>
      </c>
      <c r="T112" s="6">
        <v>1</v>
      </c>
      <c r="U112" s="6">
        <v>19</v>
      </c>
      <c r="V112" s="5">
        <v>0.73611457017133053</v>
      </c>
      <c r="W112" s="5">
        <v>0.11141004702384433</v>
      </c>
      <c r="X112" s="6">
        <v>0</v>
      </c>
      <c r="Y112" s="6">
        <v>1</v>
      </c>
      <c r="Z112" s="6">
        <v>18</v>
      </c>
      <c r="AA112" s="5">
        <v>0.50250462712121191</v>
      </c>
      <c r="AB112" s="5">
        <v>0.15738307630952827</v>
      </c>
      <c r="AC112" s="6">
        <v>0</v>
      </c>
      <c r="AD112" s="6">
        <v>1</v>
      </c>
      <c r="AE112" s="6">
        <v>14</v>
      </c>
      <c r="AF112" s="5">
        <v>0.40152770724557457</v>
      </c>
      <c r="AG112" s="5">
        <v>6.4202011804989259E-2</v>
      </c>
      <c r="AH112" s="6">
        <v>0</v>
      </c>
      <c r="AI112" s="6">
        <v>1</v>
      </c>
      <c r="AJ112" s="6">
        <v>104</v>
      </c>
      <c r="AK112">
        <f>(AF114/AF113)-AF112</f>
        <v>2.2859147524305345E-2</v>
      </c>
    </row>
    <row r="113" spans="1:37" x14ac:dyDescent="0.45">
      <c r="A113" s="4" t="s">
        <v>30</v>
      </c>
      <c r="B113" s="5">
        <v>0.13367672028482241</v>
      </c>
      <c r="C113" s="5">
        <v>6.7499531890097414E-2</v>
      </c>
      <c r="D113" s="6">
        <v>0</v>
      </c>
      <c r="E113" s="6">
        <v>1</v>
      </c>
      <c r="F113" s="6">
        <v>29</v>
      </c>
      <c r="G113" s="5">
        <v>0</v>
      </c>
      <c r="H113" s="5">
        <v>0</v>
      </c>
      <c r="I113" s="6">
        <v>0</v>
      </c>
      <c r="J113" s="6">
        <v>0</v>
      </c>
      <c r="K113" s="6">
        <v>5</v>
      </c>
      <c r="L113" s="5">
        <v>5.2410271788350123E-2</v>
      </c>
      <c r="M113" s="5">
        <v>5.248010773581166E-2</v>
      </c>
      <c r="N113" s="6">
        <v>0</v>
      </c>
      <c r="O113" s="6">
        <v>1</v>
      </c>
      <c r="P113" s="6">
        <v>19</v>
      </c>
      <c r="Q113" s="5">
        <v>0</v>
      </c>
      <c r="R113" s="5">
        <v>0</v>
      </c>
      <c r="S113" s="6">
        <v>0</v>
      </c>
      <c r="T113" s="6">
        <v>0</v>
      </c>
      <c r="U113" s="6">
        <v>19</v>
      </c>
      <c r="V113" s="5">
        <v>0.15550626739573795</v>
      </c>
      <c r="W113" s="5">
        <v>8.6631727868310957E-2</v>
      </c>
      <c r="X113" s="6">
        <v>0</v>
      </c>
      <c r="Y113" s="6">
        <v>1</v>
      </c>
      <c r="Z113" s="6">
        <v>18</v>
      </c>
      <c r="AA113" s="5">
        <v>0.14494874528348178</v>
      </c>
      <c r="AB113" s="5">
        <v>0.10516460199040556</v>
      </c>
      <c r="AC113" s="6">
        <v>0</v>
      </c>
      <c r="AD113" s="6">
        <v>1</v>
      </c>
      <c r="AE113" s="6">
        <v>14</v>
      </c>
      <c r="AF113" s="5">
        <v>7.1219747701667446E-2</v>
      </c>
      <c r="AG113" s="5">
        <v>2.7252423041304919E-2</v>
      </c>
      <c r="AH113" s="6">
        <v>0</v>
      </c>
      <c r="AI113" s="6">
        <v>1</v>
      </c>
      <c r="AJ113" s="6">
        <v>104</v>
      </c>
      <c r="AK113">
        <f>(AF114/AF112)-AF113</f>
        <v>4.0545713034954439E-3</v>
      </c>
    </row>
    <row r="114" spans="1:37" ht="26.25" x14ac:dyDescent="0.45">
      <c r="A114" s="4" t="s">
        <v>66</v>
      </c>
      <c r="B114" s="5">
        <v>0</v>
      </c>
      <c r="C114" s="5">
        <v>0</v>
      </c>
      <c r="D114" s="6">
        <v>0</v>
      </c>
      <c r="E114" s="6">
        <v>0</v>
      </c>
      <c r="F114" s="6">
        <v>29</v>
      </c>
      <c r="G114" s="5">
        <v>0</v>
      </c>
      <c r="H114" s="5">
        <v>0</v>
      </c>
      <c r="I114" s="6">
        <v>0</v>
      </c>
      <c r="J114" s="6">
        <v>0</v>
      </c>
      <c r="K114" s="6">
        <v>5</v>
      </c>
      <c r="L114" s="5">
        <v>5.2410271788350123E-2</v>
      </c>
      <c r="M114" s="5">
        <v>5.248010773581166E-2</v>
      </c>
      <c r="N114" s="6">
        <v>0</v>
      </c>
      <c r="O114" s="6">
        <v>1</v>
      </c>
      <c r="P114" s="6">
        <v>19</v>
      </c>
      <c r="Q114" s="5">
        <v>0</v>
      </c>
      <c r="R114" s="5">
        <v>0</v>
      </c>
      <c r="S114" s="6">
        <v>0</v>
      </c>
      <c r="T114" s="6">
        <v>0</v>
      </c>
      <c r="U114" s="6">
        <v>19</v>
      </c>
      <c r="V114" s="5">
        <v>0.10055724988722109</v>
      </c>
      <c r="W114" s="5">
        <v>7.0534767449922611E-2</v>
      </c>
      <c r="X114" s="6">
        <v>0</v>
      </c>
      <c r="Y114" s="6">
        <v>1</v>
      </c>
      <c r="Z114" s="6">
        <v>18</v>
      </c>
      <c r="AA114" s="5">
        <v>9.7308248581917819E-2</v>
      </c>
      <c r="AB114" s="5">
        <v>9.5663044906004094E-2</v>
      </c>
      <c r="AC114" s="6">
        <v>0</v>
      </c>
      <c r="AD114" s="6">
        <v>1</v>
      </c>
      <c r="AE114" s="6">
        <v>14</v>
      </c>
      <c r="AF114" s="5">
        <v>3.0224724724615033E-2</v>
      </c>
      <c r="AG114" s="5">
        <v>1.9950458479565582E-2</v>
      </c>
      <c r="AH114" s="6">
        <v>0</v>
      </c>
      <c r="AI114" s="6">
        <v>1</v>
      </c>
      <c r="AJ114" s="6">
        <v>104</v>
      </c>
    </row>
    <row r="115" spans="1:37" x14ac:dyDescent="0.45">
      <c r="A115" s="4" t="s">
        <v>28</v>
      </c>
      <c r="B115" s="5">
        <v>0</v>
      </c>
      <c r="C115" s="5">
        <v>0</v>
      </c>
      <c r="D115" s="6">
        <v>0</v>
      </c>
      <c r="E115" s="6">
        <v>0</v>
      </c>
      <c r="F115" s="6">
        <v>29</v>
      </c>
      <c r="G115" s="5">
        <v>0</v>
      </c>
      <c r="H115" s="5">
        <v>0</v>
      </c>
      <c r="I115" s="6">
        <v>0</v>
      </c>
      <c r="J115" s="6">
        <v>0</v>
      </c>
      <c r="K115" s="6">
        <v>5</v>
      </c>
      <c r="L115" s="5">
        <v>0.72893530797081907</v>
      </c>
      <c r="M115" s="5">
        <v>0.10669463220715278</v>
      </c>
      <c r="N115" s="6">
        <v>0</v>
      </c>
      <c r="O115" s="6">
        <v>1</v>
      </c>
      <c r="P115" s="6">
        <v>19</v>
      </c>
      <c r="Q115" s="5">
        <v>0.63622677312988607</v>
      </c>
      <c r="R115" s="5">
        <v>0.12689047883012006</v>
      </c>
      <c r="S115" s="6">
        <v>0</v>
      </c>
      <c r="T115" s="6">
        <v>1</v>
      </c>
      <c r="U115" s="6">
        <v>19</v>
      </c>
      <c r="V115" s="5">
        <v>0.73611457017133053</v>
      </c>
      <c r="W115" s="5">
        <v>0.11141004702384433</v>
      </c>
      <c r="X115" s="6">
        <v>0</v>
      </c>
      <c r="Y115" s="6">
        <v>1</v>
      </c>
      <c r="Z115" s="6">
        <v>18</v>
      </c>
      <c r="AA115" s="5">
        <v>0.50250462712121191</v>
      </c>
      <c r="AB115" s="5">
        <v>0.15738307630952827</v>
      </c>
      <c r="AC115" s="6">
        <v>0</v>
      </c>
      <c r="AD115" s="6">
        <v>1</v>
      </c>
      <c r="AE115" s="6">
        <v>14</v>
      </c>
      <c r="AF115" s="5">
        <v>0.40152770724557457</v>
      </c>
      <c r="AG115" s="5">
        <v>6.4202011804989259E-2</v>
      </c>
      <c r="AH115" s="6">
        <v>0</v>
      </c>
      <c r="AI115" s="6">
        <v>1</v>
      </c>
      <c r="AJ115" s="6">
        <v>104</v>
      </c>
      <c r="AK115">
        <f>(AF117/AF116)-AF115</f>
        <v>0.23563956777454537</v>
      </c>
    </row>
    <row r="116" spans="1:37" x14ac:dyDescent="0.45">
      <c r="A116" s="4" t="s">
        <v>32</v>
      </c>
      <c r="B116" s="5">
        <v>4.300104465507152E-2</v>
      </c>
      <c r="C116" s="5">
        <v>3.8529376428579974E-2</v>
      </c>
      <c r="D116" s="6">
        <v>0</v>
      </c>
      <c r="E116" s="6">
        <v>1</v>
      </c>
      <c r="F116" s="6">
        <v>29</v>
      </c>
      <c r="G116" s="5">
        <v>0</v>
      </c>
      <c r="H116" s="5">
        <v>0</v>
      </c>
      <c r="I116" s="6">
        <v>0</v>
      </c>
      <c r="J116" s="6">
        <v>0</v>
      </c>
      <c r="K116" s="6">
        <v>5</v>
      </c>
      <c r="L116" s="5">
        <v>0.32310688832667722</v>
      </c>
      <c r="M116" s="5">
        <v>0.11194939263044702</v>
      </c>
      <c r="N116" s="6">
        <v>0</v>
      </c>
      <c r="O116" s="6">
        <v>1</v>
      </c>
      <c r="P116" s="6">
        <v>19</v>
      </c>
      <c r="Q116" s="5">
        <v>0.41381121420178746</v>
      </c>
      <c r="R116" s="5">
        <v>0.12969928853703966</v>
      </c>
      <c r="S116" s="6">
        <v>0</v>
      </c>
      <c r="T116" s="6">
        <v>1</v>
      </c>
      <c r="U116" s="6">
        <v>19</v>
      </c>
      <c r="V116" s="5">
        <v>0.23553150148432661</v>
      </c>
      <c r="W116" s="5">
        <v>0.10224133114104708</v>
      </c>
      <c r="X116" s="6">
        <v>0</v>
      </c>
      <c r="Y116" s="6">
        <v>1</v>
      </c>
      <c r="Z116" s="6">
        <v>18</v>
      </c>
      <c r="AA116" s="5">
        <v>0.62380644277621733</v>
      </c>
      <c r="AB116" s="5">
        <v>0.15335862727964425</v>
      </c>
      <c r="AC116" s="6">
        <v>0</v>
      </c>
      <c r="AD116" s="6">
        <v>1</v>
      </c>
      <c r="AE116" s="6">
        <v>14</v>
      </c>
      <c r="AF116" s="5">
        <v>0.21962332207176813</v>
      </c>
      <c r="AG116" s="5">
        <v>4.9938905008240317E-2</v>
      </c>
      <c r="AH116" s="6">
        <v>0</v>
      </c>
      <c r="AI116" s="6">
        <v>1</v>
      </c>
      <c r="AJ116" s="6">
        <v>104</v>
      </c>
      <c r="AK116">
        <f>(AF117/AF115)-AF116</f>
        <v>0.12888760539394031</v>
      </c>
    </row>
    <row r="117" spans="1:37" x14ac:dyDescent="0.45">
      <c r="A117" s="4" t="s">
        <v>67</v>
      </c>
      <c r="B117" s="5">
        <v>0</v>
      </c>
      <c r="C117" s="5">
        <v>0</v>
      </c>
      <c r="D117" s="6">
        <v>0</v>
      </c>
      <c r="E117" s="6">
        <v>0</v>
      </c>
      <c r="F117" s="6">
        <v>29</v>
      </c>
      <c r="G117" s="5">
        <v>0</v>
      </c>
      <c r="H117" s="5">
        <v>0</v>
      </c>
      <c r="I117" s="6">
        <v>0</v>
      </c>
      <c r="J117" s="6">
        <v>0</v>
      </c>
      <c r="K117" s="6">
        <v>5</v>
      </c>
      <c r="L117" s="5">
        <v>0.2695971003469631</v>
      </c>
      <c r="M117" s="5">
        <v>0.10618568230402391</v>
      </c>
      <c r="N117" s="6">
        <v>0</v>
      </c>
      <c r="O117" s="6">
        <v>1</v>
      </c>
      <c r="P117" s="6">
        <v>19</v>
      </c>
      <c r="Q117" s="5">
        <v>0.19542247639950872</v>
      </c>
      <c r="R117" s="5">
        <v>9.4189646606713126E-2</v>
      </c>
      <c r="S117" s="6">
        <v>0</v>
      </c>
      <c r="T117" s="6">
        <v>1</v>
      </c>
      <c r="U117" s="6">
        <v>19</v>
      </c>
      <c r="V117" s="5">
        <v>9.3645310157637787E-2</v>
      </c>
      <c r="W117" s="5">
        <v>6.2783943971334188E-2</v>
      </c>
      <c r="X117" s="6">
        <v>0</v>
      </c>
      <c r="Y117" s="6">
        <v>1</v>
      </c>
      <c r="Z117" s="6">
        <v>18</v>
      </c>
      <c r="AA117" s="5">
        <v>0.304259024480103</v>
      </c>
      <c r="AB117" s="5">
        <v>0.14643936316717585</v>
      </c>
      <c r="AC117" s="6">
        <v>0</v>
      </c>
      <c r="AD117" s="6">
        <v>1</v>
      </c>
      <c r="AE117" s="6">
        <v>14</v>
      </c>
      <c r="AF117" s="5">
        <v>0.13993679365533465</v>
      </c>
      <c r="AG117" s="5">
        <v>4.3319722476968615E-2</v>
      </c>
      <c r="AH117" s="6">
        <v>0</v>
      </c>
      <c r="AI117" s="6">
        <v>1</v>
      </c>
      <c r="AJ117" s="6">
        <v>104</v>
      </c>
    </row>
    <row r="118" spans="1:37" x14ac:dyDescent="0.45">
      <c r="A118" s="4" t="s">
        <v>28</v>
      </c>
      <c r="B118" s="5">
        <v>0</v>
      </c>
      <c r="C118" s="5">
        <v>0</v>
      </c>
      <c r="D118" s="6">
        <v>0</v>
      </c>
      <c r="E118" s="6">
        <v>0</v>
      </c>
      <c r="F118" s="6">
        <v>29</v>
      </c>
      <c r="G118" s="5">
        <v>0</v>
      </c>
      <c r="H118" s="5">
        <v>0</v>
      </c>
      <c r="I118" s="6">
        <v>0</v>
      </c>
      <c r="J118" s="6">
        <v>0</v>
      </c>
      <c r="K118" s="6">
        <v>5</v>
      </c>
      <c r="L118" s="5">
        <v>0.72893530797081907</v>
      </c>
      <c r="M118" s="5">
        <v>0.10669463220715278</v>
      </c>
      <c r="N118" s="6">
        <v>0</v>
      </c>
      <c r="O118" s="6">
        <v>1</v>
      </c>
      <c r="P118" s="6">
        <v>19</v>
      </c>
      <c r="Q118" s="5">
        <v>0.63622677312988607</v>
      </c>
      <c r="R118" s="5">
        <v>0.12689047883012006</v>
      </c>
      <c r="S118" s="6">
        <v>0</v>
      </c>
      <c r="T118" s="6">
        <v>1</v>
      </c>
      <c r="U118" s="6">
        <v>19</v>
      </c>
      <c r="V118" s="5">
        <v>0.73611457017133053</v>
      </c>
      <c r="W118" s="5">
        <v>0.11141004702384433</v>
      </c>
      <c r="X118" s="6">
        <v>0</v>
      </c>
      <c r="Y118" s="6">
        <v>1</v>
      </c>
      <c r="Z118" s="6">
        <v>18</v>
      </c>
      <c r="AA118" s="5">
        <v>0.50250462712121191</v>
      </c>
      <c r="AB118" s="5">
        <v>0.15738307630952827</v>
      </c>
      <c r="AC118" s="6">
        <v>0</v>
      </c>
      <c r="AD118" s="6">
        <v>1</v>
      </c>
      <c r="AE118" s="6">
        <v>14</v>
      </c>
      <c r="AF118" s="5">
        <v>0.40152770724557457</v>
      </c>
      <c r="AG118" s="5">
        <v>6.4202011804989259E-2</v>
      </c>
      <c r="AH118" s="6">
        <v>0</v>
      </c>
      <c r="AI118" s="6">
        <v>1</v>
      </c>
      <c r="AJ118" s="6">
        <v>104</v>
      </c>
      <c r="AK118">
        <f>(AF120/AF119)-AF118</f>
        <v>0.41121224942006412</v>
      </c>
    </row>
    <row r="119" spans="1:37" x14ac:dyDescent="0.45">
      <c r="A119" s="4" t="s">
        <v>34</v>
      </c>
      <c r="B119" s="5">
        <v>4.9977494973873441E-3</v>
      </c>
      <c r="C119" s="5">
        <v>5.1842481806806187E-3</v>
      </c>
      <c r="D119" s="6">
        <v>0</v>
      </c>
      <c r="E119" s="6">
        <v>1</v>
      </c>
      <c r="F119" s="6">
        <v>29</v>
      </c>
      <c r="G119" s="5">
        <v>0</v>
      </c>
      <c r="H119" s="5">
        <v>0</v>
      </c>
      <c r="I119" s="6">
        <v>0</v>
      </c>
      <c r="J119" s="6">
        <v>0</v>
      </c>
      <c r="K119" s="6">
        <v>5</v>
      </c>
      <c r="L119" s="5">
        <v>0.1089926005638932</v>
      </c>
      <c r="M119" s="5">
        <v>7.4809215374932528E-2</v>
      </c>
      <c r="N119" s="6">
        <v>0</v>
      </c>
      <c r="O119" s="6">
        <v>1</v>
      </c>
      <c r="P119" s="6">
        <v>19</v>
      </c>
      <c r="Q119" s="5">
        <v>0</v>
      </c>
      <c r="R119" s="5">
        <v>0</v>
      </c>
      <c r="S119" s="6">
        <v>0</v>
      </c>
      <c r="T119" s="6">
        <v>0</v>
      </c>
      <c r="U119" s="6">
        <v>19</v>
      </c>
      <c r="V119" s="5">
        <v>0.18749442370539304</v>
      </c>
      <c r="W119" s="5">
        <v>9.5653225655299184E-2</v>
      </c>
      <c r="X119" s="6">
        <v>0</v>
      </c>
      <c r="Y119" s="6">
        <v>1</v>
      </c>
      <c r="Z119" s="6">
        <v>18</v>
      </c>
      <c r="AA119" s="5">
        <v>0.10851687170393783</v>
      </c>
      <c r="AB119" s="5">
        <v>9.1959813331468687E-2</v>
      </c>
      <c r="AC119" s="6">
        <v>0</v>
      </c>
      <c r="AD119" s="6">
        <v>1</v>
      </c>
      <c r="AE119" s="6">
        <v>14</v>
      </c>
      <c r="AF119" s="5">
        <v>5.7747988593625371E-2</v>
      </c>
      <c r="AG119" s="5">
        <v>2.8391611186991999E-2</v>
      </c>
      <c r="AH119" s="6">
        <v>0</v>
      </c>
      <c r="AI119" s="6">
        <v>1</v>
      </c>
      <c r="AJ119" s="6">
        <v>104</v>
      </c>
      <c r="AK119">
        <f>(AF120/AF118)-AF119</f>
        <v>5.9140826051501866E-2</v>
      </c>
    </row>
    <row r="120" spans="1:37" ht="26.25" x14ac:dyDescent="0.45">
      <c r="A120" s="4" t="s">
        <v>68</v>
      </c>
      <c r="B120" s="5">
        <v>0</v>
      </c>
      <c r="C120" s="5">
        <v>0</v>
      </c>
      <c r="D120" s="6">
        <v>0</v>
      </c>
      <c r="E120" s="6">
        <v>0</v>
      </c>
      <c r="F120" s="6">
        <v>29</v>
      </c>
      <c r="G120" s="5">
        <v>0</v>
      </c>
      <c r="H120" s="5">
        <v>0</v>
      </c>
      <c r="I120" s="6">
        <v>0</v>
      </c>
      <c r="J120" s="6">
        <v>0</v>
      </c>
      <c r="K120" s="6">
        <v>5</v>
      </c>
      <c r="L120" s="5">
        <v>0.1089926005638932</v>
      </c>
      <c r="M120" s="5">
        <v>7.4809215374932528E-2</v>
      </c>
      <c r="N120" s="6">
        <v>0</v>
      </c>
      <c r="O120" s="6">
        <v>1</v>
      </c>
      <c r="P120" s="6">
        <v>19</v>
      </c>
      <c r="Q120" s="5">
        <v>0</v>
      </c>
      <c r="R120" s="5">
        <v>0</v>
      </c>
      <c r="S120" s="6">
        <v>0</v>
      </c>
      <c r="T120" s="6">
        <v>0</v>
      </c>
      <c r="U120" s="6">
        <v>19</v>
      </c>
      <c r="V120" s="5">
        <v>4.5608232378704205E-2</v>
      </c>
      <c r="W120" s="5">
        <v>4.6234898232649681E-2</v>
      </c>
      <c r="X120" s="6">
        <v>0</v>
      </c>
      <c r="Y120" s="6">
        <v>1</v>
      </c>
      <c r="Z120" s="6">
        <v>18</v>
      </c>
      <c r="AA120" s="5">
        <v>9.1385137798670593E-2</v>
      </c>
      <c r="AB120" s="5">
        <v>9.0431079609862339E-2</v>
      </c>
      <c r="AC120" s="6">
        <v>0</v>
      </c>
      <c r="AD120" s="6">
        <v>1</v>
      </c>
      <c r="AE120" s="6">
        <v>14</v>
      </c>
      <c r="AF120" s="5">
        <v>4.6934097747110881E-2</v>
      </c>
      <c r="AG120" s="5">
        <v>2.7816232752572306E-2</v>
      </c>
      <c r="AH120" s="6">
        <v>0</v>
      </c>
      <c r="AI120" s="6">
        <v>1</v>
      </c>
      <c r="AJ120" s="6">
        <v>104</v>
      </c>
    </row>
    <row r="121" spans="1:37" x14ac:dyDescent="0.45">
      <c r="A121" s="4" t="s">
        <v>28</v>
      </c>
      <c r="B121" s="5">
        <v>0</v>
      </c>
      <c r="C121" s="5">
        <v>0</v>
      </c>
      <c r="D121" s="6">
        <v>0</v>
      </c>
      <c r="E121" s="6">
        <v>0</v>
      </c>
      <c r="F121" s="6">
        <v>29</v>
      </c>
      <c r="G121" s="5">
        <v>0</v>
      </c>
      <c r="H121" s="5">
        <v>0</v>
      </c>
      <c r="I121" s="6">
        <v>0</v>
      </c>
      <c r="J121" s="6">
        <v>0</v>
      </c>
      <c r="K121" s="6">
        <v>5</v>
      </c>
      <c r="L121" s="5">
        <v>0.72893530797081907</v>
      </c>
      <c r="M121" s="5">
        <v>0.10669463220715278</v>
      </c>
      <c r="N121" s="6">
        <v>0</v>
      </c>
      <c r="O121" s="6">
        <v>1</v>
      </c>
      <c r="P121" s="6">
        <v>19</v>
      </c>
      <c r="Q121" s="5">
        <v>0.63622677312988607</v>
      </c>
      <c r="R121" s="5">
        <v>0.12689047883012006</v>
      </c>
      <c r="S121" s="6">
        <v>0</v>
      </c>
      <c r="T121" s="6">
        <v>1</v>
      </c>
      <c r="U121" s="6">
        <v>19</v>
      </c>
      <c r="V121" s="5">
        <v>0.73611457017133053</v>
      </c>
      <c r="W121" s="5">
        <v>0.11141004702384433</v>
      </c>
      <c r="X121" s="6">
        <v>0</v>
      </c>
      <c r="Y121" s="6">
        <v>1</v>
      </c>
      <c r="Z121" s="6">
        <v>18</v>
      </c>
      <c r="AA121" s="5">
        <v>0.50250462712121191</v>
      </c>
      <c r="AB121" s="5">
        <v>0.15738307630952827</v>
      </c>
      <c r="AC121" s="6">
        <v>0</v>
      </c>
      <c r="AD121" s="6">
        <v>1</v>
      </c>
      <c r="AE121" s="6">
        <v>14</v>
      </c>
      <c r="AF121" s="5">
        <v>0.40152770724557457</v>
      </c>
      <c r="AG121" s="5">
        <v>6.4202011804989259E-2</v>
      </c>
      <c r="AH121" s="6">
        <v>0</v>
      </c>
      <c r="AI121" s="6">
        <v>1</v>
      </c>
      <c r="AJ121" s="6">
        <v>104</v>
      </c>
      <c r="AK121">
        <f>(AF123/AF122)-AF121</f>
        <v>-0.21043020030858164</v>
      </c>
    </row>
    <row r="122" spans="1:37" x14ac:dyDescent="0.45">
      <c r="A122" s="4" t="s">
        <v>36</v>
      </c>
      <c r="B122" s="5">
        <v>0.75033349718812381</v>
      </c>
      <c r="C122" s="5">
        <v>0.11113628937183456</v>
      </c>
      <c r="D122" s="6">
        <v>0</v>
      </c>
      <c r="E122" s="6">
        <v>1</v>
      </c>
      <c r="F122" s="6">
        <v>28</v>
      </c>
      <c r="G122" s="5">
        <v>0.69890286206955909</v>
      </c>
      <c r="H122" s="5">
        <v>0.26064905237909602</v>
      </c>
      <c r="I122" s="6">
        <v>0</v>
      </c>
      <c r="J122" s="6">
        <v>1</v>
      </c>
      <c r="K122" s="6">
        <v>5</v>
      </c>
      <c r="L122" s="5">
        <v>7.6528749224782755E-2</v>
      </c>
      <c r="M122" s="5">
        <v>6.4008315307330796E-2</v>
      </c>
      <c r="N122" s="6">
        <v>0</v>
      </c>
      <c r="O122" s="6">
        <v>1</v>
      </c>
      <c r="P122" s="6">
        <v>16</v>
      </c>
      <c r="Q122" s="5">
        <v>0.13638212532932661</v>
      </c>
      <c r="R122" s="5">
        <v>0.12489587163927413</v>
      </c>
      <c r="S122" s="6">
        <v>0</v>
      </c>
      <c r="T122" s="6">
        <v>1</v>
      </c>
      <c r="U122" s="6">
        <v>19</v>
      </c>
      <c r="V122" s="5">
        <v>0.35584441822330487</v>
      </c>
      <c r="W122" s="5">
        <v>0.12202753204157965</v>
      </c>
      <c r="X122" s="6">
        <v>0</v>
      </c>
      <c r="Y122" s="6">
        <v>1</v>
      </c>
      <c r="Z122" s="6">
        <v>18</v>
      </c>
      <c r="AA122" s="5">
        <v>0.74429546837714122</v>
      </c>
      <c r="AB122" s="5">
        <v>0.12930236493328284</v>
      </c>
      <c r="AC122" s="6">
        <v>0</v>
      </c>
      <c r="AD122" s="6">
        <v>1</v>
      </c>
      <c r="AE122" s="6">
        <v>14</v>
      </c>
      <c r="AF122" s="5">
        <v>0.42925514319553509</v>
      </c>
      <c r="AG122" s="5">
        <v>6.917480911456024E-2</v>
      </c>
      <c r="AH122" s="6">
        <v>0</v>
      </c>
      <c r="AI122" s="6">
        <v>1</v>
      </c>
      <c r="AJ122" s="6">
        <v>100</v>
      </c>
      <c r="AK122">
        <f>(AF123/AF121)-AF122</f>
        <v>-0.22496142641255026</v>
      </c>
    </row>
    <row r="123" spans="1:37" x14ac:dyDescent="0.45">
      <c r="A123" s="4" t="s">
        <v>69</v>
      </c>
      <c r="B123" s="5">
        <v>0</v>
      </c>
      <c r="C123" s="5">
        <v>0</v>
      </c>
      <c r="D123" s="6">
        <v>0</v>
      </c>
      <c r="E123" s="6">
        <v>0</v>
      </c>
      <c r="F123" s="6">
        <v>28</v>
      </c>
      <c r="G123" s="5">
        <v>0</v>
      </c>
      <c r="H123" s="5">
        <v>0</v>
      </c>
      <c r="I123" s="6">
        <v>0</v>
      </c>
      <c r="J123" s="6">
        <v>0</v>
      </c>
      <c r="K123" s="6">
        <v>5</v>
      </c>
      <c r="L123" s="5">
        <v>7.6528749224782755E-2</v>
      </c>
      <c r="M123" s="5">
        <v>6.4008315307330796E-2</v>
      </c>
      <c r="N123" s="6">
        <v>0</v>
      </c>
      <c r="O123" s="6">
        <v>1</v>
      </c>
      <c r="P123" s="6">
        <v>16</v>
      </c>
      <c r="Q123" s="5">
        <v>0.13638212532932661</v>
      </c>
      <c r="R123" s="5">
        <v>0.12489587163927413</v>
      </c>
      <c r="S123" s="6">
        <v>0</v>
      </c>
      <c r="T123" s="6">
        <v>1</v>
      </c>
      <c r="U123" s="6">
        <v>19</v>
      </c>
      <c r="V123" s="5">
        <v>0.29471616705834019</v>
      </c>
      <c r="W123" s="5">
        <v>0.11604140005706796</v>
      </c>
      <c r="X123" s="6">
        <v>0</v>
      </c>
      <c r="Y123" s="6">
        <v>1</v>
      </c>
      <c r="Z123" s="6">
        <v>18</v>
      </c>
      <c r="AA123" s="5">
        <v>0.39536726252091853</v>
      </c>
      <c r="AB123" s="5">
        <v>0.15602191271342342</v>
      </c>
      <c r="AC123" s="6">
        <v>0</v>
      </c>
      <c r="AD123" s="6">
        <v>1</v>
      </c>
      <c r="AE123" s="6">
        <v>14</v>
      </c>
      <c r="AF123" s="5">
        <v>8.2029587704548657E-2</v>
      </c>
      <c r="AG123" s="5">
        <v>2.9400177308716764E-2</v>
      </c>
      <c r="AH123" s="6">
        <v>0</v>
      </c>
      <c r="AI123" s="6">
        <v>1</v>
      </c>
      <c r="AJ123" s="6">
        <v>100</v>
      </c>
    </row>
    <row r="124" spans="1:37" x14ac:dyDescent="0.45">
      <c r="A124" s="4" t="s">
        <v>28</v>
      </c>
      <c r="B124" s="5">
        <v>0</v>
      </c>
      <c r="C124" s="5">
        <v>0</v>
      </c>
      <c r="D124" s="6">
        <v>0</v>
      </c>
      <c r="E124" s="6">
        <v>0</v>
      </c>
      <c r="F124" s="6">
        <v>29</v>
      </c>
      <c r="G124" s="5">
        <v>0</v>
      </c>
      <c r="H124" s="5">
        <v>0</v>
      </c>
      <c r="I124" s="6">
        <v>0</v>
      </c>
      <c r="J124" s="6">
        <v>0</v>
      </c>
      <c r="K124" s="6">
        <v>5</v>
      </c>
      <c r="L124" s="5">
        <v>0.72893530797081907</v>
      </c>
      <c r="M124" s="5">
        <v>0.10669463220715278</v>
      </c>
      <c r="N124" s="6">
        <v>0</v>
      </c>
      <c r="O124" s="6">
        <v>1</v>
      </c>
      <c r="P124" s="6">
        <v>19</v>
      </c>
      <c r="Q124" s="5">
        <v>0.63622677312988607</v>
      </c>
      <c r="R124" s="5">
        <v>0.12689047883012006</v>
      </c>
      <c r="S124" s="6">
        <v>0</v>
      </c>
      <c r="T124" s="6">
        <v>1</v>
      </c>
      <c r="U124" s="6">
        <v>19</v>
      </c>
      <c r="V124" s="5">
        <v>0.73611457017133053</v>
      </c>
      <c r="W124" s="5">
        <v>0.11141004702384433</v>
      </c>
      <c r="X124" s="6">
        <v>0</v>
      </c>
      <c r="Y124" s="6">
        <v>1</v>
      </c>
      <c r="Z124" s="6">
        <v>18</v>
      </c>
      <c r="AA124" s="5">
        <v>0.50250462712121191</v>
      </c>
      <c r="AB124" s="5">
        <v>0.15738307630952827</v>
      </c>
      <c r="AC124" s="6">
        <v>0</v>
      </c>
      <c r="AD124" s="6">
        <v>1</v>
      </c>
      <c r="AE124" s="6">
        <v>14</v>
      </c>
      <c r="AF124" s="5">
        <v>0.40152770724557457</v>
      </c>
      <c r="AG124" s="5">
        <v>6.4202011804989259E-2</v>
      </c>
      <c r="AH124" s="6">
        <v>0</v>
      </c>
      <c r="AI124" s="6">
        <v>1</v>
      </c>
      <c r="AJ124" s="6">
        <v>104</v>
      </c>
      <c r="AK124">
        <f>(AF126/AF125)-AF124</f>
        <v>0.30699602816949983</v>
      </c>
    </row>
    <row r="125" spans="1:37" ht="26.25" x14ac:dyDescent="0.45">
      <c r="A125" s="4" t="s">
        <v>38</v>
      </c>
      <c r="B125" s="5">
        <v>0</v>
      </c>
      <c r="C125" s="5">
        <v>0</v>
      </c>
      <c r="D125" s="6">
        <v>0</v>
      </c>
      <c r="E125" s="6">
        <v>0</v>
      </c>
      <c r="F125" s="6">
        <v>29</v>
      </c>
      <c r="G125" s="5">
        <v>0</v>
      </c>
      <c r="H125" s="5">
        <v>0</v>
      </c>
      <c r="I125" s="6">
        <v>0</v>
      </c>
      <c r="J125" s="6">
        <v>0</v>
      </c>
      <c r="K125" s="6">
        <v>5</v>
      </c>
      <c r="L125" s="5">
        <v>0.94219031834334444</v>
      </c>
      <c r="M125" s="5">
        <v>5.7556730985345819E-2</v>
      </c>
      <c r="N125" s="6">
        <v>0</v>
      </c>
      <c r="O125" s="6">
        <v>1</v>
      </c>
      <c r="P125" s="6">
        <v>19</v>
      </c>
      <c r="Q125" s="5">
        <v>0.23215855473296679</v>
      </c>
      <c r="R125" s="5">
        <v>9.9015389508305698E-2</v>
      </c>
      <c r="S125" s="6">
        <v>0</v>
      </c>
      <c r="T125" s="6">
        <v>1</v>
      </c>
      <c r="U125" s="6">
        <v>19</v>
      </c>
      <c r="V125" s="5">
        <v>0.47441656189365872</v>
      </c>
      <c r="W125" s="5">
        <v>0.1275876604219422</v>
      </c>
      <c r="X125" s="6">
        <v>0</v>
      </c>
      <c r="Y125" s="6">
        <v>1</v>
      </c>
      <c r="Z125" s="6">
        <v>18</v>
      </c>
      <c r="AA125" s="5">
        <v>0.50100347893857933</v>
      </c>
      <c r="AB125" s="5">
        <v>0.15741214876712428</v>
      </c>
      <c r="AC125" s="6">
        <v>0</v>
      </c>
      <c r="AD125" s="6">
        <v>1</v>
      </c>
      <c r="AE125" s="6">
        <v>14</v>
      </c>
      <c r="AF125" s="5">
        <v>0.41945825525041158</v>
      </c>
      <c r="AG125" s="5">
        <v>6.5895940178938919E-2</v>
      </c>
      <c r="AH125" s="6">
        <v>0</v>
      </c>
      <c r="AI125" s="6">
        <v>1</v>
      </c>
      <c r="AJ125" s="6">
        <v>104</v>
      </c>
      <c r="AK125">
        <f>(AF126/AF124)-AF125</f>
        <v>0.32070518676816384</v>
      </c>
    </row>
    <row r="126" spans="1:37" ht="26.25" x14ac:dyDescent="0.45">
      <c r="A126" s="4" t="s">
        <v>70</v>
      </c>
      <c r="B126" s="5">
        <v>0</v>
      </c>
      <c r="C126" s="5">
        <v>0</v>
      </c>
      <c r="D126" s="6">
        <v>0</v>
      </c>
      <c r="E126" s="6">
        <v>0</v>
      </c>
      <c r="F126" s="6">
        <v>29</v>
      </c>
      <c r="G126" s="5">
        <v>0</v>
      </c>
      <c r="H126" s="5">
        <v>0</v>
      </c>
      <c r="I126" s="6">
        <v>0</v>
      </c>
      <c r="J126" s="6">
        <v>0</v>
      </c>
      <c r="K126" s="6">
        <v>5</v>
      </c>
      <c r="L126" s="5">
        <v>0.67112562631416361</v>
      </c>
      <c r="M126" s="5">
        <v>0.11309803406304149</v>
      </c>
      <c r="N126" s="6">
        <v>0</v>
      </c>
      <c r="O126" s="6">
        <v>1</v>
      </c>
      <c r="P126" s="6">
        <v>19</v>
      </c>
      <c r="Q126" s="5">
        <v>0.19555539449869125</v>
      </c>
      <c r="R126" s="5">
        <v>9.2994313396750475E-2</v>
      </c>
      <c r="S126" s="6">
        <v>0</v>
      </c>
      <c r="T126" s="6">
        <v>1</v>
      </c>
      <c r="U126" s="6">
        <v>19</v>
      </c>
      <c r="V126" s="5">
        <v>0.29746830588316103</v>
      </c>
      <c r="W126" s="5">
        <v>0.11659678947121155</v>
      </c>
      <c r="X126" s="6">
        <v>0</v>
      </c>
      <c r="Y126" s="6">
        <v>1</v>
      </c>
      <c r="Z126" s="6">
        <v>18</v>
      </c>
      <c r="AA126" s="5">
        <v>0.3138112407406235</v>
      </c>
      <c r="AB126" s="5">
        <v>0.14897696328935994</v>
      </c>
      <c r="AC126" s="6">
        <v>0</v>
      </c>
      <c r="AD126" s="6">
        <v>1</v>
      </c>
      <c r="AE126" s="6">
        <v>14</v>
      </c>
      <c r="AF126" s="5">
        <v>0.29719612986071137</v>
      </c>
      <c r="AG126" s="5">
        <v>6.0445532891369856E-2</v>
      </c>
      <c r="AH126" s="6">
        <v>0</v>
      </c>
      <c r="AI126" s="6">
        <v>1</v>
      </c>
      <c r="AJ126" s="6">
        <v>104</v>
      </c>
    </row>
    <row r="127" spans="1:37" x14ac:dyDescent="0.45">
      <c r="A127" s="4" t="s">
        <v>28</v>
      </c>
      <c r="B127" s="5">
        <v>0</v>
      </c>
      <c r="C127" s="5">
        <v>0</v>
      </c>
      <c r="D127" s="6">
        <v>0</v>
      </c>
      <c r="E127" s="6">
        <v>0</v>
      </c>
      <c r="F127" s="6">
        <v>29</v>
      </c>
      <c r="G127" s="5">
        <v>0</v>
      </c>
      <c r="H127" s="5">
        <v>0</v>
      </c>
      <c r="I127" s="6">
        <v>0</v>
      </c>
      <c r="J127" s="6">
        <v>0</v>
      </c>
      <c r="K127" s="6">
        <v>5</v>
      </c>
      <c r="L127" s="5">
        <v>0.72893530797081907</v>
      </c>
      <c r="M127" s="5">
        <v>0.10669463220715278</v>
      </c>
      <c r="N127" s="6">
        <v>0</v>
      </c>
      <c r="O127" s="6">
        <v>1</v>
      </c>
      <c r="P127" s="6">
        <v>19</v>
      </c>
      <c r="Q127" s="5">
        <v>0.63622677312988607</v>
      </c>
      <c r="R127" s="5">
        <v>0.12689047883012006</v>
      </c>
      <c r="S127" s="6">
        <v>0</v>
      </c>
      <c r="T127" s="6">
        <v>1</v>
      </c>
      <c r="U127" s="6">
        <v>19</v>
      </c>
      <c r="V127" s="5">
        <v>0.73611457017133053</v>
      </c>
      <c r="W127" s="5">
        <v>0.11141004702384433</v>
      </c>
      <c r="X127" s="6">
        <v>0</v>
      </c>
      <c r="Y127" s="6">
        <v>1</v>
      </c>
      <c r="Z127" s="6">
        <v>18</v>
      </c>
      <c r="AA127" s="5">
        <v>0.50250462712121191</v>
      </c>
      <c r="AB127" s="5">
        <v>0.15738307630952827</v>
      </c>
      <c r="AC127" s="6">
        <v>0</v>
      </c>
      <c r="AD127" s="6">
        <v>1</v>
      </c>
      <c r="AE127" s="6">
        <v>14</v>
      </c>
      <c r="AF127" s="5">
        <v>0.40152770724557457</v>
      </c>
      <c r="AG127" s="5">
        <v>6.4202011804989259E-2</v>
      </c>
      <c r="AH127" s="6">
        <v>0</v>
      </c>
      <c r="AI127" s="6">
        <v>1</v>
      </c>
      <c r="AJ127" s="6">
        <v>104</v>
      </c>
      <c r="AK127">
        <f>(AF129/AF128)-AF127</f>
        <v>0.19579295913151001</v>
      </c>
    </row>
    <row r="128" spans="1:37" x14ac:dyDescent="0.45">
      <c r="A128" s="4" t="s">
        <v>40</v>
      </c>
      <c r="B128" s="5">
        <v>0.23600168674140035</v>
      </c>
      <c r="C128" s="5">
        <v>9.8121570578696957E-2</v>
      </c>
      <c r="D128" s="6">
        <v>0</v>
      </c>
      <c r="E128" s="6">
        <v>1</v>
      </c>
      <c r="F128" s="6">
        <v>29</v>
      </c>
      <c r="G128" s="5">
        <v>0.28413340654229741</v>
      </c>
      <c r="H128" s="5">
        <v>0.2635701019519151</v>
      </c>
      <c r="I128" s="6">
        <v>0</v>
      </c>
      <c r="J128" s="6">
        <v>1</v>
      </c>
      <c r="K128" s="6">
        <v>5</v>
      </c>
      <c r="L128" s="5">
        <v>1</v>
      </c>
      <c r="M128" s="5">
        <v>0</v>
      </c>
      <c r="N128" s="6">
        <v>1</v>
      </c>
      <c r="O128" s="6">
        <v>1</v>
      </c>
      <c r="P128" s="6">
        <v>19</v>
      </c>
      <c r="Q128" s="5">
        <v>0.85289731615094222</v>
      </c>
      <c r="R128" s="5">
        <v>0.10368836461541529</v>
      </c>
      <c r="S128" s="6">
        <v>0</v>
      </c>
      <c r="T128" s="6">
        <v>1</v>
      </c>
      <c r="U128" s="6">
        <v>19</v>
      </c>
      <c r="V128" s="5">
        <v>0.86634111546445414</v>
      </c>
      <c r="W128" s="5">
        <v>8.7661072043173624E-2</v>
      </c>
      <c r="X128" s="6">
        <v>0</v>
      </c>
      <c r="Y128" s="6">
        <v>1</v>
      </c>
      <c r="Z128" s="6">
        <v>18</v>
      </c>
      <c r="AA128" s="5">
        <v>0.68542702638902031</v>
      </c>
      <c r="AB128" s="5">
        <v>0.14449500923918335</v>
      </c>
      <c r="AC128" s="6">
        <v>0</v>
      </c>
      <c r="AD128" s="6">
        <v>1</v>
      </c>
      <c r="AE128" s="6">
        <v>14</v>
      </c>
      <c r="AF128" s="5">
        <v>0.64636059193257822</v>
      </c>
      <c r="AG128" s="5">
        <v>6.6126331124485585E-2</v>
      </c>
      <c r="AH128" s="6">
        <v>0</v>
      </c>
      <c r="AI128" s="6">
        <v>1</v>
      </c>
      <c r="AJ128" s="6">
        <v>104</v>
      </c>
      <c r="AK128">
        <f>(AF129/AF127)-AF128</f>
        <v>0.31517838165791667</v>
      </c>
    </row>
    <row r="129" spans="1:37" ht="26.25" x14ac:dyDescent="0.45">
      <c r="A129" s="4" t="s">
        <v>71</v>
      </c>
      <c r="B129" s="5">
        <v>0</v>
      </c>
      <c r="C129" s="5">
        <v>0</v>
      </c>
      <c r="D129" s="6">
        <v>0</v>
      </c>
      <c r="E129" s="6">
        <v>0</v>
      </c>
      <c r="F129" s="6">
        <v>29</v>
      </c>
      <c r="G129" s="5">
        <v>0</v>
      </c>
      <c r="H129" s="5">
        <v>0</v>
      </c>
      <c r="I129" s="6">
        <v>0</v>
      </c>
      <c r="J129" s="6">
        <v>0</v>
      </c>
      <c r="K129" s="6">
        <v>5</v>
      </c>
      <c r="L129" s="5">
        <v>0.72893530797081907</v>
      </c>
      <c r="M129" s="5">
        <v>0.10669463220715278</v>
      </c>
      <c r="N129" s="6">
        <v>0</v>
      </c>
      <c r="O129" s="6">
        <v>1</v>
      </c>
      <c r="P129" s="6">
        <v>19</v>
      </c>
      <c r="Q129" s="5">
        <v>0.59050446342141161</v>
      </c>
      <c r="R129" s="5">
        <v>0.12946531983771967</v>
      </c>
      <c r="S129" s="6">
        <v>0</v>
      </c>
      <c r="T129" s="6">
        <v>1</v>
      </c>
      <c r="U129" s="6">
        <v>19</v>
      </c>
      <c r="V129" s="5">
        <v>0.65740470314430133</v>
      </c>
      <c r="W129" s="5">
        <v>0.12128351680551824</v>
      </c>
      <c r="X129" s="6">
        <v>0</v>
      </c>
      <c r="Y129" s="6">
        <v>1</v>
      </c>
      <c r="Z129" s="6">
        <v>18</v>
      </c>
      <c r="AA129" s="5">
        <v>0.39536726252091853</v>
      </c>
      <c r="AB129" s="5">
        <v>0.15602191271342342</v>
      </c>
      <c r="AC129" s="6">
        <v>0</v>
      </c>
      <c r="AD129" s="6">
        <v>1</v>
      </c>
      <c r="AE129" s="6">
        <v>14</v>
      </c>
      <c r="AF129" s="5">
        <v>0.38608453949305449</v>
      </c>
      <c r="AG129" s="5">
        <v>6.3800033813676049E-2</v>
      </c>
      <c r="AH129" s="6">
        <v>0</v>
      </c>
      <c r="AI129" s="6">
        <v>1</v>
      </c>
      <c r="AJ129" s="6">
        <v>104</v>
      </c>
    </row>
    <row r="130" spans="1:37" x14ac:dyDescent="0.45">
      <c r="A130" s="4" t="s">
        <v>28</v>
      </c>
      <c r="B130" s="5">
        <v>0</v>
      </c>
      <c r="C130" s="5">
        <v>0</v>
      </c>
      <c r="D130" s="6">
        <v>0</v>
      </c>
      <c r="E130" s="6">
        <v>0</v>
      </c>
      <c r="F130" s="6">
        <v>29</v>
      </c>
      <c r="G130" s="5">
        <v>0</v>
      </c>
      <c r="H130" s="5">
        <v>0</v>
      </c>
      <c r="I130" s="6">
        <v>0</v>
      </c>
      <c r="J130" s="6">
        <v>0</v>
      </c>
      <c r="K130" s="6">
        <v>5</v>
      </c>
      <c r="L130" s="5">
        <v>0.72893530797081907</v>
      </c>
      <c r="M130" s="5">
        <v>0.10669463220715278</v>
      </c>
      <c r="N130" s="6">
        <v>0</v>
      </c>
      <c r="O130" s="6">
        <v>1</v>
      </c>
      <c r="P130" s="6">
        <v>19</v>
      </c>
      <c r="Q130" s="5">
        <v>0.63622677312988607</v>
      </c>
      <c r="R130" s="5">
        <v>0.12689047883012006</v>
      </c>
      <c r="S130" s="6">
        <v>0</v>
      </c>
      <c r="T130" s="6">
        <v>1</v>
      </c>
      <c r="U130" s="6">
        <v>19</v>
      </c>
      <c r="V130" s="5">
        <v>0.73611457017133053</v>
      </c>
      <c r="W130" s="5">
        <v>0.11141004702384433</v>
      </c>
      <c r="X130" s="6">
        <v>0</v>
      </c>
      <c r="Y130" s="6">
        <v>1</v>
      </c>
      <c r="Z130" s="6">
        <v>18</v>
      </c>
      <c r="AA130" s="5">
        <v>0.50250462712121191</v>
      </c>
      <c r="AB130" s="5">
        <v>0.15738307630952827</v>
      </c>
      <c r="AC130" s="6">
        <v>0</v>
      </c>
      <c r="AD130" s="6">
        <v>1</v>
      </c>
      <c r="AE130" s="6">
        <v>14</v>
      </c>
      <c r="AF130" s="5">
        <v>0.40152770724557457</v>
      </c>
      <c r="AG130" s="5">
        <v>6.4202011804989259E-2</v>
      </c>
      <c r="AH130" s="6">
        <v>0</v>
      </c>
      <c r="AI130" s="6">
        <v>1</v>
      </c>
      <c r="AJ130" s="6">
        <v>104</v>
      </c>
      <c r="AK130">
        <f>(AF132/AF131)-AF130</f>
        <v>0.25011625910645946</v>
      </c>
    </row>
    <row r="131" spans="1:37" x14ac:dyDescent="0.45">
      <c r="A131" s="4" t="s">
        <v>42</v>
      </c>
      <c r="B131" s="5">
        <v>0.14679233898869379</v>
      </c>
      <c r="C131" s="5">
        <v>7.21952874481087E-2</v>
      </c>
      <c r="D131" s="6">
        <v>0</v>
      </c>
      <c r="E131" s="6">
        <v>1</v>
      </c>
      <c r="F131" s="6">
        <v>29</v>
      </c>
      <c r="G131" s="5">
        <v>0.28413340654229741</v>
      </c>
      <c r="H131" s="5">
        <v>0.2635701019519151</v>
      </c>
      <c r="I131" s="6">
        <v>0</v>
      </c>
      <c r="J131" s="6">
        <v>1</v>
      </c>
      <c r="K131" s="6">
        <v>5</v>
      </c>
      <c r="L131" s="5">
        <v>0.83743216794734465</v>
      </c>
      <c r="M131" s="5">
        <v>8.8339131816845065E-2</v>
      </c>
      <c r="N131" s="6">
        <v>0</v>
      </c>
      <c r="O131" s="6">
        <v>1</v>
      </c>
      <c r="P131" s="6">
        <v>19</v>
      </c>
      <c r="Q131" s="5">
        <v>0.89861962585941668</v>
      </c>
      <c r="R131" s="5">
        <v>9.6845778169611332E-2</v>
      </c>
      <c r="S131" s="6">
        <v>0</v>
      </c>
      <c r="T131" s="6">
        <v>1</v>
      </c>
      <c r="U131" s="6">
        <v>19</v>
      </c>
      <c r="V131" s="5">
        <v>0.94505098249148323</v>
      </c>
      <c r="W131" s="5">
        <v>5.5165329624764066E-2</v>
      </c>
      <c r="X131" s="6">
        <v>0</v>
      </c>
      <c r="Y131" s="6">
        <v>1</v>
      </c>
      <c r="Z131" s="6">
        <v>18</v>
      </c>
      <c r="AA131" s="5">
        <v>0.91590414556129873</v>
      </c>
      <c r="AB131" s="5">
        <v>5.7720093761496942E-2</v>
      </c>
      <c r="AC131" s="6">
        <v>0</v>
      </c>
      <c r="AD131" s="6">
        <v>1</v>
      </c>
      <c r="AE131" s="6">
        <v>14</v>
      </c>
      <c r="AF131" s="5">
        <v>0.5866426892711829</v>
      </c>
      <c r="AG131" s="5">
        <v>6.7909303410161284E-2</v>
      </c>
      <c r="AH131" s="6">
        <v>0</v>
      </c>
      <c r="AI131" s="6">
        <v>1</v>
      </c>
      <c r="AJ131" s="6">
        <v>104</v>
      </c>
      <c r="AK131">
        <f>(AF132/AF130)-AF131</f>
        <v>0.3654265253055673</v>
      </c>
    </row>
    <row r="132" spans="1:37" x14ac:dyDescent="0.45">
      <c r="A132" s="4" t="s">
        <v>72</v>
      </c>
      <c r="B132" s="5">
        <v>0</v>
      </c>
      <c r="C132" s="5">
        <v>0</v>
      </c>
      <c r="D132" s="6">
        <v>0</v>
      </c>
      <c r="E132" s="6">
        <v>0</v>
      </c>
      <c r="F132" s="6">
        <v>29</v>
      </c>
      <c r="G132" s="5">
        <v>0</v>
      </c>
      <c r="H132" s="5">
        <v>0</v>
      </c>
      <c r="I132" s="6">
        <v>0</v>
      </c>
      <c r="J132" s="6">
        <v>0</v>
      </c>
      <c r="K132" s="6">
        <v>5</v>
      </c>
      <c r="L132" s="5">
        <v>0.67542551999110489</v>
      </c>
      <c r="M132" s="5">
        <v>0.11232124456360568</v>
      </c>
      <c r="N132" s="6">
        <v>0</v>
      </c>
      <c r="O132" s="6">
        <v>1</v>
      </c>
      <c r="P132" s="6">
        <v>19</v>
      </c>
      <c r="Q132" s="5">
        <v>0.63622677312988607</v>
      </c>
      <c r="R132" s="5">
        <v>0.12689047883012006</v>
      </c>
      <c r="S132" s="6">
        <v>0</v>
      </c>
      <c r="T132" s="6">
        <v>1</v>
      </c>
      <c r="U132" s="6">
        <v>19</v>
      </c>
      <c r="V132" s="5">
        <v>0.73611457017133053</v>
      </c>
      <c r="W132" s="5">
        <v>0.11141004702384433</v>
      </c>
      <c r="X132" s="6">
        <v>0</v>
      </c>
      <c r="Y132" s="6">
        <v>1</v>
      </c>
      <c r="Z132" s="6">
        <v>18</v>
      </c>
      <c r="AA132" s="5">
        <v>0.50250462712121191</v>
      </c>
      <c r="AB132" s="5">
        <v>0.15738307630952827</v>
      </c>
      <c r="AC132" s="6">
        <v>0</v>
      </c>
      <c r="AD132" s="6">
        <v>1</v>
      </c>
      <c r="AE132" s="6">
        <v>14</v>
      </c>
      <c r="AF132" s="5">
        <v>0.38228216886809746</v>
      </c>
      <c r="AG132" s="5">
        <v>6.3178893698570299E-2</v>
      </c>
      <c r="AH132" s="6">
        <v>0</v>
      </c>
      <c r="AI132" s="6">
        <v>1</v>
      </c>
      <c r="AJ132" s="6">
        <v>104</v>
      </c>
    </row>
    <row r="133" spans="1:37" x14ac:dyDescent="0.45">
      <c r="A133" s="4" t="s">
        <v>28</v>
      </c>
      <c r="B133" s="5">
        <v>0</v>
      </c>
      <c r="C133" s="5">
        <v>0</v>
      </c>
      <c r="D133" s="6">
        <v>0</v>
      </c>
      <c r="E133" s="6">
        <v>0</v>
      </c>
      <c r="F133" s="6">
        <v>29</v>
      </c>
      <c r="G133" s="5">
        <v>0</v>
      </c>
      <c r="H133" s="5">
        <v>0</v>
      </c>
      <c r="I133" s="6">
        <v>0</v>
      </c>
      <c r="J133" s="6">
        <v>0</v>
      </c>
      <c r="K133" s="6">
        <v>5</v>
      </c>
      <c r="L133" s="5">
        <v>0.72893530797081907</v>
      </c>
      <c r="M133" s="5">
        <v>0.10669463220715278</v>
      </c>
      <c r="N133" s="6">
        <v>0</v>
      </c>
      <c r="O133" s="6">
        <v>1</v>
      </c>
      <c r="P133" s="6">
        <v>19</v>
      </c>
      <c r="Q133" s="5">
        <v>0.63622677312988607</v>
      </c>
      <c r="R133" s="5">
        <v>0.12689047883012006</v>
      </c>
      <c r="S133" s="6">
        <v>0</v>
      </c>
      <c r="T133" s="6">
        <v>1</v>
      </c>
      <c r="U133" s="6">
        <v>19</v>
      </c>
      <c r="V133" s="5">
        <v>0.73611457017133053</v>
      </c>
      <c r="W133" s="5">
        <v>0.11141004702384433</v>
      </c>
      <c r="X133" s="6">
        <v>0</v>
      </c>
      <c r="Y133" s="6">
        <v>1</v>
      </c>
      <c r="Z133" s="6">
        <v>18</v>
      </c>
      <c r="AA133" s="5">
        <v>0.50250462712121191</v>
      </c>
      <c r="AB133" s="5">
        <v>0.15738307630952827</v>
      </c>
      <c r="AC133" s="6">
        <v>0</v>
      </c>
      <c r="AD133" s="6">
        <v>1</v>
      </c>
      <c r="AE133" s="6">
        <v>14</v>
      </c>
      <c r="AF133" s="5">
        <v>0.40152770724557457</v>
      </c>
      <c r="AG133" s="5">
        <v>6.4202011804989259E-2</v>
      </c>
      <c r="AH133" s="6">
        <v>0</v>
      </c>
      <c r="AI133" s="6">
        <v>1</v>
      </c>
      <c r="AJ133" s="6">
        <v>104</v>
      </c>
      <c r="AK133">
        <f>(AF135/AF134)-AF133</f>
        <v>0.45541735312938098</v>
      </c>
    </row>
    <row r="134" spans="1:37" x14ac:dyDescent="0.45">
      <c r="A134" s="4" t="s">
        <v>44</v>
      </c>
      <c r="B134" s="5">
        <v>0</v>
      </c>
      <c r="C134" s="5">
        <v>0</v>
      </c>
      <c r="D134" s="6">
        <v>0</v>
      </c>
      <c r="E134" s="6">
        <v>0</v>
      </c>
      <c r="F134" s="6">
        <v>29</v>
      </c>
      <c r="G134" s="5">
        <v>0</v>
      </c>
      <c r="H134" s="5">
        <v>0</v>
      </c>
      <c r="I134" s="6">
        <v>0</v>
      </c>
      <c r="J134" s="6">
        <v>0</v>
      </c>
      <c r="K134" s="6">
        <v>5</v>
      </c>
      <c r="L134" s="5">
        <v>0.43080549064057538</v>
      </c>
      <c r="M134" s="5">
        <v>0.1188108626030543</v>
      </c>
      <c r="N134" s="6">
        <v>0</v>
      </c>
      <c r="O134" s="6">
        <v>1</v>
      </c>
      <c r="P134" s="6">
        <v>19</v>
      </c>
      <c r="Q134" s="5">
        <v>0.58179797025751767</v>
      </c>
      <c r="R134" s="5">
        <v>0.13112718214255636</v>
      </c>
      <c r="S134" s="6">
        <v>0</v>
      </c>
      <c r="T134" s="6">
        <v>1</v>
      </c>
      <c r="U134" s="6">
        <v>19</v>
      </c>
      <c r="V134" s="5">
        <v>0.27840718326047831</v>
      </c>
      <c r="W134" s="5">
        <v>0.11962958289453833</v>
      </c>
      <c r="X134" s="6">
        <v>0</v>
      </c>
      <c r="Y134" s="6">
        <v>1</v>
      </c>
      <c r="Z134" s="6">
        <v>18</v>
      </c>
      <c r="AA134" s="5">
        <v>0.27889208014984646</v>
      </c>
      <c r="AB134" s="5">
        <v>0.14163420824029879</v>
      </c>
      <c r="AC134" s="6">
        <v>0</v>
      </c>
      <c r="AD134" s="6">
        <v>1</v>
      </c>
      <c r="AE134" s="6">
        <v>14</v>
      </c>
      <c r="AF134" s="5">
        <v>0.24869923971566638</v>
      </c>
      <c r="AG134" s="5">
        <v>5.4351819960247037E-2</v>
      </c>
      <c r="AH134" s="6">
        <v>0</v>
      </c>
      <c r="AI134" s="6">
        <v>1</v>
      </c>
      <c r="AJ134" s="6">
        <v>104</v>
      </c>
      <c r="AK134">
        <f>(AF135/AF133)-AF134</f>
        <v>0.28207754392233547</v>
      </c>
    </row>
    <row r="135" spans="1:37" x14ac:dyDescent="0.45">
      <c r="A135" s="4" t="s">
        <v>73</v>
      </c>
      <c r="B135" s="5">
        <v>0</v>
      </c>
      <c r="C135" s="5">
        <v>0</v>
      </c>
      <c r="D135" s="6">
        <v>0</v>
      </c>
      <c r="E135" s="6">
        <v>0</v>
      </c>
      <c r="F135" s="6">
        <v>29</v>
      </c>
      <c r="G135" s="5">
        <v>0</v>
      </c>
      <c r="H135" s="5">
        <v>0</v>
      </c>
      <c r="I135" s="6">
        <v>0</v>
      </c>
      <c r="J135" s="6">
        <v>0</v>
      </c>
      <c r="K135" s="6">
        <v>5</v>
      </c>
      <c r="L135" s="5">
        <v>0.38127576953538544</v>
      </c>
      <c r="M135" s="5">
        <v>0.116660816077943</v>
      </c>
      <c r="N135" s="6">
        <v>0</v>
      </c>
      <c r="O135" s="6">
        <v>1</v>
      </c>
      <c r="P135" s="6">
        <v>19</v>
      </c>
      <c r="Q135" s="5">
        <v>0.46287618229039784</v>
      </c>
      <c r="R135" s="5">
        <v>0.13361173440833538</v>
      </c>
      <c r="S135" s="6">
        <v>0</v>
      </c>
      <c r="T135" s="6">
        <v>1</v>
      </c>
      <c r="U135" s="6">
        <v>19</v>
      </c>
      <c r="V135" s="5">
        <v>0.27840718326047831</v>
      </c>
      <c r="W135" s="5">
        <v>0.11962958289453833</v>
      </c>
      <c r="X135" s="6">
        <v>0</v>
      </c>
      <c r="Y135" s="6">
        <v>1</v>
      </c>
      <c r="Z135" s="6">
        <v>18</v>
      </c>
      <c r="AA135" s="5">
        <v>0.18450307902538621</v>
      </c>
      <c r="AB135" s="5">
        <v>0.12223678985561112</v>
      </c>
      <c r="AC135" s="6">
        <v>0</v>
      </c>
      <c r="AD135" s="6">
        <v>1</v>
      </c>
      <c r="AE135" s="6">
        <v>14</v>
      </c>
      <c r="AF135" s="5">
        <v>0.21312158499334727</v>
      </c>
      <c r="AG135" s="5">
        <v>5.1728763589083807E-2</v>
      </c>
      <c r="AH135" s="6">
        <v>0</v>
      </c>
      <c r="AI135" s="6">
        <v>1</v>
      </c>
      <c r="AJ135" s="6">
        <v>104</v>
      </c>
    </row>
    <row r="136" spans="1:37" x14ac:dyDescent="0.45">
      <c r="A136" s="4" t="s">
        <v>28</v>
      </c>
      <c r="B136" s="5">
        <v>0</v>
      </c>
      <c r="C136" s="5">
        <v>0</v>
      </c>
      <c r="D136" s="6">
        <v>0</v>
      </c>
      <c r="E136" s="6">
        <v>0</v>
      </c>
      <c r="F136" s="6">
        <v>29</v>
      </c>
      <c r="G136" s="5">
        <v>0</v>
      </c>
      <c r="H136" s="5">
        <v>0</v>
      </c>
      <c r="I136" s="6">
        <v>0</v>
      </c>
      <c r="J136" s="6">
        <v>0</v>
      </c>
      <c r="K136" s="6">
        <v>5</v>
      </c>
      <c r="L136" s="5">
        <v>0.72893530797081907</v>
      </c>
      <c r="M136" s="5">
        <v>0.10669463220715278</v>
      </c>
      <c r="N136" s="6">
        <v>0</v>
      </c>
      <c r="O136" s="6">
        <v>1</v>
      </c>
      <c r="P136" s="6">
        <v>19</v>
      </c>
      <c r="Q136" s="5">
        <v>0.63622677312988607</v>
      </c>
      <c r="R136" s="5">
        <v>0.12689047883012006</v>
      </c>
      <c r="S136" s="6">
        <v>0</v>
      </c>
      <c r="T136" s="6">
        <v>1</v>
      </c>
      <c r="U136" s="6">
        <v>19</v>
      </c>
      <c r="V136" s="5">
        <v>0.73611457017133053</v>
      </c>
      <c r="W136" s="5">
        <v>0.11141004702384433</v>
      </c>
      <c r="X136" s="6">
        <v>0</v>
      </c>
      <c r="Y136" s="6">
        <v>1</v>
      </c>
      <c r="Z136" s="6">
        <v>18</v>
      </c>
      <c r="AA136" s="5">
        <v>0.50250462712121191</v>
      </c>
      <c r="AB136" s="5">
        <v>0.15738307630952827</v>
      </c>
      <c r="AC136" s="6">
        <v>0</v>
      </c>
      <c r="AD136" s="6">
        <v>1</v>
      </c>
      <c r="AE136" s="6">
        <v>14</v>
      </c>
      <c r="AF136" s="5">
        <v>0.40152770724557457</v>
      </c>
      <c r="AG136" s="5">
        <v>6.4202011804989259E-2</v>
      </c>
      <c r="AH136" s="6">
        <v>0</v>
      </c>
      <c r="AI136" s="6">
        <v>1</v>
      </c>
      <c r="AJ136" s="6">
        <v>104</v>
      </c>
      <c r="AK136">
        <f>(AF138/AF137)-AF136</f>
        <v>0.19307603246950272</v>
      </c>
    </row>
    <row r="137" spans="1:37" ht="39.4" x14ac:dyDescent="0.45">
      <c r="A137" s="4" t="s">
        <v>16</v>
      </c>
      <c r="B137" s="5">
        <v>0.23600168674140035</v>
      </c>
      <c r="C137" s="5">
        <v>9.8121570578696957E-2</v>
      </c>
      <c r="D137" s="6">
        <v>0</v>
      </c>
      <c r="E137" s="6">
        <v>1</v>
      </c>
      <c r="F137" s="6">
        <v>29</v>
      </c>
      <c r="G137" s="5">
        <v>0.28413340654229741</v>
      </c>
      <c r="H137" s="5">
        <v>0.2635701019519151</v>
      </c>
      <c r="I137" s="6">
        <v>0</v>
      </c>
      <c r="J137" s="6">
        <v>1</v>
      </c>
      <c r="K137" s="6">
        <v>5</v>
      </c>
      <c r="L137" s="5">
        <v>1</v>
      </c>
      <c r="M137" s="5">
        <v>0</v>
      </c>
      <c r="N137" s="6">
        <v>1</v>
      </c>
      <c r="O137" s="6">
        <v>1</v>
      </c>
      <c r="P137" s="6">
        <v>19</v>
      </c>
      <c r="Q137" s="5">
        <v>0.85289731615094222</v>
      </c>
      <c r="R137" s="5">
        <v>0.10368836461541529</v>
      </c>
      <c r="S137" s="6">
        <v>0</v>
      </c>
      <c r="T137" s="6">
        <v>1</v>
      </c>
      <c r="U137" s="6">
        <v>19</v>
      </c>
      <c r="V137" s="5">
        <v>0.92129013297297091</v>
      </c>
      <c r="W137" s="5">
        <v>7.2142407889520602E-2</v>
      </c>
      <c r="X137" s="6">
        <v>0</v>
      </c>
      <c r="Y137" s="6">
        <v>1</v>
      </c>
      <c r="Z137" s="6">
        <v>18</v>
      </c>
      <c r="AA137" s="5">
        <v>0.69525614240739586</v>
      </c>
      <c r="AB137" s="5">
        <v>0.14429635514835867</v>
      </c>
      <c r="AC137" s="6">
        <v>0</v>
      </c>
      <c r="AD137" s="6">
        <v>1</v>
      </c>
      <c r="AE137" s="6">
        <v>14</v>
      </c>
      <c r="AF137" s="5">
        <v>0.6502146518916736</v>
      </c>
      <c r="AG137" s="5">
        <v>6.6144933824160743E-2</v>
      </c>
      <c r="AH137" s="6">
        <v>0</v>
      </c>
      <c r="AI137" s="6">
        <v>1</v>
      </c>
      <c r="AJ137" s="6">
        <v>104</v>
      </c>
      <c r="AK137">
        <f>(AF138/AF136)-AF137</f>
        <v>0.31265803822599558</v>
      </c>
    </row>
    <row r="138" spans="1:37" x14ac:dyDescent="0.45">
      <c r="A138" s="4" t="s">
        <v>74</v>
      </c>
      <c r="B138" s="5">
        <v>0</v>
      </c>
      <c r="C138" s="5">
        <v>0</v>
      </c>
      <c r="D138" s="6">
        <v>0</v>
      </c>
      <c r="E138" s="6">
        <v>0</v>
      </c>
      <c r="F138" s="6">
        <v>29</v>
      </c>
      <c r="G138" s="5">
        <v>0</v>
      </c>
      <c r="H138" s="5">
        <v>0</v>
      </c>
      <c r="I138" s="6">
        <v>0</v>
      </c>
      <c r="J138" s="6">
        <v>0</v>
      </c>
      <c r="K138" s="6">
        <v>5</v>
      </c>
      <c r="L138" s="5">
        <v>0.72893530797081907</v>
      </c>
      <c r="M138" s="5">
        <v>0.10669463220715278</v>
      </c>
      <c r="N138" s="6">
        <v>0</v>
      </c>
      <c r="O138" s="6">
        <v>1</v>
      </c>
      <c r="P138" s="6">
        <v>19</v>
      </c>
      <c r="Q138" s="5">
        <v>0.59050446342141161</v>
      </c>
      <c r="R138" s="5">
        <v>0.12946531983771967</v>
      </c>
      <c r="S138" s="6">
        <v>0</v>
      </c>
      <c r="T138" s="6">
        <v>1</v>
      </c>
      <c r="U138" s="6">
        <v>19</v>
      </c>
      <c r="V138" s="5">
        <v>0.65740470314430133</v>
      </c>
      <c r="W138" s="5">
        <v>0.12128351680551824</v>
      </c>
      <c r="X138" s="6">
        <v>0</v>
      </c>
      <c r="Y138" s="6">
        <v>1</v>
      </c>
      <c r="Z138" s="6">
        <v>18</v>
      </c>
      <c r="AA138" s="5">
        <v>0.40519637853929408</v>
      </c>
      <c r="AB138" s="5">
        <v>0.15592183090048387</v>
      </c>
      <c r="AC138" s="6">
        <v>0</v>
      </c>
      <c r="AD138" s="6">
        <v>1</v>
      </c>
      <c r="AE138" s="6">
        <v>14</v>
      </c>
      <c r="AF138" s="5">
        <v>0.38662006363232632</v>
      </c>
      <c r="AG138" s="5">
        <v>6.3809525256695768E-2</v>
      </c>
      <c r="AH138" s="6">
        <v>0</v>
      </c>
      <c r="AI138" s="6">
        <v>1</v>
      </c>
      <c r="AJ138" s="6">
        <v>104</v>
      </c>
    </row>
    <row r="139" spans="1:37" x14ac:dyDescent="0.45">
      <c r="A139" s="4" t="s">
        <v>28</v>
      </c>
      <c r="B139" s="5">
        <v>0</v>
      </c>
      <c r="C139" s="5">
        <v>0</v>
      </c>
      <c r="D139" s="6">
        <v>0</v>
      </c>
      <c r="E139" s="6">
        <v>0</v>
      </c>
      <c r="F139" s="6">
        <v>29</v>
      </c>
      <c r="G139" s="5">
        <v>0</v>
      </c>
      <c r="H139" s="5">
        <v>0</v>
      </c>
      <c r="I139" s="6">
        <v>0</v>
      </c>
      <c r="J139" s="6">
        <v>0</v>
      </c>
      <c r="K139" s="6">
        <v>5</v>
      </c>
      <c r="L139" s="5">
        <v>0.72893530797081907</v>
      </c>
      <c r="M139" s="5">
        <v>0.10669463220715278</v>
      </c>
      <c r="N139" s="6">
        <v>0</v>
      </c>
      <c r="O139" s="6">
        <v>1</v>
      </c>
      <c r="P139" s="6">
        <v>19</v>
      </c>
      <c r="Q139" s="5">
        <v>0.63622677312988607</v>
      </c>
      <c r="R139" s="5">
        <v>0.12689047883012006</v>
      </c>
      <c r="S139" s="6">
        <v>0</v>
      </c>
      <c r="T139" s="6">
        <v>1</v>
      </c>
      <c r="U139" s="6">
        <v>19</v>
      </c>
      <c r="V139" s="5">
        <v>0.73611457017133053</v>
      </c>
      <c r="W139" s="5">
        <v>0.11141004702384433</v>
      </c>
      <c r="X139" s="6">
        <v>0</v>
      </c>
      <c r="Y139" s="6">
        <v>1</v>
      </c>
      <c r="Z139" s="6">
        <v>18</v>
      </c>
      <c r="AA139" s="5">
        <v>0.50250462712121191</v>
      </c>
      <c r="AB139" s="5">
        <v>0.15738307630952827</v>
      </c>
      <c r="AC139" s="6">
        <v>0</v>
      </c>
      <c r="AD139" s="6">
        <v>1</v>
      </c>
      <c r="AE139" s="6">
        <v>14</v>
      </c>
      <c r="AF139" s="5">
        <v>0.40152770724557457</v>
      </c>
      <c r="AG139" s="5">
        <v>6.4202011804989259E-2</v>
      </c>
      <c r="AH139" s="6">
        <v>0</v>
      </c>
      <c r="AI139" s="6">
        <v>1</v>
      </c>
      <c r="AJ139" s="6">
        <v>104</v>
      </c>
      <c r="AK139">
        <f>(AF141/AF140)-AF139</f>
        <v>0.21770194868145093</v>
      </c>
    </row>
    <row r="140" spans="1:37" ht="39.4" x14ac:dyDescent="0.45">
      <c r="A140" s="4" t="s">
        <v>18</v>
      </c>
      <c r="B140" s="5">
        <v>0.14679233898869379</v>
      </c>
      <c r="C140" s="5">
        <v>7.21952874481087E-2</v>
      </c>
      <c r="D140" s="6">
        <v>0</v>
      </c>
      <c r="E140" s="6">
        <v>1</v>
      </c>
      <c r="F140" s="6">
        <v>29</v>
      </c>
      <c r="G140" s="5">
        <v>0.28413340654229741</v>
      </c>
      <c r="H140" s="5">
        <v>0.2635701019519151</v>
      </c>
      <c r="I140" s="6">
        <v>0</v>
      </c>
      <c r="J140" s="6">
        <v>1</v>
      </c>
      <c r="K140" s="6">
        <v>5</v>
      </c>
      <c r="L140" s="5">
        <v>1</v>
      </c>
      <c r="M140" s="5">
        <v>0</v>
      </c>
      <c r="N140" s="6">
        <v>1</v>
      </c>
      <c r="O140" s="6">
        <v>1</v>
      </c>
      <c r="P140" s="6">
        <v>19</v>
      </c>
      <c r="Q140" s="5">
        <v>0.89861962585941668</v>
      </c>
      <c r="R140" s="5">
        <v>9.6845778169611332E-2</v>
      </c>
      <c r="S140" s="6">
        <v>0</v>
      </c>
      <c r="T140" s="6">
        <v>1</v>
      </c>
      <c r="U140" s="6">
        <v>19</v>
      </c>
      <c r="V140" s="5">
        <v>1</v>
      </c>
      <c r="W140" s="5">
        <v>0</v>
      </c>
      <c r="X140" s="6">
        <v>1</v>
      </c>
      <c r="Y140" s="6">
        <v>1</v>
      </c>
      <c r="Z140" s="6">
        <v>18</v>
      </c>
      <c r="AA140" s="5">
        <v>0.91590414556129873</v>
      </c>
      <c r="AB140" s="5">
        <v>5.7720093761496942E-2</v>
      </c>
      <c r="AC140" s="6">
        <v>0</v>
      </c>
      <c r="AD140" s="6">
        <v>1</v>
      </c>
      <c r="AE140" s="6">
        <v>14</v>
      </c>
      <c r="AF140" s="5">
        <v>0.64843100359019867</v>
      </c>
      <c r="AG140" s="5">
        <v>6.691909310816567E-2</v>
      </c>
      <c r="AH140" s="6">
        <v>0</v>
      </c>
      <c r="AI140" s="6">
        <v>1</v>
      </c>
      <c r="AJ140" s="6">
        <v>104</v>
      </c>
      <c r="AK140">
        <f>(AF141/AF139)-AF140</f>
        <v>0.35156899640980133</v>
      </c>
    </row>
    <row r="141" spans="1:37" x14ac:dyDescent="0.45">
      <c r="A141" s="4" t="s">
        <v>75</v>
      </c>
      <c r="B141" s="5">
        <v>0</v>
      </c>
      <c r="C141" s="5">
        <v>0</v>
      </c>
      <c r="D141" s="6">
        <v>0</v>
      </c>
      <c r="E141" s="6">
        <v>0</v>
      </c>
      <c r="F141" s="6">
        <v>29</v>
      </c>
      <c r="G141" s="5">
        <v>0</v>
      </c>
      <c r="H141" s="5">
        <v>0</v>
      </c>
      <c r="I141" s="6">
        <v>0</v>
      </c>
      <c r="J141" s="6">
        <v>0</v>
      </c>
      <c r="K141" s="6">
        <v>5</v>
      </c>
      <c r="L141" s="5">
        <v>0.72893530797081907</v>
      </c>
      <c r="M141" s="5">
        <v>0.10669463220715278</v>
      </c>
      <c r="N141" s="6">
        <v>0</v>
      </c>
      <c r="O141" s="6">
        <v>1</v>
      </c>
      <c r="P141" s="6">
        <v>19</v>
      </c>
      <c r="Q141" s="5">
        <v>0.63622677312988607</v>
      </c>
      <c r="R141" s="5">
        <v>0.12689047883012006</v>
      </c>
      <c r="S141" s="6">
        <v>0</v>
      </c>
      <c r="T141" s="6">
        <v>1</v>
      </c>
      <c r="U141" s="6">
        <v>19</v>
      </c>
      <c r="V141" s="5">
        <v>0.73611457017133053</v>
      </c>
      <c r="W141" s="5">
        <v>0.11141004702384433</v>
      </c>
      <c r="X141" s="6">
        <v>0</v>
      </c>
      <c r="Y141" s="6">
        <v>1</v>
      </c>
      <c r="Z141" s="6">
        <v>18</v>
      </c>
      <c r="AA141" s="5">
        <v>0.50250462712121191</v>
      </c>
      <c r="AB141" s="5">
        <v>0.15738307630952827</v>
      </c>
      <c r="AC141" s="6">
        <v>0</v>
      </c>
      <c r="AD141" s="6">
        <v>1</v>
      </c>
      <c r="AE141" s="6">
        <v>14</v>
      </c>
      <c r="AF141" s="5">
        <v>0.40152770724557457</v>
      </c>
      <c r="AG141" s="5">
        <v>6.4202011804989259E-2</v>
      </c>
      <c r="AH141" s="6">
        <v>0</v>
      </c>
      <c r="AI141" s="6">
        <v>1</v>
      </c>
      <c r="AJ141" s="6">
        <v>104</v>
      </c>
    </row>
    <row r="142" spans="1:37" x14ac:dyDescent="0.45">
      <c r="A142" s="4" t="s">
        <v>28</v>
      </c>
      <c r="B142" s="5">
        <v>0</v>
      </c>
      <c r="C142" s="5">
        <v>0</v>
      </c>
      <c r="D142" s="6">
        <v>0</v>
      </c>
      <c r="E142" s="6">
        <v>0</v>
      </c>
      <c r="F142" s="6">
        <v>29</v>
      </c>
      <c r="G142" s="5">
        <v>0</v>
      </c>
      <c r="H142" s="5">
        <v>0</v>
      </c>
      <c r="I142" s="6">
        <v>0</v>
      </c>
      <c r="J142" s="6">
        <v>0</v>
      </c>
      <c r="K142" s="6">
        <v>5</v>
      </c>
      <c r="L142" s="5">
        <v>0.72893530797081907</v>
      </c>
      <c r="M142" s="5">
        <v>0.10669463220715278</v>
      </c>
      <c r="N142" s="6">
        <v>0</v>
      </c>
      <c r="O142" s="6">
        <v>1</v>
      </c>
      <c r="P142" s="6">
        <v>19</v>
      </c>
      <c r="Q142" s="5">
        <v>0.63622677312988607</v>
      </c>
      <c r="R142" s="5">
        <v>0.12689047883012006</v>
      </c>
      <c r="S142" s="6">
        <v>0</v>
      </c>
      <c r="T142" s="6">
        <v>1</v>
      </c>
      <c r="U142" s="6">
        <v>19</v>
      </c>
      <c r="V142" s="5">
        <v>0.73611457017133053</v>
      </c>
      <c r="W142" s="5">
        <v>0.11141004702384433</v>
      </c>
      <c r="X142" s="6">
        <v>0</v>
      </c>
      <c r="Y142" s="6">
        <v>1</v>
      </c>
      <c r="Z142" s="6">
        <v>18</v>
      </c>
      <c r="AA142" s="5">
        <v>0.50250462712121191</v>
      </c>
      <c r="AB142" s="5">
        <v>0.15738307630952827</v>
      </c>
      <c r="AC142" s="6">
        <v>0</v>
      </c>
      <c r="AD142" s="6">
        <v>1</v>
      </c>
      <c r="AE142" s="6">
        <v>14</v>
      </c>
      <c r="AF142" s="5">
        <v>0.40152770724557457</v>
      </c>
      <c r="AG142" s="5">
        <v>6.4202011804989259E-2</v>
      </c>
      <c r="AH142" s="6">
        <v>0</v>
      </c>
      <c r="AI142" s="6">
        <v>1</v>
      </c>
      <c r="AJ142" s="6">
        <v>104</v>
      </c>
      <c r="AK142">
        <f>(AF144/AF143)-AF142</f>
        <v>0.32614922663442042</v>
      </c>
    </row>
    <row r="143" spans="1:37" ht="39.4" x14ac:dyDescent="0.45">
      <c r="A143" s="4" t="s">
        <v>20</v>
      </c>
      <c r="B143" s="5">
        <v>0</v>
      </c>
      <c r="C143" s="5">
        <v>0</v>
      </c>
      <c r="D143" s="6">
        <v>0</v>
      </c>
      <c r="E143" s="6">
        <v>0</v>
      </c>
      <c r="F143" s="6">
        <v>29</v>
      </c>
      <c r="G143" s="5">
        <v>0</v>
      </c>
      <c r="H143" s="5">
        <v>0</v>
      </c>
      <c r="I143" s="6">
        <v>0</v>
      </c>
      <c r="J143" s="6">
        <v>0</v>
      </c>
      <c r="K143" s="6">
        <v>5</v>
      </c>
      <c r="L143" s="5">
        <v>1</v>
      </c>
      <c r="M143" s="5">
        <v>0</v>
      </c>
      <c r="N143" s="6">
        <v>1</v>
      </c>
      <c r="O143" s="6">
        <v>1</v>
      </c>
      <c r="P143" s="6">
        <v>19</v>
      </c>
      <c r="Q143" s="5">
        <v>0.61840113049179313</v>
      </c>
      <c r="R143" s="5">
        <v>0.13006566375416401</v>
      </c>
      <c r="S143" s="6">
        <v>0</v>
      </c>
      <c r="T143" s="6">
        <v>1</v>
      </c>
      <c r="U143" s="6">
        <v>19</v>
      </c>
      <c r="V143" s="5">
        <v>0.62484576595299168</v>
      </c>
      <c r="W143" s="5">
        <v>0.12235387804662534</v>
      </c>
      <c r="X143" s="6">
        <v>0</v>
      </c>
      <c r="Y143" s="6">
        <v>1</v>
      </c>
      <c r="Z143" s="6">
        <v>18</v>
      </c>
      <c r="AA143" s="5">
        <v>0.59238861673724996</v>
      </c>
      <c r="AB143" s="5">
        <v>0.15320552322461192</v>
      </c>
      <c r="AC143" s="6">
        <v>0</v>
      </c>
      <c r="AD143" s="6">
        <v>1</v>
      </c>
      <c r="AE143" s="6">
        <v>14</v>
      </c>
      <c r="AF143" s="5">
        <v>0.49530541673349471</v>
      </c>
      <c r="AG143" s="5">
        <v>6.7368955173709583E-2</v>
      </c>
      <c r="AH143" s="6">
        <v>0</v>
      </c>
      <c r="AI143" s="6">
        <v>1</v>
      </c>
      <c r="AJ143" s="6">
        <v>104</v>
      </c>
      <c r="AK143">
        <f>(AF144/AF142)-AF143</f>
        <v>0.40232212049234384</v>
      </c>
    </row>
    <row r="144" spans="1:37" x14ac:dyDescent="0.45">
      <c r="A144" s="4" t="s">
        <v>76</v>
      </c>
      <c r="B144" s="5">
        <v>0</v>
      </c>
      <c r="C144" s="5">
        <v>0</v>
      </c>
      <c r="D144" s="6">
        <v>0</v>
      </c>
      <c r="E144" s="6">
        <v>0</v>
      </c>
      <c r="F144" s="6">
        <v>29</v>
      </c>
      <c r="G144" s="5">
        <v>0</v>
      </c>
      <c r="H144" s="5">
        <v>0</v>
      </c>
      <c r="I144" s="6">
        <v>0</v>
      </c>
      <c r="J144" s="6">
        <v>0</v>
      </c>
      <c r="K144" s="6">
        <v>5</v>
      </c>
      <c r="L144" s="5">
        <v>0.72893530797081907</v>
      </c>
      <c r="M144" s="5">
        <v>0.10669463220715278</v>
      </c>
      <c r="N144" s="6">
        <v>0</v>
      </c>
      <c r="O144" s="6">
        <v>1</v>
      </c>
      <c r="P144" s="6">
        <v>19</v>
      </c>
      <c r="Q144" s="5">
        <v>0.46287618229039784</v>
      </c>
      <c r="R144" s="5">
        <v>0.13361173440833538</v>
      </c>
      <c r="S144" s="6">
        <v>0</v>
      </c>
      <c r="T144" s="6">
        <v>1</v>
      </c>
      <c r="U144" s="6">
        <v>19</v>
      </c>
      <c r="V144" s="5">
        <v>0.44789750994249389</v>
      </c>
      <c r="W144" s="5">
        <v>0.12800207271619471</v>
      </c>
      <c r="X144" s="6">
        <v>0</v>
      </c>
      <c r="Y144" s="6">
        <v>1</v>
      </c>
      <c r="Z144" s="6">
        <v>18</v>
      </c>
      <c r="AA144" s="5">
        <v>0.40519637853929408</v>
      </c>
      <c r="AB144" s="5">
        <v>0.15592183090048387</v>
      </c>
      <c r="AC144" s="6">
        <v>0</v>
      </c>
      <c r="AD144" s="6">
        <v>1</v>
      </c>
      <c r="AE144" s="6">
        <v>14</v>
      </c>
      <c r="AF144" s="5">
        <v>0.36042232698278259</v>
      </c>
      <c r="AG144" s="5">
        <v>6.3168623990305151E-2</v>
      </c>
      <c r="AH144" s="6">
        <v>0</v>
      </c>
      <c r="AI144" s="6">
        <v>1</v>
      </c>
      <c r="AJ144" s="6">
        <v>104</v>
      </c>
    </row>
    <row r="145" spans="1:37" x14ac:dyDescent="0.45">
      <c r="A145" s="4" t="s">
        <v>28</v>
      </c>
      <c r="B145" s="5">
        <v>0</v>
      </c>
      <c r="C145" s="5">
        <v>0</v>
      </c>
      <c r="D145" s="6">
        <v>0</v>
      </c>
      <c r="E145" s="6">
        <v>0</v>
      </c>
      <c r="F145" s="6">
        <v>29</v>
      </c>
      <c r="G145" s="5">
        <v>0</v>
      </c>
      <c r="H145" s="5">
        <v>0</v>
      </c>
      <c r="I145" s="6">
        <v>0</v>
      </c>
      <c r="J145" s="6">
        <v>0</v>
      </c>
      <c r="K145" s="6">
        <v>5</v>
      </c>
      <c r="L145" s="5">
        <v>0.72893530797081907</v>
      </c>
      <c r="M145" s="5">
        <v>0.10669463220715278</v>
      </c>
      <c r="N145" s="6">
        <v>0</v>
      </c>
      <c r="O145" s="6">
        <v>1</v>
      </c>
      <c r="P145" s="6">
        <v>19</v>
      </c>
      <c r="Q145" s="5">
        <v>0.63622677312988607</v>
      </c>
      <c r="R145" s="5">
        <v>0.12689047883012006</v>
      </c>
      <c r="S145" s="6">
        <v>0</v>
      </c>
      <c r="T145" s="6">
        <v>1</v>
      </c>
      <c r="U145" s="6">
        <v>19</v>
      </c>
      <c r="V145" s="5">
        <v>0.73611457017133053</v>
      </c>
      <c r="W145" s="5">
        <v>0.11141004702384433</v>
      </c>
      <c r="X145" s="6">
        <v>0</v>
      </c>
      <c r="Y145" s="6">
        <v>1</v>
      </c>
      <c r="Z145" s="6">
        <v>18</v>
      </c>
      <c r="AA145" s="5">
        <v>0.50250462712121191</v>
      </c>
      <c r="AB145" s="5">
        <v>0.15738307630952827</v>
      </c>
      <c r="AC145" s="6">
        <v>0</v>
      </c>
      <c r="AD145" s="6">
        <v>1</v>
      </c>
      <c r="AE145" s="6">
        <v>14</v>
      </c>
      <c r="AF145" s="5">
        <v>0.40152770724557457</v>
      </c>
      <c r="AG145" s="5">
        <v>6.4202011804989259E-2</v>
      </c>
      <c r="AH145" s="6">
        <v>0</v>
      </c>
      <c r="AI145" s="6">
        <v>1</v>
      </c>
      <c r="AJ145" s="6">
        <v>104</v>
      </c>
      <c r="AK145">
        <f>(AF147/AF146)-AF145</f>
        <v>0.19230443160269445</v>
      </c>
    </row>
    <row r="146" spans="1:37" ht="26.25" x14ac:dyDescent="0.45">
      <c r="A146" s="4" t="s">
        <v>22</v>
      </c>
      <c r="B146" s="5">
        <v>0.26511382125444838</v>
      </c>
      <c r="C146" s="5">
        <v>9.9160906951506367E-2</v>
      </c>
      <c r="D146" s="6">
        <v>0</v>
      </c>
      <c r="E146" s="6">
        <v>1</v>
      </c>
      <c r="F146" s="6">
        <v>29</v>
      </c>
      <c r="G146" s="5">
        <v>0.28413340654229741</v>
      </c>
      <c r="H146" s="5">
        <v>0.2635701019519151</v>
      </c>
      <c r="I146" s="6">
        <v>0</v>
      </c>
      <c r="J146" s="6">
        <v>1</v>
      </c>
      <c r="K146" s="6">
        <v>5</v>
      </c>
      <c r="L146" s="5">
        <v>1</v>
      </c>
      <c r="M146" s="5">
        <v>0</v>
      </c>
      <c r="N146" s="6">
        <v>1</v>
      </c>
      <c r="O146" s="6">
        <v>1</v>
      </c>
      <c r="P146" s="6">
        <v>19</v>
      </c>
      <c r="Q146" s="5">
        <v>0.89861962585941668</v>
      </c>
      <c r="R146" s="5">
        <v>9.6845778169611332E-2</v>
      </c>
      <c r="S146" s="6">
        <v>0</v>
      </c>
      <c r="T146" s="6">
        <v>1</v>
      </c>
      <c r="U146" s="6">
        <v>19</v>
      </c>
      <c r="V146" s="5">
        <v>0.94505098249148323</v>
      </c>
      <c r="W146" s="5">
        <v>5.5165329624764066E-2</v>
      </c>
      <c r="X146" s="6">
        <v>0</v>
      </c>
      <c r="Y146" s="6">
        <v>1</v>
      </c>
      <c r="Z146" s="6">
        <v>18</v>
      </c>
      <c r="AA146" s="5">
        <v>0.91590414556129873</v>
      </c>
      <c r="AB146" s="5">
        <v>5.7720093761496942E-2</v>
      </c>
      <c r="AC146" s="6">
        <v>0</v>
      </c>
      <c r="AD146" s="6">
        <v>1</v>
      </c>
      <c r="AE146" s="6">
        <v>14</v>
      </c>
      <c r="AF146" s="5">
        <v>0.67616365127076683</v>
      </c>
      <c r="AG146" s="5">
        <v>6.6180623554006821E-2</v>
      </c>
      <c r="AH146" s="6">
        <v>0</v>
      </c>
      <c r="AI146" s="6">
        <v>1</v>
      </c>
      <c r="AJ146" s="6">
        <v>104</v>
      </c>
      <c r="AK146">
        <f>(AF147/AF145)-AF146</f>
        <v>0.32383634872923317</v>
      </c>
    </row>
    <row r="147" spans="1:37" x14ac:dyDescent="0.45">
      <c r="A147" s="4" t="s">
        <v>77</v>
      </c>
      <c r="B147" s="5">
        <v>0</v>
      </c>
      <c r="C147" s="5">
        <v>0</v>
      </c>
      <c r="D147" s="6">
        <v>0</v>
      </c>
      <c r="E147" s="6">
        <v>0</v>
      </c>
      <c r="F147" s="6">
        <v>29</v>
      </c>
      <c r="G147" s="5">
        <v>0</v>
      </c>
      <c r="H147" s="5">
        <v>0</v>
      </c>
      <c r="I147" s="6">
        <v>0</v>
      </c>
      <c r="J147" s="6">
        <v>0</v>
      </c>
      <c r="K147" s="6">
        <v>5</v>
      </c>
      <c r="L147" s="5">
        <v>0.72893530797081907</v>
      </c>
      <c r="M147" s="5">
        <v>0.10669463220715278</v>
      </c>
      <c r="N147" s="6">
        <v>0</v>
      </c>
      <c r="O147" s="6">
        <v>1</v>
      </c>
      <c r="P147" s="6">
        <v>19</v>
      </c>
      <c r="Q147" s="5">
        <v>0.63622677312988607</v>
      </c>
      <c r="R147" s="5">
        <v>0.12689047883012006</v>
      </c>
      <c r="S147" s="6">
        <v>0</v>
      </c>
      <c r="T147" s="6">
        <v>1</v>
      </c>
      <c r="U147" s="6">
        <v>19</v>
      </c>
      <c r="V147" s="5">
        <v>0.73611457017133053</v>
      </c>
      <c r="W147" s="5">
        <v>0.11141004702384433</v>
      </c>
      <c r="X147" s="6">
        <v>0</v>
      </c>
      <c r="Y147" s="6">
        <v>1</v>
      </c>
      <c r="Z147" s="6">
        <v>18</v>
      </c>
      <c r="AA147" s="5">
        <v>0.50250462712121191</v>
      </c>
      <c r="AB147" s="5">
        <v>0.15738307630952827</v>
      </c>
      <c r="AC147" s="6">
        <v>0</v>
      </c>
      <c r="AD147" s="6">
        <v>1</v>
      </c>
      <c r="AE147" s="6">
        <v>14</v>
      </c>
      <c r="AF147" s="5">
        <v>0.40152770724557457</v>
      </c>
      <c r="AG147" s="5">
        <v>6.4202011804989259E-2</v>
      </c>
      <c r="AH147" s="6">
        <v>0</v>
      </c>
      <c r="AI147" s="6">
        <v>1</v>
      </c>
      <c r="AJ147" s="6">
        <v>104</v>
      </c>
    </row>
    <row r="148" spans="1:37" x14ac:dyDescent="0.45">
      <c r="A148" s="4" t="s">
        <v>28</v>
      </c>
      <c r="B148" s="5">
        <v>0</v>
      </c>
      <c r="C148" s="5">
        <v>0</v>
      </c>
      <c r="D148" s="6">
        <v>0</v>
      </c>
      <c r="E148" s="6">
        <v>0</v>
      </c>
      <c r="F148" s="6">
        <v>29</v>
      </c>
      <c r="G148" s="5">
        <v>0</v>
      </c>
      <c r="H148" s="5">
        <v>0</v>
      </c>
      <c r="I148" s="6">
        <v>0</v>
      </c>
      <c r="J148" s="6">
        <v>0</v>
      </c>
      <c r="K148" s="6">
        <v>5</v>
      </c>
      <c r="L148" s="5">
        <v>0.72893530797081907</v>
      </c>
      <c r="M148" s="5">
        <v>0.10669463220715278</v>
      </c>
      <c r="N148" s="6">
        <v>0</v>
      </c>
      <c r="O148" s="6">
        <v>1</v>
      </c>
      <c r="P148" s="6">
        <v>19</v>
      </c>
      <c r="Q148" s="5">
        <v>0.63622677312988607</v>
      </c>
      <c r="R148" s="5">
        <v>0.12689047883012006</v>
      </c>
      <c r="S148" s="6">
        <v>0</v>
      </c>
      <c r="T148" s="6">
        <v>1</v>
      </c>
      <c r="U148" s="6">
        <v>19</v>
      </c>
      <c r="V148" s="5">
        <v>0.73611457017133053</v>
      </c>
      <c r="W148" s="5">
        <v>0.11141004702384433</v>
      </c>
      <c r="X148" s="6">
        <v>0</v>
      </c>
      <c r="Y148" s="6">
        <v>1</v>
      </c>
      <c r="Z148" s="6">
        <v>18</v>
      </c>
      <c r="AA148" s="5">
        <v>0.50250462712121191</v>
      </c>
      <c r="AB148" s="5">
        <v>0.15738307630952827</v>
      </c>
      <c r="AC148" s="6">
        <v>0</v>
      </c>
      <c r="AD148" s="6">
        <v>1</v>
      </c>
      <c r="AE148" s="6">
        <v>14</v>
      </c>
      <c r="AF148" s="5">
        <v>0.40152770724557457</v>
      </c>
      <c r="AG148" s="5">
        <v>6.4202011804989259E-2</v>
      </c>
      <c r="AH148" s="6">
        <v>0</v>
      </c>
      <c r="AI148" s="6">
        <v>1</v>
      </c>
      <c r="AJ148" s="6">
        <v>104</v>
      </c>
      <c r="AK148">
        <f>(AF150/AF149)-AF148</f>
        <v>0.19879347229477479</v>
      </c>
    </row>
    <row r="149" spans="1:37" ht="26.25" x14ac:dyDescent="0.45">
      <c r="A149" s="4" t="s">
        <v>24</v>
      </c>
      <c r="B149" s="5">
        <v>0.23600168674140035</v>
      </c>
      <c r="C149" s="5">
        <v>9.8121570578696957E-2</v>
      </c>
      <c r="D149" s="6">
        <v>0</v>
      </c>
      <c r="E149" s="6">
        <v>1</v>
      </c>
      <c r="F149" s="6">
        <v>29</v>
      </c>
      <c r="G149" s="5">
        <v>0.28413340654229741</v>
      </c>
      <c r="H149" s="5">
        <v>0.2635701019519151</v>
      </c>
      <c r="I149" s="6">
        <v>0</v>
      </c>
      <c r="J149" s="6">
        <v>1</v>
      </c>
      <c r="K149" s="6">
        <v>5</v>
      </c>
      <c r="L149" s="5">
        <v>1</v>
      </c>
      <c r="M149" s="5">
        <v>0</v>
      </c>
      <c r="N149" s="6">
        <v>1</v>
      </c>
      <c r="O149" s="6">
        <v>1</v>
      </c>
      <c r="P149" s="6">
        <v>19</v>
      </c>
      <c r="Q149" s="5">
        <v>0.89861962585941668</v>
      </c>
      <c r="R149" s="5">
        <v>9.6845778169611332E-2</v>
      </c>
      <c r="S149" s="6">
        <v>0</v>
      </c>
      <c r="T149" s="6">
        <v>1</v>
      </c>
      <c r="U149" s="6">
        <v>19</v>
      </c>
      <c r="V149" s="5">
        <v>0.86634111546445414</v>
      </c>
      <c r="W149" s="5">
        <v>8.7661072043173624E-2</v>
      </c>
      <c r="X149" s="6">
        <v>0</v>
      </c>
      <c r="Y149" s="6">
        <v>1</v>
      </c>
      <c r="Z149" s="6">
        <v>18</v>
      </c>
      <c r="AA149" s="5">
        <v>0.68542702638902031</v>
      </c>
      <c r="AB149" s="5">
        <v>0.14449500923918335</v>
      </c>
      <c r="AC149" s="6">
        <v>0</v>
      </c>
      <c r="AD149" s="6">
        <v>1</v>
      </c>
      <c r="AE149" s="6">
        <v>14</v>
      </c>
      <c r="AF149" s="5">
        <v>0.65121302184637453</v>
      </c>
      <c r="AG149" s="5">
        <v>6.6128687462899488E-2</v>
      </c>
      <c r="AH149" s="6">
        <v>0</v>
      </c>
      <c r="AI149" s="6">
        <v>1</v>
      </c>
      <c r="AJ149" s="6">
        <v>104</v>
      </c>
      <c r="AK149">
        <f>(AF150/AF148)-AF149</f>
        <v>0.32241087098190691</v>
      </c>
    </row>
    <row r="150" spans="1:37" x14ac:dyDescent="0.45">
      <c r="A150" s="4" t="s">
        <v>78</v>
      </c>
      <c r="B150" s="5">
        <v>0</v>
      </c>
      <c r="C150" s="5">
        <v>0</v>
      </c>
      <c r="D150" s="6">
        <v>0</v>
      </c>
      <c r="E150" s="6">
        <v>0</v>
      </c>
      <c r="F150" s="6">
        <v>29</v>
      </c>
      <c r="G150" s="5">
        <v>0</v>
      </c>
      <c r="H150" s="5">
        <v>0</v>
      </c>
      <c r="I150" s="6">
        <v>0</v>
      </c>
      <c r="J150" s="6">
        <v>0</v>
      </c>
      <c r="K150" s="6">
        <v>5</v>
      </c>
      <c r="L150" s="5">
        <v>0.72893530797081907</v>
      </c>
      <c r="M150" s="5">
        <v>0.10669463220715278</v>
      </c>
      <c r="N150" s="6">
        <v>0</v>
      </c>
      <c r="O150" s="6">
        <v>1</v>
      </c>
      <c r="P150" s="6">
        <v>19</v>
      </c>
      <c r="Q150" s="5">
        <v>0.63622677312988607</v>
      </c>
      <c r="R150" s="5">
        <v>0.12689047883012006</v>
      </c>
      <c r="S150" s="6">
        <v>0</v>
      </c>
      <c r="T150" s="6">
        <v>1</v>
      </c>
      <c r="U150" s="6">
        <v>19</v>
      </c>
      <c r="V150" s="5">
        <v>0.65740470314430133</v>
      </c>
      <c r="W150" s="5">
        <v>0.12128351680551824</v>
      </c>
      <c r="X150" s="6">
        <v>0</v>
      </c>
      <c r="Y150" s="6">
        <v>1</v>
      </c>
      <c r="Z150" s="6">
        <v>18</v>
      </c>
      <c r="AA150" s="5">
        <v>0.39536726252091853</v>
      </c>
      <c r="AB150" s="5">
        <v>0.15602191271342342</v>
      </c>
      <c r="AC150" s="6">
        <v>0</v>
      </c>
      <c r="AD150" s="6">
        <v>1</v>
      </c>
      <c r="AE150" s="6">
        <v>14</v>
      </c>
      <c r="AF150" s="5">
        <v>0.39093696940685085</v>
      </c>
      <c r="AG150" s="5">
        <v>6.3924886879090662E-2</v>
      </c>
      <c r="AH150" s="6">
        <v>0</v>
      </c>
      <c r="AI150" s="6">
        <v>1</v>
      </c>
      <c r="AJ150" s="6">
        <v>104</v>
      </c>
    </row>
    <row r="151" spans="1:37" x14ac:dyDescent="0.45">
      <c r="A151" s="4" t="s">
        <v>30</v>
      </c>
      <c r="B151" s="5">
        <v>0.13367672028482241</v>
      </c>
      <c r="C151" s="5">
        <v>6.7499531890097414E-2</v>
      </c>
      <c r="D151" s="6">
        <v>0</v>
      </c>
      <c r="E151" s="6">
        <v>1</v>
      </c>
      <c r="F151" s="6">
        <v>29</v>
      </c>
      <c r="G151" s="5">
        <v>0</v>
      </c>
      <c r="H151" s="5">
        <v>0</v>
      </c>
      <c r="I151" s="6">
        <v>0</v>
      </c>
      <c r="J151" s="6">
        <v>0</v>
      </c>
      <c r="K151" s="6">
        <v>5</v>
      </c>
      <c r="L151" s="5">
        <v>5.2410271788350123E-2</v>
      </c>
      <c r="M151" s="5">
        <v>5.248010773581166E-2</v>
      </c>
      <c r="N151" s="6">
        <v>0</v>
      </c>
      <c r="O151" s="6">
        <v>1</v>
      </c>
      <c r="P151" s="6">
        <v>19</v>
      </c>
      <c r="Q151" s="5">
        <v>0</v>
      </c>
      <c r="R151" s="5">
        <v>0</v>
      </c>
      <c r="S151" s="6">
        <v>0</v>
      </c>
      <c r="T151" s="6">
        <v>0</v>
      </c>
      <c r="U151" s="6">
        <v>19</v>
      </c>
      <c r="V151" s="5">
        <v>0.15550626739573795</v>
      </c>
      <c r="W151" s="5">
        <v>8.6631727868310957E-2</v>
      </c>
      <c r="X151" s="6">
        <v>0</v>
      </c>
      <c r="Y151" s="6">
        <v>1</v>
      </c>
      <c r="Z151" s="6">
        <v>18</v>
      </c>
      <c r="AA151" s="5">
        <v>0.14494874528348178</v>
      </c>
      <c r="AB151" s="5">
        <v>0.10516460199040556</v>
      </c>
      <c r="AC151" s="6">
        <v>0</v>
      </c>
      <c r="AD151" s="6">
        <v>1</v>
      </c>
      <c r="AE151" s="6">
        <v>14</v>
      </c>
      <c r="AF151" s="5">
        <v>7.1219747701667446E-2</v>
      </c>
      <c r="AG151" s="5">
        <v>2.7252423041304919E-2</v>
      </c>
      <c r="AH151" s="6">
        <v>0</v>
      </c>
      <c r="AI151" s="6">
        <v>1</v>
      </c>
      <c r="AJ151" s="6">
        <v>104</v>
      </c>
      <c r="AK151">
        <f>(AF153/AF152)-AF151</f>
        <v>3.7800962860151208E-2</v>
      </c>
    </row>
    <row r="152" spans="1:37" x14ac:dyDescent="0.45">
      <c r="A152" s="4" t="s">
        <v>32</v>
      </c>
      <c r="B152" s="5">
        <v>4.300104465507152E-2</v>
      </c>
      <c r="C152" s="5">
        <v>3.8529376428579974E-2</v>
      </c>
      <c r="D152" s="6">
        <v>0</v>
      </c>
      <c r="E152" s="6">
        <v>1</v>
      </c>
      <c r="F152" s="6">
        <v>29</v>
      </c>
      <c r="G152" s="5">
        <v>0</v>
      </c>
      <c r="H152" s="5">
        <v>0</v>
      </c>
      <c r="I152" s="6">
        <v>0</v>
      </c>
      <c r="J152" s="6">
        <v>0</v>
      </c>
      <c r="K152" s="6">
        <v>5</v>
      </c>
      <c r="L152" s="5">
        <v>0.32310688832667722</v>
      </c>
      <c r="M152" s="5">
        <v>0.11194939263044702</v>
      </c>
      <c r="N152" s="6">
        <v>0</v>
      </c>
      <c r="O152" s="6">
        <v>1</v>
      </c>
      <c r="P152" s="6">
        <v>19</v>
      </c>
      <c r="Q152" s="5">
        <v>0.41381121420178746</v>
      </c>
      <c r="R152" s="5">
        <v>0.12969928853703966</v>
      </c>
      <c r="S152" s="6">
        <v>0</v>
      </c>
      <c r="T152" s="6">
        <v>1</v>
      </c>
      <c r="U152" s="6">
        <v>19</v>
      </c>
      <c r="V152" s="5">
        <v>0.23553150148432661</v>
      </c>
      <c r="W152" s="5">
        <v>0.10224133114104708</v>
      </c>
      <c r="X152" s="6">
        <v>0</v>
      </c>
      <c r="Y152" s="6">
        <v>1</v>
      </c>
      <c r="Z152" s="6">
        <v>18</v>
      </c>
      <c r="AA152" s="5">
        <v>0.62380644277621733</v>
      </c>
      <c r="AB152" s="5">
        <v>0.15335862727964425</v>
      </c>
      <c r="AC152" s="6">
        <v>0</v>
      </c>
      <c r="AD152" s="6">
        <v>1</v>
      </c>
      <c r="AE152" s="6">
        <v>14</v>
      </c>
      <c r="AF152" s="5">
        <v>0.21962332207176813</v>
      </c>
      <c r="AG152" s="5">
        <v>4.9938905008240317E-2</v>
      </c>
      <c r="AH152" s="6">
        <v>0</v>
      </c>
      <c r="AI152" s="6">
        <v>1</v>
      </c>
      <c r="AJ152" s="6">
        <v>104</v>
      </c>
      <c r="AK152">
        <f>(AF153/AF151)-AF152</f>
        <v>0.11656841408135962</v>
      </c>
    </row>
    <row r="153" spans="1:37" ht="26.25" x14ac:dyDescent="0.45">
      <c r="A153" s="4" t="s">
        <v>79</v>
      </c>
      <c r="B153" s="5">
        <v>3.8003295157684171E-2</v>
      </c>
      <c r="C153" s="5">
        <v>3.814851254383702E-2</v>
      </c>
      <c r="D153" s="6">
        <v>0</v>
      </c>
      <c r="E153" s="6">
        <v>1</v>
      </c>
      <c r="F153" s="6">
        <v>29</v>
      </c>
      <c r="G153" s="5">
        <v>0</v>
      </c>
      <c r="H153" s="5">
        <v>0</v>
      </c>
      <c r="I153" s="6">
        <v>0</v>
      </c>
      <c r="J153" s="6">
        <v>0</v>
      </c>
      <c r="K153" s="6">
        <v>5</v>
      </c>
      <c r="L153" s="5">
        <v>0</v>
      </c>
      <c r="M153" s="5">
        <v>0</v>
      </c>
      <c r="N153" s="6">
        <v>0</v>
      </c>
      <c r="O153" s="6">
        <v>0</v>
      </c>
      <c r="P153" s="6">
        <v>19</v>
      </c>
      <c r="Q153" s="5">
        <v>0</v>
      </c>
      <c r="R153" s="5">
        <v>0</v>
      </c>
      <c r="S153" s="6">
        <v>0</v>
      </c>
      <c r="T153" s="6">
        <v>0</v>
      </c>
      <c r="U153" s="6">
        <v>19</v>
      </c>
      <c r="V153" s="5">
        <v>0.10055724988722109</v>
      </c>
      <c r="W153" s="5">
        <v>7.0534767449922611E-2</v>
      </c>
      <c r="X153" s="6">
        <v>0</v>
      </c>
      <c r="Y153" s="6">
        <v>1</v>
      </c>
      <c r="Z153" s="6">
        <v>18</v>
      </c>
      <c r="AA153" s="5">
        <v>0.14494874528348178</v>
      </c>
      <c r="AB153" s="5">
        <v>0.10516460199040556</v>
      </c>
      <c r="AC153" s="6">
        <v>0</v>
      </c>
      <c r="AD153" s="6">
        <v>1</v>
      </c>
      <c r="AE153" s="6">
        <v>14</v>
      </c>
      <c r="AF153" s="5">
        <v>2.3943490628211311E-2</v>
      </c>
      <c r="AG153" s="5">
        <v>1.2547228561427825E-2</v>
      </c>
      <c r="AH153" s="6">
        <v>0</v>
      </c>
      <c r="AI153" s="6">
        <v>1</v>
      </c>
      <c r="AJ153" s="6">
        <v>104</v>
      </c>
    </row>
    <row r="154" spans="1:37" x14ac:dyDescent="0.45">
      <c r="A154" s="4" t="s">
        <v>30</v>
      </c>
      <c r="B154" s="5">
        <v>0.13367672028482241</v>
      </c>
      <c r="C154" s="5">
        <v>6.7499531890097414E-2</v>
      </c>
      <c r="D154" s="6">
        <v>0</v>
      </c>
      <c r="E154" s="6">
        <v>1</v>
      </c>
      <c r="F154" s="6">
        <v>29</v>
      </c>
      <c r="G154" s="5">
        <v>0</v>
      </c>
      <c r="H154" s="5">
        <v>0</v>
      </c>
      <c r="I154" s="6">
        <v>0</v>
      </c>
      <c r="J154" s="6">
        <v>0</v>
      </c>
      <c r="K154" s="6">
        <v>5</v>
      </c>
      <c r="L154" s="5">
        <v>5.2410271788350123E-2</v>
      </c>
      <c r="M154" s="5">
        <v>5.248010773581166E-2</v>
      </c>
      <c r="N154" s="6">
        <v>0</v>
      </c>
      <c r="O154" s="6">
        <v>1</v>
      </c>
      <c r="P154" s="6">
        <v>19</v>
      </c>
      <c r="Q154" s="5">
        <v>0</v>
      </c>
      <c r="R154" s="5">
        <v>0</v>
      </c>
      <c r="S154" s="6">
        <v>0</v>
      </c>
      <c r="T154" s="6">
        <v>0</v>
      </c>
      <c r="U154" s="6">
        <v>19</v>
      </c>
      <c r="V154" s="5">
        <v>0.15550626739573795</v>
      </c>
      <c r="W154" s="5">
        <v>8.6631727868310957E-2</v>
      </c>
      <c r="X154" s="6">
        <v>0</v>
      </c>
      <c r="Y154" s="6">
        <v>1</v>
      </c>
      <c r="Z154" s="6">
        <v>18</v>
      </c>
      <c r="AA154" s="5">
        <v>0.14494874528348178</v>
      </c>
      <c r="AB154" s="5">
        <v>0.10516460199040556</v>
      </c>
      <c r="AC154" s="6">
        <v>0</v>
      </c>
      <c r="AD154" s="6">
        <v>1</v>
      </c>
      <c r="AE154" s="6">
        <v>14</v>
      </c>
      <c r="AF154" s="5">
        <v>7.1219747701667446E-2</v>
      </c>
      <c r="AG154" s="5">
        <v>2.7252423041304919E-2</v>
      </c>
      <c r="AH154" s="6">
        <v>0</v>
      </c>
      <c r="AI154" s="6">
        <v>1</v>
      </c>
      <c r="AJ154" s="6">
        <v>104</v>
      </c>
      <c r="AK154">
        <f>(AF156/AF155)-AF154</f>
        <v>3.3943285406076065E-2</v>
      </c>
    </row>
    <row r="155" spans="1:37" x14ac:dyDescent="0.45">
      <c r="A155" s="4" t="s">
        <v>34</v>
      </c>
      <c r="B155" s="5">
        <v>4.9977494973873441E-3</v>
      </c>
      <c r="C155" s="5">
        <v>5.1842481806806187E-3</v>
      </c>
      <c r="D155" s="6">
        <v>0</v>
      </c>
      <c r="E155" s="6">
        <v>1</v>
      </c>
      <c r="F155" s="6">
        <v>29</v>
      </c>
      <c r="G155" s="5">
        <v>0</v>
      </c>
      <c r="H155" s="5">
        <v>0</v>
      </c>
      <c r="I155" s="6">
        <v>0</v>
      </c>
      <c r="J155" s="6">
        <v>0</v>
      </c>
      <c r="K155" s="6">
        <v>5</v>
      </c>
      <c r="L155" s="5">
        <v>0.1089926005638932</v>
      </c>
      <c r="M155" s="5">
        <v>7.4809215374932528E-2</v>
      </c>
      <c r="N155" s="6">
        <v>0</v>
      </c>
      <c r="O155" s="6">
        <v>1</v>
      </c>
      <c r="P155" s="6">
        <v>19</v>
      </c>
      <c r="Q155" s="5">
        <v>0</v>
      </c>
      <c r="R155" s="5">
        <v>0</v>
      </c>
      <c r="S155" s="6">
        <v>0</v>
      </c>
      <c r="T155" s="6">
        <v>0</v>
      </c>
      <c r="U155" s="6">
        <v>19</v>
      </c>
      <c r="V155" s="5">
        <v>0.18749442370539304</v>
      </c>
      <c r="W155" s="5">
        <v>9.5653225655299184E-2</v>
      </c>
      <c r="X155" s="6">
        <v>0</v>
      </c>
      <c r="Y155" s="6">
        <v>1</v>
      </c>
      <c r="Z155" s="6">
        <v>18</v>
      </c>
      <c r="AA155" s="5">
        <v>0.10851687170393783</v>
      </c>
      <c r="AB155" s="5">
        <v>9.1959813331468687E-2</v>
      </c>
      <c r="AC155" s="6">
        <v>0</v>
      </c>
      <c r="AD155" s="6">
        <v>1</v>
      </c>
      <c r="AE155" s="6">
        <v>14</v>
      </c>
      <c r="AF155" s="5">
        <v>5.7747988593625371E-2</v>
      </c>
      <c r="AG155" s="5">
        <v>2.8391611186991999E-2</v>
      </c>
      <c r="AH155" s="6">
        <v>0</v>
      </c>
      <c r="AI155" s="6">
        <v>1</v>
      </c>
      <c r="AJ155" s="6">
        <v>104</v>
      </c>
      <c r="AK155">
        <f>(AF156/AF154)-AF155</f>
        <v>2.752265378236321E-2</v>
      </c>
    </row>
    <row r="156" spans="1:37" ht="26.25" x14ac:dyDescent="0.45">
      <c r="A156" s="4" t="s">
        <v>80</v>
      </c>
      <c r="B156" s="5">
        <v>0</v>
      </c>
      <c r="C156" s="5">
        <v>0</v>
      </c>
      <c r="D156" s="6">
        <v>0</v>
      </c>
      <c r="E156" s="6">
        <v>0</v>
      </c>
      <c r="F156" s="6">
        <v>29</v>
      </c>
      <c r="G156" s="5">
        <v>0</v>
      </c>
      <c r="H156" s="5">
        <v>0</v>
      </c>
      <c r="I156" s="6">
        <v>0</v>
      </c>
      <c r="J156" s="6">
        <v>0</v>
      </c>
      <c r="K156" s="6">
        <v>5</v>
      </c>
      <c r="L156" s="5">
        <v>0</v>
      </c>
      <c r="M156" s="5">
        <v>0</v>
      </c>
      <c r="N156" s="6">
        <v>0</v>
      </c>
      <c r="O156" s="6">
        <v>0</v>
      </c>
      <c r="P156" s="6">
        <v>19</v>
      </c>
      <c r="Q156" s="5">
        <v>0</v>
      </c>
      <c r="R156" s="5">
        <v>0</v>
      </c>
      <c r="S156" s="6">
        <v>0</v>
      </c>
      <c r="T156" s="6">
        <v>0</v>
      </c>
      <c r="U156" s="6">
        <v>19</v>
      </c>
      <c r="V156" s="5">
        <v>0.10055724988722109</v>
      </c>
      <c r="W156" s="5">
        <v>7.0534767449922611E-2</v>
      </c>
      <c r="X156" s="6">
        <v>0</v>
      </c>
      <c r="Y156" s="6">
        <v>1</v>
      </c>
      <c r="Z156" s="6">
        <v>18</v>
      </c>
      <c r="AA156" s="5">
        <v>0</v>
      </c>
      <c r="AB156" s="5">
        <v>0</v>
      </c>
      <c r="AC156" s="6">
        <v>0</v>
      </c>
      <c r="AD156" s="6">
        <v>0</v>
      </c>
      <c r="AE156" s="6">
        <v>14</v>
      </c>
      <c r="AF156" s="5">
        <v>6.0729536363770195E-3</v>
      </c>
      <c r="AG156" s="5">
        <v>4.3844130111294491E-3</v>
      </c>
      <c r="AH156" s="6">
        <v>0</v>
      </c>
      <c r="AI156" s="6">
        <v>1</v>
      </c>
      <c r="AJ156" s="6">
        <v>104</v>
      </c>
    </row>
    <row r="157" spans="1:37" x14ac:dyDescent="0.45">
      <c r="A157" s="4" t="s">
        <v>30</v>
      </c>
      <c r="B157" s="5">
        <v>0.13367672028482241</v>
      </c>
      <c r="C157" s="5">
        <v>6.7499531890097414E-2</v>
      </c>
      <c r="D157" s="6">
        <v>0</v>
      </c>
      <c r="E157" s="6">
        <v>1</v>
      </c>
      <c r="F157" s="6">
        <v>29</v>
      </c>
      <c r="G157" s="5">
        <v>0</v>
      </c>
      <c r="H157" s="5">
        <v>0</v>
      </c>
      <c r="I157" s="6">
        <v>0</v>
      </c>
      <c r="J157" s="6">
        <v>0</v>
      </c>
      <c r="K157" s="6">
        <v>5</v>
      </c>
      <c r="L157" s="5">
        <v>5.2410271788350123E-2</v>
      </c>
      <c r="M157" s="5">
        <v>5.248010773581166E-2</v>
      </c>
      <c r="N157" s="6">
        <v>0</v>
      </c>
      <c r="O157" s="6">
        <v>1</v>
      </c>
      <c r="P157" s="6">
        <v>19</v>
      </c>
      <c r="Q157" s="5">
        <v>0</v>
      </c>
      <c r="R157" s="5">
        <v>0</v>
      </c>
      <c r="S157" s="6">
        <v>0</v>
      </c>
      <c r="T157" s="6">
        <v>0</v>
      </c>
      <c r="U157" s="6">
        <v>19</v>
      </c>
      <c r="V157" s="5">
        <v>0.15550626739573795</v>
      </c>
      <c r="W157" s="5">
        <v>8.6631727868310957E-2</v>
      </c>
      <c r="X157" s="6">
        <v>0</v>
      </c>
      <c r="Y157" s="6">
        <v>1</v>
      </c>
      <c r="Z157" s="6">
        <v>18</v>
      </c>
      <c r="AA157" s="5">
        <v>0.14494874528348178</v>
      </c>
      <c r="AB157" s="5">
        <v>0.10516460199040556</v>
      </c>
      <c r="AC157" s="6">
        <v>0</v>
      </c>
      <c r="AD157" s="6">
        <v>1</v>
      </c>
      <c r="AE157" s="6">
        <v>14</v>
      </c>
      <c r="AF157" s="5">
        <v>7.1219747701667446E-2</v>
      </c>
      <c r="AG157" s="5">
        <v>2.7252423041304919E-2</v>
      </c>
      <c r="AH157" s="6">
        <v>0</v>
      </c>
      <c r="AI157" s="6">
        <v>1</v>
      </c>
      <c r="AJ157" s="6">
        <v>104</v>
      </c>
      <c r="AK157">
        <f>(AF159/AF158)-AF157</f>
        <v>8.4194265635439081E-2</v>
      </c>
    </row>
    <row r="158" spans="1:37" x14ac:dyDescent="0.45">
      <c r="A158" s="4" t="s">
        <v>36</v>
      </c>
      <c r="B158" s="5">
        <v>0.75033349718812381</v>
      </c>
      <c r="C158" s="5">
        <v>0.11113628937183456</v>
      </c>
      <c r="D158" s="6">
        <v>0</v>
      </c>
      <c r="E158" s="6">
        <v>1</v>
      </c>
      <c r="F158" s="6">
        <v>28</v>
      </c>
      <c r="G158" s="5">
        <v>0.69890286206955909</v>
      </c>
      <c r="H158" s="5">
        <v>0.26064905237909602</v>
      </c>
      <c r="I158" s="6">
        <v>0</v>
      </c>
      <c r="J158" s="6">
        <v>1</v>
      </c>
      <c r="K158" s="6">
        <v>5</v>
      </c>
      <c r="L158" s="5">
        <v>7.6528749224782755E-2</v>
      </c>
      <c r="M158" s="5">
        <v>6.4008315307330796E-2</v>
      </c>
      <c r="N158" s="6">
        <v>0</v>
      </c>
      <c r="O158" s="6">
        <v>1</v>
      </c>
      <c r="P158" s="6">
        <v>16</v>
      </c>
      <c r="Q158" s="5">
        <v>0.13638212532932661</v>
      </c>
      <c r="R158" s="5">
        <v>0.12489587163927413</v>
      </c>
      <c r="S158" s="6">
        <v>0</v>
      </c>
      <c r="T158" s="6">
        <v>1</v>
      </c>
      <c r="U158" s="6">
        <v>19</v>
      </c>
      <c r="V158" s="5">
        <v>0.35584441822330487</v>
      </c>
      <c r="W158" s="5">
        <v>0.12202753204157965</v>
      </c>
      <c r="X158" s="6">
        <v>0</v>
      </c>
      <c r="Y158" s="6">
        <v>1</v>
      </c>
      <c r="Z158" s="6">
        <v>18</v>
      </c>
      <c r="AA158" s="5">
        <v>0.74429546837714122</v>
      </c>
      <c r="AB158" s="5">
        <v>0.12930236493328284</v>
      </c>
      <c r="AC158" s="6">
        <v>0</v>
      </c>
      <c r="AD158" s="6">
        <v>1</v>
      </c>
      <c r="AE158" s="6">
        <v>14</v>
      </c>
      <c r="AF158" s="5">
        <v>0.42925514319553509</v>
      </c>
      <c r="AG158" s="5">
        <v>6.917480911456024E-2</v>
      </c>
      <c r="AH158" s="6">
        <v>0</v>
      </c>
      <c r="AI158" s="6">
        <v>1</v>
      </c>
      <c r="AJ158" s="6">
        <v>100</v>
      </c>
      <c r="AK158">
        <f>(AF159/AF157)-AF158</f>
        <v>0.50745506292683995</v>
      </c>
    </row>
    <row r="159" spans="1:37" ht="26.25" x14ac:dyDescent="0.45">
      <c r="A159" s="4" t="s">
        <v>81</v>
      </c>
      <c r="B159" s="5">
        <v>0.13606196371960469</v>
      </c>
      <c r="C159" s="5">
        <v>6.8769928396153993E-2</v>
      </c>
      <c r="D159" s="6">
        <v>0</v>
      </c>
      <c r="E159" s="6">
        <v>1</v>
      </c>
      <c r="F159" s="6">
        <v>28</v>
      </c>
      <c r="G159" s="5">
        <v>0</v>
      </c>
      <c r="H159" s="5">
        <v>0</v>
      </c>
      <c r="I159" s="6">
        <v>0</v>
      </c>
      <c r="J159" s="6">
        <v>0</v>
      </c>
      <c r="K159" s="6">
        <v>5</v>
      </c>
      <c r="L159" s="5">
        <v>6.229053999852549E-2</v>
      </c>
      <c r="M159" s="5">
        <v>6.2400951743931066E-2</v>
      </c>
      <c r="N159" s="6">
        <v>0</v>
      </c>
      <c r="O159" s="6">
        <v>1</v>
      </c>
      <c r="P159" s="6">
        <v>16</v>
      </c>
      <c r="Q159" s="5">
        <v>0</v>
      </c>
      <c r="R159" s="5">
        <v>0</v>
      </c>
      <c r="S159" s="6">
        <v>0</v>
      </c>
      <c r="T159" s="6">
        <v>0</v>
      </c>
      <c r="U159" s="6">
        <v>19</v>
      </c>
      <c r="V159" s="5">
        <v>0.10055724988722109</v>
      </c>
      <c r="W159" s="5">
        <v>7.0534767449922611E-2</v>
      </c>
      <c r="X159" s="6">
        <v>0</v>
      </c>
      <c r="Y159" s="6">
        <v>1</v>
      </c>
      <c r="Z159" s="6">
        <v>18</v>
      </c>
      <c r="AA159" s="5">
        <v>4.764049670156395E-2</v>
      </c>
      <c r="AB159" s="5">
        <v>4.9359055712450209E-2</v>
      </c>
      <c r="AC159" s="6">
        <v>0</v>
      </c>
      <c r="AD159" s="6">
        <v>1</v>
      </c>
      <c r="AE159" s="6">
        <v>14</v>
      </c>
      <c r="AF159" s="5">
        <v>6.671226454961246E-2</v>
      </c>
      <c r="AG159" s="5">
        <v>2.8181150322258066E-2</v>
      </c>
      <c r="AH159" s="6">
        <v>0</v>
      </c>
      <c r="AI159" s="6">
        <v>1</v>
      </c>
      <c r="AJ159" s="6">
        <v>100</v>
      </c>
    </row>
    <row r="160" spans="1:37" x14ac:dyDescent="0.45">
      <c r="A160" s="4" t="s">
        <v>30</v>
      </c>
      <c r="B160" s="5">
        <v>0.13367672028482241</v>
      </c>
      <c r="C160" s="5">
        <v>6.7499531890097414E-2</v>
      </c>
      <c r="D160" s="6">
        <v>0</v>
      </c>
      <c r="E160" s="6">
        <v>1</v>
      </c>
      <c r="F160" s="6">
        <v>29</v>
      </c>
      <c r="G160" s="5">
        <v>0</v>
      </c>
      <c r="H160" s="5">
        <v>0</v>
      </c>
      <c r="I160" s="6">
        <v>0</v>
      </c>
      <c r="J160" s="6">
        <v>0</v>
      </c>
      <c r="K160" s="6">
        <v>5</v>
      </c>
      <c r="L160" s="5">
        <v>5.2410271788350123E-2</v>
      </c>
      <c r="M160" s="5">
        <v>5.248010773581166E-2</v>
      </c>
      <c r="N160" s="6">
        <v>0</v>
      </c>
      <c r="O160" s="6">
        <v>1</v>
      </c>
      <c r="P160" s="6">
        <v>19</v>
      </c>
      <c r="Q160" s="5">
        <v>0</v>
      </c>
      <c r="R160" s="5">
        <v>0</v>
      </c>
      <c r="S160" s="6">
        <v>0</v>
      </c>
      <c r="T160" s="6">
        <v>0</v>
      </c>
      <c r="U160" s="6">
        <v>19</v>
      </c>
      <c r="V160" s="5">
        <v>0.15550626739573795</v>
      </c>
      <c r="W160" s="5">
        <v>8.6631727868310957E-2</v>
      </c>
      <c r="X160" s="6">
        <v>0</v>
      </c>
      <c r="Y160" s="6">
        <v>1</v>
      </c>
      <c r="Z160" s="6">
        <v>18</v>
      </c>
      <c r="AA160" s="5">
        <v>0.14494874528348178</v>
      </c>
      <c r="AB160" s="5">
        <v>0.10516460199040556</v>
      </c>
      <c r="AC160" s="6">
        <v>0</v>
      </c>
      <c r="AD160" s="6">
        <v>1</v>
      </c>
      <c r="AE160" s="6">
        <v>14</v>
      </c>
      <c r="AF160" s="5">
        <v>7.1219747701667446E-2</v>
      </c>
      <c r="AG160" s="5">
        <v>2.7252423041304919E-2</v>
      </c>
      <c r="AH160" s="6">
        <v>0</v>
      </c>
      <c r="AI160" s="6">
        <v>1</v>
      </c>
      <c r="AJ160" s="6">
        <v>104</v>
      </c>
      <c r="AK160">
        <f>(AF162/AF161)-AF160</f>
        <v>-3.8910654975529008E-3</v>
      </c>
    </row>
    <row r="161" spans="1:37" ht="26.25" x14ac:dyDescent="0.45">
      <c r="A161" s="4" t="s">
        <v>38</v>
      </c>
      <c r="B161" s="5">
        <v>0</v>
      </c>
      <c r="C161" s="5">
        <v>0</v>
      </c>
      <c r="D161" s="6">
        <v>0</v>
      </c>
      <c r="E161" s="6">
        <v>0</v>
      </c>
      <c r="F161" s="6">
        <v>29</v>
      </c>
      <c r="G161" s="5">
        <v>0</v>
      </c>
      <c r="H161" s="5">
        <v>0</v>
      </c>
      <c r="I161" s="6">
        <v>0</v>
      </c>
      <c r="J161" s="6">
        <v>0</v>
      </c>
      <c r="K161" s="6">
        <v>5</v>
      </c>
      <c r="L161" s="5">
        <v>0.94219031834334444</v>
      </c>
      <c r="M161" s="5">
        <v>5.7556730985345819E-2</v>
      </c>
      <c r="N161" s="6">
        <v>0</v>
      </c>
      <c r="O161" s="6">
        <v>1</v>
      </c>
      <c r="P161" s="6">
        <v>19</v>
      </c>
      <c r="Q161" s="5">
        <v>0.23215855473296679</v>
      </c>
      <c r="R161" s="5">
        <v>9.9015389508305698E-2</v>
      </c>
      <c r="S161" s="6">
        <v>0</v>
      </c>
      <c r="T161" s="6">
        <v>1</v>
      </c>
      <c r="U161" s="6">
        <v>19</v>
      </c>
      <c r="V161" s="5">
        <v>0.47441656189365872</v>
      </c>
      <c r="W161" s="5">
        <v>0.1275876604219422</v>
      </c>
      <c r="X161" s="6">
        <v>0</v>
      </c>
      <c r="Y161" s="6">
        <v>1</v>
      </c>
      <c r="Z161" s="6">
        <v>18</v>
      </c>
      <c r="AA161" s="5">
        <v>0.50100347893857933</v>
      </c>
      <c r="AB161" s="5">
        <v>0.15741214876712428</v>
      </c>
      <c r="AC161" s="6">
        <v>0</v>
      </c>
      <c r="AD161" s="6">
        <v>1</v>
      </c>
      <c r="AE161" s="6">
        <v>14</v>
      </c>
      <c r="AF161" s="5">
        <v>0.41945825525041158</v>
      </c>
      <c r="AG161" s="5">
        <v>6.5895940178938919E-2</v>
      </c>
      <c r="AH161" s="6">
        <v>0</v>
      </c>
      <c r="AI161" s="6">
        <v>1</v>
      </c>
      <c r="AJ161" s="6">
        <v>104</v>
      </c>
      <c r="AK161">
        <f>(AF162/AF160)-AF161</f>
        <v>-2.2916952072134344E-2</v>
      </c>
    </row>
    <row r="162" spans="1:37" ht="39.4" x14ac:dyDescent="0.45">
      <c r="A162" s="4" t="s">
        <v>82</v>
      </c>
      <c r="B162" s="5">
        <v>0</v>
      </c>
      <c r="C162" s="5">
        <v>0</v>
      </c>
      <c r="D162" s="6">
        <v>0</v>
      </c>
      <c r="E162" s="6">
        <v>0</v>
      </c>
      <c r="F162" s="6">
        <v>29</v>
      </c>
      <c r="G162" s="5">
        <v>0</v>
      </c>
      <c r="H162" s="5">
        <v>0</v>
      </c>
      <c r="I162" s="6">
        <v>0</v>
      </c>
      <c r="J162" s="6">
        <v>0</v>
      </c>
      <c r="K162" s="6">
        <v>5</v>
      </c>
      <c r="L162" s="5">
        <v>5.2410271788350123E-2</v>
      </c>
      <c r="M162" s="5">
        <v>5.248010773581166E-2</v>
      </c>
      <c r="N162" s="6">
        <v>0</v>
      </c>
      <c r="O162" s="6">
        <v>1</v>
      </c>
      <c r="P162" s="6">
        <v>19</v>
      </c>
      <c r="Q162" s="5">
        <v>0</v>
      </c>
      <c r="R162" s="5">
        <v>0</v>
      </c>
      <c r="S162" s="6">
        <v>0</v>
      </c>
      <c r="T162" s="6">
        <v>0</v>
      </c>
      <c r="U162" s="6">
        <v>19</v>
      </c>
      <c r="V162" s="5">
        <v>0.15550626739573795</v>
      </c>
      <c r="W162" s="5">
        <v>8.6631727868310957E-2</v>
      </c>
      <c r="X162" s="6">
        <v>0</v>
      </c>
      <c r="Y162" s="6">
        <v>1</v>
      </c>
      <c r="Z162" s="6">
        <v>18</v>
      </c>
      <c r="AA162" s="5">
        <v>0</v>
      </c>
      <c r="AB162" s="5">
        <v>0</v>
      </c>
      <c r="AC162" s="6">
        <v>0</v>
      </c>
      <c r="AD162" s="6">
        <v>0</v>
      </c>
      <c r="AE162" s="6">
        <v>14</v>
      </c>
      <c r="AF162" s="5">
        <v>2.8241571565647324E-2</v>
      </c>
      <c r="AG162" s="5">
        <v>1.9525234439272805E-2</v>
      </c>
      <c r="AH162" s="6">
        <v>0</v>
      </c>
      <c r="AI162" s="6">
        <v>1</v>
      </c>
      <c r="AJ162" s="6">
        <v>104</v>
      </c>
    </row>
    <row r="163" spans="1:37" x14ac:dyDescent="0.45">
      <c r="A163" s="4" t="s">
        <v>30</v>
      </c>
      <c r="B163" s="5">
        <v>0.13367672028482241</v>
      </c>
      <c r="C163" s="5">
        <v>6.7499531890097414E-2</v>
      </c>
      <c r="D163" s="6">
        <v>0</v>
      </c>
      <c r="E163" s="6">
        <v>1</v>
      </c>
      <c r="F163" s="6">
        <v>29</v>
      </c>
      <c r="G163" s="5">
        <v>0</v>
      </c>
      <c r="H163" s="5">
        <v>0</v>
      </c>
      <c r="I163" s="6">
        <v>0</v>
      </c>
      <c r="J163" s="6">
        <v>0</v>
      </c>
      <c r="K163" s="6">
        <v>5</v>
      </c>
      <c r="L163" s="5">
        <v>5.2410271788350123E-2</v>
      </c>
      <c r="M163" s="5">
        <v>5.248010773581166E-2</v>
      </c>
      <c r="N163" s="6">
        <v>0</v>
      </c>
      <c r="O163" s="6">
        <v>1</v>
      </c>
      <c r="P163" s="6">
        <v>19</v>
      </c>
      <c r="Q163" s="5">
        <v>0</v>
      </c>
      <c r="R163" s="5">
        <v>0</v>
      </c>
      <c r="S163" s="6">
        <v>0</v>
      </c>
      <c r="T163" s="6">
        <v>0</v>
      </c>
      <c r="U163" s="6">
        <v>19</v>
      </c>
      <c r="V163" s="5">
        <v>0.15550626739573795</v>
      </c>
      <c r="W163" s="5">
        <v>8.6631727868310957E-2</v>
      </c>
      <c r="X163" s="6">
        <v>0</v>
      </c>
      <c r="Y163" s="6">
        <v>1</v>
      </c>
      <c r="Z163" s="6">
        <v>18</v>
      </c>
      <c r="AA163" s="5">
        <v>0.14494874528348178</v>
      </c>
      <c r="AB163" s="5">
        <v>0.10516460199040556</v>
      </c>
      <c r="AC163" s="6">
        <v>0</v>
      </c>
      <c r="AD163" s="6">
        <v>1</v>
      </c>
      <c r="AE163" s="6">
        <v>14</v>
      </c>
      <c r="AF163" s="5">
        <v>7.1219747701667446E-2</v>
      </c>
      <c r="AG163" s="5">
        <v>2.7252423041304919E-2</v>
      </c>
      <c r="AH163" s="6">
        <v>0</v>
      </c>
      <c r="AI163" s="6">
        <v>1</v>
      </c>
      <c r="AJ163" s="6">
        <v>104</v>
      </c>
      <c r="AK163">
        <f>(AF165/AF164)-AF163</f>
        <v>-2.6210168637093301E-3</v>
      </c>
    </row>
    <row r="164" spans="1:37" x14ac:dyDescent="0.45">
      <c r="A164" s="4" t="s">
        <v>40</v>
      </c>
      <c r="B164" s="5">
        <v>0.23600168674140035</v>
      </c>
      <c r="C164" s="5">
        <v>9.8121570578696957E-2</v>
      </c>
      <c r="D164" s="6">
        <v>0</v>
      </c>
      <c r="E164" s="6">
        <v>1</v>
      </c>
      <c r="F164" s="6">
        <v>29</v>
      </c>
      <c r="G164" s="5">
        <v>0.28413340654229741</v>
      </c>
      <c r="H164" s="5">
        <v>0.2635701019519151</v>
      </c>
      <c r="I164" s="6">
        <v>0</v>
      </c>
      <c r="J164" s="6">
        <v>1</v>
      </c>
      <c r="K164" s="6">
        <v>5</v>
      </c>
      <c r="L164" s="5">
        <v>1</v>
      </c>
      <c r="M164" s="5">
        <v>0</v>
      </c>
      <c r="N164" s="6">
        <v>1</v>
      </c>
      <c r="O164" s="6">
        <v>1</v>
      </c>
      <c r="P164" s="6">
        <v>19</v>
      </c>
      <c r="Q164" s="5">
        <v>0.85289731615094222</v>
      </c>
      <c r="R164" s="5">
        <v>0.10368836461541529</v>
      </c>
      <c r="S164" s="6">
        <v>0</v>
      </c>
      <c r="T164" s="6">
        <v>1</v>
      </c>
      <c r="U164" s="6">
        <v>19</v>
      </c>
      <c r="V164" s="5">
        <v>0.86634111546445414</v>
      </c>
      <c r="W164" s="5">
        <v>8.7661072043173624E-2</v>
      </c>
      <c r="X164" s="6">
        <v>0</v>
      </c>
      <c r="Y164" s="6">
        <v>1</v>
      </c>
      <c r="Z164" s="6">
        <v>18</v>
      </c>
      <c r="AA164" s="5">
        <v>0.68542702638902031</v>
      </c>
      <c r="AB164" s="5">
        <v>0.14449500923918335</v>
      </c>
      <c r="AC164" s="6">
        <v>0</v>
      </c>
      <c r="AD164" s="6">
        <v>1</v>
      </c>
      <c r="AE164" s="6">
        <v>14</v>
      </c>
      <c r="AF164" s="5">
        <v>0.64636059193257822</v>
      </c>
      <c r="AG164" s="5">
        <v>6.6126331124485585E-2</v>
      </c>
      <c r="AH164" s="6">
        <v>0</v>
      </c>
      <c r="AI164" s="6">
        <v>1</v>
      </c>
      <c r="AJ164" s="6">
        <v>104</v>
      </c>
      <c r="AK164">
        <f>(AF165/AF163)-AF164</f>
        <v>-2.3787250954453554E-2</v>
      </c>
    </row>
    <row r="165" spans="1:37" ht="26.25" x14ac:dyDescent="0.45">
      <c r="A165" s="4" t="s">
        <v>83</v>
      </c>
      <c r="B165" s="5">
        <v>7.3987091538873048E-2</v>
      </c>
      <c r="C165" s="5">
        <v>5.1908162785215629E-2</v>
      </c>
      <c r="D165" s="6">
        <v>0</v>
      </c>
      <c r="E165" s="6">
        <v>1</v>
      </c>
      <c r="F165" s="6">
        <v>29</v>
      </c>
      <c r="G165" s="5">
        <v>0</v>
      </c>
      <c r="H165" s="5">
        <v>0</v>
      </c>
      <c r="I165" s="6">
        <v>0</v>
      </c>
      <c r="J165" s="6">
        <v>0</v>
      </c>
      <c r="K165" s="6">
        <v>5</v>
      </c>
      <c r="L165" s="5">
        <v>5.2410271788350123E-2</v>
      </c>
      <c r="M165" s="5">
        <v>5.248010773581166E-2</v>
      </c>
      <c r="N165" s="6">
        <v>0</v>
      </c>
      <c r="O165" s="6">
        <v>1</v>
      </c>
      <c r="P165" s="6">
        <v>19</v>
      </c>
      <c r="Q165" s="5">
        <v>0</v>
      </c>
      <c r="R165" s="5">
        <v>0</v>
      </c>
      <c r="S165" s="6">
        <v>0</v>
      </c>
      <c r="T165" s="6">
        <v>0</v>
      </c>
      <c r="U165" s="6">
        <v>19</v>
      </c>
      <c r="V165" s="5">
        <v>0.10055724988722109</v>
      </c>
      <c r="W165" s="5">
        <v>7.0534767449922611E-2</v>
      </c>
      <c r="X165" s="6">
        <v>0</v>
      </c>
      <c r="Y165" s="6">
        <v>1</v>
      </c>
      <c r="Z165" s="6">
        <v>18</v>
      </c>
      <c r="AA165" s="5">
        <v>0</v>
      </c>
      <c r="AB165" s="5">
        <v>0</v>
      </c>
      <c r="AC165" s="6">
        <v>0</v>
      </c>
      <c r="AD165" s="6">
        <v>0</v>
      </c>
      <c r="AE165" s="6">
        <v>14</v>
      </c>
      <c r="AF165" s="5">
        <v>4.4339516270246217E-2</v>
      </c>
      <c r="AG165" s="5">
        <v>2.3525080396030133E-2</v>
      </c>
      <c r="AH165" s="6">
        <v>0</v>
      </c>
      <c r="AI165" s="6">
        <v>1</v>
      </c>
      <c r="AJ165" s="6">
        <v>104</v>
      </c>
    </row>
    <row r="166" spans="1:37" x14ac:dyDescent="0.45">
      <c r="A166" s="4" t="s">
        <v>30</v>
      </c>
      <c r="B166" s="5">
        <v>0.13367672028482241</v>
      </c>
      <c r="C166" s="5">
        <v>6.7499531890097414E-2</v>
      </c>
      <c r="D166" s="6">
        <v>0</v>
      </c>
      <c r="E166" s="6">
        <v>1</v>
      </c>
      <c r="F166" s="6">
        <v>29</v>
      </c>
      <c r="G166" s="5">
        <v>0</v>
      </c>
      <c r="H166" s="5">
        <v>0</v>
      </c>
      <c r="I166" s="6">
        <v>0</v>
      </c>
      <c r="J166" s="6">
        <v>0</v>
      </c>
      <c r="K166" s="6">
        <v>5</v>
      </c>
      <c r="L166" s="5">
        <v>5.2410271788350123E-2</v>
      </c>
      <c r="M166" s="5">
        <v>5.248010773581166E-2</v>
      </c>
      <c r="N166" s="6">
        <v>0</v>
      </c>
      <c r="O166" s="6">
        <v>1</v>
      </c>
      <c r="P166" s="6">
        <v>19</v>
      </c>
      <c r="Q166" s="5">
        <v>0</v>
      </c>
      <c r="R166" s="5">
        <v>0</v>
      </c>
      <c r="S166" s="6">
        <v>0</v>
      </c>
      <c r="T166" s="6">
        <v>0</v>
      </c>
      <c r="U166" s="6">
        <v>19</v>
      </c>
      <c r="V166" s="5">
        <v>0.15550626739573795</v>
      </c>
      <c r="W166" s="5">
        <v>8.6631727868310957E-2</v>
      </c>
      <c r="X166" s="6">
        <v>0</v>
      </c>
      <c r="Y166" s="6">
        <v>1</v>
      </c>
      <c r="Z166" s="6">
        <v>18</v>
      </c>
      <c r="AA166" s="5">
        <v>0.14494874528348178</v>
      </c>
      <c r="AB166" s="5">
        <v>0.10516460199040556</v>
      </c>
      <c r="AC166" s="6">
        <v>0</v>
      </c>
      <c r="AD166" s="6">
        <v>1</v>
      </c>
      <c r="AE166" s="6">
        <v>14</v>
      </c>
      <c r="AF166" s="5">
        <v>7.1219747701667446E-2</v>
      </c>
      <c r="AG166" s="5">
        <v>2.7252423041304919E-2</v>
      </c>
      <c r="AH166" s="6">
        <v>0</v>
      </c>
      <c r="AI166" s="6">
        <v>1</v>
      </c>
      <c r="AJ166" s="6">
        <v>104</v>
      </c>
      <c r="AK166">
        <f>(AF168/AF167)-AF166</f>
        <v>-2.697707096226909E-3</v>
      </c>
    </row>
    <row r="167" spans="1:37" x14ac:dyDescent="0.45">
      <c r="A167" s="4" t="s">
        <v>42</v>
      </c>
      <c r="B167" s="5">
        <v>0.14679233898869379</v>
      </c>
      <c r="C167" s="5">
        <v>7.21952874481087E-2</v>
      </c>
      <c r="D167" s="6">
        <v>0</v>
      </c>
      <c r="E167" s="6">
        <v>1</v>
      </c>
      <c r="F167" s="6">
        <v>29</v>
      </c>
      <c r="G167" s="5">
        <v>0.28413340654229741</v>
      </c>
      <c r="H167" s="5">
        <v>0.2635701019519151</v>
      </c>
      <c r="I167" s="6">
        <v>0</v>
      </c>
      <c r="J167" s="6">
        <v>1</v>
      </c>
      <c r="K167" s="6">
        <v>5</v>
      </c>
      <c r="L167" s="5">
        <v>0.83743216794734465</v>
      </c>
      <c r="M167" s="5">
        <v>8.8339131816845065E-2</v>
      </c>
      <c r="N167" s="6">
        <v>0</v>
      </c>
      <c r="O167" s="6">
        <v>1</v>
      </c>
      <c r="P167" s="6">
        <v>19</v>
      </c>
      <c r="Q167" s="5">
        <v>0.89861962585941668</v>
      </c>
      <c r="R167" s="5">
        <v>9.6845778169611332E-2</v>
      </c>
      <c r="S167" s="6">
        <v>0</v>
      </c>
      <c r="T167" s="6">
        <v>1</v>
      </c>
      <c r="U167" s="6">
        <v>19</v>
      </c>
      <c r="V167" s="5">
        <v>0.94505098249148323</v>
      </c>
      <c r="W167" s="5">
        <v>5.5165329624764066E-2</v>
      </c>
      <c r="X167" s="6">
        <v>0</v>
      </c>
      <c r="Y167" s="6">
        <v>1</v>
      </c>
      <c r="Z167" s="6">
        <v>18</v>
      </c>
      <c r="AA167" s="5">
        <v>0.91590414556129873</v>
      </c>
      <c r="AB167" s="5">
        <v>5.7720093761496942E-2</v>
      </c>
      <c r="AC167" s="6">
        <v>0</v>
      </c>
      <c r="AD167" s="6">
        <v>1</v>
      </c>
      <c r="AE167" s="6">
        <v>14</v>
      </c>
      <c r="AF167" s="5">
        <v>0.5866426892711829</v>
      </c>
      <c r="AG167" s="5">
        <v>6.7909303410161284E-2</v>
      </c>
      <c r="AH167" s="6">
        <v>0</v>
      </c>
      <c r="AI167" s="6">
        <v>1</v>
      </c>
      <c r="AJ167" s="6">
        <v>104</v>
      </c>
      <c r="AK167">
        <f>(AF168/AF166)-AF167</f>
        <v>-2.2221226511863312E-2</v>
      </c>
    </row>
    <row r="168" spans="1:37" ht="26.25" x14ac:dyDescent="0.45">
      <c r="A168" s="4" t="s">
        <v>84</v>
      </c>
      <c r="B168" s="5">
        <v>3.8003295157684171E-2</v>
      </c>
      <c r="C168" s="5">
        <v>3.814851254383702E-2</v>
      </c>
      <c r="D168" s="6">
        <v>0</v>
      </c>
      <c r="E168" s="6">
        <v>1</v>
      </c>
      <c r="F168" s="6">
        <v>29</v>
      </c>
      <c r="G168" s="5">
        <v>0</v>
      </c>
      <c r="H168" s="5">
        <v>0</v>
      </c>
      <c r="I168" s="6">
        <v>0</v>
      </c>
      <c r="J168" s="6">
        <v>0</v>
      </c>
      <c r="K168" s="6">
        <v>5</v>
      </c>
      <c r="L168" s="5">
        <v>5.2410271788350123E-2</v>
      </c>
      <c r="M168" s="5">
        <v>5.248010773581166E-2</v>
      </c>
      <c r="N168" s="6">
        <v>0</v>
      </c>
      <c r="O168" s="6">
        <v>1</v>
      </c>
      <c r="P168" s="6">
        <v>19</v>
      </c>
      <c r="Q168" s="5">
        <v>0</v>
      </c>
      <c r="R168" s="5">
        <v>0</v>
      </c>
      <c r="S168" s="6">
        <v>0</v>
      </c>
      <c r="T168" s="6">
        <v>0</v>
      </c>
      <c r="U168" s="6">
        <v>19</v>
      </c>
      <c r="V168" s="5">
        <v>0.10055724988722109</v>
      </c>
      <c r="W168" s="5">
        <v>7.0534767449922611E-2</v>
      </c>
      <c r="X168" s="6">
        <v>0</v>
      </c>
      <c r="Y168" s="6">
        <v>1</v>
      </c>
      <c r="Z168" s="6">
        <v>18</v>
      </c>
      <c r="AA168" s="5">
        <v>9.7308248581917819E-2</v>
      </c>
      <c r="AB168" s="5">
        <v>9.5663044906004094E-2</v>
      </c>
      <c r="AC168" s="6">
        <v>0</v>
      </c>
      <c r="AD168" s="6">
        <v>1</v>
      </c>
      <c r="AE168" s="6">
        <v>14</v>
      </c>
      <c r="AF168" s="5">
        <v>4.0197954175124832E-2</v>
      </c>
      <c r="AG168" s="5">
        <v>2.224996081727033E-2</v>
      </c>
      <c r="AH168" s="6">
        <v>0</v>
      </c>
      <c r="AI168" s="6">
        <v>1</v>
      </c>
      <c r="AJ168" s="6">
        <v>104</v>
      </c>
    </row>
    <row r="169" spans="1:37" x14ac:dyDescent="0.45">
      <c r="A169" s="4" t="s">
        <v>30</v>
      </c>
      <c r="B169" s="5">
        <v>0.13367672028482241</v>
      </c>
      <c r="C169" s="5">
        <v>6.7499531890097414E-2</v>
      </c>
      <c r="D169" s="6">
        <v>0</v>
      </c>
      <c r="E169" s="6">
        <v>1</v>
      </c>
      <c r="F169" s="6">
        <v>29</v>
      </c>
      <c r="G169" s="5">
        <v>0</v>
      </c>
      <c r="H169" s="5">
        <v>0</v>
      </c>
      <c r="I169" s="6">
        <v>0</v>
      </c>
      <c r="J169" s="6">
        <v>0</v>
      </c>
      <c r="K169" s="6">
        <v>5</v>
      </c>
      <c r="L169" s="5">
        <v>5.2410271788350123E-2</v>
      </c>
      <c r="M169" s="5">
        <v>5.248010773581166E-2</v>
      </c>
      <c r="N169" s="6">
        <v>0</v>
      </c>
      <c r="O169" s="6">
        <v>1</v>
      </c>
      <c r="P169" s="6">
        <v>19</v>
      </c>
      <c r="Q169" s="5">
        <v>0</v>
      </c>
      <c r="R169" s="5">
        <v>0</v>
      </c>
      <c r="S169" s="6">
        <v>0</v>
      </c>
      <c r="T169" s="6">
        <v>0</v>
      </c>
      <c r="U169" s="6">
        <v>19</v>
      </c>
      <c r="V169" s="5">
        <v>0.15550626739573795</v>
      </c>
      <c r="W169" s="5">
        <v>8.6631727868310957E-2</v>
      </c>
      <c r="X169" s="6">
        <v>0</v>
      </c>
      <c r="Y169" s="6">
        <v>1</v>
      </c>
      <c r="Z169" s="6">
        <v>18</v>
      </c>
      <c r="AA169" s="5">
        <v>0.14494874528348178</v>
      </c>
      <c r="AB169" s="5">
        <v>0.10516460199040556</v>
      </c>
      <c r="AC169" s="6">
        <v>0</v>
      </c>
      <c r="AD169" s="6">
        <v>1</v>
      </c>
      <c r="AE169" s="6">
        <v>14</v>
      </c>
      <c r="AF169" s="5">
        <v>7.1219747701667446E-2</v>
      </c>
      <c r="AG169" s="5">
        <v>2.7252423041304919E-2</v>
      </c>
      <c r="AH169" s="6">
        <v>0</v>
      </c>
      <c r="AI169" s="6">
        <v>1</v>
      </c>
      <c r="AJ169" s="6">
        <v>104</v>
      </c>
      <c r="AK169">
        <f>(AF171/AF170)-AF169</f>
        <v>1.7918514058261184E-2</v>
      </c>
    </row>
    <row r="170" spans="1:37" x14ac:dyDescent="0.45">
      <c r="A170" s="4" t="s">
        <v>44</v>
      </c>
      <c r="B170" s="5">
        <v>0</v>
      </c>
      <c r="C170" s="5">
        <v>0</v>
      </c>
      <c r="D170" s="6">
        <v>0</v>
      </c>
      <c r="E170" s="6">
        <v>0</v>
      </c>
      <c r="F170" s="6">
        <v>29</v>
      </c>
      <c r="G170" s="5">
        <v>0</v>
      </c>
      <c r="H170" s="5">
        <v>0</v>
      </c>
      <c r="I170" s="6">
        <v>0</v>
      </c>
      <c r="J170" s="6">
        <v>0</v>
      </c>
      <c r="K170" s="6">
        <v>5</v>
      </c>
      <c r="L170" s="5">
        <v>0.43080549064057538</v>
      </c>
      <c r="M170" s="5">
        <v>0.1188108626030543</v>
      </c>
      <c r="N170" s="6">
        <v>0</v>
      </c>
      <c r="O170" s="6">
        <v>1</v>
      </c>
      <c r="P170" s="6">
        <v>19</v>
      </c>
      <c r="Q170" s="5">
        <v>0.58179797025751767</v>
      </c>
      <c r="R170" s="5">
        <v>0.13112718214255636</v>
      </c>
      <c r="S170" s="6">
        <v>0</v>
      </c>
      <c r="T170" s="6">
        <v>1</v>
      </c>
      <c r="U170" s="6">
        <v>19</v>
      </c>
      <c r="V170" s="5">
        <v>0.27840718326047831</v>
      </c>
      <c r="W170" s="5">
        <v>0.11962958289453833</v>
      </c>
      <c r="X170" s="6">
        <v>0</v>
      </c>
      <c r="Y170" s="6">
        <v>1</v>
      </c>
      <c r="Z170" s="6">
        <v>18</v>
      </c>
      <c r="AA170" s="5">
        <v>0.27889208014984646</v>
      </c>
      <c r="AB170" s="5">
        <v>0.14163420824029879</v>
      </c>
      <c r="AC170" s="6">
        <v>0</v>
      </c>
      <c r="AD170" s="6">
        <v>1</v>
      </c>
      <c r="AE170" s="6">
        <v>14</v>
      </c>
      <c r="AF170" s="5">
        <v>0.24869923971566638</v>
      </c>
      <c r="AG170" s="5">
        <v>5.4351819960247037E-2</v>
      </c>
      <c r="AH170" s="6">
        <v>0</v>
      </c>
      <c r="AI170" s="6">
        <v>1</v>
      </c>
      <c r="AJ170" s="6">
        <v>104</v>
      </c>
      <c r="AK170">
        <f>(AF171/AF169)-AF170</f>
        <v>6.2571421086622336E-2</v>
      </c>
    </row>
    <row r="171" spans="1:37" ht="26.25" x14ac:dyDescent="0.45">
      <c r="A171" s="4" t="s">
        <v>85</v>
      </c>
      <c r="B171" s="5">
        <v>0</v>
      </c>
      <c r="C171" s="5">
        <v>0</v>
      </c>
      <c r="D171" s="6">
        <v>0</v>
      </c>
      <c r="E171" s="6">
        <v>0</v>
      </c>
      <c r="F171" s="6">
        <v>29</v>
      </c>
      <c r="G171" s="5">
        <v>0</v>
      </c>
      <c r="H171" s="5">
        <v>0</v>
      </c>
      <c r="I171" s="6">
        <v>0</v>
      </c>
      <c r="J171" s="6">
        <v>0</v>
      </c>
      <c r="K171" s="6">
        <v>5</v>
      </c>
      <c r="L171" s="5">
        <v>5.2410271788350123E-2</v>
      </c>
      <c r="M171" s="5">
        <v>5.248010773581166E-2</v>
      </c>
      <c r="N171" s="6">
        <v>0</v>
      </c>
      <c r="O171" s="6">
        <v>1</v>
      </c>
      <c r="P171" s="6">
        <v>19</v>
      </c>
      <c r="Q171" s="5">
        <v>0</v>
      </c>
      <c r="R171" s="5">
        <v>0</v>
      </c>
      <c r="S171" s="6">
        <v>0</v>
      </c>
      <c r="T171" s="6">
        <v>0</v>
      </c>
      <c r="U171" s="6">
        <v>19</v>
      </c>
      <c r="V171" s="5">
        <v>5.4949017508516877E-2</v>
      </c>
      <c r="W171" s="5">
        <v>5.5165329624764073E-2</v>
      </c>
      <c r="X171" s="6">
        <v>0</v>
      </c>
      <c r="Y171" s="6">
        <v>1</v>
      </c>
      <c r="Z171" s="6">
        <v>18</v>
      </c>
      <c r="AA171" s="5">
        <v>0</v>
      </c>
      <c r="AB171" s="5">
        <v>0</v>
      </c>
      <c r="AC171" s="6">
        <v>0</v>
      </c>
      <c r="AD171" s="6">
        <v>0</v>
      </c>
      <c r="AE171" s="6">
        <v>14</v>
      </c>
      <c r="AF171" s="5">
        <v>2.2168617929270308E-2</v>
      </c>
      <c r="AG171" s="5">
        <v>1.9037791306963613E-2</v>
      </c>
      <c r="AH171" s="6">
        <v>0</v>
      </c>
      <c r="AI171" s="6">
        <v>1</v>
      </c>
      <c r="AJ171" s="6">
        <v>104</v>
      </c>
    </row>
    <row r="172" spans="1:37" x14ac:dyDescent="0.45">
      <c r="A172" s="4" t="s">
        <v>30</v>
      </c>
      <c r="B172" s="5">
        <v>0.13367672028482241</v>
      </c>
      <c r="C172" s="5">
        <v>6.7499531890097414E-2</v>
      </c>
      <c r="D172" s="6">
        <v>0</v>
      </c>
      <c r="E172" s="6">
        <v>1</v>
      </c>
      <c r="F172" s="6">
        <v>29</v>
      </c>
      <c r="G172" s="5">
        <v>0</v>
      </c>
      <c r="H172" s="5">
        <v>0</v>
      </c>
      <c r="I172" s="6">
        <v>0</v>
      </c>
      <c r="J172" s="6">
        <v>0</v>
      </c>
      <c r="K172" s="6">
        <v>5</v>
      </c>
      <c r="L172" s="5">
        <v>5.2410271788350123E-2</v>
      </c>
      <c r="M172" s="5">
        <v>5.248010773581166E-2</v>
      </c>
      <c r="N172" s="6">
        <v>0</v>
      </c>
      <c r="O172" s="6">
        <v>1</v>
      </c>
      <c r="P172" s="6">
        <v>19</v>
      </c>
      <c r="Q172" s="5">
        <v>0</v>
      </c>
      <c r="R172" s="5">
        <v>0</v>
      </c>
      <c r="S172" s="6">
        <v>0</v>
      </c>
      <c r="T172" s="6">
        <v>0</v>
      </c>
      <c r="U172" s="6">
        <v>19</v>
      </c>
      <c r="V172" s="5">
        <v>0.15550626739573795</v>
      </c>
      <c r="W172" s="5">
        <v>8.6631727868310957E-2</v>
      </c>
      <c r="X172" s="6">
        <v>0</v>
      </c>
      <c r="Y172" s="6">
        <v>1</v>
      </c>
      <c r="Z172" s="6">
        <v>18</v>
      </c>
      <c r="AA172" s="5">
        <v>0.14494874528348178</v>
      </c>
      <c r="AB172" s="5">
        <v>0.10516460199040556</v>
      </c>
      <c r="AC172" s="6">
        <v>0</v>
      </c>
      <c r="AD172" s="6">
        <v>1</v>
      </c>
      <c r="AE172" s="6">
        <v>14</v>
      </c>
      <c r="AF172" s="5">
        <v>7.1219747701667446E-2</v>
      </c>
      <c r="AG172" s="5">
        <v>2.7252423041304919E-2</v>
      </c>
      <c r="AH172" s="6">
        <v>0</v>
      </c>
      <c r="AI172" s="6">
        <v>1</v>
      </c>
      <c r="AJ172" s="6">
        <v>104</v>
      </c>
      <c r="AK172">
        <f>(AF174/AF173)-AF172</f>
        <v>2.0761276702853521E-3</v>
      </c>
    </row>
    <row r="173" spans="1:37" ht="39.4" x14ac:dyDescent="0.45">
      <c r="A173" s="4" t="s">
        <v>16</v>
      </c>
      <c r="B173" s="5">
        <v>0.23600168674140035</v>
      </c>
      <c r="C173" s="5">
        <v>9.8121570578696957E-2</v>
      </c>
      <c r="D173" s="6">
        <v>0</v>
      </c>
      <c r="E173" s="6">
        <v>1</v>
      </c>
      <c r="F173" s="6">
        <v>29</v>
      </c>
      <c r="G173" s="5">
        <v>0.28413340654229741</v>
      </c>
      <c r="H173" s="5">
        <v>0.2635701019519151</v>
      </c>
      <c r="I173" s="6">
        <v>0</v>
      </c>
      <c r="J173" s="6">
        <v>1</v>
      </c>
      <c r="K173" s="6">
        <v>5</v>
      </c>
      <c r="L173" s="5">
        <v>1</v>
      </c>
      <c r="M173" s="5">
        <v>0</v>
      </c>
      <c r="N173" s="6">
        <v>1</v>
      </c>
      <c r="O173" s="6">
        <v>1</v>
      </c>
      <c r="P173" s="6">
        <v>19</v>
      </c>
      <c r="Q173" s="5">
        <v>0.85289731615094222</v>
      </c>
      <c r="R173" s="5">
        <v>0.10368836461541529</v>
      </c>
      <c r="S173" s="6">
        <v>0</v>
      </c>
      <c r="T173" s="6">
        <v>1</v>
      </c>
      <c r="U173" s="6">
        <v>19</v>
      </c>
      <c r="V173" s="5">
        <v>0.92129013297297091</v>
      </c>
      <c r="W173" s="5">
        <v>7.2142407889520602E-2</v>
      </c>
      <c r="X173" s="6">
        <v>0</v>
      </c>
      <c r="Y173" s="6">
        <v>1</v>
      </c>
      <c r="Z173" s="6">
        <v>18</v>
      </c>
      <c r="AA173" s="5">
        <v>0.69525614240739586</v>
      </c>
      <c r="AB173" s="5">
        <v>0.14429635514835867</v>
      </c>
      <c r="AC173" s="6">
        <v>0</v>
      </c>
      <c r="AD173" s="6">
        <v>1</v>
      </c>
      <c r="AE173" s="6">
        <v>14</v>
      </c>
      <c r="AF173" s="5">
        <v>0.6502146518916736</v>
      </c>
      <c r="AG173" s="5">
        <v>6.6144933824160743E-2</v>
      </c>
      <c r="AH173" s="6">
        <v>0</v>
      </c>
      <c r="AI173" s="6">
        <v>1</v>
      </c>
      <c r="AJ173" s="6">
        <v>104</v>
      </c>
      <c r="AK173">
        <f>(AF174/AF172)-AF173</f>
        <v>1.8954414667010422E-2</v>
      </c>
    </row>
    <row r="174" spans="1:37" ht="26.25" x14ac:dyDescent="0.45">
      <c r="A174" s="4" t="s">
        <v>86</v>
      </c>
      <c r="B174" s="5">
        <v>7.3987091538873048E-2</v>
      </c>
      <c r="C174" s="5">
        <v>5.1908162785215629E-2</v>
      </c>
      <c r="D174" s="6">
        <v>0</v>
      </c>
      <c r="E174" s="6">
        <v>1</v>
      </c>
      <c r="F174" s="6">
        <v>29</v>
      </c>
      <c r="G174" s="5">
        <v>0</v>
      </c>
      <c r="H174" s="5">
        <v>0</v>
      </c>
      <c r="I174" s="6">
        <v>0</v>
      </c>
      <c r="J174" s="6">
        <v>0</v>
      </c>
      <c r="K174" s="6">
        <v>5</v>
      </c>
      <c r="L174" s="5">
        <v>5.2410271788350123E-2</v>
      </c>
      <c r="M174" s="5">
        <v>5.248010773581166E-2</v>
      </c>
      <c r="N174" s="6">
        <v>0</v>
      </c>
      <c r="O174" s="6">
        <v>1</v>
      </c>
      <c r="P174" s="6">
        <v>19</v>
      </c>
      <c r="Q174" s="5">
        <v>0</v>
      </c>
      <c r="R174" s="5">
        <v>0</v>
      </c>
      <c r="S174" s="6">
        <v>0</v>
      </c>
      <c r="T174" s="6">
        <v>0</v>
      </c>
      <c r="U174" s="6">
        <v>19</v>
      </c>
      <c r="V174" s="5">
        <v>0.15550626739573795</v>
      </c>
      <c r="W174" s="5">
        <v>8.6631727868310957E-2</v>
      </c>
      <c r="X174" s="6">
        <v>0</v>
      </c>
      <c r="Y174" s="6">
        <v>1</v>
      </c>
      <c r="Z174" s="6">
        <v>18</v>
      </c>
      <c r="AA174" s="5">
        <v>0</v>
      </c>
      <c r="AB174" s="5">
        <v>0</v>
      </c>
      <c r="AC174" s="6">
        <v>0</v>
      </c>
      <c r="AD174" s="6">
        <v>0</v>
      </c>
      <c r="AE174" s="6">
        <v>14</v>
      </c>
      <c r="AF174" s="5">
        <v>4.7658052090069784E-2</v>
      </c>
      <c r="AG174" s="5">
        <v>2.3775501141739073E-2</v>
      </c>
      <c r="AH174" s="6">
        <v>0</v>
      </c>
      <c r="AI174" s="6">
        <v>1</v>
      </c>
      <c r="AJ174" s="6">
        <v>104</v>
      </c>
    </row>
    <row r="175" spans="1:37" x14ac:dyDescent="0.45">
      <c r="A175" s="4" t="s">
        <v>30</v>
      </c>
      <c r="B175" s="5">
        <v>0.13367672028482241</v>
      </c>
      <c r="C175" s="5">
        <v>6.7499531890097414E-2</v>
      </c>
      <c r="D175" s="6">
        <v>0</v>
      </c>
      <c r="E175" s="6">
        <v>1</v>
      </c>
      <c r="F175" s="6">
        <v>29</v>
      </c>
      <c r="G175" s="5">
        <v>0</v>
      </c>
      <c r="H175" s="5">
        <v>0</v>
      </c>
      <c r="I175" s="6">
        <v>0</v>
      </c>
      <c r="J175" s="6">
        <v>0</v>
      </c>
      <c r="K175" s="6">
        <v>5</v>
      </c>
      <c r="L175" s="5">
        <v>5.2410271788350123E-2</v>
      </c>
      <c r="M175" s="5">
        <v>5.248010773581166E-2</v>
      </c>
      <c r="N175" s="6">
        <v>0</v>
      </c>
      <c r="O175" s="6">
        <v>1</v>
      </c>
      <c r="P175" s="6">
        <v>19</v>
      </c>
      <c r="Q175" s="5">
        <v>0</v>
      </c>
      <c r="R175" s="5">
        <v>0</v>
      </c>
      <c r="S175" s="6">
        <v>0</v>
      </c>
      <c r="T175" s="6">
        <v>0</v>
      </c>
      <c r="U175" s="6">
        <v>19</v>
      </c>
      <c r="V175" s="5">
        <v>0.15550626739573795</v>
      </c>
      <c r="W175" s="5">
        <v>8.6631727868310957E-2</v>
      </c>
      <c r="X175" s="6">
        <v>0</v>
      </c>
      <c r="Y175" s="6">
        <v>1</v>
      </c>
      <c r="Z175" s="6">
        <v>18</v>
      </c>
      <c r="AA175" s="5">
        <v>0.14494874528348178</v>
      </c>
      <c r="AB175" s="5">
        <v>0.10516460199040556</v>
      </c>
      <c r="AC175" s="6">
        <v>0</v>
      </c>
      <c r="AD175" s="6">
        <v>1</v>
      </c>
      <c r="AE175" s="6">
        <v>14</v>
      </c>
      <c r="AF175" s="5">
        <v>7.1219747701667446E-2</v>
      </c>
      <c r="AG175" s="5">
        <v>2.7252423041304919E-2</v>
      </c>
      <c r="AH175" s="6">
        <v>0</v>
      </c>
      <c r="AI175" s="6">
        <v>1</v>
      </c>
      <c r="AJ175" s="6">
        <v>104</v>
      </c>
      <c r="AK175">
        <f>(AF177/AF176)-AF175</f>
        <v>-4.1093076486647673E-3</v>
      </c>
    </row>
    <row r="176" spans="1:37" ht="39.4" x14ac:dyDescent="0.45">
      <c r="A176" s="4" t="s">
        <v>18</v>
      </c>
      <c r="B176" s="5">
        <v>0.14679233898869379</v>
      </c>
      <c r="C176" s="5">
        <v>7.21952874481087E-2</v>
      </c>
      <c r="D176" s="6">
        <v>0</v>
      </c>
      <c r="E176" s="6">
        <v>1</v>
      </c>
      <c r="F176" s="6">
        <v>29</v>
      </c>
      <c r="G176" s="5">
        <v>0.28413340654229741</v>
      </c>
      <c r="H176" s="5">
        <v>0.2635701019519151</v>
      </c>
      <c r="I176" s="6">
        <v>0</v>
      </c>
      <c r="J176" s="6">
        <v>1</v>
      </c>
      <c r="K176" s="6">
        <v>5</v>
      </c>
      <c r="L176" s="5">
        <v>1</v>
      </c>
      <c r="M176" s="5">
        <v>0</v>
      </c>
      <c r="N176" s="6">
        <v>1</v>
      </c>
      <c r="O176" s="6">
        <v>1</v>
      </c>
      <c r="P176" s="6">
        <v>19</v>
      </c>
      <c r="Q176" s="5">
        <v>0.89861962585941668</v>
      </c>
      <c r="R176" s="5">
        <v>9.6845778169611332E-2</v>
      </c>
      <c r="S176" s="6">
        <v>0</v>
      </c>
      <c r="T176" s="6">
        <v>1</v>
      </c>
      <c r="U176" s="6">
        <v>19</v>
      </c>
      <c r="V176" s="5">
        <v>1</v>
      </c>
      <c r="W176" s="5">
        <v>0</v>
      </c>
      <c r="X176" s="6">
        <v>1</v>
      </c>
      <c r="Y176" s="6">
        <v>1</v>
      </c>
      <c r="Z176" s="6">
        <v>18</v>
      </c>
      <c r="AA176" s="5">
        <v>0.91590414556129873</v>
      </c>
      <c r="AB176" s="5">
        <v>5.7720093761496942E-2</v>
      </c>
      <c r="AC176" s="6">
        <v>0</v>
      </c>
      <c r="AD176" s="6">
        <v>1</v>
      </c>
      <c r="AE176" s="6">
        <v>14</v>
      </c>
      <c r="AF176" s="5">
        <v>0.64843100359019867</v>
      </c>
      <c r="AG176" s="5">
        <v>6.691909310816567E-2</v>
      </c>
      <c r="AH176" s="6">
        <v>0</v>
      </c>
      <c r="AI176" s="6">
        <v>1</v>
      </c>
      <c r="AJ176" s="6">
        <v>104</v>
      </c>
      <c r="AK176">
        <f>(AF177/AF175)-AF176</f>
        <v>-3.7413815250319837E-2</v>
      </c>
    </row>
    <row r="177" spans="1:37" ht="26.25" x14ac:dyDescent="0.45">
      <c r="A177" s="4" t="s">
        <v>87</v>
      </c>
      <c r="B177" s="5">
        <v>3.8003295157684171E-2</v>
      </c>
      <c r="C177" s="5">
        <v>3.814851254383702E-2</v>
      </c>
      <c r="D177" s="6">
        <v>0</v>
      </c>
      <c r="E177" s="6">
        <v>1</v>
      </c>
      <c r="F177" s="6">
        <v>29</v>
      </c>
      <c r="G177" s="5">
        <v>0</v>
      </c>
      <c r="H177" s="5">
        <v>0</v>
      </c>
      <c r="I177" s="6">
        <v>0</v>
      </c>
      <c r="J177" s="6">
        <v>0</v>
      </c>
      <c r="K177" s="6">
        <v>5</v>
      </c>
      <c r="L177" s="5">
        <v>5.2410271788350123E-2</v>
      </c>
      <c r="M177" s="5">
        <v>5.248010773581166E-2</v>
      </c>
      <c r="N177" s="6">
        <v>0</v>
      </c>
      <c r="O177" s="6">
        <v>1</v>
      </c>
      <c r="P177" s="6">
        <v>19</v>
      </c>
      <c r="Q177" s="5">
        <v>0</v>
      </c>
      <c r="R177" s="5">
        <v>0</v>
      </c>
      <c r="S177" s="6">
        <v>0</v>
      </c>
      <c r="T177" s="6">
        <v>0</v>
      </c>
      <c r="U177" s="6">
        <v>19</v>
      </c>
      <c r="V177" s="5">
        <v>0.15550626739573795</v>
      </c>
      <c r="W177" s="5">
        <v>8.6631727868310957E-2</v>
      </c>
      <c r="X177" s="6">
        <v>0</v>
      </c>
      <c r="Y177" s="6">
        <v>1</v>
      </c>
      <c r="Z177" s="6">
        <v>18</v>
      </c>
      <c r="AA177" s="5">
        <v>9.7308248581917819E-2</v>
      </c>
      <c r="AB177" s="5">
        <v>9.5663044906004094E-2</v>
      </c>
      <c r="AC177" s="6">
        <v>0</v>
      </c>
      <c r="AD177" s="6">
        <v>1</v>
      </c>
      <c r="AE177" s="6">
        <v>14</v>
      </c>
      <c r="AF177" s="5">
        <v>4.3516489994948393E-2</v>
      </c>
      <c r="AG177" s="5">
        <v>2.2514594499963785E-2</v>
      </c>
      <c r="AH177" s="6">
        <v>0</v>
      </c>
      <c r="AI177" s="6">
        <v>1</v>
      </c>
      <c r="AJ177" s="6">
        <v>104</v>
      </c>
    </row>
    <row r="178" spans="1:37" x14ac:dyDescent="0.45">
      <c r="A178" s="4" t="s">
        <v>30</v>
      </c>
      <c r="B178" s="5">
        <v>0.13367672028482241</v>
      </c>
      <c r="C178" s="5">
        <v>6.7499531890097414E-2</v>
      </c>
      <c r="D178" s="6">
        <v>0</v>
      </c>
      <c r="E178" s="6">
        <v>1</v>
      </c>
      <c r="F178" s="6">
        <v>29</v>
      </c>
      <c r="G178" s="5">
        <v>0</v>
      </c>
      <c r="H178" s="5">
        <v>0</v>
      </c>
      <c r="I178" s="6">
        <v>0</v>
      </c>
      <c r="J178" s="6">
        <v>0</v>
      </c>
      <c r="K178" s="6">
        <v>5</v>
      </c>
      <c r="L178" s="5">
        <v>5.2410271788350123E-2</v>
      </c>
      <c r="M178" s="5">
        <v>5.248010773581166E-2</v>
      </c>
      <c r="N178" s="6">
        <v>0</v>
      </c>
      <c r="O178" s="6">
        <v>1</v>
      </c>
      <c r="P178" s="6">
        <v>19</v>
      </c>
      <c r="Q178" s="5">
        <v>0</v>
      </c>
      <c r="R178" s="5">
        <v>0</v>
      </c>
      <c r="S178" s="6">
        <v>0</v>
      </c>
      <c r="T178" s="6">
        <v>0</v>
      </c>
      <c r="U178" s="6">
        <v>19</v>
      </c>
      <c r="V178" s="5">
        <v>0.15550626739573795</v>
      </c>
      <c r="W178" s="5">
        <v>8.6631727868310957E-2</v>
      </c>
      <c r="X178" s="6">
        <v>0</v>
      </c>
      <c r="Y178" s="6">
        <v>1</v>
      </c>
      <c r="Z178" s="6">
        <v>18</v>
      </c>
      <c r="AA178" s="5">
        <v>0.14494874528348178</v>
      </c>
      <c r="AB178" s="5">
        <v>0.10516460199040556</v>
      </c>
      <c r="AC178" s="6">
        <v>0</v>
      </c>
      <c r="AD178" s="6">
        <v>1</v>
      </c>
      <c r="AE178" s="6">
        <v>14</v>
      </c>
      <c r="AF178" s="5">
        <v>7.1219747701667446E-2</v>
      </c>
      <c r="AG178" s="5">
        <v>2.7252423041304919E-2</v>
      </c>
      <c r="AH178" s="6">
        <v>0</v>
      </c>
      <c r="AI178" s="6">
        <v>1</v>
      </c>
      <c r="AJ178" s="6">
        <v>104</v>
      </c>
      <c r="AK178">
        <f>(AF180/AF179)-AF178</f>
        <v>-1.4201248384824609E-2</v>
      </c>
    </row>
    <row r="179" spans="1:37" ht="39.4" x14ac:dyDescent="0.45">
      <c r="A179" s="4" t="s">
        <v>20</v>
      </c>
      <c r="B179" s="5">
        <v>0</v>
      </c>
      <c r="C179" s="5">
        <v>0</v>
      </c>
      <c r="D179" s="6">
        <v>0</v>
      </c>
      <c r="E179" s="6">
        <v>0</v>
      </c>
      <c r="F179" s="6">
        <v>29</v>
      </c>
      <c r="G179" s="5">
        <v>0</v>
      </c>
      <c r="H179" s="5">
        <v>0</v>
      </c>
      <c r="I179" s="6">
        <v>0</v>
      </c>
      <c r="J179" s="6">
        <v>0</v>
      </c>
      <c r="K179" s="6">
        <v>5</v>
      </c>
      <c r="L179" s="5">
        <v>1</v>
      </c>
      <c r="M179" s="5">
        <v>0</v>
      </c>
      <c r="N179" s="6">
        <v>1</v>
      </c>
      <c r="O179" s="6">
        <v>1</v>
      </c>
      <c r="P179" s="6">
        <v>19</v>
      </c>
      <c r="Q179" s="5">
        <v>0.61840113049179313</v>
      </c>
      <c r="R179" s="5">
        <v>0.13006566375416401</v>
      </c>
      <c r="S179" s="6">
        <v>0</v>
      </c>
      <c r="T179" s="6">
        <v>1</v>
      </c>
      <c r="U179" s="6">
        <v>19</v>
      </c>
      <c r="V179" s="5">
        <v>0.62484576595299168</v>
      </c>
      <c r="W179" s="5">
        <v>0.12235387804662534</v>
      </c>
      <c r="X179" s="6">
        <v>0</v>
      </c>
      <c r="Y179" s="6">
        <v>1</v>
      </c>
      <c r="Z179" s="6">
        <v>18</v>
      </c>
      <c r="AA179" s="5">
        <v>0.59238861673724996</v>
      </c>
      <c r="AB179" s="5">
        <v>0.15320552322461192</v>
      </c>
      <c r="AC179" s="6">
        <v>0</v>
      </c>
      <c r="AD179" s="6">
        <v>1</v>
      </c>
      <c r="AE179" s="6">
        <v>14</v>
      </c>
      <c r="AF179" s="5">
        <v>0.49530541673349471</v>
      </c>
      <c r="AG179" s="5">
        <v>6.7368955173709583E-2</v>
      </c>
      <c r="AH179" s="6">
        <v>0</v>
      </c>
      <c r="AI179" s="6">
        <v>1</v>
      </c>
      <c r="AJ179" s="6">
        <v>104</v>
      </c>
      <c r="AK179">
        <f>(AF180/AF178)-AF179</f>
        <v>-9.876411355521747E-2</v>
      </c>
    </row>
    <row r="180" spans="1:37" ht="26.25" x14ac:dyDescent="0.45">
      <c r="A180" s="4" t="s">
        <v>88</v>
      </c>
      <c r="B180" s="5">
        <v>0</v>
      </c>
      <c r="C180" s="5">
        <v>0</v>
      </c>
      <c r="D180" s="6">
        <v>0</v>
      </c>
      <c r="E180" s="6">
        <v>0</v>
      </c>
      <c r="F180" s="6">
        <v>29</v>
      </c>
      <c r="G180" s="5">
        <v>0</v>
      </c>
      <c r="H180" s="5">
        <v>0</v>
      </c>
      <c r="I180" s="6">
        <v>0</v>
      </c>
      <c r="J180" s="6">
        <v>0</v>
      </c>
      <c r="K180" s="6">
        <v>5</v>
      </c>
      <c r="L180" s="5">
        <v>5.2410271788350123E-2</v>
      </c>
      <c r="M180" s="5">
        <v>5.248010773581166E-2</v>
      </c>
      <c r="N180" s="6">
        <v>0</v>
      </c>
      <c r="O180" s="6">
        <v>1</v>
      </c>
      <c r="P180" s="6">
        <v>19</v>
      </c>
      <c r="Q180" s="5">
        <v>0</v>
      </c>
      <c r="R180" s="5">
        <v>0</v>
      </c>
      <c r="S180" s="6">
        <v>0</v>
      </c>
      <c r="T180" s="6">
        <v>0</v>
      </c>
      <c r="U180" s="6">
        <v>19</v>
      </c>
      <c r="V180" s="5">
        <v>0.15550626739573795</v>
      </c>
      <c r="W180" s="5">
        <v>8.6631727868310957E-2</v>
      </c>
      <c r="X180" s="6">
        <v>0</v>
      </c>
      <c r="Y180" s="6">
        <v>1</v>
      </c>
      <c r="Z180" s="6">
        <v>18</v>
      </c>
      <c r="AA180" s="5">
        <v>0</v>
      </c>
      <c r="AB180" s="5">
        <v>0</v>
      </c>
      <c r="AC180" s="6">
        <v>0</v>
      </c>
      <c r="AD180" s="6">
        <v>0</v>
      </c>
      <c r="AE180" s="6">
        <v>14</v>
      </c>
      <c r="AF180" s="5">
        <v>2.8241571565647324E-2</v>
      </c>
      <c r="AG180" s="5">
        <v>1.9525234439272805E-2</v>
      </c>
      <c r="AH180" s="6">
        <v>0</v>
      </c>
      <c r="AI180" s="6">
        <v>1</v>
      </c>
      <c r="AJ180" s="6">
        <v>104</v>
      </c>
    </row>
    <row r="181" spans="1:37" x14ac:dyDescent="0.45">
      <c r="A181" s="4" t="s">
        <v>30</v>
      </c>
      <c r="B181" s="5">
        <v>0.13367672028482241</v>
      </c>
      <c r="C181" s="5">
        <v>6.7499531890097414E-2</v>
      </c>
      <c r="D181" s="6">
        <v>0</v>
      </c>
      <c r="E181" s="6">
        <v>1</v>
      </c>
      <c r="F181" s="6">
        <v>29</v>
      </c>
      <c r="G181" s="5">
        <v>0</v>
      </c>
      <c r="H181" s="5">
        <v>0</v>
      </c>
      <c r="I181" s="6">
        <v>0</v>
      </c>
      <c r="J181" s="6">
        <v>0</v>
      </c>
      <c r="K181" s="6">
        <v>5</v>
      </c>
      <c r="L181" s="5">
        <v>5.2410271788350123E-2</v>
      </c>
      <c r="M181" s="5">
        <v>5.248010773581166E-2</v>
      </c>
      <c r="N181" s="6">
        <v>0</v>
      </c>
      <c r="O181" s="6">
        <v>1</v>
      </c>
      <c r="P181" s="6">
        <v>19</v>
      </c>
      <c r="Q181" s="5">
        <v>0</v>
      </c>
      <c r="R181" s="5">
        <v>0</v>
      </c>
      <c r="S181" s="6">
        <v>0</v>
      </c>
      <c r="T181" s="6">
        <v>0</v>
      </c>
      <c r="U181" s="6">
        <v>19</v>
      </c>
      <c r="V181" s="5">
        <v>0.15550626739573795</v>
      </c>
      <c r="W181" s="5">
        <v>8.6631727868310957E-2</v>
      </c>
      <c r="X181" s="6">
        <v>0</v>
      </c>
      <c r="Y181" s="6">
        <v>1</v>
      </c>
      <c r="Z181" s="6">
        <v>18</v>
      </c>
      <c r="AA181" s="5">
        <v>0.14494874528348178</v>
      </c>
      <c r="AB181" s="5">
        <v>0.10516460199040556</v>
      </c>
      <c r="AC181" s="6">
        <v>0</v>
      </c>
      <c r="AD181" s="6">
        <v>1</v>
      </c>
      <c r="AE181" s="6">
        <v>14</v>
      </c>
      <c r="AF181" s="5">
        <v>7.1219747701667446E-2</v>
      </c>
      <c r="AG181" s="5">
        <v>2.7252423041304919E-2</v>
      </c>
      <c r="AH181" s="6">
        <v>0</v>
      </c>
      <c r="AI181" s="6">
        <v>1</v>
      </c>
      <c r="AJ181" s="6">
        <v>104</v>
      </c>
      <c r="AK181">
        <f>(AF183/AF182)-AF181</f>
        <v>2.196214773900293E-3</v>
      </c>
    </row>
    <row r="182" spans="1:37" ht="26.25" x14ac:dyDescent="0.45">
      <c r="A182" s="4" t="s">
        <v>22</v>
      </c>
      <c r="B182" s="5">
        <v>0.26511382125444838</v>
      </c>
      <c r="C182" s="5">
        <v>9.9160906951506367E-2</v>
      </c>
      <c r="D182" s="6">
        <v>0</v>
      </c>
      <c r="E182" s="6">
        <v>1</v>
      </c>
      <c r="F182" s="6">
        <v>29</v>
      </c>
      <c r="G182" s="5">
        <v>0.28413340654229741</v>
      </c>
      <c r="H182" s="5">
        <v>0.2635701019519151</v>
      </c>
      <c r="I182" s="6">
        <v>0</v>
      </c>
      <c r="J182" s="6">
        <v>1</v>
      </c>
      <c r="K182" s="6">
        <v>5</v>
      </c>
      <c r="L182" s="5">
        <v>1</v>
      </c>
      <c r="M182" s="5">
        <v>0</v>
      </c>
      <c r="N182" s="6">
        <v>1</v>
      </c>
      <c r="O182" s="6">
        <v>1</v>
      </c>
      <c r="P182" s="6">
        <v>19</v>
      </c>
      <c r="Q182" s="5">
        <v>0.89861962585941668</v>
      </c>
      <c r="R182" s="5">
        <v>9.6845778169611332E-2</v>
      </c>
      <c r="S182" s="6">
        <v>0</v>
      </c>
      <c r="T182" s="6">
        <v>1</v>
      </c>
      <c r="U182" s="6">
        <v>19</v>
      </c>
      <c r="V182" s="5">
        <v>0.94505098249148323</v>
      </c>
      <c r="W182" s="5">
        <v>5.5165329624764066E-2</v>
      </c>
      <c r="X182" s="6">
        <v>0</v>
      </c>
      <c r="Y182" s="6">
        <v>1</v>
      </c>
      <c r="Z182" s="6">
        <v>18</v>
      </c>
      <c r="AA182" s="5">
        <v>0.91590414556129873</v>
      </c>
      <c r="AB182" s="5">
        <v>5.7720093761496942E-2</v>
      </c>
      <c r="AC182" s="6">
        <v>0</v>
      </c>
      <c r="AD182" s="6">
        <v>1</v>
      </c>
      <c r="AE182" s="6">
        <v>14</v>
      </c>
      <c r="AF182" s="5">
        <v>0.67616365127076683</v>
      </c>
      <c r="AG182" s="5">
        <v>6.6180623554006821E-2</v>
      </c>
      <c r="AH182" s="6">
        <v>0</v>
      </c>
      <c r="AI182" s="6">
        <v>1</v>
      </c>
      <c r="AJ182" s="6">
        <v>104</v>
      </c>
      <c r="AK182">
        <f>(AF183/AF181)-AF182</f>
        <v>2.0850966879519706E-2</v>
      </c>
    </row>
    <row r="183" spans="1:37" ht="26.25" x14ac:dyDescent="0.45">
      <c r="A183" s="4" t="s">
        <v>89</v>
      </c>
      <c r="B183" s="5">
        <v>7.3987091538873048E-2</v>
      </c>
      <c r="C183" s="5">
        <v>5.1908162785215629E-2</v>
      </c>
      <c r="D183" s="6">
        <v>0</v>
      </c>
      <c r="E183" s="6">
        <v>1</v>
      </c>
      <c r="F183" s="6">
        <v>29</v>
      </c>
      <c r="G183" s="5">
        <v>0</v>
      </c>
      <c r="H183" s="5">
        <v>0</v>
      </c>
      <c r="I183" s="6">
        <v>0</v>
      </c>
      <c r="J183" s="6">
        <v>0</v>
      </c>
      <c r="K183" s="6">
        <v>5</v>
      </c>
      <c r="L183" s="5">
        <v>5.2410271788350123E-2</v>
      </c>
      <c r="M183" s="5">
        <v>5.248010773581166E-2</v>
      </c>
      <c r="N183" s="6">
        <v>0</v>
      </c>
      <c r="O183" s="6">
        <v>1</v>
      </c>
      <c r="P183" s="6">
        <v>19</v>
      </c>
      <c r="Q183" s="5">
        <v>0</v>
      </c>
      <c r="R183" s="5">
        <v>0</v>
      </c>
      <c r="S183" s="6">
        <v>0</v>
      </c>
      <c r="T183" s="6">
        <v>0</v>
      </c>
      <c r="U183" s="6">
        <v>19</v>
      </c>
      <c r="V183" s="5">
        <v>0.10055724988722109</v>
      </c>
      <c r="W183" s="5">
        <v>7.0534767449922611E-2</v>
      </c>
      <c r="X183" s="6">
        <v>0</v>
      </c>
      <c r="Y183" s="6">
        <v>1</v>
      </c>
      <c r="Z183" s="6">
        <v>18</v>
      </c>
      <c r="AA183" s="5">
        <v>9.7308248581917819E-2</v>
      </c>
      <c r="AB183" s="5">
        <v>9.5663044906004094E-2</v>
      </c>
      <c r="AC183" s="6">
        <v>0</v>
      </c>
      <c r="AD183" s="6">
        <v>1</v>
      </c>
      <c r="AE183" s="6">
        <v>14</v>
      </c>
      <c r="AF183" s="5">
        <v>4.9641205249037486E-2</v>
      </c>
      <c r="AG183" s="5">
        <v>2.4125423191709953E-2</v>
      </c>
      <c r="AH183" s="6">
        <v>0</v>
      </c>
      <c r="AI183" s="6">
        <v>1</v>
      </c>
      <c r="AJ183" s="6">
        <v>104</v>
      </c>
    </row>
    <row r="184" spans="1:37" x14ac:dyDescent="0.45">
      <c r="A184" s="4" t="s">
        <v>30</v>
      </c>
      <c r="B184" s="5">
        <v>0.13367672028482241</v>
      </c>
      <c r="C184" s="5">
        <v>6.7499531890097414E-2</v>
      </c>
      <c r="D184" s="6">
        <v>0</v>
      </c>
      <c r="E184" s="6">
        <v>1</v>
      </c>
      <c r="F184" s="6">
        <v>29</v>
      </c>
      <c r="G184" s="5">
        <v>0</v>
      </c>
      <c r="H184" s="5">
        <v>0</v>
      </c>
      <c r="I184" s="6">
        <v>0</v>
      </c>
      <c r="J184" s="6">
        <v>0</v>
      </c>
      <c r="K184" s="6">
        <v>5</v>
      </c>
      <c r="L184" s="5">
        <v>5.2410271788350123E-2</v>
      </c>
      <c r="M184" s="5">
        <v>5.248010773581166E-2</v>
      </c>
      <c r="N184" s="6">
        <v>0</v>
      </c>
      <c r="O184" s="6">
        <v>1</v>
      </c>
      <c r="P184" s="6">
        <v>19</v>
      </c>
      <c r="Q184" s="5">
        <v>0</v>
      </c>
      <c r="R184" s="5">
        <v>0</v>
      </c>
      <c r="S184" s="6">
        <v>0</v>
      </c>
      <c r="T184" s="6">
        <v>0</v>
      </c>
      <c r="U184" s="6">
        <v>19</v>
      </c>
      <c r="V184" s="5">
        <v>0.15550626739573795</v>
      </c>
      <c r="W184" s="5">
        <v>8.6631727868310957E-2</v>
      </c>
      <c r="X184" s="6">
        <v>0</v>
      </c>
      <c r="Y184" s="6">
        <v>1</v>
      </c>
      <c r="Z184" s="6">
        <v>18</v>
      </c>
      <c r="AA184" s="5">
        <v>0.14494874528348178</v>
      </c>
      <c r="AB184" s="5">
        <v>0.10516460199040556</v>
      </c>
      <c r="AC184" s="6">
        <v>0</v>
      </c>
      <c r="AD184" s="6">
        <v>1</v>
      </c>
      <c r="AE184" s="6">
        <v>14</v>
      </c>
      <c r="AF184" s="5">
        <v>7.1219747701667446E-2</v>
      </c>
      <c r="AG184" s="5">
        <v>2.7252423041304919E-2</v>
      </c>
      <c r="AH184" s="6">
        <v>0</v>
      </c>
      <c r="AI184" s="6">
        <v>1</v>
      </c>
      <c r="AJ184" s="6">
        <v>104</v>
      </c>
      <c r="AK184">
        <f>(AF186/AF185)-AF184</f>
        <v>-3.1321714665807354E-3</v>
      </c>
    </row>
    <row r="185" spans="1:37" ht="26.25" x14ac:dyDescent="0.45">
      <c r="A185" s="4" t="s">
        <v>24</v>
      </c>
      <c r="B185" s="5">
        <v>0.23600168674140035</v>
      </c>
      <c r="C185" s="5">
        <v>9.8121570578696957E-2</v>
      </c>
      <c r="D185" s="6">
        <v>0</v>
      </c>
      <c r="E185" s="6">
        <v>1</v>
      </c>
      <c r="F185" s="6">
        <v>29</v>
      </c>
      <c r="G185" s="5">
        <v>0.28413340654229741</v>
      </c>
      <c r="H185" s="5">
        <v>0.2635701019519151</v>
      </c>
      <c r="I185" s="6">
        <v>0</v>
      </c>
      <c r="J185" s="6">
        <v>1</v>
      </c>
      <c r="K185" s="6">
        <v>5</v>
      </c>
      <c r="L185" s="5">
        <v>1</v>
      </c>
      <c r="M185" s="5">
        <v>0</v>
      </c>
      <c r="N185" s="6">
        <v>1</v>
      </c>
      <c r="O185" s="6">
        <v>1</v>
      </c>
      <c r="P185" s="6">
        <v>19</v>
      </c>
      <c r="Q185" s="5">
        <v>0.89861962585941668</v>
      </c>
      <c r="R185" s="5">
        <v>9.6845778169611332E-2</v>
      </c>
      <c r="S185" s="6">
        <v>0</v>
      </c>
      <c r="T185" s="6">
        <v>1</v>
      </c>
      <c r="U185" s="6">
        <v>19</v>
      </c>
      <c r="V185" s="5">
        <v>0.86634111546445414</v>
      </c>
      <c r="W185" s="5">
        <v>8.7661072043173624E-2</v>
      </c>
      <c r="X185" s="6">
        <v>0</v>
      </c>
      <c r="Y185" s="6">
        <v>1</v>
      </c>
      <c r="Z185" s="6">
        <v>18</v>
      </c>
      <c r="AA185" s="5">
        <v>0.68542702638902031</v>
      </c>
      <c r="AB185" s="5">
        <v>0.14449500923918335</v>
      </c>
      <c r="AC185" s="6">
        <v>0</v>
      </c>
      <c r="AD185" s="6">
        <v>1</v>
      </c>
      <c r="AE185" s="6">
        <v>14</v>
      </c>
      <c r="AF185" s="5">
        <v>0.65121302184637453</v>
      </c>
      <c r="AG185" s="5">
        <v>6.6128687462899488E-2</v>
      </c>
      <c r="AH185" s="6">
        <v>0</v>
      </c>
      <c r="AI185" s="6">
        <v>1</v>
      </c>
      <c r="AJ185" s="6">
        <v>104</v>
      </c>
      <c r="AK185">
        <f>(AF186/AF184)-AF185</f>
        <v>-2.8639680868249862E-2</v>
      </c>
    </row>
    <row r="186" spans="1:37" ht="26.25" x14ac:dyDescent="0.45">
      <c r="A186" s="4" t="s">
        <v>90</v>
      </c>
      <c r="B186" s="5">
        <v>7.3987091538873048E-2</v>
      </c>
      <c r="C186" s="5">
        <v>5.1908162785215629E-2</v>
      </c>
      <c r="D186" s="6">
        <v>0</v>
      </c>
      <c r="E186" s="6">
        <v>1</v>
      </c>
      <c r="F186" s="6">
        <v>29</v>
      </c>
      <c r="G186" s="5">
        <v>0</v>
      </c>
      <c r="H186" s="5">
        <v>0</v>
      </c>
      <c r="I186" s="6">
        <v>0</v>
      </c>
      <c r="J186" s="6">
        <v>0</v>
      </c>
      <c r="K186" s="6">
        <v>5</v>
      </c>
      <c r="L186" s="5">
        <v>5.2410271788350123E-2</v>
      </c>
      <c r="M186" s="5">
        <v>5.248010773581166E-2</v>
      </c>
      <c r="N186" s="6">
        <v>0</v>
      </c>
      <c r="O186" s="6">
        <v>1</v>
      </c>
      <c r="P186" s="6">
        <v>19</v>
      </c>
      <c r="Q186" s="5">
        <v>0</v>
      </c>
      <c r="R186" s="5">
        <v>0</v>
      </c>
      <c r="S186" s="6">
        <v>0</v>
      </c>
      <c r="T186" s="6">
        <v>0</v>
      </c>
      <c r="U186" s="6">
        <v>19</v>
      </c>
      <c r="V186" s="5">
        <v>0.10055724988722109</v>
      </c>
      <c r="W186" s="5">
        <v>7.0534767449922611E-2</v>
      </c>
      <c r="X186" s="6">
        <v>0</v>
      </c>
      <c r="Y186" s="6">
        <v>1</v>
      </c>
      <c r="Z186" s="6">
        <v>18</v>
      </c>
      <c r="AA186" s="5">
        <v>0</v>
      </c>
      <c r="AB186" s="5">
        <v>0</v>
      </c>
      <c r="AC186" s="6">
        <v>0</v>
      </c>
      <c r="AD186" s="6">
        <v>0</v>
      </c>
      <c r="AE186" s="6">
        <v>14</v>
      </c>
      <c r="AF186" s="5">
        <v>4.4339516270246217E-2</v>
      </c>
      <c r="AG186" s="5">
        <v>2.3525080396030133E-2</v>
      </c>
      <c r="AH186" s="6">
        <v>0</v>
      </c>
      <c r="AI186" s="6">
        <v>1</v>
      </c>
      <c r="AJ186" s="6">
        <v>104</v>
      </c>
    </row>
    <row r="187" spans="1:37" x14ac:dyDescent="0.45">
      <c r="A187" s="4" t="s">
        <v>32</v>
      </c>
      <c r="B187" s="5">
        <v>4.300104465507152E-2</v>
      </c>
      <c r="C187" s="5">
        <v>3.8529376428579974E-2</v>
      </c>
      <c r="D187" s="6">
        <v>0</v>
      </c>
      <c r="E187" s="6">
        <v>1</v>
      </c>
      <c r="F187" s="6">
        <v>29</v>
      </c>
      <c r="G187" s="5">
        <v>0</v>
      </c>
      <c r="H187" s="5">
        <v>0</v>
      </c>
      <c r="I187" s="6">
        <v>0</v>
      </c>
      <c r="J187" s="6">
        <v>0</v>
      </c>
      <c r="K187" s="6">
        <v>5</v>
      </c>
      <c r="L187" s="5">
        <v>0.32310688832667722</v>
      </c>
      <c r="M187" s="5">
        <v>0.11194939263044702</v>
      </c>
      <c r="N187" s="6">
        <v>0</v>
      </c>
      <c r="O187" s="6">
        <v>1</v>
      </c>
      <c r="P187" s="6">
        <v>19</v>
      </c>
      <c r="Q187" s="5">
        <v>0.41381121420178746</v>
      </c>
      <c r="R187" s="5">
        <v>0.12969928853703966</v>
      </c>
      <c r="S187" s="6">
        <v>0</v>
      </c>
      <c r="T187" s="6">
        <v>1</v>
      </c>
      <c r="U187" s="6">
        <v>19</v>
      </c>
      <c r="V187" s="5">
        <v>0.23553150148432661</v>
      </c>
      <c r="W187" s="5">
        <v>0.10224133114104708</v>
      </c>
      <c r="X187" s="6">
        <v>0</v>
      </c>
      <c r="Y187" s="6">
        <v>1</v>
      </c>
      <c r="Z187" s="6">
        <v>18</v>
      </c>
      <c r="AA187" s="5">
        <v>0.62380644277621733</v>
      </c>
      <c r="AB187" s="5">
        <v>0.15335862727964425</v>
      </c>
      <c r="AC187" s="6">
        <v>0</v>
      </c>
      <c r="AD187" s="6">
        <v>1</v>
      </c>
      <c r="AE187" s="6">
        <v>14</v>
      </c>
      <c r="AF187" s="5">
        <v>0.21962332207176813</v>
      </c>
      <c r="AG187" s="5">
        <v>4.9938905008240317E-2</v>
      </c>
      <c r="AH187" s="6">
        <v>0</v>
      </c>
      <c r="AI187" s="6">
        <v>1</v>
      </c>
      <c r="AJ187" s="6">
        <v>104</v>
      </c>
      <c r="AK187">
        <f>(AF189/AF188)-AF187</f>
        <v>-0.13497747347382055</v>
      </c>
    </row>
    <row r="188" spans="1:37" x14ac:dyDescent="0.45">
      <c r="A188" s="4" t="s">
        <v>36</v>
      </c>
      <c r="B188" s="5">
        <v>0.75033349718812381</v>
      </c>
      <c r="C188" s="5">
        <v>0.11113628937183456</v>
      </c>
      <c r="D188" s="6">
        <v>0</v>
      </c>
      <c r="E188" s="6">
        <v>1</v>
      </c>
      <c r="F188" s="6">
        <v>28</v>
      </c>
      <c r="G188" s="5">
        <v>0.69890286206955909</v>
      </c>
      <c r="H188" s="5">
        <v>0.26064905237909602</v>
      </c>
      <c r="I188" s="6">
        <v>0</v>
      </c>
      <c r="J188" s="6">
        <v>1</v>
      </c>
      <c r="K188" s="6">
        <v>5</v>
      </c>
      <c r="L188" s="5">
        <v>7.6528749224782755E-2</v>
      </c>
      <c r="M188" s="5">
        <v>6.4008315307330796E-2</v>
      </c>
      <c r="N188" s="6">
        <v>0</v>
      </c>
      <c r="O188" s="6">
        <v>1</v>
      </c>
      <c r="P188" s="6">
        <v>16</v>
      </c>
      <c r="Q188" s="5">
        <v>0.13638212532932661</v>
      </c>
      <c r="R188" s="5">
        <v>0.12489587163927413</v>
      </c>
      <c r="S188" s="6">
        <v>0</v>
      </c>
      <c r="T188" s="6">
        <v>1</v>
      </c>
      <c r="U188" s="6">
        <v>19</v>
      </c>
      <c r="V188" s="5">
        <v>0.35584441822330487</v>
      </c>
      <c r="W188" s="5">
        <v>0.12202753204157965</v>
      </c>
      <c r="X188" s="6">
        <v>0</v>
      </c>
      <c r="Y188" s="6">
        <v>1</v>
      </c>
      <c r="Z188" s="6">
        <v>18</v>
      </c>
      <c r="AA188" s="5">
        <v>0.74429546837714122</v>
      </c>
      <c r="AB188" s="5">
        <v>0.12930236493328284</v>
      </c>
      <c r="AC188" s="6">
        <v>0</v>
      </c>
      <c r="AD188" s="6">
        <v>1</v>
      </c>
      <c r="AE188" s="6">
        <v>14</v>
      </c>
      <c r="AF188" s="5">
        <v>0.42925514319553509</v>
      </c>
      <c r="AG188" s="5">
        <v>6.917480911456024E-2</v>
      </c>
      <c r="AH188" s="6">
        <v>0</v>
      </c>
      <c r="AI188" s="6">
        <v>1</v>
      </c>
      <c r="AJ188" s="6">
        <v>100</v>
      </c>
      <c r="AK188">
        <f>(AF189/AF187)-AF188</f>
        <v>-0.26381430786864668</v>
      </c>
    </row>
    <row r="189" spans="1:37" x14ac:dyDescent="0.45">
      <c r="A189" s="4" t="s">
        <v>91</v>
      </c>
      <c r="B189" s="5">
        <v>4.3768328287058816E-2</v>
      </c>
      <c r="C189" s="5">
        <v>3.9247563320719027E-2</v>
      </c>
      <c r="D189" s="6">
        <v>0</v>
      </c>
      <c r="E189" s="6">
        <v>1</v>
      </c>
      <c r="F189" s="6">
        <v>28</v>
      </c>
      <c r="G189" s="5">
        <v>0</v>
      </c>
      <c r="H189" s="5">
        <v>0</v>
      </c>
      <c r="I189" s="6">
        <v>0</v>
      </c>
      <c r="J189" s="6">
        <v>0</v>
      </c>
      <c r="K189" s="6">
        <v>5</v>
      </c>
      <c r="L189" s="5">
        <v>0</v>
      </c>
      <c r="M189" s="5">
        <v>0</v>
      </c>
      <c r="N189" s="6">
        <v>0</v>
      </c>
      <c r="O189" s="6">
        <v>0</v>
      </c>
      <c r="P189" s="6">
        <v>16</v>
      </c>
      <c r="Q189" s="5">
        <v>0</v>
      </c>
      <c r="R189" s="5">
        <v>0</v>
      </c>
      <c r="S189" s="6">
        <v>0</v>
      </c>
      <c r="T189" s="6">
        <v>0</v>
      </c>
      <c r="U189" s="6">
        <v>19</v>
      </c>
      <c r="V189" s="5">
        <v>4.5608232378704205E-2</v>
      </c>
      <c r="W189" s="5">
        <v>4.6234898232649681E-2</v>
      </c>
      <c r="X189" s="6">
        <v>0</v>
      </c>
      <c r="Y189" s="6">
        <v>1</v>
      </c>
      <c r="Z189" s="6">
        <v>18</v>
      </c>
      <c r="AA189" s="5">
        <v>0.36810191115335855</v>
      </c>
      <c r="AB189" s="5">
        <v>0.15475121092779784</v>
      </c>
      <c r="AC189" s="6">
        <v>0</v>
      </c>
      <c r="AD189" s="6">
        <v>1</v>
      </c>
      <c r="AE189" s="6">
        <v>14</v>
      </c>
      <c r="AF189" s="5">
        <v>3.6334665860819571E-2</v>
      </c>
      <c r="AG189" s="5">
        <v>1.6069042586817229E-2</v>
      </c>
      <c r="AH189" s="6">
        <v>0</v>
      </c>
      <c r="AI189" s="6">
        <v>1</v>
      </c>
      <c r="AJ189" s="6">
        <v>100</v>
      </c>
    </row>
    <row r="190" spans="1:37" x14ac:dyDescent="0.45">
      <c r="A190" s="4" t="s">
        <v>32</v>
      </c>
      <c r="B190" s="5">
        <v>4.300104465507152E-2</v>
      </c>
      <c r="C190" s="5">
        <v>3.8529376428579974E-2</v>
      </c>
      <c r="D190" s="6">
        <v>0</v>
      </c>
      <c r="E190" s="6">
        <v>1</v>
      </c>
      <c r="F190" s="6">
        <v>29</v>
      </c>
      <c r="G190" s="5">
        <v>0</v>
      </c>
      <c r="H190" s="5">
        <v>0</v>
      </c>
      <c r="I190" s="6">
        <v>0</v>
      </c>
      <c r="J190" s="6">
        <v>0</v>
      </c>
      <c r="K190" s="6">
        <v>5</v>
      </c>
      <c r="L190" s="5">
        <v>0.32310688832667722</v>
      </c>
      <c r="M190" s="5">
        <v>0.11194939263044702</v>
      </c>
      <c r="N190" s="6">
        <v>0</v>
      </c>
      <c r="O190" s="6">
        <v>1</v>
      </c>
      <c r="P190" s="6">
        <v>19</v>
      </c>
      <c r="Q190" s="5">
        <v>0.41381121420178746</v>
      </c>
      <c r="R190" s="5">
        <v>0.12969928853703966</v>
      </c>
      <c r="S190" s="6">
        <v>0</v>
      </c>
      <c r="T190" s="6">
        <v>1</v>
      </c>
      <c r="U190" s="6">
        <v>19</v>
      </c>
      <c r="V190" s="5">
        <v>0.23553150148432661</v>
      </c>
      <c r="W190" s="5">
        <v>0.10224133114104708</v>
      </c>
      <c r="X190" s="6">
        <v>0</v>
      </c>
      <c r="Y190" s="6">
        <v>1</v>
      </c>
      <c r="Z190" s="6">
        <v>18</v>
      </c>
      <c r="AA190" s="5">
        <v>0.62380644277621733</v>
      </c>
      <c r="AB190" s="5">
        <v>0.15335862727964425</v>
      </c>
      <c r="AC190" s="6">
        <v>0</v>
      </c>
      <c r="AD190" s="6">
        <v>1</v>
      </c>
      <c r="AE190" s="6">
        <v>14</v>
      </c>
      <c r="AF190" s="5">
        <v>0.21962332207176813</v>
      </c>
      <c r="AG190" s="5">
        <v>4.9938905008240317E-2</v>
      </c>
      <c r="AH190" s="6">
        <v>0</v>
      </c>
      <c r="AI190" s="6">
        <v>1</v>
      </c>
      <c r="AJ190" s="6">
        <v>104</v>
      </c>
      <c r="AK190">
        <f>(AF192/AF191)-AF190</f>
        <v>0.11261458649237141</v>
      </c>
    </row>
    <row r="191" spans="1:37" ht="26.25" x14ac:dyDescent="0.45">
      <c r="A191" s="4" t="s">
        <v>38</v>
      </c>
      <c r="B191" s="5">
        <v>0</v>
      </c>
      <c r="C191" s="5">
        <v>0</v>
      </c>
      <c r="D191" s="6">
        <v>0</v>
      </c>
      <c r="E191" s="6">
        <v>0</v>
      </c>
      <c r="F191" s="6">
        <v>29</v>
      </c>
      <c r="G191" s="5">
        <v>0</v>
      </c>
      <c r="H191" s="5">
        <v>0</v>
      </c>
      <c r="I191" s="6">
        <v>0</v>
      </c>
      <c r="J191" s="6">
        <v>0</v>
      </c>
      <c r="K191" s="6">
        <v>5</v>
      </c>
      <c r="L191" s="5">
        <v>0.94219031834334444</v>
      </c>
      <c r="M191" s="5">
        <v>5.7556730985345819E-2</v>
      </c>
      <c r="N191" s="6">
        <v>0</v>
      </c>
      <c r="O191" s="6">
        <v>1</v>
      </c>
      <c r="P191" s="6">
        <v>19</v>
      </c>
      <c r="Q191" s="5">
        <v>0.23215855473296679</v>
      </c>
      <c r="R191" s="5">
        <v>9.9015389508305698E-2</v>
      </c>
      <c r="S191" s="6">
        <v>0</v>
      </c>
      <c r="T191" s="6">
        <v>1</v>
      </c>
      <c r="U191" s="6">
        <v>19</v>
      </c>
      <c r="V191" s="5">
        <v>0.47441656189365872</v>
      </c>
      <c r="W191" s="5">
        <v>0.1275876604219422</v>
      </c>
      <c r="X191" s="6">
        <v>0</v>
      </c>
      <c r="Y191" s="6">
        <v>1</v>
      </c>
      <c r="Z191" s="6">
        <v>18</v>
      </c>
      <c r="AA191" s="5">
        <v>0.50100347893857933</v>
      </c>
      <c r="AB191" s="5">
        <v>0.15741214876712428</v>
      </c>
      <c r="AC191" s="6">
        <v>0</v>
      </c>
      <c r="AD191" s="6">
        <v>1</v>
      </c>
      <c r="AE191" s="6">
        <v>14</v>
      </c>
      <c r="AF191" s="5">
        <v>0.41945825525041158</v>
      </c>
      <c r="AG191" s="5">
        <v>6.5895940178938919E-2</v>
      </c>
      <c r="AH191" s="6">
        <v>0</v>
      </c>
      <c r="AI191" s="6">
        <v>1</v>
      </c>
      <c r="AJ191" s="6">
        <v>104</v>
      </c>
      <c r="AK191">
        <f>(AF192/AF190)-AF191</f>
        <v>0.21508243077390754</v>
      </c>
    </row>
    <row r="192" spans="1:37" ht="26.25" x14ac:dyDescent="0.45">
      <c r="A192" s="4" t="s">
        <v>92</v>
      </c>
      <c r="B192" s="5">
        <v>0</v>
      </c>
      <c r="C192" s="5">
        <v>0</v>
      </c>
      <c r="D192" s="6">
        <v>0</v>
      </c>
      <c r="E192" s="6">
        <v>0</v>
      </c>
      <c r="F192" s="6">
        <v>29</v>
      </c>
      <c r="G192" s="5">
        <v>0</v>
      </c>
      <c r="H192" s="5">
        <v>0</v>
      </c>
      <c r="I192" s="6">
        <v>0</v>
      </c>
      <c r="J192" s="6">
        <v>0</v>
      </c>
      <c r="K192" s="6">
        <v>5</v>
      </c>
      <c r="L192" s="5">
        <v>0.32310688832667722</v>
      </c>
      <c r="M192" s="5">
        <v>0.11194939263044702</v>
      </c>
      <c r="N192" s="6">
        <v>0</v>
      </c>
      <c r="O192" s="6">
        <v>1</v>
      </c>
      <c r="P192" s="6">
        <v>19</v>
      </c>
      <c r="Q192" s="5">
        <v>5.3124836939256445E-2</v>
      </c>
      <c r="R192" s="5">
        <v>5.3506400213910184E-2</v>
      </c>
      <c r="S192" s="6">
        <v>0</v>
      </c>
      <c r="T192" s="6">
        <v>1</v>
      </c>
      <c r="U192" s="6">
        <v>19</v>
      </c>
      <c r="V192" s="5">
        <v>0.10055724988722109</v>
      </c>
      <c r="W192" s="5">
        <v>7.0534767449922611E-2</v>
      </c>
      <c r="X192" s="6">
        <v>0</v>
      </c>
      <c r="Y192" s="6">
        <v>1</v>
      </c>
      <c r="Z192" s="6">
        <v>18</v>
      </c>
      <c r="AA192" s="5">
        <v>0.20995463922397484</v>
      </c>
      <c r="AB192" s="5">
        <v>0.13030929519517795</v>
      </c>
      <c r="AC192" s="6">
        <v>0</v>
      </c>
      <c r="AD192" s="6">
        <v>1</v>
      </c>
      <c r="AE192" s="6">
        <v>14</v>
      </c>
      <c r="AF192" s="5">
        <v>0.13935993345435974</v>
      </c>
      <c r="AG192" s="5">
        <v>4.554455648535076E-2</v>
      </c>
      <c r="AH192" s="6">
        <v>0</v>
      </c>
      <c r="AI192" s="6">
        <v>1</v>
      </c>
      <c r="AJ192" s="6">
        <v>104</v>
      </c>
    </row>
    <row r="193" spans="1:37" x14ac:dyDescent="0.45">
      <c r="A193" s="4" t="s">
        <v>32</v>
      </c>
      <c r="B193" s="5">
        <v>4.300104465507152E-2</v>
      </c>
      <c r="C193" s="5">
        <v>3.8529376428579974E-2</v>
      </c>
      <c r="D193" s="6">
        <v>0</v>
      </c>
      <c r="E193" s="6">
        <v>1</v>
      </c>
      <c r="F193" s="6">
        <v>29</v>
      </c>
      <c r="G193" s="5">
        <v>0</v>
      </c>
      <c r="H193" s="5">
        <v>0</v>
      </c>
      <c r="I193" s="6">
        <v>0</v>
      </c>
      <c r="J193" s="6">
        <v>0</v>
      </c>
      <c r="K193" s="6">
        <v>5</v>
      </c>
      <c r="L193" s="5">
        <v>0.32310688832667722</v>
      </c>
      <c r="M193" s="5">
        <v>0.11194939263044702</v>
      </c>
      <c r="N193" s="6">
        <v>0</v>
      </c>
      <c r="O193" s="6">
        <v>1</v>
      </c>
      <c r="P193" s="6">
        <v>19</v>
      </c>
      <c r="Q193" s="5">
        <v>0.41381121420178746</v>
      </c>
      <c r="R193" s="5">
        <v>0.12969928853703966</v>
      </c>
      <c r="S193" s="6">
        <v>0</v>
      </c>
      <c r="T193" s="6">
        <v>1</v>
      </c>
      <c r="U193" s="6">
        <v>19</v>
      </c>
      <c r="V193" s="5">
        <v>0.23553150148432661</v>
      </c>
      <c r="W193" s="5">
        <v>0.10224133114104708</v>
      </c>
      <c r="X193" s="6">
        <v>0</v>
      </c>
      <c r="Y193" s="6">
        <v>1</v>
      </c>
      <c r="Z193" s="6">
        <v>18</v>
      </c>
      <c r="AA193" s="5">
        <v>0.62380644277621733</v>
      </c>
      <c r="AB193" s="5">
        <v>0.15335862727964425</v>
      </c>
      <c r="AC193" s="6">
        <v>0</v>
      </c>
      <c r="AD193" s="6">
        <v>1</v>
      </c>
      <c r="AE193" s="6">
        <v>14</v>
      </c>
      <c r="AF193" s="5">
        <v>0.21962332207176813</v>
      </c>
      <c r="AG193" s="5">
        <v>4.9938905008240317E-2</v>
      </c>
      <c r="AH193" s="6">
        <v>0</v>
      </c>
      <c r="AI193" s="6">
        <v>1</v>
      </c>
      <c r="AJ193" s="6">
        <v>104</v>
      </c>
      <c r="AK193">
        <f>(AF195/AF194)-AF193</f>
        <v>6.1807167142536895E-2</v>
      </c>
    </row>
    <row r="194" spans="1:37" x14ac:dyDescent="0.45">
      <c r="A194" s="4" t="s">
        <v>40</v>
      </c>
      <c r="B194" s="5">
        <v>0.23600168674140035</v>
      </c>
      <c r="C194" s="5">
        <v>9.8121570578696957E-2</v>
      </c>
      <c r="D194" s="6">
        <v>0</v>
      </c>
      <c r="E194" s="6">
        <v>1</v>
      </c>
      <c r="F194" s="6">
        <v>29</v>
      </c>
      <c r="G194" s="5">
        <v>0.28413340654229741</v>
      </c>
      <c r="H194" s="5">
        <v>0.2635701019519151</v>
      </c>
      <c r="I194" s="6">
        <v>0</v>
      </c>
      <c r="J194" s="6">
        <v>1</v>
      </c>
      <c r="K194" s="6">
        <v>5</v>
      </c>
      <c r="L194" s="5">
        <v>1</v>
      </c>
      <c r="M194" s="5">
        <v>0</v>
      </c>
      <c r="N194" s="6">
        <v>1</v>
      </c>
      <c r="O194" s="6">
        <v>1</v>
      </c>
      <c r="P194" s="6">
        <v>19</v>
      </c>
      <c r="Q194" s="5">
        <v>0.85289731615094222</v>
      </c>
      <c r="R194" s="5">
        <v>0.10368836461541529</v>
      </c>
      <c r="S194" s="6">
        <v>0</v>
      </c>
      <c r="T194" s="6">
        <v>1</v>
      </c>
      <c r="U194" s="6">
        <v>19</v>
      </c>
      <c r="V194" s="5">
        <v>0.86634111546445414</v>
      </c>
      <c r="W194" s="5">
        <v>8.7661072043173624E-2</v>
      </c>
      <c r="X194" s="6">
        <v>0</v>
      </c>
      <c r="Y194" s="6">
        <v>1</v>
      </c>
      <c r="Z194" s="6">
        <v>18</v>
      </c>
      <c r="AA194" s="5">
        <v>0.68542702638902031</v>
      </c>
      <c r="AB194" s="5">
        <v>0.14449500923918335</v>
      </c>
      <c r="AC194" s="6">
        <v>0</v>
      </c>
      <c r="AD194" s="6">
        <v>1</v>
      </c>
      <c r="AE194" s="6">
        <v>14</v>
      </c>
      <c r="AF194" s="5">
        <v>0.64636059193257822</v>
      </c>
      <c r="AG194" s="5">
        <v>6.6126331124485585E-2</v>
      </c>
      <c r="AH194" s="6">
        <v>0</v>
      </c>
      <c r="AI194" s="6">
        <v>1</v>
      </c>
      <c r="AJ194" s="6">
        <v>104</v>
      </c>
      <c r="AK194">
        <f>(AF195/AF193)-AF194</f>
        <v>0.18190106935396988</v>
      </c>
    </row>
    <row r="195" spans="1:37" ht="26.25" x14ac:dyDescent="0.45">
      <c r="A195" s="4" t="s">
        <v>93</v>
      </c>
      <c r="B195" s="5">
        <v>3.8003295157684171E-2</v>
      </c>
      <c r="C195" s="5">
        <v>3.814851254383702E-2</v>
      </c>
      <c r="D195" s="6">
        <v>0</v>
      </c>
      <c r="E195" s="6">
        <v>1</v>
      </c>
      <c r="F195" s="6">
        <v>29</v>
      </c>
      <c r="G195" s="5">
        <v>0</v>
      </c>
      <c r="H195" s="5">
        <v>0</v>
      </c>
      <c r="I195" s="6">
        <v>0</v>
      </c>
      <c r="J195" s="6">
        <v>0</v>
      </c>
      <c r="K195" s="6">
        <v>5</v>
      </c>
      <c r="L195" s="5">
        <v>0.32310688832667722</v>
      </c>
      <c r="M195" s="5">
        <v>0.11194939263044702</v>
      </c>
      <c r="N195" s="6">
        <v>0</v>
      </c>
      <c r="O195" s="6">
        <v>1</v>
      </c>
      <c r="P195" s="6">
        <v>19</v>
      </c>
      <c r="Q195" s="5">
        <v>0.26670853035272951</v>
      </c>
      <c r="R195" s="5">
        <v>0.10759974227734451</v>
      </c>
      <c r="S195" s="6">
        <v>0</v>
      </c>
      <c r="T195" s="6">
        <v>1</v>
      </c>
      <c r="U195" s="6">
        <v>19</v>
      </c>
      <c r="V195" s="5">
        <v>0.17500449872086032</v>
      </c>
      <c r="W195" s="5">
        <v>9.1048086491339428E-2</v>
      </c>
      <c r="X195" s="6">
        <v>0</v>
      </c>
      <c r="Y195" s="6">
        <v>1</v>
      </c>
      <c r="Z195" s="6">
        <v>18</v>
      </c>
      <c r="AA195" s="5">
        <v>0.30923346916523775</v>
      </c>
      <c r="AB195" s="5">
        <v>0.14592704987036195</v>
      </c>
      <c r="AC195" s="6">
        <v>0</v>
      </c>
      <c r="AD195" s="6">
        <v>1</v>
      </c>
      <c r="AE195" s="6">
        <v>14</v>
      </c>
      <c r="AF195" s="5">
        <v>0.18190557759643328</v>
      </c>
      <c r="AG195" s="5">
        <v>4.7803177213556272E-2</v>
      </c>
      <c r="AH195" s="6">
        <v>0</v>
      </c>
      <c r="AI195" s="6">
        <v>1</v>
      </c>
      <c r="AJ195" s="6">
        <v>104</v>
      </c>
    </row>
    <row r="196" spans="1:37" x14ac:dyDescent="0.45">
      <c r="A196" s="4" t="s">
        <v>32</v>
      </c>
      <c r="B196" s="5">
        <v>4.300104465507152E-2</v>
      </c>
      <c r="C196" s="5">
        <v>3.8529376428579974E-2</v>
      </c>
      <c r="D196" s="6">
        <v>0</v>
      </c>
      <c r="E196" s="6">
        <v>1</v>
      </c>
      <c r="F196" s="6">
        <v>29</v>
      </c>
      <c r="G196" s="5">
        <v>0</v>
      </c>
      <c r="H196" s="5">
        <v>0</v>
      </c>
      <c r="I196" s="6">
        <v>0</v>
      </c>
      <c r="J196" s="6">
        <v>0</v>
      </c>
      <c r="K196" s="6">
        <v>5</v>
      </c>
      <c r="L196" s="5">
        <v>0.32310688832667722</v>
      </c>
      <c r="M196" s="5">
        <v>0.11194939263044702</v>
      </c>
      <c r="N196" s="6">
        <v>0</v>
      </c>
      <c r="O196" s="6">
        <v>1</v>
      </c>
      <c r="P196" s="6">
        <v>19</v>
      </c>
      <c r="Q196" s="5">
        <v>0.41381121420178746</v>
      </c>
      <c r="R196" s="5">
        <v>0.12969928853703966</v>
      </c>
      <c r="S196" s="6">
        <v>0</v>
      </c>
      <c r="T196" s="6">
        <v>1</v>
      </c>
      <c r="U196" s="6">
        <v>19</v>
      </c>
      <c r="V196" s="5">
        <v>0.23553150148432661</v>
      </c>
      <c r="W196" s="5">
        <v>0.10224133114104708</v>
      </c>
      <c r="X196" s="6">
        <v>0</v>
      </c>
      <c r="Y196" s="6">
        <v>1</v>
      </c>
      <c r="Z196" s="6">
        <v>18</v>
      </c>
      <c r="AA196" s="5">
        <v>0.62380644277621733</v>
      </c>
      <c r="AB196" s="5">
        <v>0.15335862727964425</v>
      </c>
      <c r="AC196" s="6">
        <v>0</v>
      </c>
      <c r="AD196" s="6">
        <v>1</v>
      </c>
      <c r="AE196" s="6">
        <v>14</v>
      </c>
      <c r="AF196" s="5">
        <v>0.21962332207176813</v>
      </c>
      <c r="AG196" s="5">
        <v>4.9938905008240317E-2</v>
      </c>
      <c r="AH196" s="6">
        <v>0</v>
      </c>
      <c r="AI196" s="6">
        <v>1</v>
      </c>
      <c r="AJ196" s="6">
        <v>104</v>
      </c>
      <c r="AK196">
        <f>(AF198/AF197)-AF196</f>
        <v>8.7900375054863172E-2</v>
      </c>
    </row>
    <row r="197" spans="1:37" x14ac:dyDescent="0.45">
      <c r="A197" s="4" t="s">
        <v>42</v>
      </c>
      <c r="B197" s="5">
        <v>0.14679233898869379</v>
      </c>
      <c r="C197" s="5">
        <v>7.21952874481087E-2</v>
      </c>
      <c r="D197" s="6">
        <v>0</v>
      </c>
      <c r="E197" s="6">
        <v>1</v>
      </c>
      <c r="F197" s="6">
        <v>29</v>
      </c>
      <c r="G197" s="5">
        <v>0.28413340654229741</v>
      </c>
      <c r="H197" s="5">
        <v>0.2635701019519151</v>
      </c>
      <c r="I197" s="6">
        <v>0</v>
      </c>
      <c r="J197" s="6">
        <v>1</v>
      </c>
      <c r="K197" s="6">
        <v>5</v>
      </c>
      <c r="L197" s="5">
        <v>0.83743216794734465</v>
      </c>
      <c r="M197" s="5">
        <v>8.8339131816845065E-2</v>
      </c>
      <c r="N197" s="6">
        <v>0</v>
      </c>
      <c r="O197" s="6">
        <v>1</v>
      </c>
      <c r="P197" s="6">
        <v>19</v>
      </c>
      <c r="Q197" s="5">
        <v>0.89861962585941668</v>
      </c>
      <c r="R197" s="5">
        <v>9.6845778169611332E-2</v>
      </c>
      <c r="S197" s="6">
        <v>0</v>
      </c>
      <c r="T197" s="6">
        <v>1</v>
      </c>
      <c r="U197" s="6">
        <v>19</v>
      </c>
      <c r="V197" s="5">
        <v>0.94505098249148323</v>
      </c>
      <c r="W197" s="5">
        <v>5.5165329624764066E-2</v>
      </c>
      <c r="X197" s="6">
        <v>0</v>
      </c>
      <c r="Y197" s="6">
        <v>1</v>
      </c>
      <c r="Z197" s="6">
        <v>18</v>
      </c>
      <c r="AA197" s="5">
        <v>0.91590414556129873</v>
      </c>
      <c r="AB197" s="5">
        <v>5.7720093761496942E-2</v>
      </c>
      <c r="AC197" s="6">
        <v>0</v>
      </c>
      <c r="AD197" s="6">
        <v>1</v>
      </c>
      <c r="AE197" s="6">
        <v>14</v>
      </c>
      <c r="AF197" s="5">
        <v>0.5866426892711829</v>
      </c>
      <c r="AG197" s="5">
        <v>6.7909303410161284E-2</v>
      </c>
      <c r="AH197" s="6">
        <v>0</v>
      </c>
      <c r="AI197" s="6">
        <v>1</v>
      </c>
      <c r="AJ197" s="6">
        <v>104</v>
      </c>
      <c r="AK197">
        <f>(AF198/AF196)-AF197</f>
        <v>0.23479342687148608</v>
      </c>
    </row>
    <row r="198" spans="1:37" ht="26.25" x14ac:dyDescent="0.45">
      <c r="A198" s="4" t="s">
        <v>94</v>
      </c>
      <c r="B198" s="5">
        <v>3.8003295157684171E-2</v>
      </c>
      <c r="C198" s="5">
        <v>3.814851254383702E-2</v>
      </c>
      <c r="D198" s="6">
        <v>0</v>
      </c>
      <c r="E198" s="6">
        <v>1</v>
      </c>
      <c r="F198" s="6">
        <v>29</v>
      </c>
      <c r="G198" s="5">
        <v>0</v>
      </c>
      <c r="H198" s="5">
        <v>0</v>
      </c>
      <c r="I198" s="6">
        <v>0</v>
      </c>
      <c r="J198" s="6">
        <v>0</v>
      </c>
      <c r="K198" s="6">
        <v>5</v>
      </c>
      <c r="L198" s="5">
        <v>0.2695971003469631</v>
      </c>
      <c r="M198" s="5">
        <v>0.10618568230402391</v>
      </c>
      <c r="N198" s="6">
        <v>0</v>
      </c>
      <c r="O198" s="6">
        <v>1</v>
      </c>
      <c r="P198" s="6">
        <v>19</v>
      </c>
      <c r="Q198" s="5">
        <v>0.31243084006120397</v>
      </c>
      <c r="R198" s="5">
        <v>0.11404752946824341</v>
      </c>
      <c r="S198" s="6">
        <v>0</v>
      </c>
      <c r="T198" s="6">
        <v>1</v>
      </c>
      <c r="U198" s="6">
        <v>19</v>
      </c>
      <c r="V198" s="5">
        <v>0.18058248397580975</v>
      </c>
      <c r="W198" s="5">
        <v>9.1283548540657733E-2</v>
      </c>
      <c r="X198" s="6">
        <v>0</v>
      </c>
      <c r="Y198" s="6">
        <v>1</v>
      </c>
      <c r="Z198" s="6">
        <v>18</v>
      </c>
      <c r="AA198" s="5">
        <v>0.53971058833751606</v>
      </c>
      <c r="AB198" s="5">
        <v>0.15587888524556878</v>
      </c>
      <c r="AC198" s="6">
        <v>0</v>
      </c>
      <c r="AD198" s="6">
        <v>1</v>
      </c>
      <c r="AE198" s="6">
        <v>14</v>
      </c>
      <c r="AF198" s="5">
        <v>0.18040652869698373</v>
      </c>
      <c r="AG198" s="5">
        <v>4.5900815143425783E-2</v>
      </c>
      <c r="AH198" s="6">
        <v>0</v>
      </c>
      <c r="AI198" s="6">
        <v>1</v>
      </c>
      <c r="AJ198" s="6">
        <v>104</v>
      </c>
    </row>
    <row r="199" spans="1:37" x14ac:dyDescent="0.45">
      <c r="A199" s="4" t="s">
        <v>32</v>
      </c>
      <c r="B199" s="5">
        <v>4.300104465507152E-2</v>
      </c>
      <c r="C199" s="5">
        <v>3.8529376428579974E-2</v>
      </c>
      <c r="D199" s="6">
        <v>0</v>
      </c>
      <c r="E199" s="6">
        <v>1</v>
      </c>
      <c r="F199" s="6">
        <v>29</v>
      </c>
      <c r="G199" s="5">
        <v>0</v>
      </c>
      <c r="H199" s="5">
        <v>0</v>
      </c>
      <c r="I199" s="6">
        <v>0</v>
      </c>
      <c r="J199" s="6">
        <v>0</v>
      </c>
      <c r="K199" s="6">
        <v>5</v>
      </c>
      <c r="L199" s="5">
        <v>0.32310688832667722</v>
      </c>
      <c r="M199" s="5">
        <v>0.11194939263044702</v>
      </c>
      <c r="N199" s="6">
        <v>0</v>
      </c>
      <c r="O199" s="6">
        <v>1</v>
      </c>
      <c r="P199" s="6">
        <v>19</v>
      </c>
      <c r="Q199" s="5">
        <v>0.41381121420178746</v>
      </c>
      <c r="R199" s="5">
        <v>0.12969928853703966</v>
      </c>
      <c r="S199" s="6">
        <v>0</v>
      </c>
      <c r="T199" s="6">
        <v>1</v>
      </c>
      <c r="U199" s="6">
        <v>19</v>
      </c>
      <c r="V199" s="5">
        <v>0.23553150148432661</v>
      </c>
      <c r="W199" s="5">
        <v>0.10224133114104708</v>
      </c>
      <c r="X199" s="6">
        <v>0</v>
      </c>
      <c r="Y199" s="6">
        <v>1</v>
      </c>
      <c r="Z199" s="6">
        <v>18</v>
      </c>
      <c r="AA199" s="5">
        <v>0.62380644277621733</v>
      </c>
      <c r="AB199" s="5">
        <v>0.15335862727964425</v>
      </c>
      <c r="AC199" s="6">
        <v>0</v>
      </c>
      <c r="AD199" s="6">
        <v>1</v>
      </c>
      <c r="AE199" s="6">
        <v>14</v>
      </c>
      <c r="AF199" s="5">
        <v>0.21962332207176813</v>
      </c>
      <c r="AG199" s="5">
        <v>4.9938905008240317E-2</v>
      </c>
      <c r="AH199" s="6">
        <v>0</v>
      </c>
      <c r="AI199" s="6">
        <v>1</v>
      </c>
      <c r="AJ199" s="6">
        <v>104</v>
      </c>
      <c r="AK199">
        <f>(AF201/AF200)-AF199</f>
        <v>0.14295358509006276</v>
      </c>
    </row>
    <row r="200" spans="1:37" x14ac:dyDescent="0.45">
      <c r="A200" s="4" t="s">
        <v>44</v>
      </c>
      <c r="B200" s="5">
        <v>0</v>
      </c>
      <c r="C200" s="5">
        <v>0</v>
      </c>
      <c r="D200" s="6">
        <v>0</v>
      </c>
      <c r="E200" s="6">
        <v>0</v>
      </c>
      <c r="F200" s="6">
        <v>29</v>
      </c>
      <c r="G200" s="5">
        <v>0</v>
      </c>
      <c r="H200" s="5">
        <v>0</v>
      </c>
      <c r="I200" s="6">
        <v>0</v>
      </c>
      <c r="J200" s="6">
        <v>0</v>
      </c>
      <c r="K200" s="6">
        <v>5</v>
      </c>
      <c r="L200" s="5">
        <v>0.43080549064057538</v>
      </c>
      <c r="M200" s="5">
        <v>0.1188108626030543</v>
      </c>
      <c r="N200" s="6">
        <v>0</v>
      </c>
      <c r="O200" s="6">
        <v>1</v>
      </c>
      <c r="P200" s="6">
        <v>19</v>
      </c>
      <c r="Q200" s="5">
        <v>0.58179797025751767</v>
      </c>
      <c r="R200" s="5">
        <v>0.13112718214255636</v>
      </c>
      <c r="S200" s="6">
        <v>0</v>
      </c>
      <c r="T200" s="6">
        <v>1</v>
      </c>
      <c r="U200" s="6">
        <v>19</v>
      </c>
      <c r="V200" s="5">
        <v>0.27840718326047831</v>
      </c>
      <c r="W200" s="5">
        <v>0.11962958289453833</v>
      </c>
      <c r="X200" s="6">
        <v>0</v>
      </c>
      <c r="Y200" s="6">
        <v>1</v>
      </c>
      <c r="Z200" s="6">
        <v>18</v>
      </c>
      <c r="AA200" s="5">
        <v>0.27889208014984646</v>
      </c>
      <c r="AB200" s="5">
        <v>0.14163420824029879</v>
      </c>
      <c r="AC200" s="6">
        <v>0</v>
      </c>
      <c r="AD200" s="6">
        <v>1</v>
      </c>
      <c r="AE200" s="6">
        <v>14</v>
      </c>
      <c r="AF200" s="5">
        <v>0.24869923971566638</v>
      </c>
      <c r="AG200" s="5">
        <v>5.4351819960247037E-2</v>
      </c>
      <c r="AH200" s="6">
        <v>0</v>
      </c>
      <c r="AI200" s="6">
        <v>1</v>
      </c>
      <c r="AJ200" s="6">
        <v>104</v>
      </c>
      <c r="AK200">
        <f>(AF201/AF199)-AF200</f>
        <v>0.16187920113014986</v>
      </c>
    </row>
    <row r="201" spans="1:37" x14ac:dyDescent="0.45">
      <c r="A201" s="4" t="s">
        <v>95</v>
      </c>
      <c r="B201" s="5">
        <v>0</v>
      </c>
      <c r="C201" s="5">
        <v>0</v>
      </c>
      <c r="D201" s="6">
        <v>0</v>
      </c>
      <c r="E201" s="6">
        <v>0</v>
      </c>
      <c r="F201" s="6">
        <v>29</v>
      </c>
      <c r="G201" s="5">
        <v>0</v>
      </c>
      <c r="H201" s="5">
        <v>0</v>
      </c>
      <c r="I201" s="6">
        <v>0</v>
      </c>
      <c r="J201" s="6">
        <v>0</v>
      </c>
      <c r="K201" s="6">
        <v>5</v>
      </c>
      <c r="L201" s="5">
        <v>0.16051095120268577</v>
      </c>
      <c r="M201" s="5">
        <v>8.7442376922847814E-2</v>
      </c>
      <c r="N201" s="6">
        <v>0</v>
      </c>
      <c r="O201" s="6">
        <v>1</v>
      </c>
      <c r="P201" s="6">
        <v>19</v>
      </c>
      <c r="Q201" s="5">
        <v>0.21032088172034194</v>
      </c>
      <c r="R201" s="5">
        <v>9.6513574594939269E-2</v>
      </c>
      <c r="S201" s="6">
        <v>0</v>
      </c>
      <c r="T201" s="6">
        <v>1</v>
      </c>
      <c r="U201" s="6">
        <v>19</v>
      </c>
      <c r="V201" s="5">
        <v>0</v>
      </c>
      <c r="W201" s="5">
        <v>0</v>
      </c>
      <c r="X201" s="6">
        <v>0</v>
      </c>
      <c r="Y201" s="6">
        <v>0</v>
      </c>
      <c r="Z201" s="6">
        <v>18</v>
      </c>
      <c r="AA201" s="5">
        <v>0.18577413892313085</v>
      </c>
      <c r="AB201" s="5">
        <v>0.12289504200363094</v>
      </c>
      <c r="AC201" s="6">
        <v>0</v>
      </c>
      <c r="AD201" s="6">
        <v>1</v>
      </c>
      <c r="AE201" s="6">
        <v>14</v>
      </c>
      <c r="AF201" s="5">
        <v>9.0172601149605097E-2</v>
      </c>
      <c r="AG201" s="5">
        <v>3.4703826642781814E-2</v>
      </c>
      <c r="AH201" s="6">
        <v>0</v>
      </c>
      <c r="AI201" s="6">
        <v>1</v>
      </c>
      <c r="AJ201" s="6">
        <v>104</v>
      </c>
    </row>
    <row r="202" spans="1:37" x14ac:dyDescent="0.45">
      <c r="A202" s="4" t="s">
        <v>32</v>
      </c>
      <c r="B202" s="5">
        <v>4.300104465507152E-2</v>
      </c>
      <c r="C202" s="5">
        <v>3.8529376428579974E-2</v>
      </c>
      <c r="D202" s="6">
        <v>0</v>
      </c>
      <c r="E202" s="6">
        <v>1</v>
      </c>
      <c r="F202" s="6">
        <v>29</v>
      </c>
      <c r="G202" s="5">
        <v>0</v>
      </c>
      <c r="H202" s="5">
        <v>0</v>
      </c>
      <c r="I202" s="6">
        <v>0</v>
      </c>
      <c r="J202" s="6">
        <v>0</v>
      </c>
      <c r="K202" s="6">
        <v>5</v>
      </c>
      <c r="L202" s="5">
        <v>0.32310688832667722</v>
      </c>
      <c r="M202" s="5">
        <v>0.11194939263044702</v>
      </c>
      <c r="N202" s="6">
        <v>0</v>
      </c>
      <c r="O202" s="6">
        <v>1</v>
      </c>
      <c r="P202" s="6">
        <v>19</v>
      </c>
      <c r="Q202" s="5">
        <v>0.41381121420178746</v>
      </c>
      <c r="R202" s="5">
        <v>0.12969928853703966</v>
      </c>
      <c r="S202" s="6">
        <v>0</v>
      </c>
      <c r="T202" s="6">
        <v>1</v>
      </c>
      <c r="U202" s="6">
        <v>19</v>
      </c>
      <c r="V202" s="5">
        <v>0.23553150148432661</v>
      </c>
      <c r="W202" s="5">
        <v>0.10224133114104708</v>
      </c>
      <c r="X202" s="6">
        <v>0</v>
      </c>
      <c r="Y202" s="6">
        <v>1</v>
      </c>
      <c r="Z202" s="6">
        <v>18</v>
      </c>
      <c r="AA202" s="5">
        <v>0.62380644277621733</v>
      </c>
      <c r="AB202" s="5">
        <v>0.15335862727964425</v>
      </c>
      <c r="AC202" s="6">
        <v>0</v>
      </c>
      <c r="AD202" s="6">
        <v>1</v>
      </c>
      <c r="AE202" s="6">
        <v>14</v>
      </c>
      <c r="AF202" s="5">
        <v>0.21962332207176813</v>
      </c>
      <c r="AG202" s="5">
        <v>4.9938905008240317E-2</v>
      </c>
      <c r="AH202" s="6">
        <v>0</v>
      </c>
      <c r="AI202" s="6">
        <v>1</v>
      </c>
      <c r="AJ202" s="6">
        <v>104</v>
      </c>
      <c r="AK202">
        <f>(AF204/AF203)-AF202</f>
        <v>6.6066391340713376E-2</v>
      </c>
    </row>
    <row r="203" spans="1:37" ht="39.4" x14ac:dyDescent="0.45">
      <c r="A203" s="4" t="s">
        <v>16</v>
      </c>
      <c r="B203" s="5">
        <v>0.23600168674140035</v>
      </c>
      <c r="C203" s="5">
        <v>9.8121570578696957E-2</v>
      </c>
      <c r="D203" s="6">
        <v>0</v>
      </c>
      <c r="E203" s="6">
        <v>1</v>
      </c>
      <c r="F203" s="6">
        <v>29</v>
      </c>
      <c r="G203" s="5">
        <v>0.28413340654229741</v>
      </c>
      <c r="H203" s="5">
        <v>0.2635701019519151</v>
      </c>
      <c r="I203" s="6">
        <v>0</v>
      </c>
      <c r="J203" s="6">
        <v>1</v>
      </c>
      <c r="K203" s="6">
        <v>5</v>
      </c>
      <c r="L203" s="5">
        <v>1</v>
      </c>
      <c r="M203" s="5">
        <v>0</v>
      </c>
      <c r="N203" s="6">
        <v>1</v>
      </c>
      <c r="O203" s="6">
        <v>1</v>
      </c>
      <c r="P203" s="6">
        <v>19</v>
      </c>
      <c r="Q203" s="5">
        <v>0.85289731615094222</v>
      </c>
      <c r="R203" s="5">
        <v>0.10368836461541529</v>
      </c>
      <c r="S203" s="6">
        <v>0</v>
      </c>
      <c r="T203" s="6">
        <v>1</v>
      </c>
      <c r="U203" s="6">
        <v>19</v>
      </c>
      <c r="V203" s="5">
        <v>0.92129013297297091</v>
      </c>
      <c r="W203" s="5">
        <v>7.2142407889520602E-2</v>
      </c>
      <c r="X203" s="6">
        <v>0</v>
      </c>
      <c r="Y203" s="6">
        <v>1</v>
      </c>
      <c r="Z203" s="6">
        <v>18</v>
      </c>
      <c r="AA203" s="5">
        <v>0.69525614240739586</v>
      </c>
      <c r="AB203" s="5">
        <v>0.14429635514835867</v>
      </c>
      <c r="AC203" s="6">
        <v>0</v>
      </c>
      <c r="AD203" s="6">
        <v>1</v>
      </c>
      <c r="AE203" s="6">
        <v>14</v>
      </c>
      <c r="AF203" s="5">
        <v>0.6502146518916736</v>
      </c>
      <c r="AG203" s="5">
        <v>6.6144933824160743E-2</v>
      </c>
      <c r="AH203" s="6">
        <v>0</v>
      </c>
      <c r="AI203" s="6">
        <v>1</v>
      </c>
      <c r="AJ203" s="6">
        <v>104</v>
      </c>
      <c r="AK203">
        <f>(AF204/AF202)-AF203</f>
        <v>0.19559550981249385</v>
      </c>
    </row>
    <row r="204" spans="1:37" x14ac:dyDescent="0.45">
      <c r="A204" s="4" t="s">
        <v>96</v>
      </c>
      <c r="B204" s="5">
        <v>3.8003295157684171E-2</v>
      </c>
      <c r="C204" s="5">
        <v>3.814851254383702E-2</v>
      </c>
      <c r="D204" s="6">
        <v>0</v>
      </c>
      <c r="E204" s="6">
        <v>1</v>
      </c>
      <c r="F204" s="6">
        <v>29</v>
      </c>
      <c r="G204" s="5">
        <v>0</v>
      </c>
      <c r="H204" s="5">
        <v>0</v>
      </c>
      <c r="I204" s="6">
        <v>0</v>
      </c>
      <c r="J204" s="6">
        <v>0</v>
      </c>
      <c r="K204" s="6">
        <v>5</v>
      </c>
      <c r="L204" s="5">
        <v>0.32310688832667722</v>
      </c>
      <c r="M204" s="5">
        <v>0.11194939263044702</v>
      </c>
      <c r="N204" s="6">
        <v>0</v>
      </c>
      <c r="O204" s="6">
        <v>1</v>
      </c>
      <c r="P204" s="6">
        <v>19</v>
      </c>
      <c r="Q204" s="5">
        <v>0.26670853035272951</v>
      </c>
      <c r="R204" s="5">
        <v>0.10759974227734451</v>
      </c>
      <c r="S204" s="6">
        <v>0</v>
      </c>
      <c r="T204" s="6">
        <v>1</v>
      </c>
      <c r="U204" s="6">
        <v>19</v>
      </c>
      <c r="V204" s="5">
        <v>0.22995351622937718</v>
      </c>
      <c r="W204" s="5">
        <v>0.10202713341359886</v>
      </c>
      <c r="X204" s="6">
        <v>0</v>
      </c>
      <c r="Y204" s="6">
        <v>1</v>
      </c>
      <c r="Z204" s="6">
        <v>18</v>
      </c>
      <c r="AA204" s="5">
        <v>0.3190625851836133</v>
      </c>
      <c r="AB204" s="5">
        <v>0.14606787351248138</v>
      </c>
      <c r="AC204" s="6">
        <v>0</v>
      </c>
      <c r="AD204" s="6">
        <v>1</v>
      </c>
      <c r="AE204" s="6">
        <v>14</v>
      </c>
      <c r="AF204" s="5">
        <v>0.18575963755552866</v>
      </c>
      <c r="AG204" s="5">
        <v>4.7934404253459739E-2</v>
      </c>
      <c r="AH204" s="6">
        <v>0</v>
      </c>
      <c r="AI204" s="6">
        <v>1</v>
      </c>
      <c r="AJ204" s="6">
        <v>104</v>
      </c>
    </row>
    <row r="205" spans="1:37" x14ac:dyDescent="0.45">
      <c r="A205" s="4" t="s">
        <v>32</v>
      </c>
      <c r="B205" s="5">
        <v>4.300104465507152E-2</v>
      </c>
      <c r="C205" s="5">
        <v>3.8529376428579974E-2</v>
      </c>
      <c r="D205" s="6">
        <v>0</v>
      </c>
      <c r="E205" s="6">
        <v>1</v>
      </c>
      <c r="F205" s="6">
        <v>29</v>
      </c>
      <c r="G205" s="5">
        <v>0</v>
      </c>
      <c r="H205" s="5">
        <v>0</v>
      </c>
      <c r="I205" s="6">
        <v>0</v>
      </c>
      <c r="J205" s="6">
        <v>0</v>
      </c>
      <c r="K205" s="6">
        <v>5</v>
      </c>
      <c r="L205" s="5">
        <v>0.32310688832667722</v>
      </c>
      <c r="M205" s="5">
        <v>0.11194939263044702</v>
      </c>
      <c r="N205" s="6">
        <v>0</v>
      </c>
      <c r="O205" s="6">
        <v>1</v>
      </c>
      <c r="P205" s="6">
        <v>19</v>
      </c>
      <c r="Q205" s="5">
        <v>0.41381121420178746</v>
      </c>
      <c r="R205" s="5">
        <v>0.12969928853703966</v>
      </c>
      <c r="S205" s="6">
        <v>0</v>
      </c>
      <c r="T205" s="6">
        <v>1</v>
      </c>
      <c r="U205" s="6">
        <v>19</v>
      </c>
      <c r="V205" s="5">
        <v>0.23553150148432661</v>
      </c>
      <c r="W205" s="5">
        <v>0.10224133114104708</v>
      </c>
      <c r="X205" s="6">
        <v>0</v>
      </c>
      <c r="Y205" s="6">
        <v>1</v>
      </c>
      <c r="Z205" s="6">
        <v>18</v>
      </c>
      <c r="AA205" s="5">
        <v>0.62380644277621733</v>
      </c>
      <c r="AB205" s="5">
        <v>0.15335862727964425</v>
      </c>
      <c r="AC205" s="6">
        <v>0</v>
      </c>
      <c r="AD205" s="6">
        <v>1</v>
      </c>
      <c r="AE205" s="6">
        <v>14</v>
      </c>
      <c r="AF205" s="5">
        <v>0.21962332207176813</v>
      </c>
      <c r="AG205" s="5">
        <v>4.9938905008240317E-2</v>
      </c>
      <c r="AH205" s="6">
        <v>0</v>
      </c>
      <c r="AI205" s="6">
        <v>1</v>
      </c>
      <c r="AJ205" s="6">
        <v>104</v>
      </c>
      <c r="AK205">
        <f>(AF207/AF206)-AF205</f>
        <v>9.3394719586461478E-2</v>
      </c>
    </row>
    <row r="206" spans="1:37" ht="39.4" x14ac:dyDescent="0.45">
      <c r="A206" s="4" t="s">
        <v>18</v>
      </c>
      <c r="B206" s="5">
        <v>0.14679233898869379</v>
      </c>
      <c r="C206" s="5">
        <v>7.21952874481087E-2</v>
      </c>
      <c r="D206" s="6">
        <v>0</v>
      </c>
      <c r="E206" s="6">
        <v>1</v>
      </c>
      <c r="F206" s="6">
        <v>29</v>
      </c>
      <c r="G206" s="5">
        <v>0.28413340654229741</v>
      </c>
      <c r="H206" s="5">
        <v>0.2635701019519151</v>
      </c>
      <c r="I206" s="6">
        <v>0</v>
      </c>
      <c r="J206" s="6">
        <v>1</v>
      </c>
      <c r="K206" s="6">
        <v>5</v>
      </c>
      <c r="L206" s="5">
        <v>1</v>
      </c>
      <c r="M206" s="5">
        <v>0</v>
      </c>
      <c r="N206" s="6">
        <v>1</v>
      </c>
      <c r="O206" s="6">
        <v>1</v>
      </c>
      <c r="P206" s="6">
        <v>19</v>
      </c>
      <c r="Q206" s="5">
        <v>0.89861962585941668</v>
      </c>
      <c r="R206" s="5">
        <v>9.6845778169611332E-2</v>
      </c>
      <c r="S206" s="6">
        <v>0</v>
      </c>
      <c r="T206" s="6">
        <v>1</v>
      </c>
      <c r="U206" s="6">
        <v>19</v>
      </c>
      <c r="V206" s="5">
        <v>1</v>
      </c>
      <c r="W206" s="5">
        <v>0</v>
      </c>
      <c r="X206" s="6">
        <v>1</v>
      </c>
      <c r="Y206" s="6">
        <v>1</v>
      </c>
      <c r="Z206" s="6">
        <v>18</v>
      </c>
      <c r="AA206" s="5">
        <v>0.91590414556129873</v>
      </c>
      <c r="AB206" s="5">
        <v>5.7720093761496942E-2</v>
      </c>
      <c r="AC206" s="6">
        <v>0</v>
      </c>
      <c r="AD206" s="6">
        <v>1</v>
      </c>
      <c r="AE206" s="6">
        <v>14</v>
      </c>
      <c r="AF206" s="5">
        <v>0.64843100359019867</v>
      </c>
      <c r="AG206" s="5">
        <v>6.691909310816567E-2</v>
      </c>
      <c r="AH206" s="6">
        <v>0</v>
      </c>
      <c r="AI206" s="6">
        <v>1</v>
      </c>
      <c r="AJ206" s="6">
        <v>104</v>
      </c>
      <c r="AK206">
        <f>(AF207/AF205)-AF206</f>
        <v>0.27574499456703738</v>
      </c>
    </row>
    <row r="207" spans="1:37" x14ac:dyDescent="0.45">
      <c r="A207" s="4" t="s">
        <v>97</v>
      </c>
      <c r="B207" s="5">
        <v>3.8003295157684171E-2</v>
      </c>
      <c r="C207" s="5">
        <v>3.814851254383702E-2</v>
      </c>
      <c r="D207" s="6">
        <v>0</v>
      </c>
      <c r="E207" s="6">
        <v>1</v>
      </c>
      <c r="F207" s="6">
        <v>29</v>
      </c>
      <c r="G207" s="5">
        <v>0</v>
      </c>
      <c r="H207" s="5">
        <v>0</v>
      </c>
      <c r="I207" s="6">
        <v>0</v>
      </c>
      <c r="J207" s="6">
        <v>0</v>
      </c>
      <c r="K207" s="6">
        <v>5</v>
      </c>
      <c r="L207" s="5">
        <v>0.32310688832667722</v>
      </c>
      <c r="M207" s="5">
        <v>0.11194939263044702</v>
      </c>
      <c r="N207" s="6">
        <v>0</v>
      </c>
      <c r="O207" s="6">
        <v>1</v>
      </c>
      <c r="P207" s="6">
        <v>19</v>
      </c>
      <c r="Q207" s="5">
        <v>0.31243084006120397</v>
      </c>
      <c r="R207" s="5">
        <v>0.11404752946824341</v>
      </c>
      <c r="S207" s="6">
        <v>0</v>
      </c>
      <c r="T207" s="6">
        <v>1</v>
      </c>
      <c r="U207" s="6">
        <v>19</v>
      </c>
      <c r="V207" s="5">
        <v>0.23553150148432661</v>
      </c>
      <c r="W207" s="5">
        <v>0.10224133114104708</v>
      </c>
      <c r="X207" s="6">
        <v>0</v>
      </c>
      <c r="Y207" s="6">
        <v>1</v>
      </c>
      <c r="Z207" s="6">
        <v>18</v>
      </c>
      <c r="AA207" s="5">
        <v>0.53971058833751606</v>
      </c>
      <c r="AB207" s="5">
        <v>0.15587888524556878</v>
      </c>
      <c r="AC207" s="6">
        <v>0</v>
      </c>
      <c r="AD207" s="6">
        <v>1</v>
      </c>
      <c r="AE207" s="6">
        <v>14</v>
      </c>
      <c r="AF207" s="5">
        <v>0.20297060289428445</v>
      </c>
      <c r="AG207" s="5">
        <v>4.8848060559100556E-2</v>
      </c>
      <c r="AH207" s="6">
        <v>0</v>
      </c>
      <c r="AI207" s="6">
        <v>1</v>
      </c>
      <c r="AJ207" s="6">
        <v>104</v>
      </c>
    </row>
    <row r="208" spans="1:37" x14ac:dyDescent="0.45">
      <c r="A208" s="4" t="s">
        <v>32</v>
      </c>
      <c r="B208" s="5">
        <v>4.300104465507152E-2</v>
      </c>
      <c r="C208" s="5">
        <v>3.8529376428579974E-2</v>
      </c>
      <c r="D208" s="6">
        <v>0</v>
      </c>
      <c r="E208" s="6">
        <v>1</v>
      </c>
      <c r="F208" s="6">
        <v>29</v>
      </c>
      <c r="G208" s="5">
        <v>0</v>
      </c>
      <c r="H208" s="5">
        <v>0</v>
      </c>
      <c r="I208" s="6">
        <v>0</v>
      </c>
      <c r="J208" s="6">
        <v>0</v>
      </c>
      <c r="K208" s="6">
        <v>5</v>
      </c>
      <c r="L208" s="5">
        <v>0.32310688832667722</v>
      </c>
      <c r="M208" s="5">
        <v>0.11194939263044702</v>
      </c>
      <c r="N208" s="6">
        <v>0</v>
      </c>
      <c r="O208" s="6">
        <v>1</v>
      </c>
      <c r="P208" s="6">
        <v>19</v>
      </c>
      <c r="Q208" s="5">
        <v>0.41381121420178746</v>
      </c>
      <c r="R208" s="5">
        <v>0.12969928853703966</v>
      </c>
      <c r="S208" s="6">
        <v>0</v>
      </c>
      <c r="T208" s="6">
        <v>1</v>
      </c>
      <c r="U208" s="6">
        <v>19</v>
      </c>
      <c r="V208" s="5">
        <v>0.23553150148432661</v>
      </c>
      <c r="W208" s="5">
        <v>0.10224133114104708</v>
      </c>
      <c r="X208" s="6">
        <v>0</v>
      </c>
      <c r="Y208" s="6">
        <v>1</v>
      </c>
      <c r="Z208" s="6">
        <v>18</v>
      </c>
      <c r="AA208" s="5">
        <v>0.62380644277621733</v>
      </c>
      <c r="AB208" s="5">
        <v>0.15335862727964425</v>
      </c>
      <c r="AC208" s="6">
        <v>0</v>
      </c>
      <c r="AD208" s="6">
        <v>1</v>
      </c>
      <c r="AE208" s="6">
        <v>14</v>
      </c>
      <c r="AF208" s="5">
        <v>0.21962332207176813</v>
      </c>
      <c r="AG208" s="5">
        <v>4.9938905008240317E-2</v>
      </c>
      <c r="AH208" s="6">
        <v>0</v>
      </c>
      <c r="AI208" s="6">
        <v>1</v>
      </c>
      <c r="AJ208" s="6">
        <v>104</v>
      </c>
      <c r="AK208">
        <f>(AF210/AF209)-AF208</f>
        <v>0.1054727716717643</v>
      </c>
    </row>
    <row r="209" spans="1:37" ht="39.4" x14ac:dyDescent="0.45">
      <c r="A209" s="4" t="s">
        <v>20</v>
      </c>
      <c r="B209" s="5">
        <v>0</v>
      </c>
      <c r="C209" s="5">
        <v>0</v>
      </c>
      <c r="D209" s="6">
        <v>0</v>
      </c>
      <c r="E209" s="6">
        <v>0</v>
      </c>
      <c r="F209" s="6">
        <v>29</v>
      </c>
      <c r="G209" s="5">
        <v>0</v>
      </c>
      <c r="H209" s="5">
        <v>0</v>
      </c>
      <c r="I209" s="6">
        <v>0</v>
      </c>
      <c r="J209" s="6">
        <v>0</v>
      </c>
      <c r="K209" s="6">
        <v>5</v>
      </c>
      <c r="L209" s="5">
        <v>1</v>
      </c>
      <c r="M209" s="5">
        <v>0</v>
      </c>
      <c r="N209" s="6">
        <v>1</v>
      </c>
      <c r="O209" s="6">
        <v>1</v>
      </c>
      <c r="P209" s="6">
        <v>19</v>
      </c>
      <c r="Q209" s="5">
        <v>0.61840113049179313</v>
      </c>
      <c r="R209" s="5">
        <v>0.13006566375416401</v>
      </c>
      <c r="S209" s="6">
        <v>0</v>
      </c>
      <c r="T209" s="6">
        <v>1</v>
      </c>
      <c r="U209" s="6">
        <v>19</v>
      </c>
      <c r="V209" s="5">
        <v>0.62484576595299168</v>
      </c>
      <c r="W209" s="5">
        <v>0.12235387804662534</v>
      </c>
      <c r="X209" s="6">
        <v>0</v>
      </c>
      <c r="Y209" s="6">
        <v>1</v>
      </c>
      <c r="Z209" s="6">
        <v>18</v>
      </c>
      <c r="AA209" s="5">
        <v>0.59238861673724996</v>
      </c>
      <c r="AB209" s="5">
        <v>0.15320552322461192</v>
      </c>
      <c r="AC209" s="6">
        <v>0</v>
      </c>
      <c r="AD209" s="6">
        <v>1</v>
      </c>
      <c r="AE209" s="6">
        <v>14</v>
      </c>
      <c r="AF209" s="5">
        <v>0.49530541673349471</v>
      </c>
      <c r="AG209" s="5">
        <v>6.7368955173709583E-2</v>
      </c>
      <c r="AH209" s="6">
        <v>0</v>
      </c>
      <c r="AI209" s="6">
        <v>1</v>
      </c>
      <c r="AJ209" s="6">
        <v>104</v>
      </c>
      <c r="AK209">
        <f>(AF210/AF208)-AF209</f>
        <v>0.23786742971608743</v>
      </c>
    </row>
    <row r="210" spans="1:37" x14ac:dyDescent="0.45">
      <c r="A210" s="4" t="s">
        <v>98</v>
      </c>
      <c r="B210" s="5">
        <v>0</v>
      </c>
      <c r="C210" s="5">
        <v>0</v>
      </c>
      <c r="D210" s="6">
        <v>0</v>
      </c>
      <c r="E210" s="6">
        <v>0</v>
      </c>
      <c r="F210" s="6">
        <v>29</v>
      </c>
      <c r="G210" s="5">
        <v>0</v>
      </c>
      <c r="H210" s="5">
        <v>0</v>
      </c>
      <c r="I210" s="6">
        <v>0</v>
      </c>
      <c r="J210" s="6">
        <v>0</v>
      </c>
      <c r="K210" s="6">
        <v>5</v>
      </c>
      <c r="L210" s="5">
        <v>0.32310688832667722</v>
      </c>
      <c r="M210" s="5">
        <v>0.11194939263044702</v>
      </c>
      <c r="N210" s="6">
        <v>0</v>
      </c>
      <c r="O210" s="6">
        <v>1</v>
      </c>
      <c r="P210" s="6">
        <v>19</v>
      </c>
      <c r="Q210" s="5">
        <v>0.21032088172034194</v>
      </c>
      <c r="R210" s="5">
        <v>9.6513574594939269E-2</v>
      </c>
      <c r="S210" s="6">
        <v>0</v>
      </c>
      <c r="T210" s="6">
        <v>1</v>
      </c>
      <c r="U210" s="6">
        <v>19</v>
      </c>
      <c r="V210" s="5">
        <v>0.10055724988722109</v>
      </c>
      <c r="W210" s="5">
        <v>7.0534767449922611E-2</v>
      </c>
      <c r="X210" s="6">
        <v>0</v>
      </c>
      <c r="Y210" s="6">
        <v>1</v>
      </c>
      <c r="Z210" s="6">
        <v>18</v>
      </c>
      <c r="AA210" s="5">
        <v>0.30133977702264547</v>
      </c>
      <c r="AB210" s="5">
        <v>0.14564589883951973</v>
      </c>
      <c r="AC210" s="6">
        <v>0</v>
      </c>
      <c r="AD210" s="6">
        <v>1</v>
      </c>
      <c r="AE210" s="6">
        <v>14</v>
      </c>
      <c r="AF210" s="5">
        <v>0.16102185619007159</v>
      </c>
      <c r="AG210" s="5">
        <v>4.6501468016398137E-2</v>
      </c>
      <c r="AH210" s="6">
        <v>0</v>
      </c>
      <c r="AI210" s="6">
        <v>1</v>
      </c>
      <c r="AJ210" s="6">
        <v>104</v>
      </c>
    </row>
    <row r="211" spans="1:37" x14ac:dyDescent="0.45">
      <c r="A211" s="4" t="s">
        <v>32</v>
      </c>
      <c r="B211" s="5">
        <v>4.300104465507152E-2</v>
      </c>
      <c r="C211" s="5">
        <v>3.8529376428579974E-2</v>
      </c>
      <c r="D211" s="6">
        <v>0</v>
      </c>
      <c r="E211" s="6">
        <v>1</v>
      </c>
      <c r="F211" s="6">
        <v>29</v>
      </c>
      <c r="G211" s="5">
        <v>0</v>
      </c>
      <c r="H211" s="5">
        <v>0</v>
      </c>
      <c r="I211" s="6">
        <v>0</v>
      </c>
      <c r="J211" s="6">
        <v>0</v>
      </c>
      <c r="K211" s="6">
        <v>5</v>
      </c>
      <c r="L211" s="5">
        <v>0.32310688832667722</v>
      </c>
      <c r="M211" s="5">
        <v>0.11194939263044702</v>
      </c>
      <c r="N211" s="6">
        <v>0</v>
      </c>
      <c r="O211" s="6">
        <v>1</v>
      </c>
      <c r="P211" s="6">
        <v>19</v>
      </c>
      <c r="Q211" s="5">
        <v>0.41381121420178746</v>
      </c>
      <c r="R211" s="5">
        <v>0.12969928853703966</v>
      </c>
      <c r="S211" s="6">
        <v>0</v>
      </c>
      <c r="T211" s="6">
        <v>1</v>
      </c>
      <c r="U211" s="6">
        <v>19</v>
      </c>
      <c r="V211" s="5">
        <v>0.23553150148432661</v>
      </c>
      <c r="W211" s="5">
        <v>0.10224133114104708</v>
      </c>
      <c r="X211" s="6">
        <v>0</v>
      </c>
      <c r="Y211" s="6">
        <v>1</v>
      </c>
      <c r="Z211" s="6">
        <v>18</v>
      </c>
      <c r="AA211" s="5">
        <v>0.62380644277621733</v>
      </c>
      <c r="AB211" s="5">
        <v>0.15335862727964425</v>
      </c>
      <c r="AC211" s="6">
        <v>0</v>
      </c>
      <c r="AD211" s="6">
        <v>1</v>
      </c>
      <c r="AE211" s="6">
        <v>14</v>
      </c>
      <c r="AF211" s="5">
        <v>0.21962332207176813</v>
      </c>
      <c r="AG211" s="5">
        <v>4.9938905008240317E-2</v>
      </c>
      <c r="AH211" s="6">
        <v>0</v>
      </c>
      <c r="AI211" s="6">
        <v>1</v>
      </c>
      <c r="AJ211" s="6">
        <v>104</v>
      </c>
      <c r="AK211">
        <f>(AF213/AF212)-AF211</f>
        <v>7.5648490749342906E-2</v>
      </c>
    </row>
    <row r="212" spans="1:37" ht="26.25" x14ac:dyDescent="0.45">
      <c r="A212" s="4" t="s">
        <v>22</v>
      </c>
      <c r="B212" s="5">
        <v>0.26511382125444838</v>
      </c>
      <c r="C212" s="5">
        <v>9.9160906951506367E-2</v>
      </c>
      <c r="D212" s="6">
        <v>0</v>
      </c>
      <c r="E212" s="6">
        <v>1</v>
      </c>
      <c r="F212" s="6">
        <v>29</v>
      </c>
      <c r="G212" s="5">
        <v>0.28413340654229741</v>
      </c>
      <c r="H212" s="5">
        <v>0.2635701019519151</v>
      </c>
      <c r="I212" s="6">
        <v>0</v>
      </c>
      <c r="J212" s="6">
        <v>1</v>
      </c>
      <c r="K212" s="6">
        <v>5</v>
      </c>
      <c r="L212" s="5">
        <v>1</v>
      </c>
      <c r="M212" s="5">
        <v>0</v>
      </c>
      <c r="N212" s="6">
        <v>1</v>
      </c>
      <c r="O212" s="6">
        <v>1</v>
      </c>
      <c r="P212" s="6">
        <v>19</v>
      </c>
      <c r="Q212" s="5">
        <v>0.89861962585941668</v>
      </c>
      <c r="R212" s="5">
        <v>9.6845778169611332E-2</v>
      </c>
      <c r="S212" s="6">
        <v>0</v>
      </c>
      <c r="T212" s="6">
        <v>1</v>
      </c>
      <c r="U212" s="6">
        <v>19</v>
      </c>
      <c r="V212" s="5">
        <v>0.94505098249148323</v>
      </c>
      <c r="W212" s="5">
        <v>5.5165329624764066E-2</v>
      </c>
      <c r="X212" s="6">
        <v>0</v>
      </c>
      <c r="Y212" s="6">
        <v>1</v>
      </c>
      <c r="Z212" s="6">
        <v>18</v>
      </c>
      <c r="AA212" s="5">
        <v>0.91590414556129873</v>
      </c>
      <c r="AB212" s="5">
        <v>5.7720093761496942E-2</v>
      </c>
      <c r="AC212" s="6">
        <v>0</v>
      </c>
      <c r="AD212" s="6">
        <v>1</v>
      </c>
      <c r="AE212" s="6">
        <v>14</v>
      </c>
      <c r="AF212" s="5">
        <v>0.67616365127076683</v>
      </c>
      <c r="AG212" s="5">
        <v>6.6180623554006821E-2</v>
      </c>
      <c r="AH212" s="6">
        <v>0</v>
      </c>
      <c r="AI212" s="6">
        <v>1</v>
      </c>
      <c r="AJ212" s="6">
        <v>104</v>
      </c>
      <c r="AK212">
        <f>(AF213/AF211)-AF212</f>
        <v>0.23290222202122768</v>
      </c>
    </row>
    <row r="213" spans="1:37" x14ac:dyDescent="0.45">
      <c r="A213" s="4" t="s">
        <v>99</v>
      </c>
      <c r="B213" s="5">
        <v>3.8003295157684171E-2</v>
      </c>
      <c r="C213" s="5">
        <v>3.814851254383702E-2</v>
      </c>
      <c r="D213" s="6">
        <v>0</v>
      </c>
      <c r="E213" s="6">
        <v>1</v>
      </c>
      <c r="F213" s="6">
        <v>29</v>
      </c>
      <c r="G213" s="5">
        <v>0</v>
      </c>
      <c r="H213" s="5">
        <v>0</v>
      </c>
      <c r="I213" s="6">
        <v>0</v>
      </c>
      <c r="J213" s="6">
        <v>0</v>
      </c>
      <c r="K213" s="6">
        <v>5</v>
      </c>
      <c r="L213" s="5">
        <v>0.32310688832667722</v>
      </c>
      <c r="M213" s="5">
        <v>0.11194939263044702</v>
      </c>
      <c r="N213" s="6">
        <v>0</v>
      </c>
      <c r="O213" s="6">
        <v>1</v>
      </c>
      <c r="P213" s="6">
        <v>19</v>
      </c>
      <c r="Q213" s="5">
        <v>0.31243084006120397</v>
      </c>
      <c r="R213" s="5">
        <v>0.11404752946824341</v>
      </c>
      <c r="S213" s="6">
        <v>0</v>
      </c>
      <c r="T213" s="6">
        <v>1</v>
      </c>
      <c r="U213" s="6">
        <v>19</v>
      </c>
      <c r="V213" s="5">
        <v>0.18058248397580975</v>
      </c>
      <c r="W213" s="5">
        <v>9.1283548540657733E-2</v>
      </c>
      <c r="X213" s="6">
        <v>0</v>
      </c>
      <c r="Y213" s="6">
        <v>1</v>
      </c>
      <c r="Z213" s="6">
        <v>18</v>
      </c>
      <c r="AA213" s="5">
        <v>0.53971058833751606</v>
      </c>
      <c r="AB213" s="5">
        <v>0.15587888524556878</v>
      </c>
      <c r="AC213" s="6">
        <v>0</v>
      </c>
      <c r="AD213" s="6">
        <v>1</v>
      </c>
      <c r="AE213" s="6">
        <v>14</v>
      </c>
      <c r="AF213" s="5">
        <v>0.19965206707446087</v>
      </c>
      <c r="AG213" s="5">
        <v>4.8717802571265761E-2</v>
      </c>
      <c r="AH213" s="6">
        <v>0</v>
      </c>
      <c r="AI213" s="6">
        <v>1</v>
      </c>
      <c r="AJ213" s="6">
        <v>104</v>
      </c>
    </row>
    <row r="214" spans="1:37" x14ac:dyDescent="0.45">
      <c r="A214" s="4" t="s">
        <v>32</v>
      </c>
      <c r="B214" s="5">
        <v>4.300104465507152E-2</v>
      </c>
      <c r="C214" s="5">
        <v>3.8529376428579974E-2</v>
      </c>
      <c r="D214" s="6">
        <v>0</v>
      </c>
      <c r="E214" s="6">
        <v>1</v>
      </c>
      <c r="F214" s="6">
        <v>29</v>
      </c>
      <c r="G214" s="5">
        <v>0</v>
      </c>
      <c r="H214" s="5">
        <v>0</v>
      </c>
      <c r="I214" s="6">
        <v>0</v>
      </c>
      <c r="J214" s="6">
        <v>0</v>
      </c>
      <c r="K214" s="6">
        <v>5</v>
      </c>
      <c r="L214" s="5">
        <v>0.32310688832667722</v>
      </c>
      <c r="M214" s="5">
        <v>0.11194939263044702</v>
      </c>
      <c r="N214" s="6">
        <v>0</v>
      </c>
      <c r="O214" s="6">
        <v>1</v>
      </c>
      <c r="P214" s="6">
        <v>19</v>
      </c>
      <c r="Q214" s="5">
        <v>0.41381121420178746</v>
      </c>
      <c r="R214" s="5">
        <v>0.12969928853703966</v>
      </c>
      <c r="S214" s="6">
        <v>0</v>
      </c>
      <c r="T214" s="6">
        <v>1</v>
      </c>
      <c r="U214" s="6">
        <v>19</v>
      </c>
      <c r="V214" s="5">
        <v>0.23553150148432661</v>
      </c>
      <c r="W214" s="5">
        <v>0.10224133114104708</v>
      </c>
      <c r="X214" s="6">
        <v>0</v>
      </c>
      <c r="Y214" s="6">
        <v>1</v>
      </c>
      <c r="Z214" s="6">
        <v>18</v>
      </c>
      <c r="AA214" s="5">
        <v>0.62380644277621733</v>
      </c>
      <c r="AB214" s="5">
        <v>0.15335862727964425</v>
      </c>
      <c r="AC214" s="6">
        <v>0</v>
      </c>
      <c r="AD214" s="6">
        <v>1</v>
      </c>
      <c r="AE214" s="6">
        <v>14</v>
      </c>
      <c r="AF214" s="5">
        <v>0.21962332207176813</v>
      </c>
      <c r="AG214" s="5">
        <v>4.9938905008240317E-2</v>
      </c>
      <c r="AH214" s="6">
        <v>0</v>
      </c>
      <c r="AI214" s="6">
        <v>1</v>
      </c>
      <c r="AJ214" s="6">
        <v>104</v>
      </c>
      <c r="AK214">
        <f>(AF216/AF215)-AF214</f>
        <v>6.716149525377843E-2</v>
      </c>
    </row>
    <row r="215" spans="1:37" ht="26.25" x14ac:dyDescent="0.45">
      <c r="A215" s="4" t="s">
        <v>24</v>
      </c>
      <c r="B215" s="5">
        <v>0.23600168674140035</v>
      </c>
      <c r="C215" s="5">
        <v>9.8121570578696957E-2</v>
      </c>
      <c r="D215" s="6">
        <v>0</v>
      </c>
      <c r="E215" s="6">
        <v>1</v>
      </c>
      <c r="F215" s="6">
        <v>29</v>
      </c>
      <c r="G215" s="5">
        <v>0.28413340654229741</v>
      </c>
      <c r="H215" s="5">
        <v>0.2635701019519151</v>
      </c>
      <c r="I215" s="6">
        <v>0</v>
      </c>
      <c r="J215" s="6">
        <v>1</v>
      </c>
      <c r="K215" s="6">
        <v>5</v>
      </c>
      <c r="L215" s="5">
        <v>1</v>
      </c>
      <c r="M215" s="5">
        <v>0</v>
      </c>
      <c r="N215" s="6">
        <v>1</v>
      </c>
      <c r="O215" s="6">
        <v>1</v>
      </c>
      <c r="P215" s="6">
        <v>19</v>
      </c>
      <c r="Q215" s="5">
        <v>0.89861962585941668</v>
      </c>
      <c r="R215" s="5">
        <v>9.6845778169611332E-2</v>
      </c>
      <c r="S215" s="6">
        <v>0</v>
      </c>
      <c r="T215" s="6">
        <v>1</v>
      </c>
      <c r="U215" s="6">
        <v>19</v>
      </c>
      <c r="V215" s="5">
        <v>0.86634111546445414</v>
      </c>
      <c r="W215" s="5">
        <v>8.7661072043173624E-2</v>
      </c>
      <c r="X215" s="6">
        <v>0</v>
      </c>
      <c r="Y215" s="6">
        <v>1</v>
      </c>
      <c r="Z215" s="6">
        <v>18</v>
      </c>
      <c r="AA215" s="5">
        <v>0.68542702638902031</v>
      </c>
      <c r="AB215" s="5">
        <v>0.14449500923918335</v>
      </c>
      <c r="AC215" s="6">
        <v>0</v>
      </c>
      <c r="AD215" s="6">
        <v>1</v>
      </c>
      <c r="AE215" s="6">
        <v>14</v>
      </c>
      <c r="AF215" s="5">
        <v>0.65121302184637453</v>
      </c>
      <c r="AG215" s="5">
        <v>6.6128687462899488E-2</v>
      </c>
      <c r="AH215" s="6">
        <v>0</v>
      </c>
      <c r="AI215" s="6">
        <v>1</v>
      </c>
      <c r="AJ215" s="6">
        <v>104</v>
      </c>
      <c r="AK215">
        <f>(AF216/AF214)-AF215</f>
        <v>0.19914296834851564</v>
      </c>
    </row>
    <row r="216" spans="1:37" x14ac:dyDescent="0.45">
      <c r="A216" s="4" t="s">
        <v>100</v>
      </c>
      <c r="B216" s="5">
        <v>3.8003295157684171E-2</v>
      </c>
      <c r="C216" s="5">
        <v>3.814851254383702E-2</v>
      </c>
      <c r="D216" s="6">
        <v>0</v>
      </c>
      <c r="E216" s="6">
        <v>1</v>
      </c>
      <c r="F216" s="6">
        <v>29</v>
      </c>
      <c r="G216" s="5">
        <v>0</v>
      </c>
      <c r="H216" s="5">
        <v>0</v>
      </c>
      <c r="I216" s="6">
        <v>0</v>
      </c>
      <c r="J216" s="6">
        <v>0</v>
      </c>
      <c r="K216" s="6">
        <v>5</v>
      </c>
      <c r="L216" s="5">
        <v>0.32310688832667722</v>
      </c>
      <c r="M216" s="5">
        <v>0.11194939263044702</v>
      </c>
      <c r="N216" s="6">
        <v>0</v>
      </c>
      <c r="O216" s="6">
        <v>1</v>
      </c>
      <c r="P216" s="6">
        <v>19</v>
      </c>
      <c r="Q216" s="5">
        <v>0.31243084006120397</v>
      </c>
      <c r="R216" s="5">
        <v>0.11404752946824341</v>
      </c>
      <c r="S216" s="6">
        <v>0</v>
      </c>
      <c r="T216" s="6">
        <v>1</v>
      </c>
      <c r="U216" s="6">
        <v>19</v>
      </c>
      <c r="V216" s="5">
        <v>0.17500449872086032</v>
      </c>
      <c r="W216" s="5">
        <v>9.1048086491339428E-2</v>
      </c>
      <c r="X216" s="6">
        <v>0</v>
      </c>
      <c r="Y216" s="6">
        <v>1</v>
      </c>
      <c r="Z216" s="6">
        <v>18</v>
      </c>
      <c r="AA216" s="5">
        <v>0.30923346916523775</v>
      </c>
      <c r="AB216" s="5">
        <v>0.14592704987036195</v>
      </c>
      <c r="AC216" s="6">
        <v>0</v>
      </c>
      <c r="AD216" s="6">
        <v>1</v>
      </c>
      <c r="AE216" s="6">
        <v>14</v>
      </c>
      <c r="AF216" s="5">
        <v>0.18675800751022967</v>
      </c>
      <c r="AG216" s="5">
        <v>4.8030368289494904E-2</v>
      </c>
      <c r="AH216" s="6">
        <v>0</v>
      </c>
      <c r="AI216" s="6">
        <v>1</v>
      </c>
      <c r="AJ216" s="6">
        <v>104</v>
      </c>
    </row>
    <row r="217" spans="1:37" x14ac:dyDescent="0.45">
      <c r="A217" s="4" t="s">
        <v>34</v>
      </c>
      <c r="B217" s="5">
        <v>4.9977494973873441E-3</v>
      </c>
      <c r="C217" s="5">
        <v>5.1842481806806187E-3</v>
      </c>
      <c r="D217" s="6">
        <v>0</v>
      </c>
      <c r="E217" s="6">
        <v>1</v>
      </c>
      <c r="F217" s="6">
        <v>29</v>
      </c>
      <c r="G217" s="5">
        <v>0</v>
      </c>
      <c r="H217" s="5">
        <v>0</v>
      </c>
      <c r="I217" s="6">
        <v>0</v>
      </c>
      <c r="J217" s="6">
        <v>0</v>
      </c>
      <c r="K217" s="6">
        <v>5</v>
      </c>
      <c r="L217" s="5">
        <v>0.1089926005638932</v>
      </c>
      <c r="M217" s="5">
        <v>7.4809215374932528E-2</v>
      </c>
      <c r="N217" s="6">
        <v>0</v>
      </c>
      <c r="O217" s="6">
        <v>1</v>
      </c>
      <c r="P217" s="6">
        <v>19</v>
      </c>
      <c r="Q217" s="5">
        <v>0</v>
      </c>
      <c r="R217" s="5">
        <v>0</v>
      </c>
      <c r="S217" s="6">
        <v>0</v>
      </c>
      <c r="T217" s="6">
        <v>0</v>
      </c>
      <c r="U217" s="6">
        <v>19</v>
      </c>
      <c r="V217" s="5">
        <v>0.18749442370539304</v>
      </c>
      <c r="W217" s="5">
        <v>9.5653225655299184E-2</v>
      </c>
      <c r="X217" s="6">
        <v>0</v>
      </c>
      <c r="Y217" s="6">
        <v>1</v>
      </c>
      <c r="Z217" s="6">
        <v>18</v>
      </c>
      <c r="AA217" s="5">
        <v>0.10851687170393783</v>
      </c>
      <c r="AB217" s="5">
        <v>9.1959813331468687E-2</v>
      </c>
      <c r="AC217" s="6">
        <v>0</v>
      </c>
      <c r="AD217" s="6">
        <v>1</v>
      </c>
      <c r="AE217" s="6">
        <v>14</v>
      </c>
      <c r="AF217" s="5">
        <v>5.7747988593625371E-2</v>
      </c>
      <c r="AG217" s="5">
        <v>2.8391611186991999E-2</v>
      </c>
      <c r="AH217" s="6">
        <v>0</v>
      </c>
      <c r="AI217" s="6">
        <v>1</v>
      </c>
      <c r="AJ217" s="6">
        <v>104</v>
      </c>
      <c r="AK217">
        <f>(AF219/AF218)-AF217</f>
        <v>-3.5292334796999586E-2</v>
      </c>
    </row>
    <row r="218" spans="1:37" x14ac:dyDescent="0.45">
      <c r="A218" s="4" t="s">
        <v>36</v>
      </c>
      <c r="B218" s="5">
        <v>0.75033349718812381</v>
      </c>
      <c r="C218" s="5">
        <v>0.11113628937183456</v>
      </c>
      <c r="D218" s="6">
        <v>0</v>
      </c>
      <c r="E218" s="6">
        <v>1</v>
      </c>
      <c r="F218" s="6">
        <v>28</v>
      </c>
      <c r="G218" s="5">
        <v>0.69890286206955909</v>
      </c>
      <c r="H218" s="5">
        <v>0.26064905237909602</v>
      </c>
      <c r="I218" s="6">
        <v>0</v>
      </c>
      <c r="J218" s="6">
        <v>1</v>
      </c>
      <c r="K218" s="6">
        <v>5</v>
      </c>
      <c r="L218" s="5">
        <v>7.6528749224782755E-2</v>
      </c>
      <c r="M218" s="5">
        <v>6.4008315307330796E-2</v>
      </c>
      <c r="N218" s="6">
        <v>0</v>
      </c>
      <c r="O218" s="6">
        <v>1</v>
      </c>
      <c r="P218" s="6">
        <v>16</v>
      </c>
      <c r="Q218" s="5">
        <v>0.13638212532932661</v>
      </c>
      <c r="R218" s="5">
        <v>0.12489587163927413</v>
      </c>
      <c r="S218" s="6">
        <v>0</v>
      </c>
      <c r="T218" s="6">
        <v>1</v>
      </c>
      <c r="U218" s="6">
        <v>19</v>
      </c>
      <c r="V218" s="5">
        <v>0.35584441822330487</v>
      </c>
      <c r="W218" s="5">
        <v>0.12202753204157965</v>
      </c>
      <c r="X218" s="6">
        <v>0</v>
      </c>
      <c r="Y218" s="6">
        <v>1</v>
      </c>
      <c r="Z218" s="6">
        <v>18</v>
      </c>
      <c r="AA218" s="5">
        <v>0.74429546837714122</v>
      </c>
      <c r="AB218" s="5">
        <v>0.12930236493328284</v>
      </c>
      <c r="AC218" s="6">
        <v>0</v>
      </c>
      <c r="AD218" s="6">
        <v>1</v>
      </c>
      <c r="AE218" s="6">
        <v>14</v>
      </c>
      <c r="AF218" s="5">
        <v>0.42925514319553509</v>
      </c>
      <c r="AG218" s="5">
        <v>6.917480911456024E-2</v>
      </c>
      <c r="AH218" s="6">
        <v>0</v>
      </c>
      <c r="AI218" s="6">
        <v>1</v>
      </c>
      <c r="AJ218" s="6">
        <v>100</v>
      </c>
      <c r="AK218">
        <f>(AF219/AF217)-AF218</f>
        <v>-0.26233669078238897</v>
      </c>
    </row>
    <row r="219" spans="1:37" ht="26.25" x14ac:dyDescent="0.45">
      <c r="A219" s="4" t="s">
        <v>101</v>
      </c>
      <c r="B219" s="5">
        <v>5.0869262003460196E-3</v>
      </c>
      <c r="C219" s="5">
        <v>5.2833334995758627E-3</v>
      </c>
      <c r="D219" s="6">
        <v>0</v>
      </c>
      <c r="E219" s="6">
        <v>1</v>
      </c>
      <c r="F219" s="6">
        <v>28</v>
      </c>
      <c r="G219" s="5">
        <v>0</v>
      </c>
      <c r="H219" s="5">
        <v>0</v>
      </c>
      <c r="I219" s="6">
        <v>0</v>
      </c>
      <c r="J219" s="6">
        <v>0</v>
      </c>
      <c r="K219" s="6">
        <v>5</v>
      </c>
      <c r="L219" s="5">
        <v>0</v>
      </c>
      <c r="M219" s="5">
        <v>0</v>
      </c>
      <c r="N219" s="6">
        <v>0</v>
      </c>
      <c r="O219" s="6">
        <v>0</v>
      </c>
      <c r="P219" s="6">
        <v>16</v>
      </c>
      <c r="Q219" s="5">
        <v>0</v>
      </c>
      <c r="R219" s="5">
        <v>0</v>
      </c>
      <c r="S219" s="6">
        <v>0</v>
      </c>
      <c r="T219" s="6">
        <v>0</v>
      </c>
      <c r="U219" s="6">
        <v>19</v>
      </c>
      <c r="V219" s="5">
        <v>4.5608232378704205E-2</v>
      </c>
      <c r="W219" s="5">
        <v>4.6234898232649681E-2</v>
      </c>
      <c r="X219" s="6">
        <v>0</v>
      </c>
      <c r="Y219" s="6">
        <v>1</v>
      </c>
      <c r="Z219" s="6">
        <v>18</v>
      </c>
      <c r="AA219" s="5">
        <v>9.1385137798670593E-2</v>
      </c>
      <c r="AB219" s="5">
        <v>9.0431079609862339E-2</v>
      </c>
      <c r="AC219" s="6">
        <v>0</v>
      </c>
      <c r="AD219" s="6">
        <v>1</v>
      </c>
      <c r="AE219" s="6">
        <v>14</v>
      </c>
      <c r="AF219" s="5">
        <v>9.6392048860199624E-3</v>
      </c>
      <c r="AG219" s="5">
        <v>6.3375456466821028E-3</v>
      </c>
      <c r="AH219" s="6">
        <v>0</v>
      </c>
      <c r="AI219" s="6">
        <v>1</v>
      </c>
      <c r="AJ219" s="6">
        <v>100</v>
      </c>
    </row>
    <row r="220" spans="1:37" x14ac:dyDescent="0.45">
      <c r="A220" s="4" t="s">
        <v>34</v>
      </c>
      <c r="B220" s="5">
        <v>4.9977494973873441E-3</v>
      </c>
      <c r="C220" s="5">
        <v>5.1842481806806187E-3</v>
      </c>
      <c r="D220" s="6">
        <v>0</v>
      </c>
      <c r="E220" s="6">
        <v>1</v>
      </c>
      <c r="F220" s="6">
        <v>29</v>
      </c>
      <c r="G220" s="5">
        <v>0</v>
      </c>
      <c r="H220" s="5">
        <v>0</v>
      </c>
      <c r="I220" s="6">
        <v>0</v>
      </c>
      <c r="J220" s="6">
        <v>0</v>
      </c>
      <c r="K220" s="6">
        <v>5</v>
      </c>
      <c r="L220" s="5">
        <v>0.1089926005638932</v>
      </c>
      <c r="M220" s="5">
        <v>7.4809215374932528E-2</v>
      </c>
      <c r="N220" s="6">
        <v>0</v>
      </c>
      <c r="O220" s="6">
        <v>1</v>
      </c>
      <c r="P220" s="6">
        <v>19</v>
      </c>
      <c r="Q220" s="5">
        <v>0</v>
      </c>
      <c r="R220" s="5">
        <v>0</v>
      </c>
      <c r="S220" s="6">
        <v>0</v>
      </c>
      <c r="T220" s="6">
        <v>0</v>
      </c>
      <c r="U220" s="6">
        <v>19</v>
      </c>
      <c r="V220" s="5">
        <v>0.18749442370539304</v>
      </c>
      <c r="W220" s="5">
        <v>9.5653225655299184E-2</v>
      </c>
      <c r="X220" s="6">
        <v>0</v>
      </c>
      <c r="Y220" s="6">
        <v>1</v>
      </c>
      <c r="Z220" s="6">
        <v>18</v>
      </c>
      <c r="AA220" s="5">
        <v>0.10851687170393783</v>
      </c>
      <c r="AB220" s="5">
        <v>9.1959813331468687E-2</v>
      </c>
      <c r="AC220" s="6">
        <v>0</v>
      </c>
      <c r="AD220" s="6">
        <v>1</v>
      </c>
      <c r="AE220" s="6">
        <v>14</v>
      </c>
      <c r="AF220" s="5">
        <v>5.7747988593625371E-2</v>
      </c>
      <c r="AG220" s="5">
        <v>2.8391611186991999E-2</v>
      </c>
      <c r="AH220" s="6">
        <v>0</v>
      </c>
      <c r="AI220" s="6">
        <v>1</v>
      </c>
      <c r="AJ220" s="6">
        <v>104</v>
      </c>
      <c r="AK220">
        <f>(AF222/AF221)-AF220</f>
        <v>5.0185650867522455E-2</v>
      </c>
    </row>
    <row r="221" spans="1:37" ht="26.25" x14ac:dyDescent="0.45">
      <c r="A221" s="4" t="s">
        <v>38</v>
      </c>
      <c r="B221" s="5">
        <v>0</v>
      </c>
      <c r="C221" s="5">
        <v>0</v>
      </c>
      <c r="D221" s="6">
        <v>0</v>
      </c>
      <c r="E221" s="6">
        <v>0</v>
      </c>
      <c r="F221" s="6">
        <v>29</v>
      </c>
      <c r="G221" s="5">
        <v>0</v>
      </c>
      <c r="H221" s="5">
        <v>0</v>
      </c>
      <c r="I221" s="6">
        <v>0</v>
      </c>
      <c r="J221" s="6">
        <v>0</v>
      </c>
      <c r="K221" s="6">
        <v>5</v>
      </c>
      <c r="L221" s="5">
        <v>0.94219031834334444</v>
      </c>
      <c r="M221" s="5">
        <v>5.7556730985345819E-2</v>
      </c>
      <c r="N221" s="6">
        <v>0</v>
      </c>
      <c r="O221" s="6">
        <v>1</v>
      </c>
      <c r="P221" s="6">
        <v>19</v>
      </c>
      <c r="Q221" s="5">
        <v>0.23215855473296679</v>
      </c>
      <c r="R221" s="5">
        <v>9.9015389508305698E-2</v>
      </c>
      <c r="S221" s="6">
        <v>0</v>
      </c>
      <c r="T221" s="6">
        <v>1</v>
      </c>
      <c r="U221" s="6">
        <v>19</v>
      </c>
      <c r="V221" s="5">
        <v>0.47441656189365872</v>
      </c>
      <c r="W221" s="5">
        <v>0.1275876604219422</v>
      </c>
      <c r="X221" s="6">
        <v>0</v>
      </c>
      <c r="Y221" s="6">
        <v>1</v>
      </c>
      <c r="Z221" s="6">
        <v>18</v>
      </c>
      <c r="AA221" s="5">
        <v>0.50100347893857933</v>
      </c>
      <c r="AB221" s="5">
        <v>0.15741214876712428</v>
      </c>
      <c r="AC221" s="6">
        <v>0</v>
      </c>
      <c r="AD221" s="6">
        <v>1</v>
      </c>
      <c r="AE221" s="6">
        <v>14</v>
      </c>
      <c r="AF221" s="5">
        <v>0.41945825525041158</v>
      </c>
      <c r="AG221" s="5">
        <v>6.5895940178938919E-2</v>
      </c>
      <c r="AH221" s="6">
        <v>0</v>
      </c>
      <c r="AI221" s="6">
        <v>1</v>
      </c>
      <c r="AJ221" s="6">
        <v>104</v>
      </c>
      <c r="AK221">
        <f>(AF222/AF220)-AF221</f>
        <v>0.3645284634869691</v>
      </c>
    </row>
    <row r="222" spans="1:37" ht="39.4" x14ac:dyDescent="0.45">
      <c r="A222" s="4" t="s">
        <v>102</v>
      </c>
      <c r="B222" s="5">
        <v>0</v>
      </c>
      <c r="C222" s="5">
        <v>0</v>
      </c>
      <c r="D222" s="6">
        <v>0</v>
      </c>
      <c r="E222" s="6">
        <v>0</v>
      </c>
      <c r="F222" s="6">
        <v>29</v>
      </c>
      <c r="G222" s="5">
        <v>0</v>
      </c>
      <c r="H222" s="5">
        <v>0</v>
      </c>
      <c r="I222" s="6">
        <v>0</v>
      </c>
      <c r="J222" s="6">
        <v>0</v>
      </c>
      <c r="K222" s="6">
        <v>5</v>
      </c>
      <c r="L222" s="5">
        <v>0.1089926005638932</v>
      </c>
      <c r="M222" s="5">
        <v>7.4809215374932528E-2</v>
      </c>
      <c r="N222" s="6">
        <v>0</v>
      </c>
      <c r="O222" s="6">
        <v>1</v>
      </c>
      <c r="P222" s="6">
        <v>19</v>
      </c>
      <c r="Q222" s="5">
        <v>0</v>
      </c>
      <c r="R222" s="5">
        <v>0</v>
      </c>
      <c r="S222" s="6">
        <v>0</v>
      </c>
      <c r="T222" s="6">
        <v>0</v>
      </c>
      <c r="U222" s="6">
        <v>19</v>
      </c>
      <c r="V222" s="5">
        <v>0.10055724988722109</v>
      </c>
      <c r="W222" s="5">
        <v>7.0534767449922611E-2</v>
      </c>
      <c r="X222" s="6">
        <v>0</v>
      </c>
      <c r="Y222" s="6">
        <v>1</v>
      </c>
      <c r="Z222" s="6">
        <v>18</v>
      </c>
      <c r="AA222" s="5">
        <v>0</v>
      </c>
      <c r="AB222" s="5">
        <v>0</v>
      </c>
      <c r="AC222" s="6">
        <v>0</v>
      </c>
      <c r="AD222" s="6">
        <v>0</v>
      </c>
      <c r="AE222" s="6">
        <v>14</v>
      </c>
      <c r="AF222" s="5">
        <v>4.5273656091200043E-2</v>
      </c>
      <c r="AG222" s="5">
        <v>2.7586118395512331E-2</v>
      </c>
      <c r="AH222" s="6">
        <v>0</v>
      </c>
      <c r="AI222" s="6">
        <v>1</v>
      </c>
      <c r="AJ222" s="6">
        <v>104</v>
      </c>
    </row>
    <row r="223" spans="1:37" x14ac:dyDescent="0.45">
      <c r="A223" s="4" t="s">
        <v>34</v>
      </c>
      <c r="B223" s="5">
        <v>4.9977494973873441E-3</v>
      </c>
      <c r="C223" s="5">
        <v>5.1842481806806187E-3</v>
      </c>
      <c r="D223" s="6">
        <v>0</v>
      </c>
      <c r="E223" s="6">
        <v>1</v>
      </c>
      <c r="F223" s="6">
        <v>29</v>
      </c>
      <c r="G223" s="5">
        <v>0</v>
      </c>
      <c r="H223" s="5">
        <v>0</v>
      </c>
      <c r="I223" s="6">
        <v>0</v>
      </c>
      <c r="J223" s="6">
        <v>0</v>
      </c>
      <c r="K223" s="6">
        <v>5</v>
      </c>
      <c r="L223" s="5">
        <v>0.1089926005638932</v>
      </c>
      <c r="M223" s="5">
        <v>7.4809215374932528E-2</v>
      </c>
      <c r="N223" s="6">
        <v>0</v>
      </c>
      <c r="O223" s="6">
        <v>1</v>
      </c>
      <c r="P223" s="6">
        <v>19</v>
      </c>
      <c r="Q223" s="5">
        <v>0</v>
      </c>
      <c r="R223" s="5">
        <v>0</v>
      </c>
      <c r="S223" s="6">
        <v>0</v>
      </c>
      <c r="T223" s="6">
        <v>0</v>
      </c>
      <c r="U223" s="6">
        <v>19</v>
      </c>
      <c r="V223" s="5">
        <v>0.18749442370539304</v>
      </c>
      <c r="W223" s="5">
        <v>9.5653225655299184E-2</v>
      </c>
      <c r="X223" s="6">
        <v>0</v>
      </c>
      <c r="Y223" s="6">
        <v>1</v>
      </c>
      <c r="Z223" s="6">
        <v>18</v>
      </c>
      <c r="AA223" s="5">
        <v>0.10851687170393783</v>
      </c>
      <c r="AB223" s="5">
        <v>9.1959813331468687E-2</v>
      </c>
      <c r="AC223" s="6">
        <v>0</v>
      </c>
      <c r="AD223" s="6">
        <v>1</v>
      </c>
      <c r="AE223" s="6">
        <v>14</v>
      </c>
      <c r="AF223" s="5">
        <v>5.7747988593625371E-2</v>
      </c>
      <c r="AG223" s="5">
        <v>2.8391611186991999E-2</v>
      </c>
      <c r="AH223" s="6">
        <v>0</v>
      </c>
      <c r="AI223" s="6">
        <v>1</v>
      </c>
      <c r="AJ223" s="6">
        <v>104</v>
      </c>
      <c r="AK223">
        <f>(AF225/AF224)-AF223</f>
        <v>2.298789603332653E-2</v>
      </c>
    </row>
    <row r="224" spans="1:37" x14ac:dyDescent="0.45">
      <c r="A224" s="4" t="s">
        <v>40</v>
      </c>
      <c r="B224" s="5">
        <v>0.23600168674140035</v>
      </c>
      <c r="C224" s="5">
        <v>9.8121570578696957E-2</v>
      </c>
      <c r="D224" s="6">
        <v>0</v>
      </c>
      <c r="E224" s="6">
        <v>1</v>
      </c>
      <c r="F224" s="6">
        <v>29</v>
      </c>
      <c r="G224" s="5">
        <v>0.28413340654229741</v>
      </c>
      <c r="H224" s="5">
        <v>0.2635701019519151</v>
      </c>
      <c r="I224" s="6">
        <v>0</v>
      </c>
      <c r="J224" s="6">
        <v>1</v>
      </c>
      <c r="K224" s="6">
        <v>5</v>
      </c>
      <c r="L224" s="5">
        <v>1</v>
      </c>
      <c r="M224" s="5">
        <v>0</v>
      </c>
      <c r="N224" s="6">
        <v>1</v>
      </c>
      <c r="O224" s="6">
        <v>1</v>
      </c>
      <c r="P224" s="6">
        <v>19</v>
      </c>
      <c r="Q224" s="5">
        <v>0.85289731615094222</v>
      </c>
      <c r="R224" s="5">
        <v>0.10368836461541529</v>
      </c>
      <c r="S224" s="6">
        <v>0</v>
      </c>
      <c r="T224" s="6">
        <v>1</v>
      </c>
      <c r="U224" s="6">
        <v>19</v>
      </c>
      <c r="V224" s="5">
        <v>0.86634111546445414</v>
      </c>
      <c r="W224" s="5">
        <v>8.7661072043173624E-2</v>
      </c>
      <c r="X224" s="6">
        <v>0</v>
      </c>
      <c r="Y224" s="6">
        <v>1</v>
      </c>
      <c r="Z224" s="6">
        <v>18</v>
      </c>
      <c r="AA224" s="5">
        <v>0.68542702638902031</v>
      </c>
      <c r="AB224" s="5">
        <v>0.14449500923918335</v>
      </c>
      <c r="AC224" s="6">
        <v>0</v>
      </c>
      <c r="AD224" s="6">
        <v>1</v>
      </c>
      <c r="AE224" s="6">
        <v>14</v>
      </c>
      <c r="AF224" s="5">
        <v>0.64636059193257822</v>
      </c>
      <c r="AG224" s="5">
        <v>6.6126331124485585E-2</v>
      </c>
      <c r="AH224" s="6">
        <v>0</v>
      </c>
      <c r="AI224" s="6">
        <v>1</v>
      </c>
      <c r="AJ224" s="6">
        <v>104</v>
      </c>
      <c r="AK224">
        <f>(AF225/AF223)-AF224</f>
        <v>0.25729848691259327</v>
      </c>
    </row>
    <row r="225" spans="1:37" ht="26.25" x14ac:dyDescent="0.45">
      <c r="A225" s="4" t="s">
        <v>103</v>
      </c>
      <c r="B225" s="5">
        <v>0</v>
      </c>
      <c r="C225" s="5">
        <v>0</v>
      </c>
      <c r="D225" s="6">
        <v>0</v>
      </c>
      <c r="E225" s="6">
        <v>0</v>
      </c>
      <c r="F225" s="6">
        <v>29</v>
      </c>
      <c r="G225" s="5">
        <v>0</v>
      </c>
      <c r="H225" s="5">
        <v>0</v>
      </c>
      <c r="I225" s="6">
        <v>0</v>
      </c>
      <c r="J225" s="6">
        <v>0</v>
      </c>
      <c r="K225" s="6">
        <v>5</v>
      </c>
      <c r="L225" s="5">
        <v>0.1089926005638932</v>
      </c>
      <c r="M225" s="5">
        <v>7.4809215374932528E-2</v>
      </c>
      <c r="N225" s="6">
        <v>0</v>
      </c>
      <c r="O225" s="6">
        <v>1</v>
      </c>
      <c r="P225" s="6">
        <v>19</v>
      </c>
      <c r="Q225" s="5">
        <v>0</v>
      </c>
      <c r="R225" s="5">
        <v>0</v>
      </c>
      <c r="S225" s="6">
        <v>0</v>
      </c>
      <c r="T225" s="6">
        <v>0</v>
      </c>
      <c r="U225" s="6">
        <v>19</v>
      </c>
      <c r="V225" s="5">
        <v>0.13254540619687616</v>
      </c>
      <c r="W225" s="5">
        <v>8.2787652361548586E-2</v>
      </c>
      <c r="X225" s="6">
        <v>0</v>
      </c>
      <c r="Y225" s="6">
        <v>1</v>
      </c>
      <c r="Z225" s="6">
        <v>18</v>
      </c>
      <c r="AA225" s="5">
        <v>9.1385137798670593E-2</v>
      </c>
      <c r="AB225" s="5">
        <v>9.0431079609862339E-2</v>
      </c>
      <c r="AC225" s="6">
        <v>0</v>
      </c>
      <c r="AD225" s="6">
        <v>1</v>
      </c>
      <c r="AE225" s="6">
        <v>14</v>
      </c>
      <c r="AF225" s="5">
        <v>5.2184494177676975E-2</v>
      </c>
      <c r="AG225" s="5">
        <v>2.814300871381278E-2</v>
      </c>
      <c r="AH225" s="6">
        <v>0</v>
      </c>
      <c r="AI225" s="6">
        <v>1</v>
      </c>
      <c r="AJ225" s="6">
        <v>104</v>
      </c>
    </row>
    <row r="226" spans="1:37" x14ac:dyDescent="0.45">
      <c r="A226" s="4" t="s">
        <v>34</v>
      </c>
      <c r="B226" s="5">
        <v>4.9977494973873441E-3</v>
      </c>
      <c r="C226" s="5">
        <v>5.1842481806806187E-3</v>
      </c>
      <c r="D226" s="6">
        <v>0</v>
      </c>
      <c r="E226" s="6">
        <v>1</v>
      </c>
      <c r="F226" s="6">
        <v>29</v>
      </c>
      <c r="G226" s="5">
        <v>0</v>
      </c>
      <c r="H226" s="5">
        <v>0</v>
      </c>
      <c r="I226" s="6">
        <v>0</v>
      </c>
      <c r="J226" s="6">
        <v>0</v>
      </c>
      <c r="K226" s="6">
        <v>5</v>
      </c>
      <c r="L226" s="5">
        <v>0.1089926005638932</v>
      </c>
      <c r="M226" s="5">
        <v>7.4809215374932528E-2</v>
      </c>
      <c r="N226" s="6">
        <v>0</v>
      </c>
      <c r="O226" s="6">
        <v>1</v>
      </c>
      <c r="P226" s="6">
        <v>19</v>
      </c>
      <c r="Q226" s="5">
        <v>0</v>
      </c>
      <c r="R226" s="5">
        <v>0</v>
      </c>
      <c r="S226" s="6">
        <v>0</v>
      </c>
      <c r="T226" s="6">
        <v>0</v>
      </c>
      <c r="U226" s="6">
        <v>19</v>
      </c>
      <c r="V226" s="5">
        <v>0.18749442370539304</v>
      </c>
      <c r="W226" s="5">
        <v>9.5653225655299184E-2</v>
      </c>
      <c r="X226" s="6">
        <v>0</v>
      </c>
      <c r="Y226" s="6">
        <v>1</v>
      </c>
      <c r="Z226" s="6">
        <v>18</v>
      </c>
      <c r="AA226" s="5">
        <v>0.10851687170393783</v>
      </c>
      <c r="AB226" s="5">
        <v>9.1959813331468687E-2</v>
      </c>
      <c r="AC226" s="6">
        <v>0</v>
      </c>
      <c r="AD226" s="6">
        <v>1</v>
      </c>
      <c r="AE226" s="6">
        <v>14</v>
      </c>
      <c r="AF226" s="5">
        <v>5.7747988593625371E-2</v>
      </c>
      <c r="AG226" s="5">
        <v>2.8391611186991999E-2</v>
      </c>
      <c r="AH226" s="6">
        <v>0</v>
      </c>
      <c r="AI226" s="6">
        <v>1</v>
      </c>
      <c r="AJ226" s="6">
        <v>104</v>
      </c>
      <c r="AK226">
        <f>(AF228/AF227)-AF226</f>
        <v>3.1206489374059732E-2</v>
      </c>
    </row>
    <row r="227" spans="1:37" x14ac:dyDescent="0.45">
      <c r="A227" s="4" t="s">
        <v>42</v>
      </c>
      <c r="B227" s="5">
        <v>0.14679233898869379</v>
      </c>
      <c r="C227" s="5">
        <v>7.21952874481087E-2</v>
      </c>
      <c r="D227" s="6">
        <v>0</v>
      </c>
      <c r="E227" s="6">
        <v>1</v>
      </c>
      <c r="F227" s="6">
        <v>29</v>
      </c>
      <c r="G227" s="5">
        <v>0.28413340654229741</v>
      </c>
      <c r="H227" s="5">
        <v>0.2635701019519151</v>
      </c>
      <c r="I227" s="6">
        <v>0</v>
      </c>
      <c r="J227" s="6">
        <v>1</v>
      </c>
      <c r="K227" s="6">
        <v>5</v>
      </c>
      <c r="L227" s="5">
        <v>0.83743216794734465</v>
      </c>
      <c r="M227" s="5">
        <v>8.8339131816845065E-2</v>
      </c>
      <c r="N227" s="6">
        <v>0</v>
      </c>
      <c r="O227" s="6">
        <v>1</v>
      </c>
      <c r="P227" s="6">
        <v>19</v>
      </c>
      <c r="Q227" s="5">
        <v>0.89861962585941668</v>
      </c>
      <c r="R227" s="5">
        <v>9.6845778169611332E-2</v>
      </c>
      <c r="S227" s="6">
        <v>0</v>
      </c>
      <c r="T227" s="6">
        <v>1</v>
      </c>
      <c r="U227" s="6">
        <v>19</v>
      </c>
      <c r="V227" s="5">
        <v>0.94505098249148323</v>
      </c>
      <c r="W227" s="5">
        <v>5.5165329624764066E-2</v>
      </c>
      <c r="X227" s="6">
        <v>0</v>
      </c>
      <c r="Y227" s="6">
        <v>1</v>
      </c>
      <c r="Z227" s="6">
        <v>18</v>
      </c>
      <c r="AA227" s="5">
        <v>0.91590414556129873</v>
      </c>
      <c r="AB227" s="5">
        <v>5.7720093761496942E-2</v>
      </c>
      <c r="AC227" s="6">
        <v>0</v>
      </c>
      <c r="AD227" s="6">
        <v>1</v>
      </c>
      <c r="AE227" s="6">
        <v>14</v>
      </c>
      <c r="AF227" s="5">
        <v>0.5866426892711829</v>
      </c>
      <c r="AG227" s="5">
        <v>6.7909303410161284E-2</v>
      </c>
      <c r="AH227" s="6">
        <v>0</v>
      </c>
      <c r="AI227" s="6">
        <v>1</v>
      </c>
      <c r="AJ227" s="6">
        <v>104</v>
      </c>
      <c r="AK227">
        <f>(AF228/AF226)-AF227</f>
        <v>0.31701638957398859</v>
      </c>
    </row>
    <row r="228" spans="1:37" ht="26.25" x14ac:dyDescent="0.45">
      <c r="A228" s="4" t="s">
        <v>104</v>
      </c>
      <c r="B228" s="5">
        <v>0</v>
      </c>
      <c r="C228" s="5">
        <v>0</v>
      </c>
      <c r="D228" s="6">
        <v>0</v>
      </c>
      <c r="E228" s="6">
        <v>0</v>
      </c>
      <c r="F228" s="6">
        <v>29</v>
      </c>
      <c r="G228" s="5">
        <v>0</v>
      </c>
      <c r="H228" s="5">
        <v>0</v>
      </c>
      <c r="I228" s="6">
        <v>0</v>
      </c>
      <c r="J228" s="6">
        <v>0</v>
      </c>
      <c r="K228" s="6">
        <v>5</v>
      </c>
      <c r="L228" s="5">
        <v>0.1089926005638932</v>
      </c>
      <c r="M228" s="5">
        <v>7.4809215374932528E-2</v>
      </c>
      <c r="N228" s="6">
        <v>0</v>
      </c>
      <c r="O228" s="6">
        <v>1</v>
      </c>
      <c r="P228" s="6">
        <v>19</v>
      </c>
      <c r="Q228" s="5">
        <v>0</v>
      </c>
      <c r="R228" s="5">
        <v>0</v>
      </c>
      <c r="S228" s="6">
        <v>0</v>
      </c>
      <c r="T228" s="6">
        <v>0</v>
      </c>
      <c r="U228" s="6">
        <v>19</v>
      </c>
      <c r="V228" s="5">
        <v>0.13254540619687616</v>
      </c>
      <c r="W228" s="5">
        <v>8.2787652361548586E-2</v>
      </c>
      <c r="X228" s="6">
        <v>0</v>
      </c>
      <c r="Y228" s="6">
        <v>1</v>
      </c>
      <c r="Z228" s="6">
        <v>18</v>
      </c>
      <c r="AA228" s="5">
        <v>9.1385137798670593E-2</v>
      </c>
      <c r="AB228" s="5">
        <v>9.0431079609862339E-2</v>
      </c>
      <c r="AC228" s="6">
        <v>0</v>
      </c>
      <c r="AD228" s="6">
        <v>1</v>
      </c>
      <c r="AE228" s="6">
        <v>14</v>
      </c>
      <c r="AF228" s="5">
        <v>5.2184494177676975E-2</v>
      </c>
      <c r="AG228" s="5">
        <v>2.814300871381278E-2</v>
      </c>
      <c r="AH228" s="6">
        <v>0</v>
      </c>
      <c r="AI228" s="6">
        <v>1</v>
      </c>
      <c r="AJ228" s="6">
        <v>104</v>
      </c>
    </row>
    <row r="229" spans="1:37" x14ac:dyDescent="0.45">
      <c r="A229" s="4" t="s">
        <v>34</v>
      </c>
      <c r="B229" s="5">
        <v>4.9977494973873441E-3</v>
      </c>
      <c r="C229" s="5">
        <v>5.1842481806806187E-3</v>
      </c>
      <c r="D229" s="6">
        <v>0</v>
      </c>
      <c r="E229" s="6">
        <v>1</v>
      </c>
      <c r="F229" s="6">
        <v>29</v>
      </c>
      <c r="G229" s="5">
        <v>0</v>
      </c>
      <c r="H229" s="5">
        <v>0</v>
      </c>
      <c r="I229" s="6">
        <v>0</v>
      </c>
      <c r="J229" s="6">
        <v>0</v>
      </c>
      <c r="K229" s="6">
        <v>5</v>
      </c>
      <c r="L229" s="5">
        <v>0.1089926005638932</v>
      </c>
      <c r="M229" s="5">
        <v>7.4809215374932528E-2</v>
      </c>
      <c r="N229" s="6">
        <v>0</v>
      </c>
      <c r="O229" s="6">
        <v>1</v>
      </c>
      <c r="P229" s="6">
        <v>19</v>
      </c>
      <c r="Q229" s="5">
        <v>0</v>
      </c>
      <c r="R229" s="5">
        <v>0</v>
      </c>
      <c r="S229" s="6">
        <v>0</v>
      </c>
      <c r="T229" s="6">
        <v>0</v>
      </c>
      <c r="U229" s="6">
        <v>19</v>
      </c>
      <c r="V229" s="5">
        <v>0.18749442370539304</v>
      </c>
      <c r="W229" s="5">
        <v>9.5653225655299184E-2</v>
      </c>
      <c r="X229" s="6">
        <v>0</v>
      </c>
      <c r="Y229" s="6">
        <v>1</v>
      </c>
      <c r="Z229" s="6">
        <v>18</v>
      </c>
      <c r="AA229" s="5">
        <v>0.10851687170393783</v>
      </c>
      <c r="AB229" s="5">
        <v>9.1959813331468687E-2</v>
      </c>
      <c r="AC229" s="6">
        <v>0</v>
      </c>
      <c r="AD229" s="6">
        <v>1</v>
      </c>
      <c r="AE229" s="6">
        <v>14</v>
      </c>
      <c r="AF229" s="5">
        <v>5.7747988593625371E-2</v>
      </c>
      <c r="AG229" s="5">
        <v>2.8391611186991999E-2</v>
      </c>
      <c r="AH229" s="6">
        <v>0</v>
      </c>
      <c r="AI229" s="6">
        <v>1</v>
      </c>
      <c r="AJ229" s="6">
        <v>104</v>
      </c>
      <c r="AK229">
        <f>(AF231/AF230)-AF229</f>
        <v>3.8033419210723896E-2</v>
      </c>
    </row>
    <row r="230" spans="1:37" x14ac:dyDescent="0.45">
      <c r="A230" s="4" t="s">
        <v>44</v>
      </c>
      <c r="B230" s="5">
        <v>0</v>
      </c>
      <c r="C230" s="5">
        <v>0</v>
      </c>
      <c r="D230" s="6">
        <v>0</v>
      </c>
      <c r="E230" s="6">
        <v>0</v>
      </c>
      <c r="F230" s="6">
        <v>29</v>
      </c>
      <c r="G230" s="5">
        <v>0</v>
      </c>
      <c r="H230" s="5">
        <v>0</v>
      </c>
      <c r="I230" s="6">
        <v>0</v>
      </c>
      <c r="J230" s="6">
        <v>0</v>
      </c>
      <c r="K230" s="6">
        <v>5</v>
      </c>
      <c r="L230" s="5">
        <v>0.43080549064057538</v>
      </c>
      <c r="M230" s="5">
        <v>0.1188108626030543</v>
      </c>
      <c r="N230" s="6">
        <v>0</v>
      </c>
      <c r="O230" s="6">
        <v>1</v>
      </c>
      <c r="P230" s="6">
        <v>19</v>
      </c>
      <c r="Q230" s="5">
        <v>0.58179797025751767</v>
      </c>
      <c r="R230" s="5">
        <v>0.13112718214255636</v>
      </c>
      <c r="S230" s="6">
        <v>0</v>
      </c>
      <c r="T230" s="6">
        <v>1</v>
      </c>
      <c r="U230" s="6">
        <v>19</v>
      </c>
      <c r="V230" s="5">
        <v>0.27840718326047831</v>
      </c>
      <c r="W230" s="5">
        <v>0.11962958289453833</v>
      </c>
      <c r="X230" s="6">
        <v>0</v>
      </c>
      <c r="Y230" s="6">
        <v>1</v>
      </c>
      <c r="Z230" s="6">
        <v>18</v>
      </c>
      <c r="AA230" s="5">
        <v>0.27889208014984646</v>
      </c>
      <c r="AB230" s="5">
        <v>0.14163420824029879</v>
      </c>
      <c r="AC230" s="6">
        <v>0</v>
      </c>
      <c r="AD230" s="6">
        <v>1</v>
      </c>
      <c r="AE230" s="6">
        <v>14</v>
      </c>
      <c r="AF230" s="5">
        <v>0.24869923971566638</v>
      </c>
      <c r="AG230" s="5">
        <v>5.4351819960247037E-2</v>
      </c>
      <c r="AH230" s="6">
        <v>0</v>
      </c>
      <c r="AI230" s="6">
        <v>1</v>
      </c>
      <c r="AJ230" s="6">
        <v>104</v>
      </c>
      <c r="AK230">
        <f>(AF231/AF229)-AF230</f>
        <v>0.16379587708338628</v>
      </c>
    </row>
    <row r="231" spans="1:37" ht="26.25" x14ac:dyDescent="0.45">
      <c r="A231" s="4" t="s">
        <v>105</v>
      </c>
      <c r="B231" s="5">
        <v>0</v>
      </c>
      <c r="C231" s="5">
        <v>0</v>
      </c>
      <c r="D231" s="6">
        <v>0</v>
      </c>
      <c r="E231" s="6">
        <v>0</v>
      </c>
      <c r="F231" s="6">
        <v>29</v>
      </c>
      <c r="G231" s="5">
        <v>0</v>
      </c>
      <c r="H231" s="5">
        <v>0</v>
      </c>
      <c r="I231" s="6">
        <v>0</v>
      </c>
      <c r="J231" s="6">
        <v>0</v>
      </c>
      <c r="K231" s="6">
        <v>5</v>
      </c>
      <c r="L231" s="5">
        <v>5.2387205015104729E-2</v>
      </c>
      <c r="M231" s="5">
        <v>5.2458284050898765E-2</v>
      </c>
      <c r="N231" s="6">
        <v>0</v>
      </c>
      <c r="O231" s="6">
        <v>1</v>
      </c>
      <c r="P231" s="6">
        <v>19</v>
      </c>
      <c r="Q231" s="5">
        <v>0</v>
      </c>
      <c r="R231" s="5">
        <v>0</v>
      </c>
      <c r="S231" s="6">
        <v>0</v>
      </c>
      <c r="T231" s="6">
        <v>0</v>
      </c>
      <c r="U231" s="6">
        <v>19</v>
      </c>
      <c r="V231" s="5">
        <v>0</v>
      </c>
      <c r="W231" s="5">
        <v>0</v>
      </c>
      <c r="X231" s="6">
        <v>0</v>
      </c>
      <c r="Y231" s="6">
        <v>0</v>
      </c>
      <c r="Z231" s="6">
        <v>18</v>
      </c>
      <c r="AA231" s="5">
        <v>9.1385137798670593E-2</v>
      </c>
      <c r="AB231" s="5">
        <v>9.0431079609862339E-2</v>
      </c>
      <c r="AC231" s="6">
        <v>0</v>
      </c>
      <c r="AD231" s="6">
        <v>1</v>
      </c>
      <c r="AE231" s="6">
        <v>14</v>
      </c>
      <c r="AF231" s="5">
        <v>2.3820763299837858E-2</v>
      </c>
      <c r="AG231" s="5">
        <v>1.9379001545508198E-2</v>
      </c>
      <c r="AH231" s="6">
        <v>0</v>
      </c>
      <c r="AI231" s="6">
        <v>1</v>
      </c>
      <c r="AJ231" s="6">
        <v>104</v>
      </c>
    </row>
    <row r="232" spans="1:37" x14ac:dyDescent="0.45">
      <c r="A232" s="4" t="s">
        <v>34</v>
      </c>
      <c r="B232" s="5">
        <v>4.9977494973873441E-3</v>
      </c>
      <c r="C232" s="5">
        <v>5.1842481806806187E-3</v>
      </c>
      <c r="D232" s="6">
        <v>0</v>
      </c>
      <c r="E232" s="6">
        <v>1</v>
      </c>
      <c r="F232" s="6">
        <v>29</v>
      </c>
      <c r="G232" s="5">
        <v>0</v>
      </c>
      <c r="H232" s="5">
        <v>0</v>
      </c>
      <c r="I232" s="6">
        <v>0</v>
      </c>
      <c r="J232" s="6">
        <v>0</v>
      </c>
      <c r="K232" s="6">
        <v>5</v>
      </c>
      <c r="L232" s="5">
        <v>0.1089926005638932</v>
      </c>
      <c r="M232" s="5">
        <v>7.4809215374932528E-2</v>
      </c>
      <c r="N232" s="6">
        <v>0</v>
      </c>
      <c r="O232" s="6">
        <v>1</v>
      </c>
      <c r="P232" s="6">
        <v>19</v>
      </c>
      <c r="Q232" s="5">
        <v>0</v>
      </c>
      <c r="R232" s="5">
        <v>0</v>
      </c>
      <c r="S232" s="6">
        <v>0</v>
      </c>
      <c r="T232" s="6">
        <v>0</v>
      </c>
      <c r="U232" s="6">
        <v>19</v>
      </c>
      <c r="V232" s="5">
        <v>0.18749442370539304</v>
      </c>
      <c r="W232" s="5">
        <v>9.5653225655299184E-2</v>
      </c>
      <c r="X232" s="6">
        <v>0</v>
      </c>
      <c r="Y232" s="6">
        <v>1</v>
      </c>
      <c r="Z232" s="6">
        <v>18</v>
      </c>
      <c r="AA232" s="5">
        <v>0.10851687170393783</v>
      </c>
      <c r="AB232" s="5">
        <v>9.1959813331468687E-2</v>
      </c>
      <c r="AC232" s="6">
        <v>0</v>
      </c>
      <c r="AD232" s="6">
        <v>1</v>
      </c>
      <c r="AE232" s="6">
        <v>14</v>
      </c>
      <c r="AF232" s="5">
        <v>5.7747988593625371E-2</v>
      </c>
      <c r="AG232" s="5">
        <v>2.8391611186991999E-2</v>
      </c>
      <c r="AH232" s="6">
        <v>0</v>
      </c>
      <c r="AI232" s="6">
        <v>1</v>
      </c>
      <c r="AJ232" s="6">
        <v>104</v>
      </c>
      <c r="AK232">
        <f>(AF234/AF233)-AF232</f>
        <v>2.7613099219491774E-2</v>
      </c>
    </row>
    <row r="233" spans="1:37" ht="39.4" x14ac:dyDescent="0.45">
      <c r="A233" s="4" t="s">
        <v>16</v>
      </c>
      <c r="B233" s="5">
        <v>0.23600168674140035</v>
      </c>
      <c r="C233" s="5">
        <v>9.8121570578696957E-2</v>
      </c>
      <c r="D233" s="6">
        <v>0</v>
      </c>
      <c r="E233" s="6">
        <v>1</v>
      </c>
      <c r="F233" s="6">
        <v>29</v>
      </c>
      <c r="G233" s="5">
        <v>0.28413340654229741</v>
      </c>
      <c r="H233" s="5">
        <v>0.2635701019519151</v>
      </c>
      <c r="I233" s="6">
        <v>0</v>
      </c>
      <c r="J233" s="6">
        <v>1</v>
      </c>
      <c r="K233" s="6">
        <v>5</v>
      </c>
      <c r="L233" s="5">
        <v>1</v>
      </c>
      <c r="M233" s="5">
        <v>0</v>
      </c>
      <c r="N233" s="6">
        <v>1</v>
      </c>
      <c r="O233" s="6">
        <v>1</v>
      </c>
      <c r="P233" s="6">
        <v>19</v>
      </c>
      <c r="Q233" s="5">
        <v>0.85289731615094222</v>
      </c>
      <c r="R233" s="5">
        <v>0.10368836461541529</v>
      </c>
      <c r="S233" s="6">
        <v>0</v>
      </c>
      <c r="T233" s="6">
        <v>1</v>
      </c>
      <c r="U233" s="6">
        <v>19</v>
      </c>
      <c r="V233" s="5">
        <v>0.92129013297297091</v>
      </c>
      <c r="W233" s="5">
        <v>7.2142407889520602E-2</v>
      </c>
      <c r="X233" s="6">
        <v>0</v>
      </c>
      <c r="Y233" s="6">
        <v>1</v>
      </c>
      <c r="Z233" s="6">
        <v>18</v>
      </c>
      <c r="AA233" s="5">
        <v>0.69525614240739586</v>
      </c>
      <c r="AB233" s="5">
        <v>0.14429635514835867</v>
      </c>
      <c r="AC233" s="6">
        <v>0</v>
      </c>
      <c r="AD233" s="6">
        <v>1</v>
      </c>
      <c r="AE233" s="6">
        <v>14</v>
      </c>
      <c r="AF233" s="5">
        <v>0.6502146518916736</v>
      </c>
      <c r="AG233" s="5">
        <v>6.6144933824160743E-2</v>
      </c>
      <c r="AH233" s="6">
        <v>0</v>
      </c>
      <c r="AI233" s="6">
        <v>1</v>
      </c>
      <c r="AJ233" s="6">
        <v>104</v>
      </c>
      <c r="AK233">
        <f>(AF234/AF232)-AF233</f>
        <v>0.31091025218208246</v>
      </c>
    </row>
    <row r="234" spans="1:37" ht="26.25" x14ac:dyDescent="0.45">
      <c r="A234" s="4" t="s">
        <v>106</v>
      </c>
      <c r="B234" s="5">
        <v>0</v>
      </c>
      <c r="C234" s="5">
        <v>0</v>
      </c>
      <c r="D234" s="6">
        <v>0</v>
      </c>
      <c r="E234" s="6">
        <v>0</v>
      </c>
      <c r="F234" s="6">
        <v>29</v>
      </c>
      <c r="G234" s="5">
        <v>0</v>
      </c>
      <c r="H234" s="5">
        <v>0</v>
      </c>
      <c r="I234" s="6">
        <v>0</v>
      </c>
      <c r="J234" s="6">
        <v>0</v>
      </c>
      <c r="K234" s="6">
        <v>5</v>
      </c>
      <c r="L234" s="5">
        <v>0.1089926005638932</v>
      </c>
      <c r="M234" s="5">
        <v>7.4809215374932528E-2</v>
      </c>
      <c r="N234" s="6">
        <v>0</v>
      </c>
      <c r="O234" s="6">
        <v>1</v>
      </c>
      <c r="P234" s="6">
        <v>19</v>
      </c>
      <c r="Q234" s="5">
        <v>0</v>
      </c>
      <c r="R234" s="5">
        <v>0</v>
      </c>
      <c r="S234" s="6">
        <v>0</v>
      </c>
      <c r="T234" s="6">
        <v>0</v>
      </c>
      <c r="U234" s="6">
        <v>19</v>
      </c>
      <c r="V234" s="5">
        <v>0.18749442370539304</v>
      </c>
      <c r="W234" s="5">
        <v>9.5653225655299184E-2</v>
      </c>
      <c r="X234" s="6">
        <v>0</v>
      </c>
      <c r="Y234" s="6">
        <v>1</v>
      </c>
      <c r="Z234" s="6">
        <v>18</v>
      </c>
      <c r="AA234" s="5">
        <v>9.1385137798670593E-2</v>
      </c>
      <c r="AB234" s="5">
        <v>9.0431079609862339E-2</v>
      </c>
      <c r="AC234" s="6">
        <v>0</v>
      </c>
      <c r="AD234" s="6">
        <v>1</v>
      </c>
      <c r="AE234" s="6">
        <v>14</v>
      </c>
      <c r="AF234" s="5">
        <v>5.5503029997500543E-2</v>
      </c>
      <c r="AG234" s="5">
        <v>2.8335752969865423E-2</v>
      </c>
      <c r="AH234" s="6">
        <v>0</v>
      </c>
      <c r="AI234" s="6">
        <v>1</v>
      </c>
      <c r="AJ234" s="6">
        <v>104</v>
      </c>
    </row>
    <row r="235" spans="1:37" x14ac:dyDescent="0.45">
      <c r="A235" s="4" t="s">
        <v>34</v>
      </c>
      <c r="B235" s="5">
        <v>4.9977494973873441E-3</v>
      </c>
      <c r="C235" s="5">
        <v>5.1842481806806187E-3</v>
      </c>
      <c r="D235" s="6">
        <v>0</v>
      </c>
      <c r="E235" s="6">
        <v>1</v>
      </c>
      <c r="F235" s="6">
        <v>29</v>
      </c>
      <c r="G235" s="5">
        <v>0</v>
      </c>
      <c r="H235" s="5">
        <v>0</v>
      </c>
      <c r="I235" s="6">
        <v>0</v>
      </c>
      <c r="J235" s="6">
        <v>0</v>
      </c>
      <c r="K235" s="6">
        <v>5</v>
      </c>
      <c r="L235" s="5">
        <v>0.1089926005638932</v>
      </c>
      <c r="M235" s="5">
        <v>7.4809215374932528E-2</v>
      </c>
      <c r="N235" s="6">
        <v>0</v>
      </c>
      <c r="O235" s="6">
        <v>1</v>
      </c>
      <c r="P235" s="6">
        <v>19</v>
      </c>
      <c r="Q235" s="5">
        <v>0</v>
      </c>
      <c r="R235" s="5">
        <v>0</v>
      </c>
      <c r="S235" s="6">
        <v>0</v>
      </c>
      <c r="T235" s="6">
        <v>0</v>
      </c>
      <c r="U235" s="6">
        <v>19</v>
      </c>
      <c r="V235" s="5">
        <v>0.18749442370539304</v>
      </c>
      <c r="W235" s="5">
        <v>9.5653225655299184E-2</v>
      </c>
      <c r="X235" s="6">
        <v>0</v>
      </c>
      <c r="Y235" s="6">
        <v>1</v>
      </c>
      <c r="Z235" s="6">
        <v>18</v>
      </c>
      <c r="AA235" s="5">
        <v>0.10851687170393783</v>
      </c>
      <c r="AB235" s="5">
        <v>9.1959813331468687E-2</v>
      </c>
      <c r="AC235" s="6">
        <v>0</v>
      </c>
      <c r="AD235" s="6">
        <v>1</v>
      </c>
      <c r="AE235" s="6">
        <v>14</v>
      </c>
      <c r="AF235" s="5">
        <v>5.7747988593625371E-2</v>
      </c>
      <c r="AG235" s="5">
        <v>2.8391611186991999E-2</v>
      </c>
      <c r="AH235" s="6">
        <v>0</v>
      </c>
      <c r="AI235" s="6">
        <v>1</v>
      </c>
      <c r="AJ235" s="6">
        <v>104</v>
      </c>
      <c r="AK235">
        <f>(AF237/AF236)-AF235</f>
        <v>2.7847903166938651E-2</v>
      </c>
    </row>
    <row r="236" spans="1:37" ht="39.4" x14ac:dyDescent="0.45">
      <c r="A236" s="4" t="s">
        <v>18</v>
      </c>
      <c r="B236" s="5">
        <v>0.14679233898869379</v>
      </c>
      <c r="C236" s="5">
        <v>7.21952874481087E-2</v>
      </c>
      <c r="D236" s="6">
        <v>0</v>
      </c>
      <c r="E236" s="6">
        <v>1</v>
      </c>
      <c r="F236" s="6">
        <v>29</v>
      </c>
      <c r="G236" s="5">
        <v>0.28413340654229741</v>
      </c>
      <c r="H236" s="5">
        <v>0.2635701019519151</v>
      </c>
      <c r="I236" s="6">
        <v>0</v>
      </c>
      <c r="J236" s="6">
        <v>1</v>
      </c>
      <c r="K236" s="6">
        <v>5</v>
      </c>
      <c r="L236" s="5">
        <v>1</v>
      </c>
      <c r="M236" s="5">
        <v>0</v>
      </c>
      <c r="N236" s="6">
        <v>1</v>
      </c>
      <c r="O236" s="6">
        <v>1</v>
      </c>
      <c r="P236" s="6">
        <v>19</v>
      </c>
      <c r="Q236" s="5">
        <v>0.89861962585941668</v>
      </c>
      <c r="R236" s="5">
        <v>9.6845778169611332E-2</v>
      </c>
      <c r="S236" s="6">
        <v>0</v>
      </c>
      <c r="T236" s="6">
        <v>1</v>
      </c>
      <c r="U236" s="6">
        <v>19</v>
      </c>
      <c r="V236" s="5">
        <v>1</v>
      </c>
      <c r="W236" s="5">
        <v>0</v>
      </c>
      <c r="X236" s="6">
        <v>1</v>
      </c>
      <c r="Y236" s="6">
        <v>1</v>
      </c>
      <c r="Z236" s="6">
        <v>18</v>
      </c>
      <c r="AA236" s="5">
        <v>0.91590414556129873</v>
      </c>
      <c r="AB236" s="5">
        <v>5.7720093761496942E-2</v>
      </c>
      <c r="AC236" s="6">
        <v>0</v>
      </c>
      <c r="AD236" s="6">
        <v>1</v>
      </c>
      <c r="AE236" s="6">
        <v>14</v>
      </c>
      <c r="AF236" s="5">
        <v>0.64843100359019867</v>
      </c>
      <c r="AG236" s="5">
        <v>6.691909310816567E-2</v>
      </c>
      <c r="AH236" s="6">
        <v>0</v>
      </c>
      <c r="AI236" s="6">
        <v>1</v>
      </c>
      <c r="AJ236" s="6">
        <v>104</v>
      </c>
      <c r="AK236">
        <f>(AF237/AF235)-AF236</f>
        <v>0.31269390048355739</v>
      </c>
    </row>
    <row r="237" spans="1:37" ht="26.25" x14ac:dyDescent="0.45">
      <c r="A237" s="4" t="s">
        <v>107</v>
      </c>
      <c r="B237" s="5">
        <v>0</v>
      </c>
      <c r="C237" s="5">
        <v>0</v>
      </c>
      <c r="D237" s="6">
        <v>0</v>
      </c>
      <c r="E237" s="6">
        <v>0</v>
      </c>
      <c r="F237" s="6">
        <v>29</v>
      </c>
      <c r="G237" s="5">
        <v>0</v>
      </c>
      <c r="H237" s="5">
        <v>0</v>
      </c>
      <c r="I237" s="6">
        <v>0</v>
      </c>
      <c r="J237" s="6">
        <v>0</v>
      </c>
      <c r="K237" s="6">
        <v>5</v>
      </c>
      <c r="L237" s="5">
        <v>0.1089926005638932</v>
      </c>
      <c r="M237" s="5">
        <v>7.4809215374932528E-2</v>
      </c>
      <c r="N237" s="6">
        <v>0</v>
      </c>
      <c r="O237" s="6">
        <v>1</v>
      </c>
      <c r="P237" s="6">
        <v>19</v>
      </c>
      <c r="Q237" s="5">
        <v>0</v>
      </c>
      <c r="R237" s="5">
        <v>0</v>
      </c>
      <c r="S237" s="6">
        <v>0</v>
      </c>
      <c r="T237" s="6">
        <v>0</v>
      </c>
      <c r="U237" s="6">
        <v>19</v>
      </c>
      <c r="V237" s="5">
        <v>0.18749442370539304</v>
      </c>
      <c r="W237" s="5">
        <v>9.5653225655299184E-2</v>
      </c>
      <c r="X237" s="6">
        <v>0</v>
      </c>
      <c r="Y237" s="6">
        <v>1</v>
      </c>
      <c r="Z237" s="6">
        <v>18</v>
      </c>
      <c r="AA237" s="5">
        <v>9.1385137798670593E-2</v>
      </c>
      <c r="AB237" s="5">
        <v>9.0431079609862339E-2</v>
      </c>
      <c r="AC237" s="6">
        <v>0</v>
      </c>
      <c r="AD237" s="6">
        <v>1</v>
      </c>
      <c r="AE237" s="6">
        <v>14</v>
      </c>
      <c r="AF237" s="5">
        <v>5.5503029997500543E-2</v>
      </c>
      <c r="AG237" s="5">
        <v>2.8335752969865423E-2</v>
      </c>
      <c r="AH237" s="6">
        <v>0</v>
      </c>
      <c r="AI237" s="6">
        <v>1</v>
      </c>
      <c r="AJ237" s="6">
        <v>104</v>
      </c>
    </row>
    <row r="238" spans="1:37" x14ac:dyDescent="0.45">
      <c r="A238" s="4" t="s">
        <v>34</v>
      </c>
      <c r="B238" s="5">
        <v>4.9977494973873441E-3</v>
      </c>
      <c r="C238" s="5">
        <v>5.1842481806806187E-3</v>
      </c>
      <c r="D238" s="6">
        <v>0</v>
      </c>
      <c r="E238" s="6">
        <v>1</v>
      </c>
      <c r="F238" s="6">
        <v>29</v>
      </c>
      <c r="G238" s="5">
        <v>0</v>
      </c>
      <c r="H238" s="5">
        <v>0</v>
      </c>
      <c r="I238" s="6">
        <v>0</v>
      </c>
      <c r="J238" s="6">
        <v>0</v>
      </c>
      <c r="K238" s="6">
        <v>5</v>
      </c>
      <c r="L238" s="5">
        <v>0.1089926005638932</v>
      </c>
      <c r="M238" s="5">
        <v>7.4809215374932528E-2</v>
      </c>
      <c r="N238" s="6">
        <v>0</v>
      </c>
      <c r="O238" s="6">
        <v>1</v>
      </c>
      <c r="P238" s="6">
        <v>19</v>
      </c>
      <c r="Q238" s="5">
        <v>0</v>
      </c>
      <c r="R238" s="5">
        <v>0</v>
      </c>
      <c r="S238" s="6">
        <v>0</v>
      </c>
      <c r="T238" s="6">
        <v>0</v>
      </c>
      <c r="U238" s="6">
        <v>19</v>
      </c>
      <c r="V238" s="5">
        <v>0.18749442370539304</v>
      </c>
      <c r="W238" s="5">
        <v>9.5653225655299184E-2</v>
      </c>
      <c r="X238" s="6">
        <v>0</v>
      </c>
      <c r="Y238" s="6">
        <v>1</v>
      </c>
      <c r="Z238" s="6">
        <v>18</v>
      </c>
      <c r="AA238" s="5">
        <v>0.10851687170393783</v>
      </c>
      <c r="AB238" s="5">
        <v>9.1959813331468687E-2</v>
      </c>
      <c r="AC238" s="6">
        <v>0</v>
      </c>
      <c r="AD238" s="6">
        <v>1</v>
      </c>
      <c r="AE238" s="6">
        <v>14</v>
      </c>
      <c r="AF238" s="5">
        <v>5.7747988593625371E-2</v>
      </c>
      <c r="AG238" s="5">
        <v>2.8391611186991999E-2</v>
      </c>
      <c r="AH238" s="6">
        <v>0</v>
      </c>
      <c r="AI238" s="6">
        <v>1</v>
      </c>
      <c r="AJ238" s="6">
        <v>104</v>
      </c>
      <c r="AK238">
        <f>(AF240/AF239)-AF238</f>
        <v>4.3709883396443147E-2</v>
      </c>
    </row>
    <row r="239" spans="1:37" ht="39.4" x14ac:dyDescent="0.45">
      <c r="A239" s="4" t="s">
        <v>20</v>
      </c>
      <c r="B239" s="5">
        <v>0</v>
      </c>
      <c r="C239" s="5">
        <v>0</v>
      </c>
      <c r="D239" s="6">
        <v>0</v>
      </c>
      <c r="E239" s="6">
        <v>0</v>
      </c>
      <c r="F239" s="6">
        <v>29</v>
      </c>
      <c r="G239" s="5">
        <v>0</v>
      </c>
      <c r="H239" s="5">
        <v>0</v>
      </c>
      <c r="I239" s="6">
        <v>0</v>
      </c>
      <c r="J239" s="6">
        <v>0</v>
      </c>
      <c r="K239" s="6">
        <v>5</v>
      </c>
      <c r="L239" s="5">
        <v>1</v>
      </c>
      <c r="M239" s="5">
        <v>0</v>
      </c>
      <c r="N239" s="6">
        <v>1</v>
      </c>
      <c r="O239" s="6">
        <v>1</v>
      </c>
      <c r="P239" s="6">
        <v>19</v>
      </c>
      <c r="Q239" s="5">
        <v>0.61840113049179313</v>
      </c>
      <c r="R239" s="5">
        <v>0.13006566375416401</v>
      </c>
      <c r="S239" s="6">
        <v>0</v>
      </c>
      <c r="T239" s="6">
        <v>1</v>
      </c>
      <c r="U239" s="6">
        <v>19</v>
      </c>
      <c r="V239" s="5">
        <v>0.62484576595299168</v>
      </c>
      <c r="W239" s="5">
        <v>0.12235387804662534</v>
      </c>
      <c r="X239" s="6">
        <v>0</v>
      </c>
      <c r="Y239" s="6">
        <v>1</v>
      </c>
      <c r="Z239" s="6">
        <v>18</v>
      </c>
      <c r="AA239" s="5">
        <v>0.59238861673724996</v>
      </c>
      <c r="AB239" s="5">
        <v>0.15320552322461192</v>
      </c>
      <c r="AC239" s="6">
        <v>0</v>
      </c>
      <c r="AD239" s="6">
        <v>1</v>
      </c>
      <c r="AE239" s="6">
        <v>14</v>
      </c>
      <c r="AF239" s="5">
        <v>0.49530541673349471</v>
      </c>
      <c r="AG239" s="5">
        <v>6.7368955173709583E-2</v>
      </c>
      <c r="AH239" s="6">
        <v>0</v>
      </c>
      <c r="AI239" s="6">
        <v>1</v>
      </c>
      <c r="AJ239" s="6">
        <v>104</v>
      </c>
      <c r="AK239">
        <f>(AF240/AF238)-AF239</f>
        <v>0.37490036516072844</v>
      </c>
    </row>
    <row r="240" spans="1:37" ht="26.25" x14ac:dyDescent="0.45">
      <c r="A240" s="4" t="s">
        <v>108</v>
      </c>
      <c r="B240" s="5">
        <v>0</v>
      </c>
      <c r="C240" s="5">
        <v>0</v>
      </c>
      <c r="D240" s="6">
        <v>0</v>
      </c>
      <c r="E240" s="6">
        <v>0</v>
      </c>
      <c r="F240" s="6">
        <v>29</v>
      </c>
      <c r="G240" s="5">
        <v>0</v>
      </c>
      <c r="H240" s="5">
        <v>0</v>
      </c>
      <c r="I240" s="6">
        <v>0</v>
      </c>
      <c r="J240" s="6">
        <v>0</v>
      </c>
      <c r="K240" s="6">
        <v>5</v>
      </c>
      <c r="L240" s="5">
        <v>0.1089926005638932</v>
      </c>
      <c r="M240" s="5">
        <v>7.4809215374932528E-2</v>
      </c>
      <c r="N240" s="6">
        <v>0</v>
      </c>
      <c r="O240" s="6">
        <v>1</v>
      </c>
      <c r="P240" s="6">
        <v>19</v>
      </c>
      <c r="Q240" s="5">
        <v>0</v>
      </c>
      <c r="R240" s="5">
        <v>0</v>
      </c>
      <c r="S240" s="6">
        <v>0</v>
      </c>
      <c r="T240" s="6">
        <v>0</v>
      </c>
      <c r="U240" s="6">
        <v>19</v>
      </c>
      <c r="V240" s="5">
        <v>0.10055724988722109</v>
      </c>
      <c r="W240" s="5">
        <v>7.0534767449922611E-2</v>
      </c>
      <c r="X240" s="6">
        <v>0</v>
      </c>
      <c r="Y240" s="6">
        <v>1</v>
      </c>
      <c r="Z240" s="6">
        <v>18</v>
      </c>
      <c r="AA240" s="5">
        <v>9.1385137798670593E-2</v>
      </c>
      <c r="AB240" s="5">
        <v>9.0431079609862339E-2</v>
      </c>
      <c r="AC240" s="6">
        <v>0</v>
      </c>
      <c r="AD240" s="6">
        <v>1</v>
      </c>
      <c r="AE240" s="6">
        <v>14</v>
      </c>
      <c r="AF240" s="5">
        <v>5.0252633566934449E-2</v>
      </c>
      <c r="AG240" s="5">
        <v>2.8004281178045796E-2</v>
      </c>
      <c r="AH240" s="6">
        <v>0</v>
      </c>
      <c r="AI240" s="6">
        <v>1</v>
      </c>
      <c r="AJ240" s="6">
        <v>104</v>
      </c>
    </row>
    <row r="241" spans="1:37" x14ac:dyDescent="0.45">
      <c r="A241" s="4" t="s">
        <v>34</v>
      </c>
      <c r="B241" s="5">
        <v>4.9977494973873441E-3</v>
      </c>
      <c r="C241" s="5">
        <v>5.1842481806806187E-3</v>
      </c>
      <c r="D241" s="6">
        <v>0</v>
      </c>
      <c r="E241" s="6">
        <v>1</v>
      </c>
      <c r="F241" s="6">
        <v>29</v>
      </c>
      <c r="G241" s="5">
        <v>0</v>
      </c>
      <c r="H241" s="5">
        <v>0</v>
      </c>
      <c r="I241" s="6">
        <v>0</v>
      </c>
      <c r="J241" s="6">
        <v>0</v>
      </c>
      <c r="K241" s="6">
        <v>5</v>
      </c>
      <c r="L241" s="5">
        <v>0.1089926005638932</v>
      </c>
      <c r="M241" s="5">
        <v>7.4809215374932528E-2</v>
      </c>
      <c r="N241" s="6">
        <v>0</v>
      </c>
      <c r="O241" s="6">
        <v>1</v>
      </c>
      <c r="P241" s="6">
        <v>19</v>
      </c>
      <c r="Q241" s="5">
        <v>0</v>
      </c>
      <c r="R241" s="5">
        <v>0</v>
      </c>
      <c r="S241" s="6">
        <v>0</v>
      </c>
      <c r="T241" s="6">
        <v>0</v>
      </c>
      <c r="U241" s="6">
        <v>19</v>
      </c>
      <c r="V241" s="5">
        <v>0.18749442370539304</v>
      </c>
      <c r="W241" s="5">
        <v>9.5653225655299184E-2</v>
      </c>
      <c r="X241" s="6">
        <v>0</v>
      </c>
      <c r="Y241" s="6">
        <v>1</v>
      </c>
      <c r="Z241" s="6">
        <v>18</v>
      </c>
      <c r="AA241" s="5">
        <v>0.10851687170393783</v>
      </c>
      <c r="AB241" s="5">
        <v>9.1959813331468687E-2</v>
      </c>
      <c r="AC241" s="6">
        <v>0</v>
      </c>
      <c r="AD241" s="6">
        <v>1</v>
      </c>
      <c r="AE241" s="6">
        <v>14</v>
      </c>
      <c r="AF241" s="5">
        <v>5.7747988593625371E-2</v>
      </c>
      <c r="AG241" s="5">
        <v>2.8391611186991999E-2</v>
      </c>
      <c r="AH241" s="6">
        <v>0</v>
      </c>
      <c r="AI241" s="6">
        <v>1</v>
      </c>
      <c r="AJ241" s="6">
        <v>104</v>
      </c>
      <c r="AK241">
        <f>(AF243/AF242)-AF241</f>
        <v>1.9429325033930037E-2</v>
      </c>
    </row>
    <row r="242" spans="1:37" ht="26.25" x14ac:dyDescent="0.45">
      <c r="A242" s="4" t="s">
        <v>22</v>
      </c>
      <c r="B242" s="5">
        <v>0.26511382125444838</v>
      </c>
      <c r="C242" s="5">
        <v>9.9160906951506367E-2</v>
      </c>
      <c r="D242" s="6">
        <v>0</v>
      </c>
      <c r="E242" s="6">
        <v>1</v>
      </c>
      <c r="F242" s="6">
        <v>29</v>
      </c>
      <c r="G242" s="5">
        <v>0.28413340654229741</v>
      </c>
      <c r="H242" s="5">
        <v>0.2635701019519151</v>
      </c>
      <c r="I242" s="6">
        <v>0</v>
      </c>
      <c r="J242" s="6">
        <v>1</v>
      </c>
      <c r="K242" s="6">
        <v>5</v>
      </c>
      <c r="L242" s="5">
        <v>1</v>
      </c>
      <c r="M242" s="5">
        <v>0</v>
      </c>
      <c r="N242" s="6">
        <v>1</v>
      </c>
      <c r="O242" s="6">
        <v>1</v>
      </c>
      <c r="P242" s="6">
        <v>19</v>
      </c>
      <c r="Q242" s="5">
        <v>0.89861962585941668</v>
      </c>
      <c r="R242" s="5">
        <v>9.6845778169611332E-2</v>
      </c>
      <c r="S242" s="6">
        <v>0</v>
      </c>
      <c r="T242" s="6">
        <v>1</v>
      </c>
      <c r="U242" s="6">
        <v>19</v>
      </c>
      <c r="V242" s="5">
        <v>0.94505098249148323</v>
      </c>
      <c r="W242" s="5">
        <v>5.5165329624764066E-2</v>
      </c>
      <c r="X242" s="6">
        <v>0</v>
      </c>
      <c r="Y242" s="6">
        <v>1</v>
      </c>
      <c r="Z242" s="6">
        <v>18</v>
      </c>
      <c r="AA242" s="5">
        <v>0.91590414556129873</v>
      </c>
      <c r="AB242" s="5">
        <v>5.7720093761496942E-2</v>
      </c>
      <c r="AC242" s="6">
        <v>0</v>
      </c>
      <c r="AD242" s="6">
        <v>1</v>
      </c>
      <c r="AE242" s="6">
        <v>14</v>
      </c>
      <c r="AF242" s="5">
        <v>0.67616365127076683</v>
      </c>
      <c r="AG242" s="5">
        <v>6.6180623554006821E-2</v>
      </c>
      <c r="AH242" s="6">
        <v>0</v>
      </c>
      <c r="AI242" s="6">
        <v>1</v>
      </c>
      <c r="AJ242" s="6">
        <v>104</v>
      </c>
      <c r="AK242">
        <f>(AF243/AF241)-AF242</f>
        <v>0.22749542757440466</v>
      </c>
    </row>
    <row r="243" spans="1:37" ht="26.25" x14ac:dyDescent="0.45">
      <c r="A243" s="4" t="s">
        <v>109</v>
      </c>
      <c r="B243" s="5">
        <v>0</v>
      </c>
      <c r="C243" s="5">
        <v>0</v>
      </c>
      <c r="D243" s="6">
        <v>0</v>
      </c>
      <c r="E243" s="6">
        <v>0</v>
      </c>
      <c r="F243" s="6">
        <v>29</v>
      </c>
      <c r="G243" s="5">
        <v>0</v>
      </c>
      <c r="H243" s="5">
        <v>0</v>
      </c>
      <c r="I243" s="6">
        <v>0</v>
      </c>
      <c r="J243" s="6">
        <v>0</v>
      </c>
      <c r="K243" s="6">
        <v>5</v>
      </c>
      <c r="L243" s="5">
        <v>0.1089926005638932</v>
      </c>
      <c r="M243" s="5">
        <v>7.4809215374932528E-2</v>
      </c>
      <c r="N243" s="6">
        <v>0</v>
      </c>
      <c r="O243" s="6">
        <v>1</v>
      </c>
      <c r="P243" s="6">
        <v>19</v>
      </c>
      <c r="Q243" s="5">
        <v>0</v>
      </c>
      <c r="R243" s="5">
        <v>0</v>
      </c>
      <c r="S243" s="6">
        <v>0</v>
      </c>
      <c r="T243" s="6">
        <v>0</v>
      </c>
      <c r="U243" s="6">
        <v>19</v>
      </c>
      <c r="V243" s="5">
        <v>0.13254540619687616</v>
      </c>
      <c r="W243" s="5">
        <v>8.2787652361548586E-2</v>
      </c>
      <c r="X243" s="6">
        <v>0</v>
      </c>
      <c r="Y243" s="6">
        <v>1</v>
      </c>
      <c r="Z243" s="6">
        <v>18</v>
      </c>
      <c r="AA243" s="5">
        <v>9.1385137798670593E-2</v>
      </c>
      <c r="AB243" s="5">
        <v>9.0431079609862339E-2</v>
      </c>
      <c r="AC243" s="6">
        <v>0</v>
      </c>
      <c r="AD243" s="6">
        <v>1</v>
      </c>
      <c r="AE243" s="6">
        <v>14</v>
      </c>
      <c r="AF243" s="5">
        <v>5.2184494177676975E-2</v>
      </c>
      <c r="AG243" s="5">
        <v>2.814300871381278E-2</v>
      </c>
      <c r="AH243" s="6">
        <v>0</v>
      </c>
      <c r="AI243" s="6">
        <v>1</v>
      </c>
      <c r="AJ243" s="6">
        <v>104</v>
      </c>
    </row>
    <row r="244" spans="1:37" x14ac:dyDescent="0.45">
      <c r="A244" s="4" t="s">
        <v>34</v>
      </c>
      <c r="B244" s="5">
        <v>4.9977494973873441E-3</v>
      </c>
      <c r="C244" s="5">
        <v>5.1842481806806187E-3</v>
      </c>
      <c r="D244" s="6">
        <v>0</v>
      </c>
      <c r="E244" s="6">
        <v>1</v>
      </c>
      <c r="F244" s="6">
        <v>29</v>
      </c>
      <c r="G244" s="5">
        <v>0</v>
      </c>
      <c r="H244" s="5">
        <v>0</v>
      </c>
      <c r="I244" s="6">
        <v>0</v>
      </c>
      <c r="J244" s="6">
        <v>0</v>
      </c>
      <c r="K244" s="6">
        <v>5</v>
      </c>
      <c r="L244" s="5">
        <v>0.1089926005638932</v>
      </c>
      <c r="M244" s="5">
        <v>7.4809215374932528E-2</v>
      </c>
      <c r="N244" s="6">
        <v>0</v>
      </c>
      <c r="O244" s="6">
        <v>1</v>
      </c>
      <c r="P244" s="6">
        <v>19</v>
      </c>
      <c r="Q244" s="5">
        <v>0</v>
      </c>
      <c r="R244" s="5">
        <v>0</v>
      </c>
      <c r="S244" s="6">
        <v>0</v>
      </c>
      <c r="T244" s="6">
        <v>0</v>
      </c>
      <c r="U244" s="6">
        <v>19</v>
      </c>
      <c r="V244" s="5">
        <v>0.18749442370539304</v>
      </c>
      <c r="W244" s="5">
        <v>9.5653225655299184E-2</v>
      </c>
      <c r="X244" s="6">
        <v>0</v>
      </c>
      <c r="Y244" s="6">
        <v>1</v>
      </c>
      <c r="Z244" s="6">
        <v>18</v>
      </c>
      <c r="AA244" s="5">
        <v>0.10851687170393783</v>
      </c>
      <c r="AB244" s="5">
        <v>9.1959813331468687E-2</v>
      </c>
      <c r="AC244" s="6">
        <v>0</v>
      </c>
      <c r="AD244" s="6">
        <v>1</v>
      </c>
      <c r="AE244" s="6">
        <v>14</v>
      </c>
      <c r="AF244" s="5">
        <v>5.7747988593625371E-2</v>
      </c>
      <c r="AG244" s="5">
        <v>2.8391611186991999E-2</v>
      </c>
      <c r="AH244" s="6">
        <v>0</v>
      </c>
      <c r="AI244" s="6">
        <v>1</v>
      </c>
      <c r="AJ244" s="6">
        <v>104</v>
      </c>
      <c r="AK244">
        <f>(AF246/AF245)-AF244</f>
        <v>2.238630299304939E-2</v>
      </c>
    </row>
    <row r="245" spans="1:37" ht="26.25" x14ac:dyDescent="0.45">
      <c r="A245" s="4" t="s">
        <v>24</v>
      </c>
      <c r="B245" s="5">
        <v>0.23600168674140035</v>
      </c>
      <c r="C245" s="5">
        <v>9.8121570578696957E-2</v>
      </c>
      <c r="D245" s="6">
        <v>0</v>
      </c>
      <c r="E245" s="6">
        <v>1</v>
      </c>
      <c r="F245" s="6">
        <v>29</v>
      </c>
      <c r="G245" s="5">
        <v>0.28413340654229741</v>
      </c>
      <c r="H245" s="5">
        <v>0.2635701019519151</v>
      </c>
      <c r="I245" s="6">
        <v>0</v>
      </c>
      <c r="J245" s="6">
        <v>1</v>
      </c>
      <c r="K245" s="6">
        <v>5</v>
      </c>
      <c r="L245" s="5">
        <v>1</v>
      </c>
      <c r="M245" s="5">
        <v>0</v>
      </c>
      <c r="N245" s="6">
        <v>1</v>
      </c>
      <c r="O245" s="6">
        <v>1</v>
      </c>
      <c r="P245" s="6">
        <v>19</v>
      </c>
      <c r="Q245" s="5">
        <v>0.89861962585941668</v>
      </c>
      <c r="R245" s="5">
        <v>9.6845778169611332E-2</v>
      </c>
      <c r="S245" s="6">
        <v>0</v>
      </c>
      <c r="T245" s="6">
        <v>1</v>
      </c>
      <c r="U245" s="6">
        <v>19</v>
      </c>
      <c r="V245" s="5">
        <v>0.86634111546445414</v>
      </c>
      <c r="W245" s="5">
        <v>8.7661072043173624E-2</v>
      </c>
      <c r="X245" s="6">
        <v>0</v>
      </c>
      <c r="Y245" s="6">
        <v>1</v>
      </c>
      <c r="Z245" s="6">
        <v>18</v>
      </c>
      <c r="AA245" s="5">
        <v>0.68542702638902031</v>
      </c>
      <c r="AB245" s="5">
        <v>0.14449500923918335</v>
      </c>
      <c r="AC245" s="6">
        <v>0</v>
      </c>
      <c r="AD245" s="6">
        <v>1</v>
      </c>
      <c r="AE245" s="6">
        <v>14</v>
      </c>
      <c r="AF245" s="5">
        <v>0.65121302184637453</v>
      </c>
      <c r="AG245" s="5">
        <v>6.6128687462899488E-2</v>
      </c>
      <c r="AH245" s="6">
        <v>0</v>
      </c>
      <c r="AI245" s="6">
        <v>1</v>
      </c>
      <c r="AJ245" s="6">
        <v>104</v>
      </c>
      <c r="AK245">
        <f>(AF246/AF244)-AF245</f>
        <v>0.25244605699879696</v>
      </c>
    </row>
    <row r="246" spans="1:37" ht="26.25" x14ac:dyDescent="0.45">
      <c r="A246" s="4" t="s">
        <v>110</v>
      </c>
      <c r="B246" s="5">
        <v>0</v>
      </c>
      <c r="C246" s="5">
        <v>0</v>
      </c>
      <c r="D246" s="6">
        <v>0</v>
      </c>
      <c r="E246" s="6">
        <v>0</v>
      </c>
      <c r="F246" s="6">
        <v>29</v>
      </c>
      <c r="G246" s="5">
        <v>0</v>
      </c>
      <c r="H246" s="5">
        <v>0</v>
      </c>
      <c r="I246" s="6">
        <v>0</v>
      </c>
      <c r="J246" s="6">
        <v>0</v>
      </c>
      <c r="K246" s="6">
        <v>5</v>
      </c>
      <c r="L246" s="5">
        <v>0.1089926005638932</v>
      </c>
      <c r="M246" s="5">
        <v>7.4809215374932528E-2</v>
      </c>
      <c r="N246" s="6">
        <v>0</v>
      </c>
      <c r="O246" s="6">
        <v>1</v>
      </c>
      <c r="P246" s="6">
        <v>19</v>
      </c>
      <c r="Q246" s="5">
        <v>0</v>
      </c>
      <c r="R246" s="5">
        <v>0</v>
      </c>
      <c r="S246" s="6">
        <v>0</v>
      </c>
      <c r="T246" s="6">
        <v>0</v>
      </c>
      <c r="U246" s="6">
        <v>19</v>
      </c>
      <c r="V246" s="5">
        <v>0.13254540619687616</v>
      </c>
      <c r="W246" s="5">
        <v>8.2787652361548586E-2</v>
      </c>
      <c r="X246" s="6">
        <v>0</v>
      </c>
      <c r="Y246" s="6">
        <v>1</v>
      </c>
      <c r="Z246" s="6">
        <v>18</v>
      </c>
      <c r="AA246" s="5">
        <v>9.1385137798670593E-2</v>
      </c>
      <c r="AB246" s="5">
        <v>9.0431079609862339E-2</v>
      </c>
      <c r="AC246" s="6">
        <v>0</v>
      </c>
      <c r="AD246" s="6">
        <v>1</v>
      </c>
      <c r="AE246" s="6">
        <v>14</v>
      </c>
      <c r="AF246" s="5">
        <v>5.2184494177676975E-2</v>
      </c>
      <c r="AG246" s="5">
        <v>2.814300871381278E-2</v>
      </c>
      <c r="AH246" s="6">
        <v>0</v>
      </c>
      <c r="AI246" s="6">
        <v>1</v>
      </c>
      <c r="AJ246" s="6">
        <v>104</v>
      </c>
    </row>
    <row r="247" spans="1:37" x14ac:dyDescent="0.45">
      <c r="A247" s="4" t="s">
        <v>36</v>
      </c>
      <c r="B247" s="5">
        <v>0.75033349718812381</v>
      </c>
      <c r="C247" s="5">
        <v>0.11113628937183456</v>
      </c>
      <c r="D247" s="6">
        <v>0</v>
      </c>
      <c r="E247" s="6">
        <v>1</v>
      </c>
      <c r="F247" s="6">
        <v>28</v>
      </c>
      <c r="G247" s="5">
        <v>0.69890286206955909</v>
      </c>
      <c r="H247" s="5">
        <v>0.26064905237909602</v>
      </c>
      <c r="I247" s="6">
        <v>0</v>
      </c>
      <c r="J247" s="6">
        <v>1</v>
      </c>
      <c r="K247" s="6">
        <v>5</v>
      </c>
      <c r="L247" s="5">
        <v>7.6528749224782755E-2</v>
      </c>
      <c r="M247" s="5">
        <v>6.4008315307330796E-2</v>
      </c>
      <c r="N247" s="6">
        <v>0</v>
      </c>
      <c r="O247" s="6">
        <v>1</v>
      </c>
      <c r="P247" s="6">
        <v>16</v>
      </c>
      <c r="Q247" s="5">
        <v>0.13638212532932661</v>
      </c>
      <c r="R247" s="5">
        <v>0.12489587163927413</v>
      </c>
      <c r="S247" s="6">
        <v>0</v>
      </c>
      <c r="T247" s="6">
        <v>1</v>
      </c>
      <c r="U247" s="6">
        <v>19</v>
      </c>
      <c r="V247" s="5">
        <v>0.35584441822330487</v>
      </c>
      <c r="W247" s="5">
        <v>0.12202753204157965</v>
      </c>
      <c r="X247" s="6">
        <v>0</v>
      </c>
      <c r="Y247" s="6">
        <v>1</v>
      </c>
      <c r="Z247" s="6">
        <v>18</v>
      </c>
      <c r="AA247" s="5">
        <v>0.74429546837714122</v>
      </c>
      <c r="AB247" s="5">
        <v>0.12930236493328284</v>
      </c>
      <c r="AC247" s="6">
        <v>0</v>
      </c>
      <c r="AD247" s="6">
        <v>1</v>
      </c>
      <c r="AE247" s="6">
        <v>14</v>
      </c>
      <c r="AF247" s="5">
        <v>0.42925514319553509</v>
      </c>
      <c r="AG247" s="5">
        <v>6.917480911456024E-2</v>
      </c>
      <c r="AH247" s="6">
        <v>0</v>
      </c>
      <c r="AI247" s="6">
        <v>1</v>
      </c>
      <c r="AJ247" s="6">
        <v>100</v>
      </c>
      <c r="AK247">
        <f>(AF249/AF248)-AF247</f>
        <v>-0.26892968337818024</v>
      </c>
    </row>
    <row r="248" spans="1:37" ht="26.25" x14ac:dyDescent="0.45">
      <c r="A248" s="4" t="s">
        <v>38</v>
      </c>
      <c r="B248" s="5">
        <v>0</v>
      </c>
      <c r="C248" s="5">
        <v>0</v>
      </c>
      <c r="D248" s="6">
        <v>0</v>
      </c>
      <c r="E248" s="6">
        <v>0</v>
      </c>
      <c r="F248" s="6">
        <v>29</v>
      </c>
      <c r="G248" s="5">
        <v>0</v>
      </c>
      <c r="H248" s="5">
        <v>0</v>
      </c>
      <c r="I248" s="6">
        <v>0</v>
      </c>
      <c r="J248" s="6">
        <v>0</v>
      </c>
      <c r="K248" s="6">
        <v>5</v>
      </c>
      <c r="L248" s="5">
        <v>0.94219031834334444</v>
      </c>
      <c r="M248" s="5">
        <v>5.7556730985345819E-2</v>
      </c>
      <c r="N248" s="6">
        <v>0</v>
      </c>
      <c r="O248" s="6">
        <v>1</v>
      </c>
      <c r="P248" s="6">
        <v>19</v>
      </c>
      <c r="Q248" s="5">
        <v>0.23215855473296679</v>
      </c>
      <c r="R248" s="5">
        <v>9.9015389508305698E-2</v>
      </c>
      <c r="S248" s="6">
        <v>0</v>
      </c>
      <c r="T248" s="6">
        <v>1</v>
      </c>
      <c r="U248" s="6">
        <v>19</v>
      </c>
      <c r="V248" s="5">
        <v>0.47441656189365872</v>
      </c>
      <c r="W248" s="5">
        <v>0.1275876604219422</v>
      </c>
      <c r="X248" s="6">
        <v>0</v>
      </c>
      <c r="Y248" s="6">
        <v>1</v>
      </c>
      <c r="Z248" s="6">
        <v>18</v>
      </c>
      <c r="AA248" s="5">
        <v>0.50100347893857933</v>
      </c>
      <c r="AB248" s="5">
        <v>0.15741214876712428</v>
      </c>
      <c r="AC248" s="6">
        <v>0</v>
      </c>
      <c r="AD248" s="6">
        <v>1</v>
      </c>
      <c r="AE248" s="6">
        <v>14</v>
      </c>
      <c r="AF248" s="5">
        <v>0.41945825525041158</v>
      </c>
      <c r="AG248" s="5">
        <v>6.5895940178938919E-2</v>
      </c>
      <c r="AH248" s="6">
        <v>0</v>
      </c>
      <c r="AI248" s="6">
        <v>1</v>
      </c>
      <c r="AJ248" s="6">
        <v>104</v>
      </c>
      <c r="AK248">
        <f>(AF249/AF247)-AF248</f>
        <v>-0.26279190258524648</v>
      </c>
    </row>
    <row r="249" spans="1:37" ht="26.25" x14ac:dyDescent="0.45">
      <c r="A249" s="4" t="s">
        <v>111</v>
      </c>
      <c r="B249" s="5">
        <v>0</v>
      </c>
      <c r="C249" s="5">
        <v>0</v>
      </c>
      <c r="D249" s="6">
        <v>0</v>
      </c>
      <c r="E249" s="6">
        <v>0</v>
      </c>
      <c r="F249" s="6">
        <v>28</v>
      </c>
      <c r="G249" s="5">
        <v>0</v>
      </c>
      <c r="H249" s="5">
        <v>0</v>
      </c>
      <c r="I249" s="6">
        <v>0</v>
      </c>
      <c r="J249" s="6">
        <v>0</v>
      </c>
      <c r="K249" s="6">
        <v>5</v>
      </c>
      <c r="L249" s="5">
        <v>7.6528749224782755E-2</v>
      </c>
      <c r="M249" s="5">
        <v>6.4008315307330796E-2</v>
      </c>
      <c r="N249" s="6">
        <v>0</v>
      </c>
      <c r="O249" s="6">
        <v>1</v>
      </c>
      <c r="P249" s="6">
        <v>16</v>
      </c>
      <c r="Q249" s="5">
        <v>0</v>
      </c>
      <c r="R249" s="5">
        <v>0</v>
      </c>
      <c r="S249" s="6">
        <v>0</v>
      </c>
      <c r="T249" s="6">
        <v>0</v>
      </c>
      <c r="U249" s="6">
        <v>19</v>
      </c>
      <c r="V249" s="5">
        <v>0.30346127168364773</v>
      </c>
      <c r="W249" s="5">
        <v>0.11785360493754786</v>
      </c>
      <c r="X249" s="6">
        <v>0</v>
      </c>
      <c r="Y249" s="6">
        <v>1</v>
      </c>
      <c r="Z249" s="6">
        <v>18</v>
      </c>
      <c r="AA249" s="5">
        <v>0.39678536179574359</v>
      </c>
      <c r="AB249" s="5">
        <v>0.15618057097922988</v>
      </c>
      <c r="AC249" s="6">
        <v>0</v>
      </c>
      <c r="AD249" s="6">
        <v>1</v>
      </c>
      <c r="AE249" s="6">
        <v>14</v>
      </c>
      <c r="AF249" s="5">
        <v>6.7249837647207641E-2</v>
      </c>
      <c r="AG249" s="5">
        <v>2.5374599058167691E-2</v>
      </c>
      <c r="AH249" s="6">
        <v>0</v>
      </c>
      <c r="AI249" s="6">
        <v>1</v>
      </c>
      <c r="AJ249" s="6">
        <v>100</v>
      </c>
    </row>
    <row r="250" spans="1:37" x14ac:dyDescent="0.45">
      <c r="A250" s="4" t="s">
        <v>36</v>
      </c>
      <c r="B250" s="5">
        <v>0.75033349718812381</v>
      </c>
      <c r="C250" s="5">
        <v>0.11113628937183456</v>
      </c>
      <c r="D250" s="6">
        <v>0</v>
      </c>
      <c r="E250" s="6">
        <v>1</v>
      </c>
      <c r="F250" s="6">
        <v>28</v>
      </c>
      <c r="G250" s="5">
        <v>0.69890286206955909</v>
      </c>
      <c r="H250" s="5">
        <v>0.26064905237909602</v>
      </c>
      <c r="I250" s="6">
        <v>0</v>
      </c>
      <c r="J250" s="6">
        <v>1</v>
      </c>
      <c r="K250" s="6">
        <v>5</v>
      </c>
      <c r="L250" s="5">
        <v>7.6528749224782755E-2</v>
      </c>
      <c r="M250" s="5">
        <v>6.4008315307330796E-2</v>
      </c>
      <c r="N250" s="6">
        <v>0</v>
      </c>
      <c r="O250" s="6">
        <v>1</v>
      </c>
      <c r="P250" s="6">
        <v>16</v>
      </c>
      <c r="Q250" s="5">
        <v>0.13638212532932661</v>
      </c>
      <c r="R250" s="5">
        <v>0.12489587163927413</v>
      </c>
      <c r="S250" s="6">
        <v>0</v>
      </c>
      <c r="T250" s="6">
        <v>1</v>
      </c>
      <c r="U250" s="6">
        <v>19</v>
      </c>
      <c r="V250" s="5">
        <v>0.35584441822330487</v>
      </c>
      <c r="W250" s="5">
        <v>0.12202753204157965</v>
      </c>
      <c r="X250" s="6">
        <v>0</v>
      </c>
      <c r="Y250" s="6">
        <v>1</v>
      </c>
      <c r="Z250" s="6">
        <v>18</v>
      </c>
      <c r="AA250" s="5">
        <v>0.74429546837714122</v>
      </c>
      <c r="AB250" s="5">
        <v>0.12930236493328284</v>
      </c>
      <c r="AC250" s="6">
        <v>0</v>
      </c>
      <c r="AD250" s="6">
        <v>1</v>
      </c>
      <c r="AE250" s="6">
        <v>14</v>
      </c>
      <c r="AF250" s="5">
        <v>0.42925514319553509</v>
      </c>
      <c r="AG250" s="5">
        <v>6.917480911456024E-2</v>
      </c>
      <c r="AH250" s="6">
        <v>0</v>
      </c>
      <c r="AI250" s="6">
        <v>1</v>
      </c>
      <c r="AJ250" s="6">
        <v>100</v>
      </c>
      <c r="AK250">
        <f>(AF252/AF251)-AF250</f>
        <v>-0.11459796314444587</v>
      </c>
    </row>
    <row r="251" spans="1:37" x14ac:dyDescent="0.45">
      <c r="A251" s="4" t="s">
        <v>40</v>
      </c>
      <c r="B251" s="5">
        <v>0.23600168674140035</v>
      </c>
      <c r="C251" s="5">
        <v>9.8121570578696957E-2</v>
      </c>
      <c r="D251" s="6">
        <v>0</v>
      </c>
      <c r="E251" s="6">
        <v>1</v>
      </c>
      <c r="F251" s="6">
        <v>29</v>
      </c>
      <c r="G251" s="5">
        <v>0.28413340654229741</v>
      </c>
      <c r="H251" s="5">
        <v>0.2635701019519151</v>
      </c>
      <c r="I251" s="6">
        <v>0</v>
      </c>
      <c r="J251" s="6">
        <v>1</v>
      </c>
      <c r="K251" s="6">
        <v>5</v>
      </c>
      <c r="L251" s="5">
        <v>1</v>
      </c>
      <c r="M251" s="5">
        <v>0</v>
      </c>
      <c r="N251" s="6">
        <v>1</v>
      </c>
      <c r="O251" s="6">
        <v>1</v>
      </c>
      <c r="P251" s="6">
        <v>19</v>
      </c>
      <c r="Q251" s="5">
        <v>0.85289731615094222</v>
      </c>
      <c r="R251" s="5">
        <v>0.10368836461541529</v>
      </c>
      <c r="S251" s="6">
        <v>0</v>
      </c>
      <c r="T251" s="6">
        <v>1</v>
      </c>
      <c r="U251" s="6">
        <v>19</v>
      </c>
      <c r="V251" s="5">
        <v>0.86634111546445414</v>
      </c>
      <c r="W251" s="5">
        <v>8.7661072043173624E-2</v>
      </c>
      <c r="X251" s="6">
        <v>0</v>
      </c>
      <c r="Y251" s="6">
        <v>1</v>
      </c>
      <c r="Z251" s="6">
        <v>18</v>
      </c>
      <c r="AA251" s="5">
        <v>0.68542702638902031</v>
      </c>
      <c r="AB251" s="5">
        <v>0.14449500923918335</v>
      </c>
      <c r="AC251" s="6">
        <v>0</v>
      </c>
      <c r="AD251" s="6">
        <v>1</v>
      </c>
      <c r="AE251" s="6">
        <v>14</v>
      </c>
      <c r="AF251" s="5">
        <v>0.64636059193257822</v>
      </c>
      <c r="AG251" s="5">
        <v>6.6126331124485585E-2</v>
      </c>
      <c r="AH251" s="6">
        <v>0</v>
      </c>
      <c r="AI251" s="6">
        <v>1</v>
      </c>
      <c r="AJ251" s="6">
        <v>104</v>
      </c>
      <c r="AK251">
        <f>(AF252/AF250)-AF251</f>
        <v>-0.17255846194618707</v>
      </c>
    </row>
    <row r="252" spans="1:37" ht="26.25" x14ac:dyDescent="0.45">
      <c r="A252" s="4" t="s">
        <v>112</v>
      </c>
      <c r="B252" s="5">
        <v>0.21682296520720104</v>
      </c>
      <c r="C252" s="5">
        <v>9.8523445787326885E-2</v>
      </c>
      <c r="D252" s="6">
        <v>0</v>
      </c>
      <c r="E252" s="6">
        <v>1</v>
      </c>
      <c r="F252" s="6">
        <v>28</v>
      </c>
      <c r="G252" s="5">
        <v>0.28413340654229741</v>
      </c>
      <c r="H252" s="5">
        <v>0.2635701019519151</v>
      </c>
      <c r="I252" s="6">
        <v>0</v>
      </c>
      <c r="J252" s="6">
        <v>1</v>
      </c>
      <c r="K252" s="6">
        <v>5</v>
      </c>
      <c r="L252" s="5">
        <v>7.6528749224782755E-2</v>
      </c>
      <c r="M252" s="5">
        <v>6.4008315307330796E-2</v>
      </c>
      <c r="N252" s="6">
        <v>0</v>
      </c>
      <c r="O252" s="6">
        <v>1</v>
      </c>
      <c r="P252" s="6">
        <v>16</v>
      </c>
      <c r="Q252" s="5">
        <v>0.13638212532932661</v>
      </c>
      <c r="R252" s="5">
        <v>0.12489587163927413</v>
      </c>
      <c r="S252" s="6">
        <v>0</v>
      </c>
      <c r="T252" s="6">
        <v>1</v>
      </c>
      <c r="U252" s="6">
        <v>19</v>
      </c>
      <c r="V252" s="5">
        <v>0.35584441822330487</v>
      </c>
      <c r="W252" s="5">
        <v>0.12202753204157965</v>
      </c>
      <c r="X252" s="6">
        <v>0</v>
      </c>
      <c r="Y252" s="6">
        <v>1</v>
      </c>
      <c r="Z252" s="6">
        <v>18</v>
      </c>
      <c r="AA252" s="5">
        <v>0.57331521710359223</v>
      </c>
      <c r="AB252" s="5">
        <v>0.15453635161302337</v>
      </c>
      <c r="AC252" s="6">
        <v>0</v>
      </c>
      <c r="AD252" s="6">
        <v>1</v>
      </c>
      <c r="AE252" s="6">
        <v>14</v>
      </c>
      <c r="AF252" s="5">
        <v>0.20338200115365787</v>
      </c>
      <c r="AG252" s="5">
        <v>5.7234203087656595E-2</v>
      </c>
      <c r="AH252" s="6">
        <v>0</v>
      </c>
      <c r="AI252" s="6">
        <v>1</v>
      </c>
      <c r="AJ252" s="6">
        <v>100</v>
      </c>
    </row>
    <row r="253" spans="1:37" x14ac:dyDescent="0.45">
      <c r="A253" s="4" t="s">
        <v>36</v>
      </c>
      <c r="B253" s="5">
        <v>0.75033349718812381</v>
      </c>
      <c r="C253" s="5">
        <v>0.11113628937183456</v>
      </c>
      <c r="D253" s="6">
        <v>0</v>
      </c>
      <c r="E253" s="6">
        <v>1</v>
      </c>
      <c r="F253" s="6">
        <v>28</v>
      </c>
      <c r="G253" s="5">
        <v>0.69890286206955909</v>
      </c>
      <c r="H253" s="5">
        <v>0.26064905237909602</v>
      </c>
      <c r="I253" s="6">
        <v>0</v>
      </c>
      <c r="J253" s="6">
        <v>1</v>
      </c>
      <c r="K253" s="6">
        <v>5</v>
      </c>
      <c r="L253" s="5">
        <v>7.6528749224782755E-2</v>
      </c>
      <c r="M253" s="5">
        <v>6.4008315307330796E-2</v>
      </c>
      <c r="N253" s="6">
        <v>0</v>
      </c>
      <c r="O253" s="6">
        <v>1</v>
      </c>
      <c r="P253" s="6">
        <v>16</v>
      </c>
      <c r="Q253" s="5">
        <v>0.13638212532932661</v>
      </c>
      <c r="R253" s="5">
        <v>0.12489587163927413</v>
      </c>
      <c r="S253" s="6">
        <v>0</v>
      </c>
      <c r="T253" s="6">
        <v>1</v>
      </c>
      <c r="U253" s="6">
        <v>19</v>
      </c>
      <c r="V253" s="5">
        <v>0.35584441822330487</v>
      </c>
      <c r="W253" s="5">
        <v>0.12202753204157965</v>
      </c>
      <c r="X253" s="6">
        <v>0</v>
      </c>
      <c r="Y253" s="6">
        <v>1</v>
      </c>
      <c r="Z253" s="6">
        <v>18</v>
      </c>
      <c r="AA253" s="5">
        <v>0.74429546837714122</v>
      </c>
      <c r="AB253" s="5">
        <v>0.12930236493328284</v>
      </c>
      <c r="AC253" s="6">
        <v>0</v>
      </c>
      <c r="AD253" s="6">
        <v>1</v>
      </c>
      <c r="AE253" s="6">
        <v>14</v>
      </c>
      <c r="AF253" s="5">
        <v>0.42925514319553509</v>
      </c>
      <c r="AG253" s="5">
        <v>6.917480911456024E-2</v>
      </c>
      <c r="AH253" s="6">
        <v>0</v>
      </c>
      <c r="AI253" s="6">
        <v>1</v>
      </c>
      <c r="AJ253" s="6">
        <v>100</v>
      </c>
      <c r="AK253">
        <f>(AF255/AF254)-AF253</f>
        <v>-0.11827844084785721</v>
      </c>
    </row>
    <row r="254" spans="1:37" x14ac:dyDescent="0.45">
      <c r="A254" s="4" t="s">
        <v>42</v>
      </c>
      <c r="B254" s="5">
        <v>0.14679233898869379</v>
      </c>
      <c r="C254" s="5">
        <v>7.21952874481087E-2</v>
      </c>
      <c r="D254" s="6">
        <v>0</v>
      </c>
      <c r="E254" s="6">
        <v>1</v>
      </c>
      <c r="F254" s="6">
        <v>29</v>
      </c>
      <c r="G254" s="5">
        <v>0.28413340654229741</v>
      </c>
      <c r="H254" s="5">
        <v>0.2635701019519151</v>
      </c>
      <c r="I254" s="6">
        <v>0</v>
      </c>
      <c r="J254" s="6">
        <v>1</v>
      </c>
      <c r="K254" s="6">
        <v>5</v>
      </c>
      <c r="L254" s="5">
        <v>0.83743216794734465</v>
      </c>
      <c r="M254" s="5">
        <v>8.8339131816845065E-2</v>
      </c>
      <c r="N254" s="6">
        <v>0</v>
      </c>
      <c r="O254" s="6">
        <v>1</v>
      </c>
      <c r="P254" s="6">
        <v>19</v>
      </c>
      <c r="Q254" s="5">
        <v>0.89861962585941668</v>
      </c>
      <c r="R254" s="5">
        <v>9.6845778169611332E-2</v>
      </c>
      <c r="S254" s="6">
        <v>0</v>
      </c>
      <c r="T254" s="6">
        <v>1</v>
      </c>
      <c r="U254" s="6">
        <v>19</v>
      </c>
      <c r="V254" s="5">
        <v>0.94505098249148323</v>
      </c>
      <c r="W254" s="5">
        <v>5.5165329624764066E-2</v>
      </c>
      <c r="X254" s="6">
        <v>0</v>
      </c>
      <c r="Y254" s="6">
        <v>1</v>
      </c>
      <c r="Z254" s="6">
        <v>18</v>
      </c>
      <c r="AA254" s="5">
        <v>0.91590414556129873</v>
      </c>
      <c r="AB254" s="5">
        <v>5.7720093761496942E-2</v>
      </c>
      <c r="AC254" s="6">
        <v>0</v>
      </c>
      <c r="AD254" s="6">
        <v>1</v>
      </c>
      <c r="AE254" s="6">
        <v>14</v>
      </c>
      <c r="AF254" s="5">
        <v>0.5866426892711829</v>
      </c>
      <c r="AG254" s="5">
        <v>6.7909303410161284E-2</v>
      </c>
      <c r="AH254" s="6">
        <v>0</v>
      </c>
      <c r="AI254" s="6">
        <v>1</v>
      </c>
      <c r="AJ254" s="6">
        <v>104</v>
      </c>
      <c r="AK254">
        <f>(AF255/AF253)-AF254</f>
        <v>-0.16164554745982879</v>
      </c>
    </row>
    <row r="255" spans="1:37" ht="26.25" x14ac:dyDescent="0.45">
      <c r="A255" s="4" t="s">
        <v>113</v>
      </c>
      <c r="B255" s="5">
        <v>0.11451436991320693</v>
      </c>
      <c r="C255" s="5">
        <v>6.9328511232040618E-2</v>
      </c>
      <c r="D255" s="6">
        <v>0</v>
      </c>
      <c r="E255" s="6">
        <v>1</v>
      </c>
      <c r="F255" s="6">
        <v>28</v>
      </c>
      <c r="G255" s="5">
        <v>0.28413340654229741</v>
      </c>
      <c r="H255" s="5">
        <v>0.2635701019519151</v>
      </c>
      <c r="I255" s="6">
        <v>0</v>
      </c>
      <c r="J255" s="6">
        <v>1</v>
      </c>
      <c r="K255" s="6">
        <v>5</v>
      </c>
      <c r="L255" s="5">
        <v>7.6528749224782755E-2</v>
      </c>
      <c r="M255" s="5">
        <v>6.4008315307330796E-2</v>
      </c>
      <c r="N255" s="6">
        <v>0</v>
      </c>
      <c r="O255" s="6">
        <v>1</v>
      </c>
      <c r="P255" s="6">
        <v>16</v>
      </c>
      <c r="Q255" s="5">
        <v>0.13638212532932661</v>
      </c>
      <c r="R255" s="5">
        <v>0.12489587163927413</v>
      </c>
      <c r="S255" s="6">
        <v>0</v>
      </c>
      <c r="T255" s="6">
        <v>1</v>
      </c>
      <c r="U255" s="6">
        <v>19</v>
      </c>
      <c r="V255" s="5">
        <v>0.35584441822330487</v>
      </c>
      <c r="W255" s="5">
        <v>0.12202753204157965</v>
      </c>
      <c r="X255" s="6">
        <v>0</v>
      </c>
      <c r="Y255" s="6">
        <v>1</v>
      </c>
      <c r="Z255" s="6">
        <v>18</v>
      </c>
      <c r="AA255" s="5">
        <v>0.69665497167557722</v>
      </c>
      <c r="AB255" s="5">
        <v>0.13536758124396708</v>
      </c>
      <c r="AC255" s="6">
        <v>0</v>
      </c>
      <c r="AD255" s="6">
        <v>1</v>
      </c>
      <c r="AE255" s="6">
        <v>14</v>
      </c>
      <c r="AF255" s="5">
        <v>0.18243220896592593</v>
      </c>
      <c r="AG255" s="5">
        <v>5.4572694382061936E-2</v>
      </c>
      <c r="AH255" s="6">
        <v>0</v>
      </c>
      <c r="AI255" s="6">
        <v>1</v>
      </c>
      <c r="AJ255" s="6">
        <v>100</v>
      </c>
    </row>
    <row r="256" spans="1:37" x14ac:dyDescent="0.45">
      <c r="A256" s="4" t="s">
        <v>36</v>
      </c>
      <c r="B256" s="5">
        <v>0.75033349718812381</v>
      </c>
      <c r="C256" s="5">
        <v>0.11113628937183456</v>
      </c>
      <c r="D256" s="6">
        <v>0</v>
      </c>
      <c r="E256" s="6">
        <v>1</v>
      </c>
      <c r="F256" s="6">
        <v>28</v>
      </c>
      <c r="G256" s="5">
        <v>0.69890286206955909</v>
      </c>
      <c r="H256" s="5">
        <v>0.26064905237909602</v>
      </c>
      <c r="I256" s="6">
        <v>0</v>
      </c>
      <c r="J256" s="6">
        <v>1</v>
      </c>
      <c r="K256" s="6">
        <v>5</v>
      </c>
      <c r="L256" s="5">
        <v>7.6528749224782755E-2</v>
      </c>
      <c r="M256" s="5">
        <v>6.4008315307330796E-2</v>
      </c>
      <c r="N256" s="6">
        <v>0</v>
      </c>
      <c r="O256" s="6">
        <v>1</v>
      </c>
      <c r="P256" s="6">
        <v>16</v>
      </c>
      <c r="Q256" s="5">
        <v>0.13638212532932661</v>
      </c>
      <c r="R256" s="5">
        <v>0.12489587163927413</v>
      </c>
      <c r="S256" s="6">
        <v>0</v>
      </c>
      <c r="T256" s="6">
        <v>1</v>
      </c>
      <c r="U256" s="6">
        <v>19</v>
      </c>
      <c r="V256" s="5">
        <v>0.35584441822330487</v>
      </c>
      <c r="W256" s="5">
        <v>0.12202753204157965</v>
      </c>
      <c r="X256" s="6">
        <v>0</v>
      </c>
      <c r="Y256" s="6">
        <v>1</v>
      </c>
      <c r="Z256" s="6">
        <v>18</v>
      </c>
      <c r="AA256" s="5">
        <v>0.74429546837714122</v>
      </c>
      <c r="AB256" s="5">
        <v>0.12930236493328284</v>
      </c>
      <c r="AC256" s="6">
        <v>0</v>
      </c>
      <c r="AD256" s="6">
        <v>1</v>
      </c>
      <c r="AE256" s="6">
        <v>14</v>
      </c>
      <c r="AF256" s="5">
        <v>0.42925514319553509</v>
      </c>
      <c r="AG256" s="5">
        <v>6.917480911456024E-2</v>
      </c>
      <c r="AH256" s="6">
        <v>0</v>
      </c>
      <c r="AI256" s="6">
        <v>1</v>
      </c>
      <c r="AJ256" s="6">
        <v>100</v>
      </c>
      <c r="AK256">
        <f>(AF258/AF257)-AF256</f>
        <v>-0.21026369216325275</v>
      </c>
    </row>
    <row r="257" spans="1:37" x14ac:dyDescent="0.45">
      <c r="A257" s="4" t="s">
        <v>44</v>
      </c>
      <c r="B257" s="5">
        <v>0</v>
      </c>
      <c r="C257" s="5">
        <v>0</v>
      </c>
      <c r="D257" s="6">
        <v>0</v>
      </c>
      <c r="E257" s="6">
        <v>0</v>
      </c>
      <c r="F257" s="6">
        <v>29</v>
      </c>
      <c r="G257" s="5">
        <v>0</v>
      </c>
      <c r="H257" s="5">
        <v>0</v>
      </c>
      <c r="I257" s="6">
        <v>0</v>
      </c>
      <c r="J257" s="6">
        <v>0</v>
      </c>
      <c r="K257" s="6">
        <v>5</v>
      </c>
      <c r="L257" s="5">
        <v>0.43080549064057538</v>
      </c>
      <c r="M257" s="5">
        <v>0.1188108626030543</v>
      </c>
      <c r="N257" s="6">
        <v>0</v>
      </c>
      <c r="O257" s="6">
        <v>1</v>
      </c>
      <c r="P257" s="6">
        <v>19</v>
      </c>
      <c r="Q257" s="5">
        <v>0.58179797025751767</v>
      </c>
      <c r="R257" s="5">
        <v>0.13112718214255636</v>
      </c>
      <c r="S257" s="6">
        <v>0</v>
      </c>
      <c r="T257" s="6">
        <v>1</v>
      </c>
      <c r="U257" s="6">
        <v>19</v>
      </c>
      <c r="V257" s="5">
        <v>0.27840718326047831</v>
      </c>
      <c r="W257" s="5">
        <v>0.11962958289453833</v>
      </c>
      <c r="X257" s="6">
        <v>0</v>
      </c>
      <c r="Y257" s="6">
        <v>1</v>
      </c>
      <c r="Z257" s="6">
        <v>18</v>
      </c>
      <c r="AA257" s="5">
        <v>0.27889208014984646</v>
      </c>
      <c r="AB257" s="5">
        <v>0.14163420824029879</v>
      </c>
      <c r="AC257" s="6">
        <v>0</v>
      </c>
      <c r="AD257" s="6">
        <v>1</v>
      </c>
      <c r="AE257" s="6">
        <v>14</v>
      </c>
      <c r="AF257" s="5">
        <v>0.24869923971566638</v>
      </c>
      <c r="AG257" s="5">
        <v>5.4351819960247037E-2</v>
      </c>
      <c r="AH257" s="6">
        <v>0</v>
      </c>
      <c r="AI257" s="6">
        <v>1</v>
      </c>
      <c r="AJ257" s="6">
        <v>104</v>
      </c>
      <c r="AK257">
        <f>(AF258/AF256)-AF257</f>
        <v>-0.12182130187544318</v>
      </c>
    </row>
    <row r="258" spans="1:37" x14ac:dyDescent="0.45">
      <c r="A258" s="4" t="s">
        <v>114</v>
      </c>
      <c r="B258" s="5">
        <v>0</v>
      </c>
      <c r="C258" s="5">
        <v>0</v>
      </c>
      <c r="D258" s="6">
        <v>0</v>
      </c>
      <c r="E258" s="6">
        <v>0</v>
      </c>
      <c r="F258" s="6">
        <v>28</v>
      </c>
      <c r="G258" s="5">
        <v>0</v>
      </c>
      <c r="H258" s="5">
        <v>0</v>
      </c>
      <c r="I258" s="6">
        <v>0</v>
      </c>
      <c r="J258" s="6">
        <v>0</v>
      </c>
      <c r="K258" s="6">
        <v>5</v>
      </c>
      <c r="L258" s="5">
        <v>6.229053999852549E-2</v>
      </c>
      <c r="M258" s="5">
        <v>6.2400951743931066E-2</v>
      </c>
      <c r="N258" s="6">
        <v>0</v>
      </c>
      <c r="O258" s="6">
        <v>1</v>
      </c>
      <c r="P258" s="6">
        <v>16</v>
      </c>
      <c r="Q258" s="5">
        <v>0.13638212532932661</v>
      </c>
      <c r="R258" s="5">
        <v>0.12489587163927413</v>
      </c>
      <c r="S258" s="6">
        <v>0</v>
      </c>
      <c r="T258" s="6">
        <v>1</v>
      </c>
      <c r="U258" s="6">
        <v>19</v>
      </c>
      <c r="V258" s="5">
        <v>0.1279779792011454</v>
      </c>
      <c r="W258" s="5">
        <v>8.747509216245157E-2</v>
      </c>
      <c r="X258" s="6">
        <v>0</v>
      </c>
      <c r="Y258" s="6">
        <v>1</v>
      </c>
      <c r="Z258" s="6">
        <v>18</v>
      </c>
      <c r="AA258" s="5">
        <v>0.18450307902538621</v>
      </c>
      <c r="AB258" s="5">
        <v>0.12223678985561112</v>
      </c>
      <c r="AC258" s="6">
        <v>0</v>
      </c>
      <c r="AD258" s="6">
        <v>1</v>
      </c>
      <c r="AE258" s="6">
        <v>14</v>
      </c>
      <c r="AF258" s="5">
        <v>5.4463007375959202E-2</v>
      </c>
      <c r="AG258" s="5">
        <v>2.6790318322450535E-2</v>
      </c>
      <c r="AH258" s="6">
        <v>0</v>
      </c>
      <c r="AI258" s="6">
        <v>1</v>
      </c>
      <c r="AJ258" s="6">
        <v>100</v>
      </c>
    </row>
    <row r="259" spans="1:37" x14ac:dyDescent="0.45">
      <c r="A259" s="4" t="s">
        <v>36</v>
      </c>
      <c r="B259" s="5">
        <v>0.75033349718812381</v>
      </c>
      <c r="C259" s="5">
        <v>0.11113628937183456</v>
      </c>
      <c r="D259" s="6">
        <v>0</v>
      </c>
      <c r="E259" s="6">
        <v>1</v>
      </c>
      <c r="F259" s="6">
        <v>28</v>
      </c>
      <c r="G259" s="5">
        <v>0.69890286206955909</v>
      </c>
      <c r="H259" s="5">
        <v>0.26064905237909602</v>
      </c>
      <c r="I259" s="6">
        <v>0</v>
      </c>
      <c r="J259" s="6">
        <v>1</v>
      </c>
      <c r="K259" s="6">
        <v>5</v>
      </c>
      <c r="L259" s="5">
        <v>7.6528749224782755E-2</v>
      </c>
      <c r="M259" s="5">
        <v>6.4008315307330796E-2</v>
      </c>
      <c r="N259" s="6">
        <v>0</v>
      </c>
      <c r="O259" s="6">
        <v>1</v>
      </c>
      <c r="P259" s="6">
        <v>16</v>
      </c>
      <c r="Q259" s="5">
        <v>0.13638212532932661</v>
      </c>
      <c r="R259" s="5">
        <v>0.12489587163927413</v>
      </c>
      <c r="S259" s="6">
        <v>0</v>
      </c>
      <c r="T259" s="6">
        <v>1</v>
      </c>
      <c r="U259" s="6">
        <v>19</v>
      </c>
      <c r="V259" s="5">
        <v>0.35584441822330487</v>
      </c>
      <c r="W259" s="5">
        <v>0.12202753204157965</v>
      </c>
      <c r="X259" s="6">
        <v>0</v>
      </c>
      <c r="Y259" s="6">
        <v>1</v>
      </c>
      <c r="Z259" s="6">
        <v>18</v>
      </c>
      <c r="AA259" s="5">
        <v>0.74429546837714122</v>
      </c>
      <c r="AB259" s="5">
        <v>0.12930236493328284</v>
      </c>
      <c r="AC259" s="6">
        <v>0</v>
      </c>
      <c r="AD259" s="6">
        <v>1</v>
      </c>
      <c r="AE259" s="6">
        <v>14</v>
      </c>
      <c r="AF259" s="5">
        <v>0.42925514319553509</v>
      </c>
      <c r="AG259" s="5">
        <v>6.917480911456024E-2</v>
      </c>
      <c r="AH259" s="6">
        <v>0</v>
      </c>
      <c r="AI259" s="6">
        <v>1</v>
      </c>
      <c r="AJ259" s="6">
        <v>100</v>
      </c>
      <c r="AK259">
        <f>(AF261/AF260)-AF259</f>
        <v>-0.11646305128872042</v>
      </c>
    </row>
    <row r="260" spans="1:37" ht="39.4" x14ac:dyDescent="0.45">
      <c r="A260" s="4" t="s">
        <v>16</v>
      </c>
      <c r="B260" s="5">
        <v>0.23600168674140035</v>
      </c>
      <c r="C260" s="5">
        <v>9.8121570578696957E-2</v>
      </c>
      <c r="D260" s="6">
        <v>0</v>
      </c>
      <c r="E260" s="6">
        <v>1</v>
      </c>
      <c r="F260" s="6">
        <v>29</v>
      </c>
      <c r="G260" s="5">
        <v>0.28413340654229741</v>
      </c>
      <c r="H260" s="5">
        <v>0.2635701019519151</v>
      </c>
      <c r="I260" s="6">
        <v>0</v>
      </c>
      <c r="J260" s="6">
        <v>1</v>
      </c>
      <c r="K260" s="6">
        <v>5</v>
      </c>
      <c r="L260" s="5">
        <v>1</v>
      </c>
      <c r="M260" s="5">
        <v>0</v>
      </c>
      <c r="N260" s="6">
        <v>1</v>
      </c>
      <c r="O260" s="6">
        <v>1</v>
      </c>
      <c r="P260" s="6">
        <v>19</v>
      </c>
      <c r="Q260" s="5">
        <v>0.85289731615094222</v>
      </c>
      <c r="R260" s="5">
        <v>0.10368836461541529</v>
      </c>
      <c r="S260" s="6">
        <v>0</v>
      </c>
      <c r="T260" s="6">
        <v>1</v>
      </c>
      <c r="U260" s="6">
        <v>19</v>
      </c>
      <c r="V260" s="5">
        <v>0.92129013297297091</v>
      </c>
      <c r="W260" s="5">
        <v>7.2142407889520602E-2</v>
      </c>
      <c r="X260" s="6">
        <v>0</v>
      </c>
      <c r="Y260" s="6">
        <v>1</v>
      </c>
      <c r="Z260" s="6">
        <v>18</v>
      </c>
      <c r="AA260" s="5">
        <v>0.69525614240739586</v>
      </c>
      <c r="AB260" s="5">
        <v>0.14429635514835867</v>
      </c>
      <c r="AC260" s="6">
        <v>0</v>
      </c>
      <c r="AD260" s="6">
        <v>1</v>
      </c>
      <c r="AE260" s="6">
        <v>14</v>
      </c>
      <c r="AF260" s="5">
        <v>0.6502146518916736</v>
      </c>
      <c r="AG260" s="5">
        <v>6.6144933824160743E-2</v>
      </c>
      <c r="AH260" s="6">
        <v>0</v>
      </c>
      <c r="AI260" s="6">
        <v>1</v>
      </c>
      <c r="AJ260" s="6">
        <v>104</v>
      </c>
      <c r="AK260">
        <f>(AF261/AF259)-AF260</f>
        <v>-0.17641252190528245</v>
      </c>
    </row>
    <row r="261" spans="1:37" x14ac:dyDescent="0.45">
      <c r="A261" s="4" t="s">
        <v>115</v>
      </c>
      <c r="B261" s="5">
        <v>0.21682296520720104</v>
      </c>
      <c r="C261" s="5">
        <v>9.8523445787326885E-2</v>
      </c>
      <c r="D261" s="6">
        <v>0</v>
      </c>
      <c r="E261" s="6">
        <v>1</v>
      </c>
      <c r="F261" s="6">
        <v>28</v>
      </c>
      <c r="G261" s="5">
        <v>0.28413340654229741</v>
      </c>
      <c r="H261" s="5">
        <v>0.2635701019519151</v>
      </c>
      <c r="I261" s="6">
        <v>0</v>
      </c>
      <c r="J261" s="6">
        <v>1</v>
      </c>
      <c r="K261" s="6">
        <v>5</v>
      </c>
      <c r="L261" s="5">
        <v>7.6528749224782755E-2</v>
      </c>
      <c r="M261" s="5">
        <v>6.4008315307330796E-2</v>
      </c>
      <c r="N261" s="6">
        <v>0</v>
      </c>
      <c r="O261" s="6">
        <v>1</v>
      </c>
      <c r="P261" s="6">
        <v>16</v>
      </c>
      <c r="Q261" s="5">
        <v>0.13638212532932661</v>
      </c>
      <c r="R261" s="5">
        <v>0.12489587163927413</v>
      </c>
      <c r="S261" s="6">
        <v>0</v>
      </c>
      <c r="T261" s="6">
        <v>1</v>
      </c>
      <c r="U261" s="6">
        <v>19</v>
      </c>
      <c r="V261" s="5">
        <v>0.35584441822330487</v>
      </c>
      <c r="W261" s="5">
        <v>0.12202753204157965</v>
      </c>
      <c r="X261" s="6">
        <v>0</v>
      </c>
      <c r="Y261" s="6">
        <v>1</v>
      </c>
      <c r="Z261" s="6">
        <v>18</v>
      </c>
      <c r="AA261" s="5">
        <v>0.57331521710359223</v>
      </c>
      <c r="AB261" s="5">
        <v>0.15453635161302337</v>
      </c>
      <c r="AC261" s="6">
        <v>0</v>
      </c>
      <c r="AD261" s="6">
        <v>1</v>
      </c>
      <c r="AE261" s="6">
        <v>14</v>
      </c>
      <c r="AF261" s="5">
        <v>0.20338200115365787</v>
      </c>
      <c r="AG261" s="5">
        <v>5.7234203087656595E-2</v>
      </c>
      <c r="AH261" s="6">
        <v>0</v>
      </c>
      <c r="AI261" s="6">
        <v>1</v>
      </c>
      <c r="AJ261" s="6">
        <v>100</v>
      </c>
    </row>
    <row r="262" spans="1:37" x14ac:dyDescent="0.45">
      <c r="A262" s="4" t="s">
        <v>36</v>
      </c>
      <c r="B262" s="5">
        <v>0.75033349718812381</v>
      </c>
      <c r="C262" s="5">
        <v>0.11113628937183456</v>
      </c>
      <c r="D262" s="6">
        <v>0</v>
      </c>
      <c r="E262" s="6">
        <v>1</v>
      </c>
      <c r="F262" s="6">
        <v>28</v>
      </c>
      <c r="G262" s="5">
        <v>0.69890286206955909</v>
      </c>
      <c r="H262" s="5">
        <v>0.26064905237909602</v>
      </c>
      <c r="I262" s="6">
        <v>0</v>
      </c>
      <c r="J262" s="6">
        <v>1</v>
      </c>
      <c r="K262" s="6">
        <v>5</v>
      </c>
      <c r="L262" s="5">
        <v>7.6528749224782755E-2</v>
      </c>
      <c r="M262" s="5">
        <v>6.4008315307330796E-2</v>
      </c>
      <c r="N262" s="6">
        <v>0</v>
      </c>
      <c r="O262" s="6">
        <v>1</v>
      </c>
      <c r="P262" s="6">
        <v>16</v>
      </c>
      <c r="Q262" s="5">
        <v>0.13638212532932661</v>
      </c>
      <c r="R262" s="5">
        <v>0.12489587163927413</v>
      </c>
      <c r="S262" s="6">
        <v>0</v>
      </c>
      <c r="T262" s="6">
        <v>1</v>
      </c>
      <c r="U262" s="6">
        <v>19</v>
      </c>
      <c r="V262" s="5">
        <v>0.35584441822330487</v>
      </c>
      <c r="W262" s="5">
        <v>0.12202753204157965</v>
      </c>
      <c r="X262" s="6">
        <v>0</v>
      </c>
      <c r="Y262" s="6">
        <v>1</v>
      </c>
      <c r="Z262" s="6">
        <v>18</v>
      </c>
      <c r="AA262" s="5">
        <v>0.74429546837714122</v>
      </c>
      <c r="AB262" s="5">
        <v>0.12930236493328284</v>
      </c>
      <c r="AC262" s="6">
        <v>0</v>
      </c>
      <c r="AD262" s="6">
        <v>1</v>
      </c>
      <c r="AE262" s="6">
        <v>14</v>
      </c>
      <c r="AF262" s="5">
        <v>0.42925514319553509</v>
      </c>
      <c r="AG262" s="5">
        <v>6.917480911456024E-2</v>
      </c>
      <c r="AH262" s="6">
        <v>0</v>
      </c>
      <c r="AI262" s="6">
        <v>1</v>
      </c>
      <c r="AJ262" s="6">
        <v>100</v>
      </c>
      <c r="AK262">
        <f>(AF264/AF263)-AF262</f>
        <v>-0.14791108660995411</v>
      </c>
    </row>
    <row r="263" spans="1:37" ht="39.4" x14ac:dyDescent="0.45">
      <c r="A263" s="4" t="s">
        <v>18</v>
      </c>
      <c r="B263" s="5">
        <v>0.14679233898869379</v>
      </c>
      <c r="C263" s="5">
        <v>7.21952874481087E-2</v>
      </c>
      <c r="D263" s="6">
        <v>0</v>
      </c>
      <c r="E263" s="6">
        <v>1</v>
      </c>
      <c r="F263" s="6">
        <v>29</v>
      </c>
      <c r="G263" s="5">
        <v>0.28413340654229741</v>
      </c>
      <c r="H263" s="5">
        <v>0.2635701019519151</v>
      </c>
      <c r="I263" s="6">
        <v>0</v>
      </c>
      <c r="J263" s="6">
        <v>1</v>
      </c>
      <c r="K263" s="6">
        <v>5</v>
      </c>
      <c r="L263" s="5">
        <v>1</v>
      </c>
      <c r="M263" s="5">
        <v>0</v>
      </c>
      <c r="N263" s="6">
        <v>1</v>
      </c>
      <c r="O263" s="6">
        <v>1</v>
      </c>
      <c r="P263" s="6">
        <v>19</v>
      </c>
      <c r="Q263" s="5">
        <v>0.89861962585941668</v>
      </c>
      <c r="R263" s="5">
        <v>9.6845778169611332E-2</v>
      </c>
      <c r="S263" s="6">
        <v>0</v>
      </c>
      <c r="T263" s="6">
        <v>1</v>
      </c>
      <c r="U263" s="6">
        <v>19</v>
      </c>
      <c r="V263" s="5">
        <v>1</v>
      </c>
      <c r="W263" s="5">
        <v>0</v>
      </c>
      <c r="X263" s="6">
        <v>1</v>
      </c>
      <c r="Y263" s="6">
        <v>1</v>
      </c>
      <c r="Z263" s="6">
        <v>18</v>
      </c>
      <c r="AA263" s="5">
        <v>0.91590414556129873</v>
      </c>
      <c r="AB263" s="5">
        <v>5.7720093761496942E-2</v>
      </c>
      <c r="AC263" s="6">
        <v>0</v>
      </c>
      <c r="AD263" s="6">
        <v>1</v>
      </c>
      <c r="AE263" s="6">
        <v>14</v>
      </c>
      <c r="AF263" s="5">
        <v>0.64843100359019867</v>
      </c>
      <c r="AG263" s="5">
        <v>6.691909310816567E-2</v>
      </c>
      <c r="AH263" s="6">
        <v>0</v>
      </c>
      <c r="AI263" s="6">
        <v>1</v>
      </c>
      <c r="AJ263" s="6">
        <v>104</v>
      </c>
      <c r="AK263">
        <f>(AF264/AF262)-AF263</f>
        <v>-0.22343386177884456</v>
      </c>
    </row>
    <row r="264" spans="1:37" x14ac:dyDescent="0.45">
      <c r="A264" s="4" t="s">
        <v>116</v>
      </c>
      <c r="B264" s="5">
        <v>0.11451436991320693</v>
      </c>
      <c r="C264" s="5">
        <v>6.9328511232040618E-2</v>
      </c>
      <c r="D264" s="6">
        <v>0</v>
      </c>
      <c r="E264" s="6">
        <v>1</v>
      </c>
      <c r="F264" s="6">
        <v>28</v>
      </c>
      <c r="G264" s="5">
        <v>0.28413340654229741</v>
      </c>
      <c r="H264" s="5">
        <v>0.2635701019519151</v>
      </c>
      <c r="I264" s="6">
        <v>0</v>
      </c>
      <c r="J264" s="6">
        <v>1</v>
      </c>
      <c r="K264" s="6">
        <v>5</v>
      </c>
      <c r="L264" s="5">
        <v>7.6528749224782755E-2</v>
      </c>
      <c r="M264" s="5">
        <v>6.4008315307330796E-2</v>
      </c>
      <c r="N264" s="6">
        <v>0</v>
      </c>
      <c r="O264" s="6">
        <v>1</v>
      </c>
      <c r="P264" s="6">
        <v>16</v>
      </c>
      <c r="Q264" s="5">
        <v>0.13638212532932661</v>
      </c>
      <c r="R264" s="5">
        <v>0.12489587163927413</v>
      </c>
      <c r="S264" s="6">
        <v>0</v>
      </c>
      <c r="T264" s="6">
        <v>1</v>
      </c>
      <c r="U264" s="6">
        <v>19</v>
      </c>
      <c r="V264" s="5">
        <v>0.35584441822330487</v>
      </c>
      <c r="W264" s="5">
        <v>0.12202753204157965</v>
      </c>
      <c r="X264" s="6">
        <v>0</v>
      </c>
      <c r="Y264" s="6">
        <v>1</v>
      </c>
      <c r="Z264" s="6">
        <v>18</v>
      </c>
      <c r="AA264" s="5">
        <v>0.69665497167557722</v>
      </c>
      <c r="AB264" s="5">
        <v>0.13536758124396708</v>
      </c>
      <c r="AC264" s="6">
        <v>0</v>
      </c>
      <c r="AD264" s="6">
        <v>1</v>
      </c>
      <c r="AE264" s="6">
        <v>14</v>
      </c>
      <c r="AF264" s="5">
        <v>0.18243220896592593</v>
      </c>
      <c r="AG264" s="5">
        <v>5.4572694382061936E-2</v>
      </c>
      <c r="AH264" s="6">
        <v>0</v>
      </c>
      <c r="AI264" s="6">
        <v>1</v>
      </c>
      <c r="AJ264" s="6">
        <v>100</v>
      </c>
    </row>
    <row r="265" spans="1:37" x14ac:dyDescent="0.45">
      <c r="A265" s="4" t="s">
        <v>36</v>
      </c>
      <c r="B265" s="5">
        <v>0.75033349718812381</v>
      </c>
      <c r="C265" s="5">
        <v>0.11113628937183456</v>
      </c>
      <c r="D265" s="6">
        <v>0</v>
      </c>
      <c r="E265" s="6">
        <v>1</v>
      </c>
      <c r="F265" s="6">
        <v>28</v>
      </c>
      <c r="G265" s="5">
        <v>0.69890286206955909</v>
      </c>
      <c r="H265" s="5">
        <v>0.26064905237909602</v>
      </c>
      <c r="I265" s="6">
        <v>0</v>
      </c>
      <c r="J265" s="6">
        <v>1</v>
      </c>
      <c r="K265" s="6">
        <v>5</v>
      </c>
      <c r="L265" s="5">
        <v>7.6528749224782755E-2</v>
      </c>
      <c r="M265" s="5">
        <v>6.4008315307330796E-2</v>
      </c>
      <c r="N265" s="6">
        <v>0</v>
      </c>
      <c r="O265" s="6">
        <v>1</v>
      </c>
      <c r="P265" s="6">
        <v>16</v>
      </c>
      <c r="Q265" s="5">
        <v>0.13638212532932661</v>
      </c>
      <c r="R265" s="5">
        <v>0.12489587163927413</v>
      </c>
      <c r="S265" s="6">
        <v>0</v>
      </c>
      <c r="T265" s="6">
        <v>1</v>
      </c>
      <c r="U265" s="6">
        <v>19</v>
      </c>
      <c r="V265" s="5">
        <v>0.35584441822330487</v>
      </c>
      <c r="W265" s="5">
        <v>0.12202753204157965</v>
      </c>
      <c r="X265" s="6">
        <v>0</v>
      </c>
      <c r="Y265" s="6">
        <v>1</v>
      </c>
      <c r="Z265" s="6">
        <v>18</v>
      </c>
      <c r="AA265" s="5">
        <v>0.74429546837714122</v>
      </c>
      <c r="AB265" s="5">
        <v>0.12930236493328284</v>
      </c>
      <c r="AC265" s="6">
        <v>0</v>
      </c>
      <c r="AD265" s="6">
        <v>1</v>
      </c>
      <c r="AE265" s="6">
        <v>14</v>
      </c>
      <c r="AF265" s="5">
        <v>0.42925514319553509</v>
      </c>
      <c r="AG265" s="5">
        <v>6.917480911456024E-2</v>
      </c>
      <c r="AH265" s="6">
        <v>0</v>
      </c>
      <c r="AI265" s="6">
        <v>1</v>
      </c>
      <c r="AJ265" s="6">
        <v>100</v>
      </c>
      <c r="AK265">
        <f>(AF267/AF266)-AF265</f>
        <v>-0.25162562810960309</v>
      </c>
    </row>
    <row r="266" spans="1:37" ht="39.4" x14ac:dyDescent="0.45">
      <c r="A266" s="4" t="s">
        <v>20</v>
      </c>
      <c r="B266" s="5">
        <v>0</v>
      </c>
      <c r="C266" s="5">
        <v>0</v>
      </c>
      <c r="D266" s="6">
        <v>0</v>
      </c>
      <c r="E266" s="6">
        <v>0</v>
      </c>
      <c r="F266" s="6">
        <v>29</v>
      </c>
      <c r="G266" s="5">
        <v>0</v>
      </c>
      <c r="H266" s="5">
        <v>0</v>
      </c>
      <c r="I266" s="6">
        <v>0</v>
      </c>
      <c r="J266" s="6">
        <v>0</v>
      </c>
      <c r="K266" s="6">
        <v>5</v>
      </c>
      <c r="L266" s="5">
        <v>1</v>
      </c>
      <c r="M266" s="5">
        <v>0</v>
      </c>
      <c r="N266" s="6">
        <v>1</v>
      </c>
      <c r="O266" s="6">
        <v>1</v>
      </c>
      <c r="P266" s="6">
        <v>19</v>
      </c>
      <c r="Q266" s="5">
        <v>0.61840113049179313</v>
      </c>
      <c r="R266" s="5">
        <v>0.13006566375416401</v>
      </c>
      <c r="S266" s="6">
        <v>0</v>
      </c>
      <c r="T266" s="6">
        <v>1</v>
      </c>
      <c r="U266" s="6">
        <v>19</v>
      </c>
      <c r="V266" s="5">
        <v>0.62484576595299168</v>
      </c>
      <c r="W266" s="5">
        <v>0.12235387804662534</v>
      </c>
      <c r="X266" s="6">
        <v>0</v>
      </c>
      <c r="Y266" s="6">
        <v>1</v>
      </c>
      <c r="Z266" s="6">
        <v>18</v>
      </c>
      <c r="AA266" s="5">
        <v>0.59238861673724996</v>
      </c>
      <c r="AB266" s="5">
        <v>0.15320552322461192</v>
      </c>
      <c r="AC266" s="6">
        <v>0</v>
      </c>
      <c r="AD266" s="6">
        <v>1</v>
      </c>
      <c r="AE266" s="6">
        <v>14</v>
      </c>
      <c r="AF266" s="5">
        <v>0.49530541673349471</v>
      </c>
      <c r="AG266" s="5">
        <v>6.7368955173709583E-2</v>
      </c>
      <c r="AH266" s="6">
        <v>0</v>
      </c>
      <c r="AI266" s="6">
        <v>1</v>
      </c>
      <c r="AJ266" s="6">
        <v>104</v>
      </c>
      <c r="AK266">
        <f>(AF267/AF265)-AF266</f>
        <v>-0.29034372346444298</v>
      </c>
    </row>
    <row r="267" spans="1:37" x14ac:dyDescent="0.45">
      <c r="A267" s="4" t="s">
        <v>117</v>
      </c>
      <c r="B267" s="5">
        <v>0</v>
      </c>
      <c r="C267" s="5">
        <v>0</v>
      </c>
      <c r="D267" s="6">
        <v>0</v>
      </c>
      <c r="E267" s="6">
        <v>0</v>
      </c>
      <c r="F267" s="6">
        <v>28</v>
      </c>
      <c r="G267" s="5">
        <v>0</v>
      </c>
      <c r="H267" s="5">
        <v>0</v>
      </c>
      <c r="I267" s="6">
        <v>0</v>
      </c>
      <c r="J267" s="6">
        <v>0</v>
      </c>
      <c r="K267" s="6">
        <v>5</v>
      </c>
      <c r="L267" s="5">
        <v>7.6528749224782755E-2</v>
      </c>
      <c r="M267" s="5">
        <v>6.4008315307330796E-2</v>
      </c>
      <c r="N267" s="6">
        <v>0</v>
      </c>
      <c r="O267" s="6">
        <v>1</v>
      </c>
      <c r="P267" s="6">
        <v>16</v>
      </c>
      <c r="Q267" s="5">
        <v>0.13638212532932661</v>
      </c>
      <c r="R267" s="5">
        <v>0.12489587163927413</v>
      </c>
      <c r="S267" s="6">
        <v>0</v>
      </c>
      <c r="T267" s="6">
        <v>1</v>
      </c>
      <c r="U267" s="6">
        <v>19</v>
      </c>
      <c r="V267" s="5">
        <v>0.30346127168364773</v>
      </c>
      <c r="W267" s="5">
        <v>0.11785360493754786</v>
      </c>
      <c r="X267" s="6">
        <v>0</v>
      </c>
      <c r="Y267" s="6">
        <v>1</v>
      </c>
      <c r="Z267" s="6">
        <v>18</v>
      </c>
      <c r="AA267" s="5">
        <v>0.48817049959441422</v>
      </c>
      <c r="AB267" s="5">
        <v>0.15762174974179141</v>
      </c>
      <c r="AC267" s="6">
        <v>0</v>
      </c>
      <c r="AD267" s="6">
        <v>1</v>
      </c>
      <c r="AE267" s="6">
        <v>14</v>
      </c>
      <c r="AF267" s="5">
        <v>8.7980860993806143E-2</v>
      </c>
      <c r="AG267" s="5">
        <v>3.0019035047048642E-2</v>
      </c>
      <c r="AH267" s="6">
        <v>0</v>
      </c>
      <c r="AI267" s="6">
        <v>1</v>
      </c>
      <c r="AJ267" s="6">
        <v>100</v>
      </c>
    </row>
    <row r="268" spans="1:37" x14ac:dyDescent="0.45">
      <c r="A268" s="4" t="s">
        <v>36</v>
      </c>
      <c r="B268" s="5">
        <v>0.75033349718812381</v>
      </c>
      <c r="C268" s="5">
        <v>0.11113628937183456</v>
      </c>
      <c r="D268" s="6">
        <v>0</v>
      </c>
      <c r="E268" s="6">
        <v>1</v>
      </c>
      <c r="F268" s="6">
        <v>28</v>
      </c>
      <c r="G268" s="5">
        <v>0.69890286206955909</v>
      </c>
      <c r="H268" s="5">
        <v>0.26064905237909602</v>
      </c>
      <c r="I268" s="6">
        <v>0</v>
      </c>
      <c r="J268" s="6">
        <v>1</v>
      </c>
      <c r="K268" s="6">
        <v>5</v>
      </c>
      <c r="L268" s="5">
        <v>7.6528749224782755E-2</v>
      </c>
      <c r="M268" s="5">
        <v>6.4008315307330796E-2</v>
      </c>
      <c r="N268" s="6">
        <v>0</v>
      </c>
      <c r="O268" s="6">
        <v>1</v>
      </c>
      <c r="P268" s="6">
        <v>16</v>
      </c>
      <c r="Q268" s="5">
        <v>0.13638212532932661</v>
      </c>
      <c r="R268" s="5">
        <v>0.12489587163927413</v>
      </c>
      <c r="S268" s="6">
        <v>0</v>
      </c>
      <c r="T268" s="6">
        <v>1</v>
      </c>
      <c r="U268" s="6">
        <v>19</v>
      </c>
      <c r="V268" s="5">
        <v>0.35584441822330487</v>
      </c>
      <c r="W268" s="5">
        <v>0.12202753204157965</v>
      </c>
      <c r="X268" s="6">
        <v>0</v>
      </c>
      <c r="Y268" s="6">
        <v>1</v>
      </c>
      <c r="Z268" s="6">
        <v>18</v>
      </c>
      <c r="AA268" s="5">
        <v>0.74429546837714122</v>
      </c>
      <c r="AB268" s="5">
        <v>0.12930236493328284</v>
      </c>
      <c r="AC268" s="6">
        <v>0</v>
      </c>
      <c r="AD268" s="6">
        <v>1</v>
      </c>
      <c r="AE268" s="6">
        <v>14</v>
      </c>
      <c r="AF268" s="5">
        <v>0.42925514319553509</v>
      </c>
      <c r="AG268" s="5">
        <v>6.917480911456024E-2</v>
      </c>
      <c r="AH268" s="6">
        <v>0</v>
      </c>
      <c r="AI268" s="6">
        <v>1</v>
      </c>
      <c r="AJ268" s="6">
        <v>100</v>
      </c>
      <c r="AK268">
        <f>(AF270/AF269)-AF268</f>
        <v>-0.11051066247725938</v>
      </c>
    </row>
    <row r="269" spans="1:37" ht="26.25" x14ac:dyDescent="0.45">
      <c r="A269" s="4" t="s">
        <v>22</v>
      </c>
      <c r="B269" s="5">
        <v>0.26511382125444838</v>
      </c>
      <c r="C269" s="5">
        <v>9.9160906951506367E-2</v>
      </c>
      <c r="D269" s="6">
        <v>0</v>
      </c>
      <c r="E269" s="6">
        <v>1</v>
      </c>
      <c r="F269" s="6">
        <v>29</v>
      </c>
      <c r="G269" s="5">
        <v>0.28413340654229741</v>
      </c>
      <c r="H269" s="5">
        <v>0.2635701019519151</v>
      </c>
      <c r="I269" s="6">
        <v>0</v>
      </c>
      <c r="J269" s="6">
        <v>1</v>
      </c>
      <c r="K269" s="6">
        <v>5</v>
      </c>
      <c r="L269" s="5">
        <v>1</v>
      </c>
      <c r="M269" s="5">
        <v>0</v>
      </c>
      <c r="N269" s="6">
        <v>1</v>
      </c>
      <c r="O269" s="6">
        <v>1</v>
      </c>
      <c r="P269" s="6">
        <v>19</v>
      </c>
      <c r="Q269" s="5">
        <v>0.89861962585941668</v>
      </c>
      <c r="R269" s="5">
        <v>9.6845778169611332E-2</v>
      </c>
      <c r="S269" s="6">
        <v>0</v>
      </c>
      <c r="T269" s="6">
        <v>1</v>
      </c>
      <c r="U269" s="6">
        <v>19</v>
      </c>
      <c r="V269" s="5">
        <v>0.94505098249148323</v>
      </c>
      <c r="W269" s="5">
        <v>5.5165329624764066E-2</v>
      </c>
      <c r="X269" s="6">
        <v>0</v>
      </c>
      <c r="Y269" s="6">
        <v>1</v>
      </c>
      <c r="Z269" s="6">
        <v>18</v>
      </c>
      <c r="AA269" s="5">
        <v>0.91590414556129873</v>
      </c>
      <c r="AB269" s="5">
        <v>5.7720093761496942E-2</v>
      </c>
      <c r="AC269" s="6">
        <v>0</v>
      </c>
      <c r="AD269" s="6">
        <v>1</v>
      </c>
      <c r="AE269" s="6">
        <v>14</v>
      </c>
      <c r="AF269" s="5">
        <v>0.67616365127076683</v>
      </c>
      <c r="AG269" s="5">
        <v>6.6180623554006821E-2</v>
      </c>
      <c r="AH269" s="6">
        <v>0</v>
      </c>
      <c r="AI269" s="6">
        <v>1</v>
      </c>
      <c r="AJ269" s="6">
        <v>104</v>
      </c>
      <c r="AK269">
        <f>(AF270/AF268)-AF269</f>
        <v>-0.17407664003442569</v>
      </c>
    </row>
    <row r="270" spans="1:37" x14ac:dyDescent="0.45">
      <c r="A270" s="4" t="s">
        <v>118</v>
      </c>
      <c r="B270" s="5">
        <v>0.23494710639111427</v>
      </c>
      <c r="C270" s="5">
        <v>9.9251884194354392E-2</v>
      </c>
      <c r="D270" s="6">
        <v>0</v>
      </c>
      <c r="E270" s="6">
        <v>1</v>
      </c>
      <c r="F270" s="6">
        <v>28</v>
      </c>
      <c r="G270" s="5">
        <v>0.28413340654229741</v>
      </c>
      <c r="H270" s="5">
        <v>0.2635701019519151</v>
      </c>
      <c r="I270" s="6">
        <v>0</v>
      </c>
      <c r="J270" s="6">
        <v>1</v>
      </c>
      <c r="K270" s="6">
        <v>5</v>
      </c>
      <c r="L270" s="5">
        <v>7.6528749224782755E-2</v>
      </c>
      <c r="M270" s="5">
        <v>6.4008315307330796E-2</v>
      </c>
      <c r="N270" s="6">
        <v>0</v>
      </c>
      <c r="O270" s="6">
        <v>1</v>
      </c>
      <c r="P270" s="6">
        <v>16</v>
      </c>
      <c r="Q270" s="5">
        <v>0.13638212532932661</v>
      </c>
      <c r="R270" s="5">
        <v>0.12489587163927413</v>
      </c>
      <c r="S270" s="6">
        <v>0</v>
      </c>
      <c r="T270" s="6">
        <v>1</v>
      </c>
      <c r="U270" s="6">
        <v>19</v>
      </c>
      <c r="V270" s="5">
        <v>0.35584441822330487</v>
      </c>
      <c r="W270" s="5">
        <v>0.12202753204157965</v>
      </c>
      <c r="X270" s="6">
        <v>0</v>
      </c>
      <c r="Y270" s="6">
        <v>1</v>
      </c>
      <c r="Z270" s="6">
        <v>18</v>
      </c>
      <c r="AA270" s="5">
        <v>0.69665497167557722</v>
      </c>
      <c r="AB270" s="5">
        <v>0.13536758124396708</v>
      </c>
      <c r="AC270" s="6">
        <v>0</v>
      </c>
      <c r="AD270" s="6">
        <v>1</v>
      </c>
      <c r="AE270" s="6">
        <v>14</v>
      </c>
      <c r="AF270" s="5">
        <v>0.21552343190487386</v>
      </c>
      <c r="AG270" s="5">
        <v>5.7592739252108976E-2</v>
      </c>
      <c r="AH270" s="6">
        <v>0</v>
      </c>
      <c r="AI270" s="6">
        <v>1</v>
      </c>
      <c r="AJ270" s="6">
        <v>100</v>
      </c>
    </row>
    <row r="271" spans="1:37" x14ac:dyDescent="0.45">
      <c r="A271" s="4" t="s">
        <v>36</v>
      </c>
      <c r="B271" s="5">
        <v>0.75033349718812381</v>
      </c>
      <c r="C271" s="5">
        <v>0.11113628937183456</v>
      </c>
      <c r="D271" s="6">
        <v>0</v>
      </c>
      <c r="E271" s="6">
        <v>1</v>
      </c>
      <c r="F271" s="6">
        <v>28</v>
      </c>
      <c r="G271" s="5">
        <v>0.69890286206955909</v>
      </c>
      <c r="H271" s="5">
        <v>0.26064905237909602</v>
      </c>
      <c r="I271" s="6">
        <v>0</v>
      </c>
      <c r="J271" s="6">
        <v>1</v>
      </c>
      <c r="K271" s="6">
        <v>5</v>
      </c>
      <c r="L271" s="5">
        <v>7.6528749224782755E-2</v>
      </c>
      <c r="M271" s="5">
        <v>6.4008315307330796E-2</v>
      </c>
      <c r="N271" s="6">
        <v>0</v>
      </c>
      <c r="O271" s="6">
        <v>1</v>
      </c>
      <c r="P271" s="6">
        <v>16</v>
      </c>
      <c r="Q271" s="5">
        <v>0.13638212532932661</v>
      </c>
      <c r="R271" s="5">
        <v>0.12489587163927413</v>
      </c>
      <c r="S271" s="6">
        <v>0</v>
      </c>
      <c r="T271" s="6">
        <v>1</v>
      </c>
      <c r="U271" s="6">
        <v>19</v>
      </c>
      <c r="V271" s="5">
        <v>0.35584441822330487</v>
      </c>
      <c r="W271" s="5">
        <v>0.12202753204157965</v>
      </c>
      <c r="X271" s="6">
        <v>0</v>
      </c>
      <c r="Y271" s="6">
        <v>1</v>
      </c>
      <c r="Z271" s="6">
        <v>18</v>
      </c>
      <c r="AA271" s="5">
        <v>0.74429546837714122</v>
      </c>
      <c r="AB271" s="5">
        <v>0.12930236493328284</v>
      </c>
      <c r="AC271" s="6">
        <v>0</v>
      </c>
      <c r="AD271" s="6">
        <v>1</v>
      </c>
      <c r="AE271" s="6">
        <v>14</v>
      </c>
      <c r="AF271" s="5">
        <v>0.42925514319553509</v>
      </c>
      <c r="AG271" s="5">
        <v>6.917480911456024E-2</v>
      </c>
      <c r="AH271" s="6">
        <v>0</v>
      </c>
      <c r="AI271" s="6">
        <v>1</v>
      </c>
      <c r="AJ271" s="6">
        <v>100</v>
      </c>
      <c r="AK271">
        <f>(AF273/AF272)-AF271</f>
        <v>-0.11694259057333489</v>
      </c>
    </row>
    <row r="272" spans="1:37" ht="26.25" x14ac:dyDescent="0.45">
      <c r="A272" s="4" t="s">
        <v>24</v>
      </c>
      <c r="B272" s="5">
        <v>0.23600168674140035</v>
      </c>
      <c r="C272" s="5">
        <v>9.8121570578696957E-2</v>
      </c>
      <c r="D272" s="6">
        <v>0</v>
      </c>
      <c r="E272" s="6">
        <v>1</v>
      </c>
      <c r="F272" s="6">
        <v>29</v>
      </c>
      <c r="G272" s="5">
        <v>0.28413340654229741</v>
      </c>
      <c r="H272" s="5">
        <v>0.2635701019519151</v>
      </c>
      <c r="I272" s="6">
        <v>0</v>
      </c>
      <c r="J272" s="6">
        <v>1</v>
      </c>
      <c r="K272" s="6">
        <v>5</v>
      </c>
      <c r="L272" s="5">
        <v>1</v>
      </c>
      <c r="M272" s="5">
        <v>0</v>
      </c>
      <c r="N272" s="6">
        <v>1</v>
      </c>
      <c r="O272" s="6">
        <v>1</v>
      </c>
      <c r="P272" s="6">
        <v>19</v>
      </c>
      <c r="Q272" s="5">
        <v>0.89861962585941668</v>
      </c>
      <c r="R272" s="5">
        <v>9.6845778169611332E-2</v>
      </c>
      <c r="S272" s="6">
        <v>0</v>
      </c>
      <c r="T272" s="6">
        <v>1</v>
      </c>
      <c r="U272" s="6">
        <v>19</v>
      </c>
      <c r="V272" s="5">
        <v>0.86634111546445414</v>
      </c>
      <c r="W272" s="5">
        <v>8.7661072043173624E-2</v>
      </c>
      <c r="X272" s="6">
        <v>0</v>
      </c>
      <c r="Y272" s="6">
        <v>1</v>
      </c>
      <c r="Z272" s="6">
        <v>18</v>
      </c>
      <c r="AA272" s="5">
        <v>0.68542702638902031</v>
      </c>
      <c r="AB272" s="5">
        <v>0.14449500923918335</v>
      </c>
      <c r="AC272" s="6">
        <v>0</v>
      </c>
      <c r="AD272" s="6">
        <v>1</v>
      </c>
      <c r="AE272" s="6">
        <v>14</v>
      </c>
      <c r="AF272" s="5">
        <v>0.65121302184637453</v>
      </c>
      <c r="AG272" s="5">
        <v>6.6128687462899488E-2</v>
      </c>
      <c r="AH272" s="6">
        <v>0</v>
      </c>
      <c r="AI272" s="6">
        <v>1</v>
      </c>
      <c r="AJ272" s="6">
        <v>104</v>
      </c>
      <c r="AK272">
        <f>(AF273/AF271)-AF272</f>
        <v>-0.17741089185998338</v>
      </c>
    </row>
    <row r="273" spans="1:37" x14ac:dyDescent="0.45">
      <c r="A273" s="4" t="s">
        <v>119</v>
      </c>
      <c r="B273" s="5">
        <v>0.21682296520720104</v>
      </c>
      <c r="C273" s="5">
        <v>9.8523445787326885E-2</v>
      </c>
      <c r="D273" s="6">
        <v>0</v>
      </c>
      <c r="E273" s="6">
        <v>1</v>
      </c>
      <c r="F273" s="6">
        <v>28</v>
      </c>
      <c r="G273" s="5">
        <v>0.28413340654229741</v>
      </c>
      <c r="H273" s="5">
        <v>0.2635701019519151</v>
      </c>
      <c r="I273" s="6">
        <v>0</v>
      </c>
      <c r="J273" s="6">
        <v>1</v>
      </c>
      <c r="K273" s="6">
        <v>5</v>
      </c>
      <c r="L273" s="5">
        <v>7.6528749224782755E-2</v>
      </c>
      <c r="M273" s="5">
        <v>6.4008315307330796E-2</v>
      </c>
      <c r="N273" s="6">
        <v>0</v>
      </c>
      <c r="O273" s="6">
        <v>1</v>
      </c>
      <c r="P273" s="6">
        <v>16</v>
      </c>
      <c r="Q273" s="5">
        <v>0.13638212532932661</v>
      </c>
      <c r="R273" s="5">
        <v>0.12489587163927413</v>
      </c>
      <c r="S273" s="6">
        <v>0</v>
      </c>
      <c r="T273" s="6">
        <v>1</v>
      </c>
      <c r="U273" s="6">
        <v>19</v>
      </c>
      <c r="V273" s="5">
        <v>0.35584441822330487</v>
      </c>
      <c r="W273" s="5">
        <v>0.12202753204157965</v>
      </c>
      <c r="X273" s="6">
        <v>0</v>
      </c>
      <c r="Y273" s="6">
        <v>1</v>
      </c>
      <c r="Z273" s="6">
        <v>18</v>
      </c>
      <c r="AA273" s="5">
        <v>0.57331521710359223</v>
      </c>
      <c r="AB273" s="5">
        <v>0.15453635161302337</v>
      </c>
      <c r="AC273" s="6">
        <v>0</v>
      </c>
      <c r="AD273" s="6">
        <v>1</v>
      </c>
      <c r="AE273" s="6">
        <v>14</v>
      </c>
      <c r="AF273" s="5">
        <v>0.20338200115365787</v>
      </c>
      <c r="AG273" s="5">
        <v>5.7234203087656595E-2</v>
      </c>
      <c r="AH273" s="6">
        <v>0</v>
      </c>
      <c r="AI273" s="6">
        <v>1</v>
      </c>
      <c r="AJ273" s="6">
        <v>100</v>
      </c>
    </row>
    <row r="274" spans="1:37" ht="26.25" x14ac:dyDescent="0.45">
      <c r="A274" s="4" t="s">
        <v>38</v>
      </c>
      <c r="B274" s="5">
        <v>0</v>
      </c>
      <c r="C274" s="5">
        <v>0</v>
      </c>
      <c r="D274" s="6">
        <v>0</v>
      </c>
      <c r="E274" s="6">
        <v>0</v>
      </c>
      <c r="F274" s="6">
        <v>29</v>
      </c>
      <c r="G274" s="5">
        <v>0</v>
      </c>
      <c r="H274" s="5">
        <v>0</v>
      </c>
      <c r="I274" s="6">
        <v>0</v>
      </c>
      <c r="J274" s="6">
        <v>0</v>
      </c>
      <c r="K274" s="6">
        <v>5</v>
      </c>
      <c r="L274" s="5">
        <v>0.94219031834334444</v>
      </c>
      <c r="M274" s="5">
        <v>5.7556730985345819E-2</v>
      </c>
      <c r="N274" s="6">
        <v>0</v>
      </c>
      <c r="O274" s="6">
        <v>1</v>
      </c>
      <c r="P274" s="6">
        <v>19</v>
      </c>
      <c r="Q274" s="5">
        <v>0.23215855473296679</v>
      </c>
      <c r="R274" s="5">
        <v>9.9015389508305698E-2</v>
      </c>
      <c r="S274" s="6">
        <v>0</v>
      </c>
      <c r="T274" s="6">
        <v>1</v>
      </c>
      <c r="U274" s="6">
        <v>19</v>
      </c>
      <c r="V274" s="5">
        <v>0.47441656189365872</v>
      </c>
      <c r="W274" s="5">
        <v>0.1275876604219422</v>
      </c>
      <c r="X274" s="6">
        <v>0</v>
      </c>
      <c r="Y274" s="6">
        <v>1</v>
      </c>
      <c r="Z274" s="6">
        <v>18</v>
      </c>
      <c r="AA274" s="5">
        <v>0.50100347893857933</v>
      </c>
      <c r="AB274" s="5">
        <v>0.15741214876712428</v>
      </c>
      <c r="AC274" s="6">
        <v>0</v>
      </c>
      <c r="AD274" s="6">
        <v>1</v>
      </c>
      <c r="AE274" s="6">
        <v>14</v>
      </c>
      <c r="AF274" s="5">
        <v>0.41945825525041158</v>
      </c>
      <c r="AG274" s="5">
        <v>6.5895940178938919E-2</v>
      </c>
      <c r="AH274" s="6">
        <v>0</v>
      </c>
      <c r="AI274" s="6">
        <v>1</v>
      </c>
      <c r="AJ274" s="6">
        <v>104</v>
      </c>
      <c r="AK274">
        <f>(AF276/AF275)-AF274</f>
        <v>0.22353297979485209</v>
      </c>
    </row>
    <row r="275" spans="1:37" x14ac:dyDescent="0.45">
      <c r="A275" s="4" t="s">
        <v>40</v>
      </c>
      <c r="B275" s="5">
        <v>0.23600168674140035</v>
      </c>
      <c r="C275" s="5">
        <v>9.8121570578696957E-2</v>
      </c>
      <c r="D275" s="6">
        <v>0</v>
      </c>
      <c r="E275" s="6">
        <v>1</v>
      </c>
      <c r="F275" s="6">
        <v>29</v>
      </c>
      <c r="G275" s="5">
        <v>0.28413340654229741</v>
      </c>
      <c r="H275" s="5">
        <v>0.2635701019519151</v>
      </c>
      <c r="I275" s="6">
        <v>0</v>
      </c>
      <c r="J275" s="6">
        <v>1</v>
      </c>
      <c r="K275" s="6">
        <v>5</v>
      </c>
      <c r="L275" s="5">
        <v>1</v>
      </c>
      <c r="M275" s="5">
        <v>0</v>
      </c>
      <c r="N275" s="6">
        <v>1</v>
      </c>
      <c r="O275" s="6">
        <v>1</v>
      </c>
      <c r="P275" s="6">
        <v>19</v>
      </c>
      <c r="Q275" s="5">
        <v>0.85289731615094222</v>
      </c>
      <c r="R275" s="5">
        <v>0.10368836461541529</v>
      </c>
      <c r="S275" s="6">
        <v>0</v>
      </c>
      <c r="T275" s="6">
        <v>1</v>
      </c>
      <c r="U275" s="6">
        <v>19</v>
      </c>
      <c r="V275" s="5">
        <v>0.86634111546445414</v>
      </c>
      <c r="W275" s="5">
        <v>8.7661072043173624E-2</v>
      </c>
      <c r="X275" s="6">
        <v>0</v>
      </c>
      <c r="Y275" s="6">
        <v>1</v>
      </c>
      <c r="Z275" s="6">
        <v>18</v>
      </c>
      <c r="AA275" s="5">
        <v>0.68542702638902031</v>
      </c>
      <c r="AB275" s="5">
        <v>0.14449500923918335</v>
      </c>
      <c r="AC275" s="6">
        <v>0</v>
      </c>
      <c r="AD275" s="6">
        <v>1</v>
      </c>
      <c r="AE275" s="6">
        <v>14</v>
      </c>
      <c r="AF275" s="5">
        <v>0.64636059193257822</v>
      </c>
      <c r="AG275" s="5">
        <v>6.6126331124485585E-2</v>
      </c>
      <c r="AH275" s="6">
        <v>0</v>
      </c>
      <c r="AI275" s="6">
        <v>1</v>
      </c>
      <c r="AJ275" s="6">
        <v>104</v>
      </c>
      <c r="AK275">
        <f>(AF276/AF274)-AF275</f>
        <v>0.34445122328179967</v>
      </c>
    </row>
    <row r="276" spans="1:37" ht="39.4" x14ac:dyDescent="0.45">
      <c r="A276" s="4" t="s">
        <v>120</v>
      </c>
      <c r="B276" s="5">
        <v>0</v>
      </c>
      <c r="C276" s="5">
        <v>0</v>
      </c>
      <c r="D276" s="6">
        <v>0</v>
      </c>
      <c r="E276" s="6">
        <v>0</v>
      </c>
      <c r="F276" s="6">
        <v>29</v>
      </c>
      <c r="G276" s="5">
        <v>0</v>
      </c>
      <c r="H276" s="5">
        <v>0</v>
      </c>
      <c r="I276" s="6">
        <v>0</v>
      </c>
      <c r="J276" s="6">
        <v>0</v>
      </c>
      <c r="K276" s="6">
        <v>5</v>
      </c>
      <c r="L276" s="5">
        <v>0.94219031834334444</v>
      </c>
      <c r="M276" s="5">
        <v>5.7556730985345819E-2</v>
      </c>
      <c r="N276" s="6">
        <v>0</v>
      </c>
      <c r="O276" s="6">
        <v>1</v>
      </c>
      <c r="P276" s="6">
        <v>19</v>
      </c>
      <c r="Q276" s="5">
        <v>0.23215855473296679</v>
      </c>
      <c r="R276" s="5">
        <v>9.9015389508305698E-2</v>
      </c>
      <c r="S276" s="6">
        <v>0</v>
      </c>
      <c r="T276" s="6">
        <v>1</v>
      </c>
      <c r="U276" s="6">
        <v>19</v>
      </c>
      <c r="V276" s="5">
        <v>0.41946754438514189</v>
      </c>
      <c r="W276" s="5">
        <v>0.12603556547178971</v>
      </c>
      <c r="X276" s="6">
        <v>0</v>
      </c>
      <c r="Y276" s="6">
        <v>1</v>
      </c>
      <c r="Z276" s="6">
        <v>18</v>
      </c>
      <c r="AA276" s="5">
        <v>0.49117436292020389</v>
      </c>
      <c r="AB276" s="5">
        <v>0.15759813381687748</v>
      </c>
      <c r="AC276" s="6">
        <v>0</v>
      </c>
      <c r="AD276" s="6">
        <v>1</v>
      </c>
      <c r="AE276" s="6">
        <v>14</v>
      </c>
      <c r="AF276" s="5">
        <v>0.41560419529131615</v>
      </c>
      <c r="AG276" s="5">
        <v>6.5851112003340845E-2</v>
      </c>
      <c r="AH276" s="6">
        <v>0</v>
      </c>
      <c r="AI276" s="6">
        <v>1</v>
      </c>
      <c r="AJ276" s="6">
        <v>104</v>
      </c>
    </row>
    <row r="277" spans="1:37" ht="26.25" x14ac:dyDescent="0.45">
      <c r="A277" s="4" t="s">
        <v>38</v>
      </c>
      <c r="B277" s="5">
        <v>0</v>
      </c>
      <c r="C277" s="5">
        <v>0</v>
      </c>
      <c r="D277" s="6">
        <v>0</v>
      </c>
      <c r="E277" s="6">
        <v>0</v>
      </c>
      <c r="F277" s="6">
        <v>29</v>
      </c>
      <c r="G277" s="5">
        <v>0</v>
      </c>
      <c r="H277" s="5">
        <v>0</v>
      </c>
      <c r="I277" s="6">
        <v>0</v>
      </c>
      <c r="J277" s="6">
        <v>0</v>
      </c>
      <c r="K277" s="6">
        <v>5</v>
      </c>
      <c r="L277" s="5">
        <v>0.94219031834334444</v>
      </c>
      <c r="M277" s="5">
        <v>5.7556730985345819E-2</v>
      </c>
      <c r="N277" s="6">
        <v>0</v>
      </c>
      <c r="O277" s="6">
        <v>1</v>
      </c>
      <c r="P277" s="6">
        <v>19</v>
      </c>
      <c r="Q277" s="5">
        <v>0.23215855473296679</v>
      </c>
      <c r="R277" s="5">
        <v>9.9015389508305698E-2</v>
      </c>
      <c r="S277" s="6">
        <v>0</v>
      </c>
      <c r="T277" s="6">
        <v>1</v>
      </c>
      <c r="U277" s="6">
        <v>19</v>
      </c>
      <c r="V277" s="5">
        <v>0.47441656189365872</v>
      </c>
      <c r="W277" s="5">
        <v>0.1275876604219422</v>
      </c>
      <c r="X277" s="6">
        <v>0</v>
      </c>
      <c r="Y277" s="6">
        <v>1</v>
      </c>
      <c r="Z277" s="6">
        <v>18</v>
      </c>
      <c r="AA277" s="5">
        <v>0.50100347893857933</v>
      </c>
      <c r="AB277" s="5">
        <v>0.15741214876712428</v>
      </c>
      <c r="AC277" s="6">
        <v>0</v>
      </c>
      <c r="AD277" s="6">
        <v>1</v>
      </c>
      <c r="AE277" s="6">
        <v>14</v>
      </c>
      <c r="AF277" s="5">
        <v>0.41945825525041158</v>
      </c>
      <c r="AG277" s="5">
        <v>6.5895940178938919E-2</v>
      </c>
      <c r="AH277" s="6">
        <v>0</v>
      </c>
      <c r="AI277" s="6">
        <v>1</v>
      </c>
      <c r="AJ277" s="6">
        <v>104</v>
      </c>
      <c r="AK277">
        <f>(AF279/AF278)-AF277</f>
        <v>0.19023133514702084</v>
      </c>
    </row>
    <row r="278" spans="1:37" x14ac:dyDescent="0.45">
      <c r="A278" s="4" t="s">
        <v>42</v>
      </c>
      <c r="B278" s="5">
        <v>0.14679233898869379</v>
      </c>
      <c r="C278" s="5">
        <v>7.21952874481087E-2</v>
      </c>
      <c r="D278" s="6">
        <v>0</v>
      </c>
      <c r="E278" s="6">
        <v>1</v>
      </c>
      <c r="F278" s="6">
        <v>29</v>
      </c>
      <c r="G278" s="5">
        <v>0.28413340654229741</v>
      </c>
      <c r="H278" s="5">
        <v>0.2635701019519151</v>
      </c>
      <c r="I278" s="6">
        <v>0</v>
      </c>
      <c r="J278" s="6">
        <v>1</v>
      </c>
      <c r="K278" s="6">
        <v>5</v>
      </c>
      <c r="L278" s="5">
        <v>0.83743216794734465</v>
      </c>
      <c r="M278" s="5">
        <v>8.8339131816845065E-2</v>
      </c>
      <c r="N278" s="6">
        <v>0</v>
      </c>
      <c r="O278" s="6">
        <v>1</v>
      </c>
      <c r="P278" s="6">
        <v>19</v>
      </c>
      <c r="Q278" s="5">
        <v>0.89861962585941668</v>
      </c>
      <c r="R278" s="5">
        <v>9.6845778169611332E-2</v>
      </c>
      <c r="S278" s="6">
        <v>0</v>
      </c>
      <c r="T278" s="6">
        <v>1</v>
      </c>
      <c r="U278" s="6">
        <v>19</v>
      </c>
      <c r="V278" s="5">
        <v>0.94505098249148323</v>
      </c>
      <c r="W278" s="5">
        <v>5.5165329624764066E-2</v>
      </c>
      <c r="X278" s="6">
        <v>0</v>
      </c>
      <c r="Y278" s="6">
        <v>1</v>
      </c>
      <c r="Z278" s="6">
        <v>18</v>
      </c>
      <c r="AA278" s="5">
        <v>0.91590414556129873</v>
      </c>
      <c r="AB278" s="5">
        <v>5.7720093761496942E-2</v>
      </c>
      <c r="AC278" s="6">
        <v>0</v>
      </c>
      <c r="AD278" s="6">
        <v>1</v>
      </c>
      <c r="AE278" s="6">
        <v>14</v>
      </c>
      <c r="AF278" s="5">
        <v>0.5866426892711829</v>
      </c>
      <c r="AG278" s="5">
        <v>6.7909303410161284E-2</v>
      </c>
      <c r="AH278" s="6">
        <v>0</v>
      </c>
      <c r="AI278" s="6">
        <v>1</v>
      </c>
      <c r="AJ278" s="6">
        <v>104</v>
      </c>
      <c r="AK278">
        <f>(AF279/AF277)-AF278</f>
        <v>0.26605227251439689</v>
      </c>
    </row>
    <row r="279" spans="1:37" ht="39.4" x14ac:dyDescent="0.45">
      <c r="A279" s="4" t="s">
        <v>121</v>
      </c>
      <c r="B279" s="5">
        <v>0</v>
      </c>
      <c r="C279" s="5">
        <v>0</v>
      </c>
      <c r="D279" s="6">
        <v>0</v>
      </c>
      <c r="E279" s="6">
        <v>0</v>
      </c>
      <c r="F279" s="6">
        <v>29</v>
      </c>
      <c r="G279" s="5">
        <v>0</v>
      </c>
      <c r="H279" s="5">
        <v>0</v>
      </c>
      <c r="I279" s="6">
        <v>0</v>
      </c>
      <c r="J279" s="6">
        <v>0</v>
      </c>
      <c r="K279" s="6">
        <v>5</v>
      </c>
      <c r="L279" s="5">
        <v>0.77962248629068931</v>
      </c>
      <c r="M279" s="5">
        <v>9.9898561843230413E-2</v>
      </c>
      <c r="N279" s="6">
        <v>0</v>
      </c>
      <c r="O279" s="6">
        <v>1</v>
      </c>
      <c r="P279" s="6">
        <v>19</v>
      </c>
      <c r="Q279" s="5">
        <v>0.23215855473296679</v>
      </c>
      <c r="R279" s="5">
        <v>9.9015389508305698E-2</v>
      </c>
      <c r="S279" s="6">
        <v>0</v>
      </c>
      <c r="T279" s="6">
        <v>1</v>
      </c>
      <c r="U279" s="6">
        <v>19</v>
      </c>
      <c r="V279" s="5">
        <v>0.41946754438514189</v>
      </c>
      <c r="W279" s="5">
        <v>0.12603556547178971</v>
      </c>
      <c r="X279" s="6">
        <v>0</v>
      </c>
      <c r="Y279" s="6">
        <v>1</v>
      </c>
      <c r="Z279" s="6">
        <v>18</v>
      </c>
      <c r="AA279" s="5">
        <v>0.50100347893857933</v>
      </c>
      <c r="AB279" s="5">
        <v>0.15741214876712428</v>
      </c>
      <c r="AC279" s="6">
        <v>0</v>
      </c>
      <c r="AD279" s="6">
        <v>1</v>
      </c>
      <c r="AE279" s="6">
        <v>14</v>
      </c>
      <c r="AF279" s="5">
        <v>0.3576699409313957</v>
      </c>
      <c r="AG279" s="5">
        <v>6.3346613204916857E-2</v>
      </c>
      <c r="AH279" s="6">
        <v>0</v>
      </c>
      <c r="AI279" s="6">
        <v>1</v>
      </c>
      <c r="AJ279" s="6">
        <v>104</v>
      </c>
    </row>
    <row r="280" spans="1:37" ht="26.25" x14ac:dyDescent="0.45">
      <c r="A280" s="4" t="s">
        <v>38</v>
      </c>
      <c r="B280" s="5">
        <v>0</v>
      </c>
      <c r="C280" s="5">
        <v>0</v>
      </c>
      <c r="D280" s="6">
        <v>0</v>
      </c>
      <c r="E280" s="6">
        <v>0</v>
      </c>
      <c r="F280" s="6">
        <v>29</v>
      </c>
      <c r="G280" s="5">
        <v>0</v>
      </c>
      <c r="H280" s="5">
        <v>0</v>
      </c>
      <c r="I280" s="6">
        <v>0</v>
      </c>
      <c r="J280" s="6">
        <v>0</v>
      </c>
      <c r="K280" s="6">
        <v>5</v>
      </c>
      <c r="L280" s="5">
        <v>0.94219031834334444</v>
      </c>
      <c r="M280" s="5">
        <v>5.7556730985345819E-2</v>
      </c>
      <c r="N280" s="6">
        <v>0</v>
      </c>
      <c r="O280" s="6">
        <v>1</v>
      </c>
      <c r="P280" s="6">
        <v>19</v>
      </c>
      <c r="Q280" s="5">
        <v>0.23215855473296679</v>
      </c>
      <c r="R280" s="5">
        <v>9.9015389508305698E-2</v>
      </c>
      <c r="S280" s="6">
        <v>0</v>
      </c>
      <c r="T280" s="6">
        <v>1</v>
      </c>
      <c r="U280" s="6">
        <v>19</v>
      </c>
      <c r="V280" s="5">
        <v>0.47441656189365872</v>
      </c>
      <c r="W280" s="5">
        <v>0.1275876604219422</v>
      </c>
      <c r="X280" s="6">
        <v>0</v>
      </c>
      <c r="Y280" s="6">
        <v>1</v>
      </c>
      <c r="Z280" s="6">
        <v>18</v>
      </c>
      <c r="AA280" s="5">
        <v>0.50100347893857933</v>
      </c>
      <c r="AB280" s="5">
        <v>0.15741214876712428</v>
      </c>
      <c r="AC280" s="6">
        <v>0</v>
      </c>
      <c r="AD280" s="6">
        <v>1</v>
      </c>
      <c r="AE280" s="6">
        <v>14</v>
      </c>
      <c r="AF280" s="5">
        <v>0.41945825525041158</v>
      </c>
      <c r="AG280" s="5">
        <v>6.5895940178938919E-2</v>
      </c>
      <c r="AH280" s="6">
        <v>0</v>
      </c>
      <c r="AI280" s="6">
        <v>1</v>
      </c>
      <c r="AJ280" s="6">
        <v>104</v>
      </c>
      <c r="AK280">
        <f>(AF282/AF281)-AF280</f>
        <v>0.27556629902728569</v>
      </c>
    </row>
    <row r="281" spans="1:37" x14ac:dyDescent="0.45">
      <c r="A281" s="4" t="s">
        <v>44</v>
      </c>
      <c r="B281" s="5">
        <v>0</v>
      </c>
      <c r="C281" s="5">
        <v>0</v>
      </c>
      <c r="D281" s="6">
        <v>0</v>
      </c>
      <c r="E281" s="6">
        <v>0</v>
      </c>
      <c r="F281" s="6">
        <v>29</v>
      </c>
      <c r="G281" s="5">
        <v>0</v>
      </c>
      <c r="H281" s="5">
        <v>0</v>
      </c>
      <c r="I281" s="6">
        <v>0</v>
      </c>
      <c r="J281" s="6">
        <v>0</v>
      </c>
      <c r="K281" s="6">
        <v>5</v>
      </c>
      <c r="L281" s="5">
        <v>0.43080549064057538</v>
      </c>
      <c r="M281" s="5">
        <v>0.1188108626030543</v>
      </c>
      <c r="N281" s="6">
        <v>0</v>
      </c>
      <c r="O281" s="6">
        <v>1</v>
      </c>
      <c r="P281" s="6">
        <v>19</v>
      </c>
      <c r="Q281" s="5">
        <v>0.58179797025751767</v>
      </c>
      <c r="R281" s="5">
        <v>0.13112718214255636</v>
      </c>
      <c r="S281" s="6">
        <v>0</v>
      </c>
      <c r="T281" s="6">
        <v>1</v>
      </c>
      <c r="U281" s="6">
        <v>19</v>
      </c>
      <c r="V281" s="5">
        <v>0.27840718326047831</v>
      </c>
      <c r="W281" s="5">
        <v>0.11962958289453833</v>
      </c>
      <c r="X281" s="6">
        <v>0</v>
      </c>
      <c r="Y281" s="6">
        <v>1</v>
      </c>
      <c r="Z281" s="6">
        <v>18</v>
      </c>
      <c r="AA281" s="5">
        <v>0.27889208014984646</v>
      </c>
      <c r="AB281" s="5">
        <v>0.14163420824029879</v>
      </c>
      <c r="AC281" s="6">
        <v>0</v>
      </c>
      <c r="AD281" s="6">
        <v>1</v>
      </c>
      <c r="AE281" s="6">
        <v>14</v>
      </c>
      <c r="AF281" s="5">
        <v>0.24869923971566638</v>
      </c>
      <c r="AG281" s="5">
        <v>5.4351819960247037E-2</v>
      </c>
      <c r="AH281" s="6">
        <v>0</v>
      </c>
      <c r="AI281" s="6">
        <v>1</v>
      </c>
      <c r="AJ281" s="6">
        <v>104</v>
      </c>
      <c r="AK281">
        <f>(AF282/AF280)-AF281</f>
        <v>0.16338486178662159</v>
      </c>
    </row>
    <row r="282" spans="1:37" ht="26.25" x14ac:dyDescent="0.45">
      <c r="A282" s="4" t="s">
        <v>122</v>
      </c>
      <c r="B282" s="5">
        <v>0</v>
      </c>
      <c r="C282" s="5">
        <v>0</v>
      </c>
      <c r="D282" s="6">
        <v>0</v>
      </c>
      <c r="E282" s="6">
        <v>0</v>
      </c>
      <c r="F282" s="6">
        <v>29</v>
      </c>
      <c r="G282" s="5">
        <v>0</v>
      </c>
      <c r="H282" s="5">
        <v>0</v>
      </c>
      <c r="I282" s="6">
        <v>0</v>
      </c>
      <c r="J282" s="6">
        <v>0</v>
      </c>
      <c r="K282" s="6">
        <v>5</v>
      </c>
      <c r="L282" s="5">
        <v>0.37299580898391993</v>
      </c>
      <c r="M282" s="5">
        <v>0.11564759996312075</v>
      </c>
      <c r="N282" s="6">
        <v>0</v>
      </c>
      <c r="O282" s="6">
        <v>1</v>
      </c>
      <c r="P282" s="6">
        <v>19</v>
      </c>
      <c r="Q282" s="5">
        <v>0.19555539449869125</v>
      </c>
      <c r="R282" s="5">
        <v>9.2994313396750475E-2</v>
      </c>
      <c r="S282" s="6">
        <v>0</v>
      </c>
      <c r="T282" s="6">
        <v>1</v>
      </c>
      <c r="U282" s="6">
        <v>19</v>
      </c>
      <c r="V282" s="5">
        <v>0.1279779792011454</v>
      </c>
      <c r="W282" s="5">
        <v>8.747509216245157E-2</v>
      </c>
      <c r="X282" s="6">
        <v>0</v>
      </c>
      <c r="Y282" s="6">
        <v>1</v>
      </c>
      <c r="Z282" s="6">
        <v>18</v>
      </c>
      <c r="AA282" s="5">
        <v>0.18750694235117588</v>
      </c>
      <c r="AB282" s="5">
        <v>0.12376622257532736</v>
      </c>
      <c r="AC282" s="6">
        <v>0</v>
      </c>
      <c r="AD282" s="6">
        <v>1</v>
      </c>
      <c r="AE282" s="6">
        <v>14</v>
      </c>
      <c r="AF282" s="5">
        <v>0.17285207823258322</v>
      </c>
      <c r="AG282" s="5">
        <v>4.8669783264322343E-2</v>
      </c>
      <c r="AH282" s="6">
        <v>0</v>
      </c>
      <c r="AI282" s="6">
        <v>1</v>
      </c>
      <c r="AJ282" s="6">
        <v>104</v>
      </c>
    </row>
    <row r="283" spans="1:37" x14ac:dyDescent="0.45">
      <c r="A283" s="4" t="s">
        <v>40</v>
      </c>
      <c r="B283" s="5">
        <v>0.23600168674140035</v>
      </c>
      <c r="C283" s="5">
        <v>9.8121570578696957E-2</v>
      </c>
      <c r="D283" s="6">
        <v>0</v>
      </c>
      <c r="E283" s="6">
        <v>1</v>
      </c>
      <c r="F283" s="6">
        <v>29</v>
      </c>
      <c r="G283" s="5">
        <v>0.28413340654229741</v>
      </c>
      <c r="H283" s="5">
        <v>0.2635701019519151</v>
      </c>
      <c r="I283" s="6">
        <v>0</v>
      </c>
      <c r="J283" s="6">
        <v>1</v>
      </c>
      <c r="K283" s="6">
        <v>5</v>
      </c>
      <c r="L283" s="5">
        <v>1</v>
      </c>
      <c r="M283" s="5">
        <v>0</v>
      </c>
      <c r="N283" s="6">
        <v>1</v>
      </c>
      <c r="O283" s="6">
        <v>1</v>
      </c>
      <c r="P283" s="6">
        <v>19</v>
      </c>
      <c r="Q283" s="5">
        <v>0.85289731615094222</v>
      </c>
      <c r="R283" s="5">
        <v>0.10368836461541529</v>
      </c>
      <c r="S283" s="6">
        <v>0</v>
      </c>
      <c r="T283" s="6">
        <v>1</v>
      </c>
      <c r="U283" s="6">
        <v>19</v>
      </c>
      <c r="V283" s="5">
        <v>0.86634111546445414</v>
      </c>
      <c r="W283" s="5">
        <v>8.7661072043173624E-2</v>
      </c>
      <c r="X283" s="6">
        <v>0</v>
      </c>
      <c r="Y283" s="6">
        <v>1</v>
      </c>
      <c r="Z283" s="6">
        <v>18</v>
      </c>
      <c r="AA283" s="5">
        <v>0.68542702638902031</v>
      </c>
      <c r="AB283" s="5">
        <v>0.14449500923918335</v>
      </c>
      <c r="AC283" s="6">
        <v>0</v>
      </c>
      <c r="AD283" s="6">
        <v>1</v>
      </c>
      <c r="AE283" s="6">
        <v>14</v>
      </c>
      <c r="AF283" s="5">
        <v>0.64636059193257822</v>
      </c>
      <c r="AG283" s="5">
        <v>6.6126331124485585E-2</v>
      </c>
      <c r="AH283" s="6">
        <v>0</v>
      </c>
      <c r="AI283" s="6">
        <v>1</v>
      </c>
      <c r="AJ283" s="6">
        <v>104</v>
      </c>
      <c r="AK283">
        <f>(AF285/AF284)-AF283</f>
        <v>0.30283666240427454</v>
      </c>
    </row>
    <row r="284" spans="1:37" x14ac:dyDescent="0.45">
      <c r="A284" s="4" t="s">
        <v>42</v>
      </c>
      <c r="B284" s="5">
        <v>0.14679233898869379</v>
      </c>
      <c r="C284" s="5">
        <v>7.21952874481087E-2</v>
      </c>
      <c r="D284" s="6">
        <v>0</v>
      </c>
      <c r="E284" s="6">
        <v>1</v>
      </c>
      <c r="F284" s="6">
        <v>29</v>
      </c>
      <c r="G284" s="5">
        <v>0.28413340654229741</v>
      </c>
      <c r="H284" s="5">
        <v>0.2635701019519151</v>
      </c>
      <c r="I284" s="6">
        <v>0</v>
      </c>
      <c r="J284" s="6">
        <v>1</v>
      </c>
      <c r="K284" s="6">
        <v>5</v>
      </c>
      <c r="L284" s="5">
        <v>0.83743216794734465</v>
      </c>
      <c r="M284" s="5">
        <v>8.8339131816845065E-2</v>
      </c>
      <c r="N284" s="6">
        <v>0</v>
      </c>
      <c r="O284" s="6">
        <v>1</v>
      </c>
      <c r="P284" s="6">
        <v>19</v>
      </c>
      <c r="Q284" s="5">
        <v>0.89861962585941668</v>
      </c>
      <c r="R284" s="5">
        <v>9.6845778169611332E-2</v>
      </c>
      <c r="S284" s="6">
        <v>0</v>
      </c>
      <c r="T284" s="6">
        <v>1</v>
      </c>
      <c r="U284" s="6">
        <v>19</v>
      </c>
      <c r="V284" s="5">
        <v>0.94505098249148323</v>
      </c>
      <c r="W284" s="5">
        <v>5.5165329624764066E-2</v>
      </c>
      <c r="X284" s="6">
        <v>0</v>
      </c>
      <c r="Y284" s="6">
        <v>1</v>
      </c>
      <c r="Z284" s="6">
        <v>18</v>
      </c>
      <c r="AA284" s="5">
        <v>0.91590414556129873</v>
      </c>
      <c r="AB284" s="5">
        <v>5.7720093761496942E-2</v>
      </c>
      <c r="AC284" s="6">
        <v>0</v>
      </c>
      <c r="AD284" s="6">
        <v>1</v>
      </c>
      <c r="AE284" s="6">
        <v>14</v>
      </c>
      <c r="AF284" s="5">
        <v>0.5866426892711829</v>
      </c>
      <c r="AG284" s="5">
        <v>6.7909303410161284E-2</v>
      </c>
      <c r="AH284" s="6">
        <v>0</v>
      </c>
      <c r="AI284" s="6">
        <v>1</v>
      </c>
      <c r="AJ284" s="6">
        <v>104</v>
      </c>
      <c r="AK284">
        <f>(AF285/AF283)-AF284</f>
        <v>0.27485727976015639</v>
      </c>
    </row>
    <row r="285" spans="1:37" ht="26.25" x14ac:dyDescent="0.45">
      <c r="A285" s="4" t="s">
        <v>123</v>
      </c>
      <c r="B285" s="5">
        <v>0.11768020447564573</v>
      </c>
      <c r="C285" s="5">
        <v>6.9349619371502164E-2</v>
      </c>
      <c r="D285" s="6">
        <v>0</v>
      </c>
      <c r="E285" s="6">
        <v>1</v>
      </c>
      <c r="F285" s="6">
        <v>29</v>
      </c>
      <c r="G285" s="5">
        <v>0.28413340654229741</v>
      </c>
      <c r="H285" s="5">
        <v>0.2635701019519151</v>
      </c>
      <c r="I285" s="6">
        <v>0</v>
      </c>
      <c r="J285" s="6">
        <v>1</v>
      </c>
      <c r="K285" s="6">
        <v>5</v>
      </c>
      <c r="L285" s="5">
        <v>0.83743216794734465</v>
      </c>
      <c r="M285" s="5">
        <v>8.8339131816845065E-2</v>
      </c>
      <c r="N285" s="6">
        <v>0</v>
      </c>
      <c r="O285" s="6">
        <v>1</v>
      </c>
      <c r="P285" s="6">
        <v>19</v>
      </c>
      <c r="Q285" s="5">
        <v>0.85289731615094222</v>
      </c>
      <c r="R285" s="5">
        <v>0.10368836461541529</v>
      </c>
      <c r="S285" s="6">
        <v>0</v>
      </c>
      <c r="T285" s="6">
        <v>1</v>
      </c>
      <c r="U285" s="6">
        <v>19</v>
      </c>
      <c r="V285" s="5">
        <v>0.86634111546445414</v>
      </c>
      <c r="W285" s="5">
        <v>8.7661072043173624E-2</v>
      </c>
      <c r="X285" s="6">
        <v>0</v>
      </c>
      <c r="Y285" s="6">
        <v>1</v>
      </c>
      <c r="Z285" s="6">
        <v>18</v>
      </c>
      <c r="AA285" s="5">
        <v>0.68542702638902031</v>
      </c>
      <c r="AB285" s="5">
        <v>0.14449500923918335</v>
      </c>
      <c r="AC285" s="6">
        <v>0</v>
      </c>
      <c r="AD285" s="6">
        <v>1</v>
      </c>
      <c r="AE285" s="6">
        <v>14</v>
      </c>
      <c r="AF285" s="5">
        <v>0.5568396299329943</v>
      </c>
      <c r="AG285" s="5">
        <v>6.7648011527955215E-2</v>
      </c>
      <c r="AH285" s="6">
        <v>0</v>
      </c>
      <c r="AI285" s="6">
        <v>1</v>
      </c>
      <c r="AJ285" s="6">
        <v>104</v>
      </c>
    </row>
    <row r="286" spans="1:37" x14ac:dyDescent="0.45">
      <c r="A286" s="4" t="s">
        <v>40</v>
      </c>
      <c r="B286" s="5">
        <v>0.23600168674140035</v>
      </c>
      <c r="C286" s="5">
        <v>9.8121570578696957E-2</v>
      </c>
      <c r="D286" s="6">
        <v>0</v>
      </c>
      <c r="E286" s="6">
        <v>1</v>
      </c>
      <c r="F286" s="6">
        <v>29</v>
      </c>
      <c r="G286" s="5">
        <v>0.28413340654229741</v>
      </c>
      <c r="H286" s="5">
        <v>0.2635701019519151</v>
      </c>
      <c r="I286" s="6">
        <v>0</v>
      </c>
      <c r="J286" s="6">
        <v>1</v>
      </c>
      <c r="K286" s="6">
        <v>5</v>
      </c>
      <c r="L286" s="5">
        <v>1</v>
      </c>
      <c r="M286" s="5">
        <v>0</v>
      </c>
      <c r="N286" s="6">
        <v>1</v>
      </c>
      <c r="O286" s="6">
        <v>1</v>
      </c>
      <c r="P286" s="6">
        <v>19</v>
      </c>
      <c r="Q286" s="5">
        <v>0.85289731615094222</v>
      </c>
      <c r="R286" s="5">
        <v>0.10368836461541529</v>
      </c>
      <c r="S286" s="6">
        <v>0</v>
      </c>
      <c r="T286" s="6">
        <v>1</v>
      </c>
      <c r="U286" s="6">
        <v>19</v>
      </c>
      <c r="V286" s="5">
        <v>0.86634111546445414</v>
      </c>
      <c r="W286" s="5">
        <v>8.7661072043173624E-2</v>
      </c>
      <c r="X286" s="6">
        <v>0</v>
      </c>
      <c r="Y286" s="6">
        <v>1</v>
      </c>
      <c r="Z286" s="6">
        <v>18</v>
      </c>
      <c r="AA286" s="5">
        <v>0.68542702638902031</v>
      </c>
      <c r="AB286" s="5">
        <v>0.14449500923918335</v>
      </c>
      <c r="AC286" s="6">
        <v>0</v>
      </c>
      <c r="AD286" s="6">
        <v>1</v>
      </c>
      <c r="AE286" s="6">
        <v>14</v>
      </c>
      <c r="AF286" s="5">
        <v>0.64636059193257822</v>
      </c>
      <c r="AG286" s="5">
        <v>6.6126331124485585E-2</v>
      </c>
      <c r="AH286" s="6">
        <v>0</v>
      </c>
      <c r="AI286" s="6">
        <v>1</v>
      </c>
      <c r="AJ286" s="6">
        <v>104</v>
      </c>
      <c r="AK286">
        <f>(AF288/AF287)-AF286</f>
        <v>0.33412817064126765</v>
      </c>
    </row>
    <row r="287" spans="1:37" x14ac:dyDescent="0.45">
      <c r="A287" s="4" t="s">
        <v>44</v>
      </c>
      <c r="B287" s="5">
        <v>0</v>
      </c>
      <c r="C287" s="5">
        <v>0</v>
      </c>
      <c r="D287" s="6">
        <v>0</v>
      </c>
      <c r="E287" s="6">
        <v>0</v>
      </c>
      <c r="F287" s="6">
        <v>29</v>
      </c>
      <c r="G287" s="5">
        <v>0</v>
      </c>
      <c r="H287" s="5">
        <v>0</v>
      </c>
      <c r="I287" s="6">
        <v>0</v>
      </c>
      <c r="J287" s="6">
        <v>0</v>
      </c>
      <c r="K287" s="6">
        <v>5</v>
      </c>
      <c r="L287" s="5">
        <v>0.43080549064057538</v>
      </c>
      <c r="M287" s="5">
        <v>0.1188108626030543</v>
      </c>
      <c r="N287" s="6">
        <v>0</v>
      </c>
      <c r="O287" s="6">
        <v>1</v>
      </c>
      <c r="P287" s="6">
        <v>19</v>
      </c>
      <c r="Q287" s="5">
        <v>0.58179797025751767</v>
      </c>
      <c r="R287" s="5">
        <v>0.13112718214255636</v>
      </c>
      <c r="S287" s="6">
        <v>0</v>
      </c>
      <c r="T287" s="6">
        <v>1</v>
      </c>
      <c r="U287" s="6">
        <v>19</v>
      </c>
      <c r="V287" s="5">
        <v>0.27840718326047831</v>
      </c>
      <c r="W287" s="5">
        <v>0.11962958289453833</v>
      </c>
      <c r="X287" s="6">
        <v>0</v>
      </c>
      <c r="Y287" s="6">
        <v>1</v>
      </c>
      <c r="Z287" s="6">
        <v>18</v>
      </c>
      <c r="AA287" s="5">
        <v>0.27889208014984646</v>
      </c>
      <c r="AB287" s="5">
        <v>0.14163420824029879</v>
      </c>
      <c r="AC287" s="6">
        <v>0</v>
      </c>
      <c r="AD287" s="6">
        <v>1</v>
      </c>
      <c r="AE287" s="6">
        <v>14</v>
      </c>
      <c r="AF287" s="5">
        <v>0.24869923971566638</v>
      </c>
      <c r="AG287" s="5">
        <v>5.4351819960247037E-2</v>
      </c>
      <c r="AH287" s="6">
        <v>0</v>
      </c>
      <c r="AI287" s="6">
        <v>1</v>
      </c>
      <c r="AJ287" s="6">
        <v>104</v>
      </c>
      <c r="AK287">
        <f>(AF288/AF286)-AF287</f>
        <v>0.12856201792503091</v>
      </c>
    </row>
    <row r="288" spans="1:37" ht="26.25" x14ac:dyDescent="0.45">
      <c r="A288" s="4" t="s">
        <v>124</v>
      </c>
      <c r="B288" s="5">
        <v>0</v>
      </c>
      <c r="C288" s="5">
        <v>0</v>
      </c>
      <c r="D288" s="6">
        <v>0</v>
      </c>
      <c r="E288" s="6">
        <v>0</v>
      </c>
      <c r="F288" s="6">
        <v>29</v>
      </c>
      <c r="G288" s="5">
        <v>0</v>
      </c>
      <c r="H288" s="5">
        <v>0</v>
      </c>
      <c r="I288" s="6">
        <v>0</v>
      </c>
      <c r="J288" s="6">
        <v>0</v>
      </c>
      <c r="K288" s="6">
        <v>5</v>
      </c>
      <c r="L288" s="5">
        <v>0.43080549064057538</v>
      </c>
      <c r="M288" s="5">
        <v>0.1188108626030543</v>
      </c>
      <c r="N288" s="6">
        <v>0</v>
      </c>
      <c r="O288" s="6">
        <v>1</v>
      </c>
      <c r="P288" s="6">
        <v>19</v>
      </c>
      <c r="Q288" s="5">
        <v>0.5360756605490431</v>
      </c>
      <c r="R288" s="5">
        <v>0.13247213099065239</v>
      </c>
      <c r="S288" s="6">
        <v>0</v>
      </c>
      <c r="T288" s="6">
        <v>1</v>
      </c>
      <c r="U288" s="6">
        <v>19</v>
      </c>
      <c r="V288" s="5">
        <v>0.27840718326047831</v>
      </c>
      <c r="W288" s="5">
        <v>0.11962958289453833</v>
      </c>
      <c r="X288" s="6">
        <v>0</v>
      </c>
      <c r="Y288" s="6">
        <v>1</v>
      </c>
      <c r="Z288" s="6">
        <v>18</v>
      </c>
      <c r="AA288" s="5">
        <v>0.27889208014984646</v>
      </c>
      <c r="AB288" s="5">
        <v>0.14163420824029879</v>
      </c>
      <c r="AC288" s="6">
        <v>0</v>
      </c>
      <c r="AD288" s="6">
        <v>1</v>
      </c>
      <c r="AE288" s="6">
        <v>14</v>
      </c>
      <c r="AF288" s="5">
        <v>0.24384680980186998</v>
      </c>
      <c r="AG288" s="5">
        <v>5.4164189658898139E-2</v>
      </c>
      <c r="AH288" s="6">
        <v>0</v>
      </c>
      <c r="AI288" s="6">
        <v>1</v>
      </c>
      <c r="AJ288" s="6">
        <v>104</v>
      </c>
    </row>
    <row r="289" spans="1:36" ht="26.65" thickBot="1" x14ac:dyDescent="0.5">
      <c r="A289" s="7" t="s">
        <v>125</v>
      </c>
      <c r="B289" s="8">
        <v>29</v>
      </c>
      <c r="C289" s="8" t="s">
        <v>126</v>
      </c>
      <c r="D289" s="9" t="s">
        <v>126</v>
      </c>
      <c r="E289" s="9" t="s">
        <v>126</v>
      </c>
      <c r="F289" s="9" t="s">
        <v>126</v>
      </c>
      <c r="G289" s="8">
        <v>5</v>
      </c>
      <c r="H289" s="8" t="s">
        <v>126</v>
      </c>
      <c r="I289" s="9" t="s">
        <v>126</v>
      </c>
      <c r="J289" s="9" t="s">
        <v>126</v>
      </c>
      <c r="K289" s="9" t="s">
        <v>126</v>
      </c>
      <c r="L289" s="8">
        <v>19</v>
      </c>
      <c r="M289" s="8" t="s">
        <v>126</v>
      </c>
      <c r="N289" s="9" t="s">
        <v>126</v>
      </c>
      <c r="O289" s="9" t="s">
        <v>126</v>
      </c>
      <c r="P289" s="9" t="s">
        <v>126</v>
      </c>
      <c r="Q289" s="8">
        <v>19</v>
      </c>
      <c r="R289" s="8" t="s">
        <v>126</v>
      </c>
      <c r="S289" s="9" t="s">
        <v>126</v>
      </c>
      <c r="T289" s="9" t="s">
        <v>126</v>
      </c>
      <c r="U289" s="9" t="s">
        <v>126</v>
      </c>
      <c r="V289" s="8">
        <v>18</v>
      </c>
      <c r="W289" s="8" t="s">
        <v>126</v>
      </c>
      <c r="X289" s="9" t="s">
        <v>126</v>
      </c>
      <c r="Y289" s="9" t="s">
        <v>126</v>
      </c>
      <c r="Z289" s="9" t="s">
        <v>126</v>
      </c>
      <c r="AA289" s="8">
        <v>14</v>
      </c>
      <c r="AB289" s="8" t="s">
        <v>126</v>
      </c>
      <c r="AC289" s="9" t="s">
        <v>126</v>
      </c>
      <c r="AD289" s="9" t="s">
        <v>126</v>
      </c>
      <c r="AE289" s="9" t="s">
        <v>126</v>
      </c>
      <c r="AF289" s="8">
        <v>104</v>
      </c>
      <c r="AG289" s="8" t="s">
        <v>126</v>
      </c>
      <c r="AH289" s="9" t="s">
        <v>126</v>
      </c>
      <c r="AI289" s="9" t="s">
        <v>126</v>
      </c>
      <c r="AJ289" s="9" t="s">
        <v>126</v>
      </c>
    </row>
    <row r="290" spans="1:36" ht="14.65" thickTop="1" x14ac:dyDescent="0.45">
      <c r="A290" s="10" t="s">
        <v>127</v>
      </c>
    </row>
    <row r="291" spans="1:36" x14ac:dyDescent="0.45">
      <c r="A291" s="10" t="s">
        <v>128</v>
      </c>
    </row>
    <row r="292" spans="1:36" x14ac:dyDescent="0.45">
      <c r="A292" s="10" t="s">
        <v>129</v>
      </c>
    </row>
    <row r="293" spans="1:36" x14ac:dyDescent="0.45">
      <c r="A293" s="10" t="s">
        <v>22</v>
      </c>
    </row>
    <row r="294" spans="1:36" x14ac:dyDescent="0.45">
      <c r="A294" s="10" t="s">
        <v>130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94"/>
  <sheetViews>
    <sheetView tabSelected="1" workbookViewId="0">
      <pane xSplit="1" ySplit="3" topLeftCell="N216" activePane="bottomRight" state="frozen"/>
      <selection pane="topRight" activeCell="B1" sqref="B1"/>
      <selection pane="bottomLeft" activeCell="A4" sqref="A4"/>
      <selection pane="bottomRight" activeCell="AG11" sqref="AG11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2" ht="12.75" customHeight="1" x14ac:dyDescent="0.45">
      <c r="A1" s="19" t="s">
        <v>138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 spans="1:32" x14ac:dyDescent="0.45">
      <c r="A2" s="1" t="s">
        <v>1</v>
      </c>
      <c r="B2" s="20" t="s">
        <v>2</v>
      </c>
      <c r="C2" s="20"/>
      <c r="D2" s="20"/>
      <c r="E2" s="20"/>
      <c r="F2" s="20"/>
      <c r="G2" s="20" t="s">
        <v>3</v>
      </c>
      <c r="H2" s="20"/>
      <c r="I2" s="20"/>
      <c r="J2" s="20"/>
      <c r="K2" s="20"/>
      <c r="L2" s="20" t="s">
        <v>4</v>
      </c>
      <c r="M2" s="20"/>
      <c r="N2" s="20"/>
      <c r="O2" s="20"/>
      <c r="P2" s="20"/>
      <c r="Q2" s="20" t="s">
        <v>5</v>
      </c>
      <c r="R2" s="20"/>
      <c r="S2" s="20"/>
      <c r="T2" s="20"/>
      <c r="U2" s="20"/>
      <c r="V2" s="20" t="s">
        <v>6</v>
      </c>
      <c r="W2" s="20"/>
      <c r="X2" s="20"/>
      <c r="Y2" s="20"/>
      <c r="Z2" s="20"/>
      <c r="AA2" s="20" t="s">
        <v>7</v>
      </c>
      <c r="AB2" s="20"/>
      <c r="AC2" s="20"/>
      <c r="AD2" s="20"/>
      <c r="AE2" s="20"/>
    </row>
    <row r="3" spans="1:32" x14ac:dyDescent="0.45">
      <c r="A3" s="1" t="s">
        <v>1</v>
      </c>
      <c r="B3" s="3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3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3" t="s">
        <v>8</v>
      </c>
      <c r="M3" s="3" t="s">
        <v>9</v>
      </c>
      <c r="N3" s="2" t="s">
        <v>10</v>
      </c>
      <c r="O3" s="2" t="s">
        <v>11</v>
      </c>
      <c r="P3" s="2" t="s">
        <v>12</v>
      </c>
      <c r="Q3" s="3" t="s">
        <v>8</v>
      </c>
      <c r="R3" s="3" t="s">
        <v>9</v>
      </c>
      <c r="S3" s="2" t="s">
        <v>10</v>
      </c>
      <c r="T3" s="2" t="s">
        <v>11</v>
      </c>
      <c r="U3" s="2" t="s">
        <v>12</v>
      </c>
      <c r="V3" s="3" t="s">
        <v>8</v>
      </c>
      <c r="W3" s="3" t="s">
        <v>9</v>
      </c>
      <c r="X3" s="2" t="s">
        <v>10</v>
      </c>
      <c r="Y3" s="2" t="s">
        <v>11</v>
      </c>
      <c r="Z3" s="2" t="s">
        <v>12</v>
      </c>
      <c r="AA3" s="3" t="s">
        <v>8</v>
      </c>
      <c r="AB3" s="3" t="s">
        <v>9</v>
      </c>
      <c r="AC3" s="2" t="s">
        <v>10</v>
      </c>
      <c r="AD3" s="2" t="s">
        <v>11</v>
      </c>
      <c r="AE3" s="2" t="s">
        <v>12</v>
      </c>
    </row>
    <row r="4" spans="1:32" x14ac:dyDescent="0.45">
      <c r="A4" s="4" t="s">
        <v>13</v>
      </c>
      <c r="B4" s="5">
        <v>0.72176921433327834</v>
      </c>
      <c r="C4" s="5">
        <v>2.9028968782716991E-2</v>
      </c>
      <c r="D4" s="6">
        <v>0</v>
      </c>
      <c r="E4" s="6">
        <v>1</v>
      </c>
      <c r="F4" s="6">
        <v>382</v>
      </c>
      <c r="G4" s="5">
        <v>0.84255208864764064</v>
      </c>
      <c r="H4" s="5">
        <v>1.7138525746655912E-2</v>
      </c>
      <c r="I4" s="6">
        <v>0</v>
      </c>
      <c r="J4" s="6">
        <v>1</v>
      </c>
      <c r="K4" s="6">
        <v>475</v>
      </c>
      <c r="L4" s="5">
        <v>0.59247247024008354</v>
      </c>
      <c r="M4" s="5">
        <v>2.3348494529892176E-2</v>
      </c>
      <c r="N4" s="6">
        <v>0</v>
      </c>
      <c r="O4" s="6">
        <v>1</v>
      </c>
      <c r="P4" s="6">
        <v>474</v>
      </c>
      <c r="Q4" s="5">
        <v>0.59230493585026966</v>
      </c>
      <c r="R4" s="5">
        <v>2.447481198118856E-2</v>
      </c>
      <c r="S4" s="6">
        <v>0</v>
      </c>
      <c r="T4" s="6">
        <v>1</v>
      </c>
      <c r="U4" s="6">
        <v>423</v>
      </c>
      <c r="V4" s="5">
        <v>0.41221383349800705</v>
      </c>
      <c r="W4" s="5">
        <v>1.990555252456656E-2</v>
      </c>
      <c r="X4" s="6">
        <v>0</v>
      </c>
      <c r="Y4" s="6">
        <v>1</v>
      </c>
      <c r="Z4" s="6">
        <v>1145</v>
      </c>
      <c r="AA4" s="5">
        <v>0.66139708495867311</v>
      </c>
      <c r="AB4" s="5">
        <v>1.2421253844692854E-2</v>
      </c>
      <c r="AC4" s="6">
        <v>0</v>
      </c>
      <c r="AD4" s="6">
        <v>1</v>
      </c>
      <c r="AE4" s="6">
        <v>2899</v>
      </c>
      <c r="AF4">
        <f>(AA6/AA5)-AA4</f>
        <v>0.20900339616519703</v>
      </c>
    </row>
    <row r="5" spans="1:32" x14ac:dyDescent="0.45">
      <c r="A5" s="4" t="s">
        <v>14</v>
      </c>
      <c r="B5" s="5">
        <v>1.6094968575701626E-2</v>
      </c>
      <c r="C5" s="5">
        <v>6.6715854443944508E-3</v>
      </c>
      <c r="D5" s="6">
        <v>0</v>
      </c>
      <c r="E5" s="6">
        <v>1</v>
      </c>
      <c r="F5" s="6">
        <v>382</v>
      </c>
      <c r="G5" s="5">
        <v>4.0733732813672492E-2</v>
      </c>
      <c r="H5" s="5">
        <v>9.1849777172079219E-3</v>
      </c>
      <c r="I5" s="6">
        <v>0</v>
      </c>
      <c r="J5" s="6">
        <v>1</v>
      </c>
      <c r="K5" s="6">
        <v>475</v>
      </c>
      <c r="L5" s="5">
        <v>3.7333342725060573E-2</v>
      </c>
      <c r="M5" s="5">
        <v>9.0407273193900666E-3</v>
      </c>
      <c r="N5" s="6">
        <v>0</v>
      </c>
      <c r="O5" s="6">
        <v>1</v>
      </c>
      <c r="P5" s="6">
        <v>474</v>
      </c>
      <c r="Q5" s="5">
        <v>4.4859347935278154E-2</v>
      </c>
      <c r="R5" s="5">
        <v>1.0696186820389126E-2</v>
      </c>
      <c r="S5" s="6">
        <v>0</v>
      </c>
      <c r="T5" s="6">
        <v>1</v>
      </c>
      <c r="U5" s="6">
        <v>423</v>
      </c>
      <c r="V5" s="5">
        <v>6.7477197969102773E-2</v>
      </c>
      <c r="W5" s="5">
        <v>9.9982978664868126E-3</v>
      </c>
      <c r="X5" s="6">
        <v>0</v>
      </c>
      <c r="Y5" s="6">
        <v>1</v>
      </c>
      <c r="Z5" s="6">
        <v>1145</v>
      </c>
      <c r="AA5" s="5">
        <v>3.9577298531642532E-2</v>
      </c>
      <c r="AB5" s="5">
        <v>5.070485228182201E-3</v>
      </c>
      <c r="AC5" s="6">
        <v>0</v>
      </c>
      <c r="AD5" s="6">
        <v>1</v>
      </c>
      <c r="AE5" s="6">
        <v>2899</v>
      </c>
      <c r="AF5">
        <f>(AA6/AA4)-AA5</f>
        <v>1.250654106628548E-2</v>
      </c>
    </row>
    <row r="6" spans="1:32" x14ac:dyDescent="0.45">
      <c r="A6" s="4" t="s">
        <v>15</v>
      </c>
      <c r="B6" s="5">
        <v>1.6094968575701626E-2</v>
      </c>
      <c r="C6" s="5">
        <v>6.6715854443944508E-3</v>
      </c>
      <c r="D6" s="6">
        <v>0</v>
      </c>
      <c r="E6" s="6">
        <v>1</v>
      </c>
      <c r="F6" s="6">
        <v>382</v>
      </c>
      <c r="G6" s="5">
        <v>4.0733732813672492E-2</v>
      </c>
      <c r="H6" s="5">
        <v>9.1849777172079219E-3</v>
      </c>
      <c r="I6" s="6">
        <v>0</v>
      </c>
      <c r="J6" s="6">
        <v>1</v>
      </c>
      <c r="K6" s="6">
        <v>475</v>
      </c>
      <c r="L6" s="5">
        <v>2.7474117853959139E-2</v>
      </c>
      <c r="M6" s="5">
        <v>7.5583425034507429E-3</v>
      </c>
      <c r="N6" s="6">
        <v>0</v>
      </c>
      <c r="O6" s="6">
        <v>1</v>
      </c>
      <c r="P6" s="6">
        <v>474</v>
      </c>
      <c r="Q6" s="5">
        <v>4.2338837177183043E-2</v>
      </c>
      <c r="R6" s="5">
        <v>1.0422928595259237E-2</v>
      </c>
      <c r="S6" s="6">
        <v>0</v>
      </c>
      <c r="T6" s="6">
        <v>1</v>
      </c>
      <c r="U6" s="6">
        <v>423</v>
      </c>
      <c r="V6" s="5">
        <v>5.34019974002184E-2</v>
      </c>
      <c r="W6" s="5">
        <v>9.0726199804779927E-3</v>
      </c>
      <c r="X6" s="6">
        <v>0</v>
      </c>
      <c r="Y6" s="6">
        <v>1</v>
      </c>
      <c r="Z6" s="6">
        <v>1145</v>
      </c>
      <c r="AA6" s="5">
        <v>3.4448099683524698E-2</v>
      </c>
      <c r="AB6" s="5">
        <v>4.6099198531833552E-3</v>
      </c>
      <c r="AC6" s="6">
        <v>0</v>
      </c>
      <c r="AD6" s="6">
        <v>1</v>
      </c>
      <c r="AE6" s="6">
        <v>2899</v>
      </c>
    </row>
    <row r="7" spans="1:32" x14ac:dyDescent="0.45">
      <c r="A7" s="4" t="s">
        <v>13</v>
      </c>
      <c r="B7" s="5">
        <v>0.72176921433327834</v>
      </c>
      <c r="C7" s="5">
        <v>2.9028968782716991E-2</v>
      </c>
      <c r="D7" s="6">
        <v>0</v>
      </c>
      <c r="E7" s="6">
        <v>1</v>
      </c>
      <c r="F7" s="6">
        <v>382</v>
      </c>
      <c r="G7" s="5">
        <v>0.84255208864764064</v>
      </c>
      <c r="H7" s="5">
        <v>1.7138525746655912E-2</v>
      </c>
      <c r="I7" s="6">
        <v>0</v>
      </c>
      <c r="J7" s="6">
        <v>1</v>
      </c>
      <c r="K7" s="6">
        <v>475</v>
      </c>
      <c r="L7" s="5">
        <v>0.59247247024008354</v>
      </c>
      <c r="M7" s="5">
        <v>2.3348494529892176E-2</v>
      </c>
      <c r="N7" s="6">
        <v>0</v>
      </c>
      <c r="O7" s="6">
        <v>1</v>
      </c>
      <c r="P7" s="6">
        <v>474</v>
      </c>
      <c r="Q7" s="5">
        <v>0.59230493585026966</v>
      </c>
      <c r="R7" s="5">
        <v>2.447481198118856E-2</v>
      </c>
      <c r="S7" s="6">
        <v>0</v>
      </c>
      <c r="T7" s="6">
        <v>1</v>
      </c>
      <c r="U7" s="6">
        <v>423</v>
      </c>
      <c r="V7" s="5">
        <v>0.41221383349800705</v>
      </c>
      <c r="W7" s="5">
        <v>1.990555252456656E-2</v>
      </c>
      <c r="X7" s="6">
        <v>0</v>
      </c>
      <c r="Y7" s="6">
        <v>1</v>
      </c>
      <c r="Z7" s="6">
        <v>1145</v>
      </c>
      <c r="AA7" s="5">
        <v>0.66139708495867311</v>
      </c>
      <c r="AB7" s="5">
        <v>1.2421253844692854E-2</v>
      </c>
      <c r="AC7" s="6">
        <v>0</v>
      </c>
      <c r="AD7" s="6">
        <v>1</v>
      </c>
      <c r="AE7" s="6">
        <v>2899</v>
      </c>
      <c r="AF7">
        <f>(AA9/AA8)-AA7</f>
        <v>0.11300552213567616</v>
      </c>
    </row>
    <row r="8" spans="1:32" ht="39.4" x14ac:dyDescent="0.45">
      <c r="A8" s="4" t="s">
        <v>16</v>
      </c>
      <c r="B8" s="5">
        <v>0.50556237093372625</v>
      </c>
      <c r="C8" s="5">
        <v>2.8806099607079916E-2</v>
      </c>
      <c r="D8" s="6">
        <v>0</v>
      </c>
      <c r="E8" s="6">
        <v>1</v>
      </c>
      <c r="F8" s="6">
        <v>382</v>
      </c>
      <c r="G8" s="5">
        <v>0.75127200876490052</v>
      </c>
      <c r="H8" s="5">
        <v>2.0440411467445026E-2</v>
      </c>
      <c r="I8" s="6">
        <v>0</v>
      </c>
      <c r="J8" s="6">
        <v>1</v>
      </c>
      <c r="K8" s="6">
        <v>475</v>
      </c>
      <c r="L8" s="5">
        <v>0.57082825926267877</v>
      </c>
      <c r="M8" s="5">
        <v>2.3540070455782523E-2</v>
      </c>
      <c r="N8" s="6">
        <v>0</v>
      </c>
      <c r="O8" s="6">
        <v>1</v>
      </c>
      <c r="P8" s="6">
        <v>474</v>
      </c>
      <c r="Q8" s="5">
        <v>0.83603306383602227</v>
      </c>
      <c r="R8" s="5">
        <v>1.8289048327108152E-2</v>
      </c>
      <c r="S8" s="6">
        <v>0</v>
      </c>
      <c r="T8" s="6">
        <v>1</v>
      </c>
      <c r="U8" s="6">
        <v>423</v>
      </c>
      <c r="V8" s="5">
        <v>0.4594408339654299</v>
      </c>
      <c r="W8" s="5">
        <v>2.0333889342993294E-2</v>
      </c>
      <c r="X8" s="6">
        <v>0</v>
      </c>
      <c r="Y8" s="6">
        <v>1</v>
      </c>
      <c r="Z8" s="6">
        <v>1145</v>
      </c>
      <c r="AA8" s="5">
        <v>0.6685391064616979</v>
      </c>
      <c r="AB8" s="5">
        <v>1.2404909142965445E-2</v>
      </c>
      <c r="AC8" s="6">
        <v>0</v>
      </c>
      <c r="AD8" s="6">
        <v>1</v>
      </c>
      <c r="AE8" s="6">
        <v>2899</v>
      </c>
      <c r="AF8">
        <f>(AA9/AA7)-AA8</f>
        <v>0.11422579946590361</v>
      </c>
    </row>
    <row r="9" spans="1:32" x14ac:dyDescent="0.45">
      <c r="A9" s="4" t="s">
        <v>17</v>
      </c>
      <c r="B9" s="5">
        <v>0.46095049742232774</v>
      </c>
      <c r="C9" s="5">
        <v>2.8374678968655021E-2</v>
      </c>
      <c r="D9" s="6">
        <v>0</v>
      </c>
      <c r="E9" s="6">
        <v>1</v>
      </c>
      <c r="F9" s="6">
        <v>382</v>
      </c>
      <c r="G9" s="5">
        <v>0.71934661782100184</v>
      </c>
      <c r="H9" s="5">
        <v>2.1277977228410263E-2</v>
      </c>
      <c r="I9" s="6">
        <v>0</v>
      </c>
      <c r="J9" s="6">
        <v>1</v>
      </c>
      <c r="K9" s="6">
        <v>475</v>
      </c>
      <c r="L9" s="5">
        <v>0.39510962169326319</v>
      </c>
      <c r="M9" s="5">
        <v>2.3210473198506439E-2</v>
      </c>
      <c r="N9" s="6">
        <v>0</v>
      </c>
      <c r="O9" s="6">
        <v>1</v>
      </c>
      <c r="P9" s="6">
        <v>474</v>
      </c>
      <c r="Q9" s="5">
        <v>0.54948872214761246</v>
      </c>
      <c r="R9" s="5">
        <v>2.4801966649021061E-2</v>
      </c>
      <c r="S9" s="6">
        <v>0</v>
      </c>
      <c r="T9" s="6">
        <v>1</v>
      </c>
      <c r="U9" s="6">
        <v>423</v>
      </c>
      <c r="V9" s="5">
        <v>0.33609937884452301</v>
      </c>
      <c r="W9" s="5">
        <v>1.8764462380129642E-2</v>
      </c>
      <c r="X9" s="6">
        <v>0</v>
      </c>
      <c r="Y9" s="6">
        <v>1</v>
      </c>
      <c r="Z9" s="6">
        <v>1145</v>
      </c>
      <c r="AA9" s="5">
        <v>0.5177184269884656</v>
      </c>
      <c r="AB9" s="5">
        <v>1.3046981827988226E-2</v>
      </c>
      <c r="AC9" s="6">
        <v>0</v>
      </c>
      <c r="AD9" s="6">
        <v>1</v>
      </c>
      <c r="AE9" s="6">
        <v>2899</v>
      </c>
    </row>
    <row r="10" spans="1:32" x14ac:dyDescent="0.45">
      <c r="A10" s="4" t="s">
        <v>13</v>
      </c>
      <c r="B10" s="5">
        <v>0.72176921433327834</v>
      </c>
      <c r="C10" s="5">
        <v>2.9028968782716991E-2</v>
      </c>
      <c r="D10" s="6">
        <v>0</v>
      </c>
      <c r="E10" s="6">
        <v>1</v>
      </c>
      <c r="F10" s="6">
        <v>382</v>
      </c>
      <c r="G10" s="5">
        <v>0.84255208864764064</v>
      </c>
      <c r="H10" s="5">
        <v>1.7138525746655912E-2</v>
      </c>
      <c r="I10" s="6">
        <v>0</v>
      </c>
      <c r="J10" s="6">
        <v>1</v>
      </c>
      <c r="K10" s="6">
        <v>475</v>
      </c>
      <c r="L10" s="5">
        <v>0.59247247024008354</v>
      </c>
      <c r="M10" s="5">
        <v>2.3348494529892176E-2</v>
      </c>
      <c r="N10" s="6">
        <v>0</v>
      </c>
      <c r="O10" s="6">
        <v>1</v>
      </c>
      <c r="P10" s="6">
        <v>474</v>
      </c>
      <c r="Q10" s="5">
        <v>0.59230493585026966</v>
      </c>
      <c r="R10" s="5">
        <v>2.447481198118856E-2</v>
      </c>
      <c r="S10" s="6">
        <v>0</v>
      </c>
      <c r="T10" s="6">
        <v>1</v>
      </c>
      <c r="U10" s="6">
        <v>423</v>
      </c>
      <c r="V10" s="5">
        <v>0.41221383349800705</v>
      </c>
      <c r="W10" s="5">
        <v>1.990555252456656E-2</v>
      </c>
      <c r="X10" s="6">
        <v>0</v>
      </c>
      <c r="Y10" s="6">
        <v>1</v>
      </c>
      <c r="Z10" s="6">
        <v>1145</v>
      </c>
      <c r="AA10" s="5">
        <v>0.66139708495867311</v>
      </c>
      <c r="AB10" s="5">
        <v>1.2421253844692854E-2</v>
      </c>
      <c r="AC10" s="6">
        <v>0</v>
      </c>
      <c r="AD10" s="6">
        <v>1</v>
      </c>
      <c r="AE10" s="6">
        <v>2899</v>
      </c>
      <c r="AF10">
        <f>(AA12/AA11)-AA10</f>
        <v>0.11794018776626225</v>
      </c>
    </row>
    <row r="11" spans="1:32" ht="39.4" x14ac:dyDescent="0.45">
      <c r="A11" s="4" t="s">
        <v>18</v>
      </c>
      <c r="B11" s="5">
        <v>0.57072600859564226</v>
      </c>
      <c r="C11" s="5">
        <v>2.9131924939021201E-2</v>
      </c>
      <c r="D11" s="6">
        <v>0</v>
      </c>
      <c r="E11" s="6">
        <v>1</v>
      </c>
      <c r="F11" s="6">
        <v>382</v>
      </c>
      <c r="G11" s="5">
        <v>0.77458535334454726</v>
      </c>
      <c r="H11" s="5">
        <v>1.9819153022370115E-2</v>
      </c>
      <c r="I11" s="6">
        <v>0</v>
      </c>
      <c r="J11" s="6">
        <v>1</v>
      </c>
      <c r="K11" s="6">
        <v>475</v>
      </c>
      <c r="L11" s="5">
        <v>0.5654398229580665</v>
      </c>
      <c r="M11" s="5">
        <v>2.3474274957925739E-2</v>
      </c>
      <c r="N11" s="6">
        <v>0</v>
      </c>
      <c r="O11" s="6">
        <v>1</v>
      </c>
      <c r="P11" s="6">
        <v>474</v>
      </c>
      <c r="Q11" s="5">
        <v>0.74315598481496103</v>
      </c>
      <c r="R11" s="5">
        <v>2.153023882484394E-2</v>
      </c>
      <c r="S11" s="6">
        <v>0</v>
      </c>
      <c r="T11" s="6">
        <v>1</v>
      </c>
      <c r="U11" s="6">
        <v>423</v>
      </c>
      <c r="V11" s="5">
        <v>0.41997286525770899</v>
      </c>
      <c r="W11" s="5">
        <v>1.993996945027731E-2</v>
      </c>
      <c r="X11" s="6">
        <v>0</v>
      </c>
      <c r="Y11" s="6">
        <v>1</v>
      </c>
      <c r="Z11" s="6">
        <v>1145</v>
      </c>
      <c r="AA11" s="5">
        <v>0.65520854638593373</v>
      </c>
      <c r="AB11" s="5">
        <v>1.2427109701659765E-2</v>
      </c>
      <c r="AC11" s="6">
        <v>0</v>
      </c>
      <c r="AD11" s="6">
        <v>1</v>
      </c>
      <c r="AE11" s="6">
        <v>2899</v>
      </c>
      <c r="AF11">
        <f>(AA12/AA10)-AA11</f>
        <v>0.11683664888188205</v>
      </c>
    </row>
    <row r="12" spans="1:32" x14ac:dyDescent="0.45">
      <c r="A12" s="4" t="s">
        <v>19</v>
      </c>
      <c r="B12" s="5">
        <v>0.50798876982918795</v>
      </c>
      <c r="C12" s="5">
        <v>2.8827471273298728E-2</v>
      </c>
      <c r="D12" s="6">
        <v>0</v>
      </c>
      <c r="E12" s="6">
        <v>1</v>
      </c>
      <c r="F12" s="6">
        <v>382</v>
      </c>
      <c r="G12" s="5">
        <v>0.73625837194983779</v>
      </c>
      <c r="H12" s="5">
        <v>2.091623613779248E-2</v>
      </c>
      <c r="I12" s="6">
        <v>0</v>
      </c>
      <c r="J12" s="6">
        <v>1</v>
      </c>
      <c r="K12" s="6">
        <v>475</v>
      </c>
      <c r="L12" s="5">
        <v>0.40152409204844486</v>
      </c>
      <c r="M12" s="5">
        <v>2.332012890872617E-2</v>
      </c>
      <c r="N12" s="6">
        <v>0</v>
      </c>
      <c r="O12" s="6">
        <v>1</v>
      </c>
      <c r="P12" s="6">
        <v>474</v>
      </c>
      <c r="Q12" s="5">
        <v>0.47895151395150581</v>
      </c>
      <c r="R12" s="5">
        <v>2.4968634724343998E-2</v>
      </c>
      <c r="S12" s="6">
        <v>0</v>
      </c>
      <c r="T12" s="6">
        <v>1</v>
      </c>
      <c r="U12" s="6">
        <v>423</v>
      </c>
      <c r="V12" s="5">
        <v>0.28021491889020028</v>
      </c>
      <c r="W12" s="5">
        <v>1.7918485038904131E-2</v>
      </c>
      <c r="X12" s="6">
        <v>0</v>
      </c>
      <c r="Y12" s="6">
        <v>1</v>
      </c>
      <c r="Z12" s="6">
        <v>1145</v>
      </c>
      <c r="AA12" s="5">
        <v>0.51062844160648291</v>
      </c>
      <c r="AB12" s="5">
        <v>1.3042605538590898E-2</v>
      </c>
      <c r="AC12" s="6">
        <v>0</v>
      </c>
      <c r="AD12" s="6">
        <v>1</v>
      </c>
      <c r="AE12" s="6">
        <v>2899</v>
      </c>
    </row>
    <row r="13" spans="1:32" x14ac:dyDescent="0.45">
      <c r="A13" s="4" t="s">
        <v>13</v>
      </c>
      <c r="B13" s="5">
        <v>0.72176921433327834</v>
      </c>
      <c r="C13" s="5">
        <v>2.9028968782716991E-2</v>
      </c>
      <c r="D13" s="6">
        <v>0</v>
      </c>
      <c r="E13" s="6">
        <v>1</v>
      </c>
      <c r="F13" s="6">
        <v>382</v>
      </c>
      <c r="G13" s="5">
        <v>0.84255208864764064</v>
      </c>
      <c r="H13" s="5">
        <v>1.7138525746655912E-2</v>
      </c>
      <c r="I13" s="6">
        <v>0</v>
      </c>
      <c r="J13" s="6">
        <v>1</v>
      </c>
      <c r="K13" s="6">
        <v>475</v>
      </c>
      <c r="L13" s="5">
        <v>0.59247247024008354</v>
      </c>
      <c r="M13" s="5">
        <v>2.3348494529892176E-2</v>
      </c>
      <c r="N13" s="6">
        <v>0</v>
      </c>
      <c r="O13" s="6">
        <v>1</v>
      </c>
      <c r="P13" s="6">
        <v>474</v>
      </c>
      <c r="Q13" s="5">
        <v>0.59230493585026966</v>
      </c>
      <c r="R13" s="5">
        <v>2.447481198118856E-2</v>
      </c>
      <c r="S13" s="6">
        <v>0</v>
      </c>
      <c r="T13" s="6">
        <v>1</v>
      </c>
      <c r="U13" s="6">
        <v>423</v>
      </c>
      <c r="V13" s="5">
        <v>0.41221383349800705</v>
      </c>
      <c r="W13" s="5">
        <v>1.990555252456656E-2</v>
      </c>
      <c r="X13" s="6">
        <v>0</v>
      </c>
      <c r="Y13" s="6">
        <v>1</v>
      </c>
      <c r="Z13" s="6">
        <v>1145</v>
      </c>
      <c r="AA13" s="5">
        <v>0.66139708495867311</v>
      </c>
      <c r="AB13" s="5">
        <v>1.2421253844692854E-2</v>
      </c>
      <c r="AC13" s="6">
        <v>0</v>
      </c>
      <c r="AD13" s="6">
        <v>1</v>
      </c>
      <c r="AE13" s="6">
        <v>2899</v>
      </c>
      <c r="AF13">
        <f>(AA15/AA14)-AA13</f>
        <v>0.14558504394806937</v>
      </c>
    </row>
    <row r="14" spans="1:32" ht="39.4" x14ac:dyDescent="0.45">
      <c r="A14" s="4" t="s">
        <v>20</v>
      </c>
      <c r="B14" s="5">
        <v>0.49338798814146861</v>
      </c>
      <c r="C14" s="5">
        <v>2.8707903736097995E-2</v>
      </c>
      <c r="D14" s="6">
        <v>0</v>
      </c>
      <c r="E14" s="6">
        <v>1</v>
      </c>
      <c r="F14" s="6">
        <v>382</v>
      </c>
      <c r="G14" s="5">
        <v>0.69081776050351118</v>
      </c>
      <c r="H14" s="5">
        <v>2.1925596244174266E-2</v>
      </c>
      <c r="I14" s="6">
        <v>0</v>
      </c>
      <c r="J14" s="6">
        <v>1</v>
      </c>
      <c r="K14" s="6">
        <v>475</v>
      </c>
      <c r="L14" s="5">
        <v>0.46365152535875825</v>
      </c>
      <c r="M14" s="5">
        <v>2.3696802294859671E-2</v>
      </c>
      <c r="N14" s="6">
        <v>0</v>
      </c>
      <c r="O14" s="6">
        <v>1</v>
      </c>
      <c r="P14" s="6">
        <v>474</v>
      </c>
      <c r="Q14" s="5">
        <v>0.58710843859266493</v>
      </c>
      <c r="R14" s="5">
        <v>2.4491537195724417E-2</v>
      </c>
      <c r="S14" s="6">
        <v>0</v>
      </c>
      <c r="T14" s="6">
        <v>1</v>
      </c>
      <c r="U14" s="6">
        <v>423</v>
      </c>
      <c r="V14" s="5">
        <v>0.25029012683588503</v>
      </c>
      <c r="W14" s="5">
        <v>1.6687579347897857E-2</v>
      </c>
      <c r="X14" s="6">
        <v>0</v>
      </c>
      <c r="Y14" s="6">
        <v>1</v>
      </c>
      <c r="Z14" s="6">
        <v>1145</v>
      </c>
      <c r="AA14" s="5">
        <v>0.54560453381291008</v>
      </c>
      <c r="AB14" s="5">
        <v>1.2992144899166979E-2</v>
      </c>
      <c r="AC14" s="6">
        <v>0</v>
      </c>
      <c r="AD14" s="6">
        <v>1</v>
      </c>
      <c r="AE14" s="6">
        <v>2899</v>
      </c>
      <c r="AF14">
        <f>(AA15/AA13)-AA14</f>
        <v>0.1200970821308982</v>
      </c>
    </row>
    <row r="15" spans="1:32" x14ac:dyDescent="0.45">
      <c r="A15" s="4" t="s">
        <v>21</v>
      </c>
      <c r="B15" s="5">
        <v>0.45784718967223692</v>
      </c>
      <c r="C15" s="5">
        <v>2.8345607930393077E-2</v>
      </c>
      <c r="D15" s="6">
        <v>0</v>
      </c>
      <c r="E15" s="6">
        <v>1</v>
      </c>
      <c r="F15" s="6">
        <v>382</v>
      </c>
      <c r="G15" s="5">
        <v>0.65893406458082637</v>
      </c>
      <c r="H15" s="5">
        <v>2.250623391561498E-2</v>
      </c>
      <c r="I15" s="6">
        <v>0</v>
      </c>
      <c r="J15" s="6">
        <v>1</v>
      </c>
      <c r="K15" s="6">
        <v>475</v>
      </c>
      <c r="L15" s="5">
        <v>0.33061995606893757</v>
      </c>
      <c r="M15" s="5">
        <v>2.2373347522989678E-2</v>
      </c>
      <c r="N15" s="6">
        <v>0</v>
      </c>
      <c r="O15" s="6">
        <v>1</v>
      </c>
      <c r="P15" s="6">
        <v>474</v>
      </c>
      <c r="Q15" s="5">
        <v>0.41741684018366199</v>
      </c>
      <c r="R15" s="5">
        <v>2.4725691411619753E-2</v>
      </c>
      <c r="S15" s="6">
        <v>0</v>
      </c>
      <c r="T15" s="6">
        <v>1</v>
      </c>
      <c r="U15" s="6">
        <v>423</v>
      </c>
      <c r="V15" s="5">
        <v>0.17860742216500591</v>
      </c>
      <c r="W15" s="5">
        <v>1.5209239616962144E-2</v>
      </c>
      <c r="X15" s="6">
        <v>0</v>
      </c>
      <c r="Y15" s="6">
        <v>1</v>
      </c>
      <c r="Z15" s="6">
        <v>1145</v>
      </c>
      <c r="AA15" s="5">
        <v>0.44029310823751294</v>
      </c>
      <c r="AB15" s="5">
        <v>1.2908261479193543E-2</v>
      </c>
      <c r="AC15" s="6">
        <v>0</v>
      </c>
      <c r="AD15" s="6">
        <v>1</v>
      </c>
      <c r="AE15" s="6">
        <v>2899</v>
      </c>
    </row>
    <row r="16" spans="1:32" x14ac:dyDescent="0.45">
      <c r="A16" s="4" t="s">
        <v>13</v>
      </c>
      <c r="B16" s="5">
        <v>0.72176921433327834</v>
      </c>
      <c r="C16" s="5">
        <v>2.9028968782716991E-2</v>
      </c>
      <c r="D16" s="6">
        <v>0</v>
      </c>
      <c r="E16" s="6">
        <v>1</v>
      </c>
      <c r="F16" s="6">
        <v>382</v>
      </c>
      <c r="G16" s="5">
        <v>0.84255208864764064</v>
      </c>
      <c r="H16" s="5">
        <v>1.7138525746655912E-2</v>
      </c>
      <c r="I16" s="6">
        <v>0</v>
      </c>
      <c r="J16" s="6">
        <v>1</v>
      </c>
      <c r="K16" s="6">
        <v>475</v>
      </c>
      <c r="L16" s="5">
        <v>0.59247247024008354</v>
      </c>
      <c r="M16" s="5">
        <v>2.3348494529892176E-2</v>
      </c>
      <c r="N16" s="6">
        <v>0</v>
      </c>
      <c r="O16" s="6">
        <v>1</v>
      </c>
      <c r="P16" s="6">
        <v>474</v>
      </c>
      <c r="Q16" s="5">
        <v>0.59230493585026966</v>
      </c>
      <c r="R16" s="5">
        <v>2.447481198118856E-2</v>
      </c>
      <c r="S16" s="6">
        <v>0</v>
      </c>
      <c r="T16" s="6">
        <v>1</v>
      </c>
      <c r="U16" s="6">
        <v>423</v>
      </c>
      <c r="V16" s="5">
        <v>0.41221383349800705</v>
      </c>
      <c r="W16" s="5">
        <v>1.990555252456656E-2</v>
      </c>
      <c r="X16" s="6">
        <v>0</v>
      </c>
      <c r="Y16" s="6">
        <v>1</v>
      </c>
      <c r="Z16" s="6">
        <v>1145</v>
      </c>
      <c r="AA16" s="5">
        <v>0.66139708495867311</v>
      </c>
      <c r="AB16" s="5">
        <v>1.2421253844692854E-2</v>
      </c>
      <c r="AC16" s="6">
        <v>0</v>
      </c>
      <c r="AD16" s="6">
        <v>1</v>
      </c>
      <c r="AE16" s="6">
        <v>2899</v>
      </c>
      <c r="AF16">
        <f>(AA18/AA17)-AA16</f>
        <v>8.1032185936623757E-2</v>
      </c>
    </row>
    <row r="17" spans="1:32" ht="26.25" x14ac:dyDescent="0.45">
      <c r="A17" s="4" t="s">
        <v>22</v>
      </c>
      <c r="B17" s="5">
        <v>0.43781029932519605</v>
      </c>
      <c r="C17" s="5">
        <v>2.8093230494023593E-2</v>
      </c>
      <c r="D17" s="6">
        <v>0</v>
      </c>
      <c r="E17" s="6">
        <v>1</v>
      </c>
      <c r="F17" s="6">
        <v>382</v>
      </c>
      <c r="G17" s="5">
        <v>0.55219468727267385</v>
      </c>
      <c r="H17" s="5">
        <v>2.3637016925189443E-2</v>
      </c>
      <c r="I17" s="6">
        <v>0</v>
      </c>
      <c r="J17" s="6">
        <v>1</v>
      </c>
      <c r="K17" s="6">
        <v>475</v>
      </c>
      <c r="L17" s="5">
        <v>0.49668116027963227</v>
      </c>
      <c r="M17" s="5">
        <v>2.3742455291589224E-2</v>
      </c>
      <c r="N17" s="6">
        <v>0</v>
      </c>
      <c r="O17" s="6">
        <v>1</v>
      </c>
      <c r="P17" s="6">
        <v>474</v>
      </c>
      <c r="Q17" s="5">
        <v>0.81611123613737024</v>
      </c>
      <c r="R17" s="5">
        <v>1.9017745333524308E-2</v>
      </c>
      <c r="S17" s="6">
        <v>0</v>
      </c>
      <c r="T17" s="6">
        <v>1</v>
      </c>
      <c r="U17" s="6">
        <v>423</v>
      </c>
      <c r="V17" s="5">
        <v>0.5075346037063696</v>
      </c>
      <c r="W17" s="5">
        <v>2.0723299778355728E-2</v>
      </c>
      <c r="X17" s="6">
        <v>0</v>
      </c>
      <c r="Y17" s="6">
        <v>1</v>
      </c>
      <c r="Z17" s="6">
        <v>1145</v>
      </c>
      <c r="AA17" s="5">
        <v>0.57753648852202433</v>
      </c>
      <c r="AB17" s="5">
        <v>1.2930285821107954E-2</v>
      </c>
      <c r="AC17" s="6">
        <v>0</v>
      </c>
      <c r="AD17" s="6">
        <v>1</v>
      </c>
      <c r="AE17" s="6">
        <v>2899</v>
      </c>
      <c r="AF17">
        <f>(AA18/AA16)-AA17</f>
        <v>7.0757862693068274E-2</v>
      </c>
    </row>
    <row r="18" spans="1:32" x14ac:dyDescent="0.45">
      <c r="A18" s="4" t="s">
        <v>23</v>
      </c>
      <c r="B18" s="5">
        <v>0.37879742776094616</v>
      </c>
      <c r="C18" s="5">
        <v>2.7088481565327213E-2</v>
      </c>
      <c r="D18" s="6">
        <v>0</v>
      </c>
      <c r="E18" s="6">
        <v>1</v>
      </c>
      <c r="F18" s="6">
        <v>382</v>
      </c>
      <c r="G18" s="5">
        <v>0.52042389596871064</v>
      </c>
      <c r="H18" s="5">
        <v>2.3747578889374343E-2</v>
      </c>
      <c r="I18" s="6">
        <v>0</v>
      </c>
      <c r="J18" s="6">
        <v>1</v>
      </c>
      <c r="K18" s="6">
        <v>475</v>
      </c>
      <c r="L18" s="5">
        <v>0.32514722246834488</v>
      </c>
      <c r="M18" s="5">
        <v>2.2304245876706281E-2</v>
      </c>
      <c r="N18" s="6">
        <v>0</v>
      </c>
      <c r="O18" s="6">
        <v>1</v>
      </c>
      <c r="P18" s="6">
        <v>474</v>
      </c>
      <c r="Q18" s="5">
        <v>0.53908158716809174</v>
      </c>
      <c r="R18" s="5">
        <v>2.4860583126853953E-2</v>
      </c>
      <c r="S18" s="6">
        <v>0</v>
      </c>
      <c r="T18" s="6">
        <v>1</v>
      </c>
      <c r="U18" s="6">
        <v>423</v>
      </c>
      <c r="V18" s="5">
        <v>0.36110437694978503</v>
      </c>
      <c r="W18" s="5">
        <v>1.9164578120125206E-2</v>
      </c>
      <c r="X18" s="6">
        <v>0</v>
      </c>
      <c r="Y18" s="6">
        <v>1</v>
      </c>
      <c r="Z18" s="6">
        <v>1145</v>
      </c>
      <c r="AA18" s="5">
        <v>0.42877999408883649</v>
      </c>
      <c r="AB18" s="5">
        <v>1.2841964780192519E-2</v>
      </c>
      <c r="AC18" s="6">
        <v>0</v>
      </c>
      <c r="AD18" s="6">
        <v>1</v>
      </c>
      <c r="AE18" s="6">
        <v>2899</v>
      </c>
    </row>
    <row r="19" spans="1:32" x14ac:dyDescent="0.45">
      <c r="A19" s="4" t="s">
        <v>13</v>
      </c>
      <c r="B19" s="5">
        <v>0.72176921433327834</v>
      </c>
      <c r="C19" s="5">
        <v>2.9028968782716991E-2</v>
      </c>
      <c r="D19" s="6">
        <v>0</v>
      </c>
      <c r="E19" s="6">
        <v>1</v>
      </c>
      <c r="F19" s="6">
        <v>382</v>
      </c>
      <c r="G19" s="5">
        <v>0.84255208864764064</v>
      </c>
      <c r="H19" s="5">
        <v>1.7138525746655912E-2</v>
      </c>
      <c r="I19" s="6">
        <v>0</v>
      </c>
      <c r="J19" s="6">
        <v>1</v>
      </c>
      <c r="K19" s="6">
        <v>475</v>
      </c>
      <c r="L19" s="5">
        <v>0.59247247024008354</v>
      </c>
      <c r="M19" s="5">
        <v>2.3348494529892176E-2</v>
      </c>
      <c r="N19" s="6">
        <v>0</v>
      </c>
      <c r="O19" s="6">
        <v>1</v>
      </c>
      <c r="P19" s="6">
        <v>474</v>
      </c>
      <c r="Q19" s="5">
        <v>0.59230493585026966</v>
      </c>
      <c r="R19" s="5">
        <v>2.447481198118856E-2</v>
      </c>
      <c r="S19" s="6">
        <v>0</v>
      </c>
      <c r="T19" s="6">
        <v>1</v>
      </c>
      <c r="U19" s="6">
        <v>423</v>
      </c>
      <c r="V19" s="5">
        <v>0.41221383349800705</v>
      </c>
      <c r="W19" s="5">
        <v>1.990555252456656E-2</v>
      </c>
      <c r="X19" s="6">
        <v>0</v>
      </c>
      <c r="Y19" s="6">
        <v>1</v>
      </c>
      <c r="Z19" s="6">
        <v>1145</v>
      </c>
      <c r="AA19" s="5">
        <v>0.66139708495867311</v>
      </c>
      <c r="AB19" s="5">
        <v>1.2421253844692854E-2</v>
      </c>
      <c r="AC19" s="6">
        <v>0</v>
      </c>
      <c r="AD19" s="6">
        <v>1</v>
      </c>
      <c r="AE19" s="6">
        <v>2899</v>
      </c>
      <c r="AF19">
        <f>(AA21/AA20)-AA19</f>
        <v>6.1850285449628895E-2</v>
      </c>
    </row>
    <row r="20" spans="1:32" ht="26.25" x14ac:dyDescent="0.45">
      <c r="A20" s="4" t="s">
        <v>24</v>
      </c>
      <c r="B20" s="5">
        <v>0.31036797432157132</v>
      </c>
      <c r="C20" s="5">
        <v>2.5728317926234395E-2</v>
      </c>
      <c r="D20" s="6">
        <v>0</v>
      </c>
      <c r="E20" s="6">
        <v>1</v>
      </c>
      <c r="F20" s="6">
        <v>382</v>
      </c>
      <c r="G20" s="5">
        <v>0.35788515033258406</v>
      </c>
      <c r="H20" s="5">
        <v>2.2745953295009329E-2</v>
      </c>
      <c r="I20" s="6">
        <v>0</v>
      </c>
      <c r="J20" s="6">
        <v>1</v>
      </c>
      <c r="K20" s="6">
        <v>475</v>
      </c>
      <c r="L20" s="5">
        <v>0.34114411132876798</v>
      </c>
      <c r="M20" s="5">
        <v>2.2373839656142282E-2</v>
      </c>
      <c r="N20" s="6">
        <v>0</v>
      </c>
      <c r="O20" s="6">
        <v>1</v>
      </c>
      <c r="P20" s="6">
        <v>474</v>
      </c>
      <c r="Q20" s="5">
        <v>0.74339061825172903</v>
      </c>
      <c r="R20" s="5">
        <v>2.1616709115009351E-2</v>
      </c>
      <c r="S20" s="6">
        <v>0</v>
      </c>
      <c r="T20" s="6">
        <v>1</v>
      </c>
      <c r="U20" s="6">
        <v>423</v>
      </c>
      <c r="V20" s="5">
        <v>0.44820179046503339</v>
      </c>
      <c r="W20" s="5">
        <v>2.0196250233777673E-2</v>
      </c>
      <c r="X20" s="6">
        <v>0</v>
      </c>
      <c r="Y20" s="6">
        <v>1</v>
      </c>
      <c r="Z20" s="6">
        <v>1145</v>
      </c>
      <c r="AA20" s="5">
        <v>0.43492332944629264</v>
      </c>
      <c r="AB20" s="5">
        <v>1.2839399235713171E-2</v>
      </c>
      <c r="AC20" s="6">
        <v>0</v>
      </c>
      <c r="AD20" s="6">
        <v>1</v>
      </c>
      <c r="AE20" s="6">
        <v>2899</v>
      </c>
      <c r="AF20">
        <f>(AA21/AA19)-AA20</f>
        <v>4.0671682241594675E-2</v>
      </c>
    </row>
    <row r="21" spans="1:32" x14ac:dyDescent="0.45">
      <c r="A21" s="4" t="s">
        <v>25</v>
      </c>
      <c r="B21" s="5">
        <v>0.2711667642711868</v>
      </c>
      <c r="C21" s="5">
        <v>2.4537325270204559E-2</v>
      </c>
      <c r="D21" s="6">
        <v>0</v>
      </c>
      <c r="E21" s="6">
        <v>1</v>
      </c>
      <c r="F21" s="6">
        <v>382</v>
      </c>
      <c r="G21" s="5">
        <v>0.34658472571998178</v>
      </c>
      <c r="H21" s="5">
        <v>2.257565949621371E-2</v>
      </c>
      <c r="I21" s="6">
        <v>0</v>
      </c>
      <c r="J21" s="6">
        <v>1</v>
      </c>
      <c r="K21" s="6">
        <v>475</v>
      </c>
      <c r="L21" s="5">
        <v>0.19955076865899243</v>
      </c>
      <c r="M21" s="5">
        <v>1.8793382650781839E-2</v>
      </c>
      <c r="N21" s="6">
        <v>0</v>
      </c>
      <c r="O21" s="6">
        <v>1</v>
      </c>
      <c r="P21" s="6">
        <v>474</v>
      </c>
      <c r="Q21" s="5">
        <v>0.50538064672526561</v>
      </c>
      <c r="R21" s="5">
        <v>2.4960147456269413E-2</v>
      </c>
      <c r="S21" s="6">
        <v>0</v>
      </c>
      <c r="T21" s="6">
        <v>1</v>
      </c>
      <c r="U21" s="6">
        <v>423</v>
      </c>
      <c r="V21" s="5">
        <v>0.32272326205817325</v>
      </c>
      <c r="W21" s="5">
        <v>1.8533319906780095E-2</v>
      </c>
      <c r="X21" s="6">
        <v>0</v>
      </c>
      <c r="Y21" s="6">
        <v>1</v>
      </c>
      <c r="Z21" s="6">
        <v>1145</v>
      </c>
      <c r="AA21" s="5">
        <v>0.31455715435125475</v>
      </c>
      <c r="AB21" s="5">
        <v>1.1811290451761783E-2</v>
      </c>
      <c r="AC21" s="6">
        <v>0</v>
      </c>
      <c r="AD21" s="6">
        <v>1</v>
      </c>
      <c r="AE21" s="6">
        <v>2899</v>
      </c>
    </row>
    <row r="22" spans="1:32" x14ac:dyDescent="0.45">
      <c r="A22" s="4" t="s">
        <v>13</v>
      </c>
      <c r="B22" s="5">
        <v>0.72176921433327834</v>
      </c>
      <c r="C22" s="5">
        <v>2.9028968782716991E-2</v>
      </c>
      <c r="D22" s="6">
        <v>0</v>
      </c>
      <c r="E22" s="6">
        <v>1</v>
      </c>
      <c r="F22" s="6">
        <v>382</v>
      </c>
      <c r="G22" s="5">
        <v>0.84255208864764064</v>
      </c>
      <c r="H22" s="5">
        <v>1.7138525746655912E-2</v>
      </c>
      <c r="I22" s="6">
        <v>0</v>
      </c>
      <c r="J22" s="6">
        <v>1</v>
      </c>
      <c r="K22" s="6">
        <v>475</v>
      </c>
      <c r="L22" s="5">
        <v>0.59247247024008354</v>
      </c>
      <c r="M22" s="5">
        <v>2.3348494529892176E-2</v>
      </c>
      <c r="N22" s="6">
        <v>0</v>
      </c>
      <c r="O22" s="6">
        <v>1</v>
      </c>
      <c r="P22" s="6">
        <v>474</v>
      </c>
      <c r="Q22" s="5">
        <v>0.59230493585026966</v>
      </c>
      <c r="R22" s="5">
        <v>2.447481198118856E-2</v>
      </c>
      <c r="S22" s="6">
        <v>0</v>
      </c>
      <c r="T22" s="6">
        <v>1</v>
      </c>
      <c r="U22" s="6">
        <v>423</v>
      </c>
      <c r="V22" s="5">
        <v>0.41221383349800705</v>
      </c>
      <c r="W22" s="5">
        <v>1.990555252456656E-2</v>
      </c>
      <c r="X22" s="6">
        <v>0</v>
      </c>
      <c r="Y22" s="6">
        <v>1</v>
      </c>
      <c r="Z22" s="6">
        <v>1145</v>
      </c>
      <c r="AA22" s="5">
        <v>0.66139708495867311</v>
      </c>
      <c r="AB22" s="5">
        <v>1.2421253844692854E-2</v>
      </c>
      <c r="AC22" s="6">
        <v>0</v>
      </c>
      <c r="AD22" s="6">
        <v>1</v>
      </c>
      <c r="AE22" s="6">
        <v>2899</v>
      </c>
      <c r="AF22">
        <f>(AA24/AA23)-AA22</f>
        <v>0.14971865725163325</v>
      </c>
    </row>
    <row r="23" spans="1:32" x14ac:dyDescent="0.45">
      <c r="A23" s="4" t="s">
        <v>26</v>
      </c>
      <c r="B23" s="5">
        <v>4.1884796563283817E-2</v>
      </c>
      <c r="C23" s="5">
        <v>1.0380573988597106E-2</v>
      </c>
      <c r="D23" s="6">
        <v>0</v>
      </c>
      <c r="E23" s="6">
        <v>1</v>
      </c>
      <c r="F23" s="6">
        <v>382</v>
      </c>
      <c r="G23" s="5">
        <v>0.13753902744546623</v>
      </c>
      <c r="H23" s="5">
        <v>1.640272398244708E-2</v>
      </c>
      <c r="I23" s="6">
        <v>0</v>
      </c>
      <c r="J23" s="6">
        <v>1</v>
      </c>
      <c r="K23" s="6">
        <v>475</v>
      </c>
      <c r="L23" s="5">
        <v>0.10931219334347021</v>
      </c>
      <c r="M23" s="5">
        <v>1.5011658014023562E-2</v>
      </c>
      <c r="N23" s="6">
        <v>0</v>
      </c>
      <c r="O23" s="6">
        <v>1</v>
      </c>
      <c r="P23" s="6">
        <v>474</v>
      </c>
      <c r="Q23" s="5">
        <v>0.21697284641081702</v>
      </c>
      <c r="R23" s="5">
        <v>2.0889826904432647E-2</v>
      </c>
      <c r="S23" s="6">
        <v>0</v>
      </c>
      <c r="T23" s="6">
        <v>1</v>
      </c>
      <c r="U23" s="6">
        <v>423</v>
      </c>
      <c r="V23" s="5">
        <v>6.6281456209125428E-2</v>
      </c>
      <c r="W23" s="5">
        <v>9.5772379732993566E-3</v>
      </c>
      <c r="X23" s="6">
        <v>0</v>
      </c>
      <c r="Y23" s="6">
        <v>1</v>
      </c>
      <c r="Z23" s="6">
        <v>1145</v>
      </c>
      <c r="AA23" s="5">
        <v>0.13431582341296991</v>
      </c>
      <c r="AB23" s="5">
        <v>8.9532354906008849E-3</v>
      </c>
      <c r="AC23" s="6">
        <v>0</v>
      </c>
      <c r="AD23" s="6">
        <v>1</v>
      </c>
      <c r="AE23" s="6">
        <v>2899</v>
      </c>
      <c r="AF23">
        <f>(AA24/AA22)-AA23</f>
        <v>3.0404707227117383E-2</v>
      </c>
    </row>
    <row r="24" spans="1:32" x14ac:dyDescent="0.45">
      <c r="A24" s="4" t="s">
        <v>27</v>
      </c>
      <c r="B24" s="5">
        <v>3.9224842937506055E-2</v>
      </c>
      <c r="C24" s="5">
        <v>1.0054699358054378E-2</v>
      </c>
      <c r="D24" s="6">
        <v>0</v>
      </c>
      <c r="E24" s="6">
        <v>1</v>
      </c>
      <c r="F24" s="6">
        <v>382</v>
      </c>
      <c r="G24" s="5">
        <v>0.1305478791233291</v>
      </c>
      <c r="H24" s="5">
        <v>1.6034046418147097E-2</v>
      </c>
      <c r="I24" s="6">
        <v>0</v>
      </c>
      <c r="J24" s="6">
        <v>1</v>
      </c>
      <c r="K24" s="6">
        <v>475</v>
      </c>
      <c r="L24" s="5">
        <v>8.2219097108676129E-2</v>
      </c>
      <c r="M24" s="5">
        <v>1.3216232913142461E-2</v>
      </c>
      <c r="N24" s="6">
        <v>0</v>
      </c>
      <c r="O24" s="6">
        <v>1</v>
      </c>
      <c r="P24" s="6">
        <v>474</v>
      </c>
      <c r="Q24" s="5">
        <v>0.16323907061323148</v>
      </c>
      <c r="R24" s="5">
        <v>1.885557853071031E-2</v>
      </c>
      <c r="S24" s="6">
        <v>0</v>
      </c>
      <c r="T24" s="6">
        <v>1</v>
      </c>
      <c r="U24" s="6">
        <v>423</v>
      </c>
      <c r="V24" s="5">
        <v>5.3895506055595788E-2</v>
      </c>
      <c r="W24" s="5">
        <v>8.8390751649518682E-3</v>
      </c>
      <c r="X24" s="6">
        <v>0</v>
      </c>
      <c r="Y24" s="6">
        <v>1</v>
      </c>
      <c r="Z24" s="6">
        <v>1145</v>
      </c>
      <c r="AA24" s="5">
        <v>0.10894567879819954</v>
      </c>
      <c r="AB24" s="5">
        <v>8.1454285304167606E-3</v>
      </c>
      <c r="AC24" s="6">
        <v>0</v>
      </c>
      <c r="AD24" s="6">
        <v>1</v>
      </c>
      <c r="AE24" s="6">
        <v>2899</v>
      </c>
    </row>
    <row r="25" spans="1:32" x14ac:dyDescent="0.45">
      <c r="A25" s="4" t="s">
        <v>13</v>
      </c>
      <c r="B25" s="5">
        <v>0.72176921433327834</v>
      </c>
      <c r="C25" s="5">
        <v>2.9028968782716991E-2</v>
      </c>
      <c r="D25" s="6">
        <v>0</v>
      </c>
      <c r="E25" s="6">
        <v>1</v>
      </c>
      <c r="F25" s="6">
        <v>382</v>
      </c>
      <c r="G25" s="5">
        <v>0.84255208864764064</v>
      </c>
      <c r="H25" s="5">
        <v>1.7138525746655912E-2</v>
      </c>
      <c r="I25" s="6">
        <v>0</v>
      </c>
      <c r="J25" s="6">
        <v>1</v>
      </c>
      <c r="K25" s="6">
        <v>475</v>
      </c>
      <c r="L25" s="5">
        <v>0.59247247024008354</v>
      </c>
      <c r="M25" s="5">
        <v>2.3348494529892176E-2</v>
      </c>
      <c r="N25" s="6">
        <v>0</v>
      </c>
      <c r="O25" s="6">
        <v>1</v>
      </c>
      <c r="P25" s="6">
        <v>474</v>
      </c>
      <c r="Q25" s="5">
        <v>0.59230493585026966</v>
      </c>
      <c r="R25" s="5">
        <v>2.447481198118856E-2</v>
      </c>
      <c r="S25" s="6">
        <v>0</v>
      </c>
      <c r="T25" s="6">
        <v>1</v>
      </c>
      <c r="U25" s="6">
        <v>423</v>
      </c>
      <c r="V25" s="5">
        <v>0.41221383349800705</v>
      </c>
      <c r="W25" s="5">
        <v>1.990555252456656E-2</v>
      </c>
      <c r="X25" s="6">
        <v>0</v>
      </c>
      <c r="Y25" s="6">
        <v>1</v>
      </c>
      <c r="Z25" s="6">
        <v>1145</v>
      </c>
      <c r="AA25" s="5">
        <v>0.66139708495867311</v>
      </c>
      <c r="AB25" s="5">
        <v>1.2421253844692854E-2</v>
      </c>
      <c r="AC25" s="6">
        <v>0</v>
      </c>
      <c r="AD25" s="6">
        <v>1</v>
      </c>
      <c r="AE25" s="6">
        <v>2899</v>
      </c>
      <c r="AF25">
        <f>(AA27/AA26)-AA25</f>
        <v>-3.5711034801215069E-2</v>
      </c>
    </row>
    <row r="26" spans="1:32" x14ac:dyDescent="0.45">
      <c r="A26" s="4" t="s">
        <v>28</v>
      </c>
      <c r="B26" s="5">
        <v>1.7264055720039462E-2</v>
      </c>
      <c r="C26" s="5">
        <v>6.1707563542775538E-3</v>
      </c>
      <c r="D26" s="6">
        <v>0</v>
      </c>
      <c r="E26" s="6">
        <v>1</v>
      </c>
      <c r="F26" s="6">
        <v>382</v>
      </c>
      <c r="G26" s="5">
        <v>5.7730871783224384E-2</v>
      </c>
      <c r="H26" s="5">
        <v>1.1040934541099294E-2</v>
      </c>
      <c r="I26" s="6">
        <v>0</v>
      </c>
      <c r="J26" s="6">
        <v>1</v>
      </c>
      <c r="K26" s="6">
        <v>475</v>
      </c>
      <c r="L26" s="5">
        <v>0.15665379400173685</v>
      </c>
      <c r="M26" s="5">
        <v>1.7003833752222544E-2</v>
      </c>
      <c r="N26" s="6">
        <v>0</v>
      </c>
      <c r="O26" s="6">
        <v>1</v>
      </c>
      <c r="P26" s="6">
        <v>474</v>
      </c>
      <c r="Q26" s="5">
        <v>0.34721164151992517</v>
      </c>
      <c r="R26" s="5">
        <v>2.3722190078450694E-2</v>
      </c>
      <c r="S26" s="6">
        <v>0</v>
      </c>
      <c r="T26" s="6">
        <v>1</v>
      </c>
      <c r="U26" s="6">
        <v>423</v>
      </c>
      <c r="V26" s="5">
        <v>0.23125284705228391</v>
      </c>
      <c r="W26" s="5">
        <v>1.6225761418869618E-2</v>
      </c>
      <c r="X26" s="6">
        <v>0</v>
      </c>
      <c r="Y26" s="6">
        <v>1</v>
      </c>
      <c r="Z26" s="6">
        <v>1145</v>
      </c>
      <c r="AA26" s="5">
        <v>0.16514633074166635</v>
      </c>
      <c r="AB26" s="5">
        <v>9.5448257822117692E-3</v>
      </c>
      <c r="AC26" s="6">
        <v>0</v>
      </c>
      <c r="AD26" s="6">
        <v>1</v>
      </c>
      <c r="AE26" s="6">
        <v>2899</v>
      </c>
      <c r="AF26">
        <f>(AA27/AA25)-AA26</f>
        <v>-8.9168012658796814E-3</v>
      </c>
    </row>
    <row r="27" spans="1:32" x14ac:dyDescent="0.45">
      <c r="A27" s="4" t="s">
        <v>29</v>
      </c>
      <c r="B27" s="5">
        <v>1.7264055720039462E-2</v>
      </c>
      <c r="C27" s="5">
        <v>6.1707563542775538E-3</v>
      </c>
      <c r="D27" s="6">
        <v>0</v>
      </c>
      <c r="E27" s="6">
        <v>1</v>
      </c>
      <c r="F27" s="6">
        <v>382</v>
      </c>
      <c r="G27" s="5">
        <v>5.0998752592355555E-2</v>
      </c>
      <c r="H27" s="5">
        <v>1.0409680086069137E-2</v>
      </c>
      <c r="I27" s="6">
        <v>0</v>
      </c>
      <c r="J27" s="6">
        <v>1</v>
      </c>
      <c r="K27" s="6">
        <v>475</v>
      </c>
      <c r="L27" s="5">
        <v>7.1844328154223591E-2</v>
      </c>
      <c r="M27" s="5">
        <v>1.2108133608875124E-2</v>
      </c>
      <c r="N27" s="6">
        <v>0</v>
      </c>
      <c r="O27" s="6">
        <v>1</v>
      </c>
      <c r="P27" s="6">
        <v>474</v>
      </c>
      <c r="Q27" s="5">
        <v>0.24092653171136266</v>
      </c>
      <c r="R27" s="5">
        <v>2.1321590061773772E-2</v>
      </c>
      <c r="S27" s="6">
        <v>0</v>
      </c>
      <c r="T27" s="6">
        <v>1</v>
      </c>
      <c r="U27" s="6">
        <v>423</v>
      </c>
      <c r="V27" s="5">
        <v>0.1795633753211395</v>
      </c>
      <c r="W27" s="5">
        <v>1.4971911318391883E-2</v>
      </c>
      <c r="X27" s="6">
        <v>0</v>
      </c>
      <c r="Y27" s="6">
        <v>1</v>
      </c>
      <c r="Z27" s="6">
        <v>1145</v>
      </c>
      <c r="AA27" s="5">
        <v>0.10332975537975041</v>
      </c>
      <c r="AB27" s="5">
        <v>7.6053858221095316E-3</v>
      </c>
      <c r="AC27" s="6">
        <v>0</v>
      </c>
      <c r="AD27" s="6">
        <v>1</v>
      </c>
      <c r="AE27" s="6">
        <v>2899</v>
      </c>
    </row>
    <row r="28" spans="1:32" x14ac:dyDescent="0.45">
      <c r="A28" s="4" t="s">
        <v>13</v>
      </c>
      <c r="B28" s="5">
        <v>0.72176921433327834</v>
      </c>
      <c r="C28" s="5">
        <v>2.9028968782716991E-2</v>
      </c>
      <c r="D28" s="6">
        <v>0</v>
      </c>
      <c r="E28" s="6">
        <v>1</v>
      </c>
      <c r="F28" s="6">
        <v>382</v>
      </c>
      <c r="G28" s="5">
        <v>0.84255208864764064</v>
      </c>
      <c r="H28" s="5">
        <v>1.7138525746655912E-2</v>
      </c>
      <c r="I28" s="6">
        <v>0</v>
      </c>
      <c r="J28" s="6">
        <v>1</v>
      </c>
      <c r="K28" s="6">
        <v>475</v>
      </c>
      <c r="L28" s="5">
        <v>0.59247247024008354</v>
      </c>
      <c r="M28" s="5">
        <v>2.3348494529892176E-2</v>
      </c>
      <c r="N28" s="6">
        <v>0</v>
      </c>
      <c r="O28" s="6">
        <v>1</v>
      </c>
      <c r="P28" s="6">
        <v>474</v>
      </c>
      <c r="Q28" s="5">
        <v>0.59230493585026966</v>
      </c>
      <c r="R28" s="5">
        <v>2.447481198118856E-2</v>
      </c>
      <c r="S28" s="6">
        <v>0</v>
      </c>
      <c r="T28" s="6">
        <v>1</v>
      </c>
      <c r="U28" s="6">
        <v>423</v>
      </c>
      <c r="V28" s="5">
        <v>0.41221383349800705</v>
      </c>
      <c r="W28" s="5">
        <v>1.990555252456656E-2</v>
      </c>
      <c r="X28" s="6">
        <v>0</v>
      </c>
      <c r="Y28" s="6">
        <v>1</v>
      </c>
      <c r="Z28" s="6">
        <v>1145</v>
      </c>
      <c r="AA28" s="16">
        <v>0.66139708495867311</v>
      </c>
      <c r="AB28" s="16">
        <v>1.2421253844692854E-2</v>
      </c>
      <c r="AC28" s="17">
        <v>0</v>
      </c>
      <c r="AD28" s="17">
        <v>1</v>
      </c>
      <c r="AE28" s="17">
        <v>2899</v>
      </c>
      <c r="AF28" s="18">
        <f>(AA30/AA29)-AA28</f>
        <v>0.20902498198401731</v>
      </c>
    </row>
    <row r="29" spans="1:32" x14ac:dyDescent="0.45">
      <c r="A29" s="4" t="s">
        <v>30</v>
      </c>
      <c r="B29" s="5">
        <v>1.1313220175511628E-2</v>
      </c>
      <c r="C29" s="5">
        <v>4.5863484235674698E-3</v>
      </c>
      <c r="D29" s="6">
        <v>0</v>
      </c>
      <c r="E29" s="6">
        <v>1</v>
      </c>
      <c r="F29" s="6">
        <v>382</v>
      </c>
      <c r="G29" s="5">
        <v>2.0486202112384482E-2</v>
      </c>
      <c r="H29" s="5">
        <v>6.8262274481481599E-3</v>
      </c>
      <c r="I29" s="6">
        <v>0</v>
      </c>
      <c r="J29" s="6">
        <v>1</v>
      </c>
      <c r="K29" s="6">
        <v>475</v>
      </c>
      <c r="L29" s="5">
        <v>6.588841932522696E-2</v>
      </c>
      <c r="M29" s="5">
        <v>1.1660063921128712E-2</v>
      </c>
      <c r="N29" s="6">
        <v>0</v>
      </c>
      <c r="O29" s="6">
        <v>1</v>
      </c>
      <c r="P29" s="6">
        <v>474</v>
      </c>
      <c r="Q29" s="5">
        <v>5.0630794411700999E-2</v>
      </c>
      <c r="R29" s="5">
        <v>1.0815749508243298E-2</v>
      </c>
      <c r="S29" s="6">
        <v>0</v>
      </c>
      <c r="T29" s="6">
        <v>1</v>
      </c>
      <c r="U29" s="6">
        <v>423</v>
      </c>
      <c r="V29" s="5">
        <v>1.5718253828212927E-2</v>
      </c>
      <c r="W29" s="5">
        <v>3.6241988561389379E-3</v>
      </c>
      <c r="X29" s="6">
        <v>0</v>
      </c>
      <c r="Y29" s="6">
        <v>1</v>
      </c>
      <c r="Z29" s="6">
        <v>1145</v>
      </c>
      <c r="AA29" s="16">
        <v>4.5027529676807447E-2</v>
      </c>
      <c r="AB29" s="16">
        <v>5.6918609078179345E-3</v>
      </c>
      <c r="AC29" s="17">
        <v>0</v>
      </c>
      <c r="AD29" s="17">
        <v>1</v>
      </c>
      <c r="AE29" s="17">
        <v>2899</v>
      </c>
      <c r="AF29" s="18">
        <f>(AA30/AA28)-AA29</f>
        <v>1.4230299457802381E-2</v>
      </c>
    </row>
    <row r="30" spans="1:32" ht="26.25" x14ac:dyDescent="0.45">
      <c r="A30" s="15" t="s">
        <v>31</v>
      </c>
      <c r="B30" s="5">
        <v>8.0549026906269628E-3</v>
      </c>
      <c r="C30" s="5">
        <v>4.2830999412865629E-3</v>
      </c>
      <c r="D30" s="6">
        <v>0</v>
      </c>
      <c r="E30" s="6">
        <v>1</v>
      </c>
      <c r="F30" s="6">
        <v>382</v>
      </c>
      <c r="G30" s="5">
        <v>1.8087327071958304E-2</v>
      </c>
      <c r="H30" s="5">
        <v>6.4076947397419259E-3</v>
      </c>
      <c r="I30" s="6">
        <v>0</v>
      </c>
      <c r="J30" s="6">
        <v>1</v>
      </c>
      <c r="K30" s="6">
        <v>475</v>
      </c>
      <c r="L30" s="5">
        <v>6.3687612066284358E-2</v>
      </c>
      <c r="M30" s="5">
        <v>1.1476855247746168E-2</v>
      </c>
      <c r="N30" s="6">
        <v>0</v>
      </c>
      <c r="O30" s="6">
        <v>1</v>
      </c>
      <c r="P30" s="6">
        <v>474</v>
      </c>
      <c r="Q30" s="5">
        <v>3.343108263476266E-2</v>
      </c>
      <c r="R30" s="5">
        <v>8.8351309633220871E-3</v>
      </c>
      <c r="S30" s="6">
        <v>0</v>
      </c>
      <c r="T30" s="6">
        <v>1</v>
      </c>
      <c r="U30" s="6">
        <v>423</v>
      </c>
      <c r="V30" s="5">
        <v>6.5628892427994027E-3</v>
      </c>
      <c r="W30" s="5">
        <v>2.2761310262577024E-3</v>
      </c>
      <c r="X30" s="6">
        <v>0</v>
      </c>
      <c r="Y30" s="6">
        <v>1</v>
      </c>
      <c r="Z30" s="6">
        <v>1145</v>
      </c>
      <c r="AA30" s="16">
        <v>3.9192955450610072E-2</v>
      </c>
      <c r="AB30" s="16">
        <v>5.427273127505251E-3</v>
      </c>
      <c r="AC30" s="17">
        <v>0</v>
      </c>
      <c r="AD30" s="17">
        <v>1</v>
      </c>
      <c r="AE30" s="17">
        <v>2899</v>
      </c>
      <c r="AF30" s="18"/>
    </row>
    <row r="31" spans="1:32" x14ac:dyDescent="0.45">
      <c r="A31" s="4" t="s">
        <v>13</v>
      </c>
      <c r="B31" s="5">
        <v>0.72176921433327834</v>
      </c>
      <c r="C31" s="5">
        <v>2.9028968782716991E-2</v>
      </c>
      <c r="D31" s="6">
        <v>0</v>
      </c>
      <c r="E31" s="6">
        <v>1</v>
      </c>
      <c r="F31" s="6">
        <v>382</v>
      </c>
      <c r="G31" s="5">
        <v>0.84255208864764064</v>
      </c>
      <c r="H31" s="5">
        <v>1.7138525746655912E-2</v>
      </c>
      <c r="I31" s="6">
        <v>0</v>
      </c>
      <c r="J31" s="6">
        <v>1</v>
      </c>
      <c r="K31" s="6">
        <v>475</v>
      </c>
      <c r="L31" s="5">
        <v>0.59247247024008354</v>
      </c>
      <c r="M31" s="5">
        <v>2.3348494529892176E-2</v>
      </c>
      <c r="N31" s="6">
        <v>0</v>
      </c>
      <c r="O31" s="6">
        <v>1</v>
      </c>
      <c r="P31" s="6">
        <v>474</v>
      </c>
      <c r="Q31" s="5">
        <v>0.59230493585026966</v>
      </c>
      <c r="R31" s="5">
        <v>2.447481198118856E-2</v>
      </c>
      <c r="S31" s="6">
        <v>0</v>
      </c>
      <c r="T31" s="6">
        <v>1</v>
      </c>
      <c r="U31" s="6">
        <v>423</v>
      </c>
      <c r="V31" s="5">
        <v>0.41221383349800705</v>
      </c>
      <c r="W31" s="5">
        <v>1.990555252456656E-2</v>
      </c>
      <c r="X31" s="6">
        <v>0</v>
      </c>
      <c r="Y31" s="6">
        <v>1</v>
      </c>
      <c r="Z31" s="6">
        <v>1145</v>
      </c>
      <c r="AA31" s="16">
        <v>0.66139708495867311</v>
      </c>
      <c r="AB31" s="16">
        <v>1.2421253844692854E-2</v>
      </c>
      <c r="AC31" s="17">
        <v>0</v>
      </c>
      <c r="AD31" s="17">
        <v>1</v>
      </c>
      <c r="AE31" s="17">
        <v>2899</v>
      </c>
      <c r="AF31">
        <f>(AA33/AA32)-AA31</f>
        <v>8.5965922294526043E-2</v>
      </c>
    </row>
    <row r="32" spans="1:32" x14ac:dyDescent="0.45">
      <c r="A32" s="4" t="s">
        <v>32</v>
      </c>
      <c r="B32" s="5">
        <v>0.25284608180999629</v>
      </c>
      <c r="C32" s="5">
        <v>2.3458591618637691E-2</v>
      </c>
      <c r="D32" s="6">
        <v>0</v>
      </c>
      <c r="E32" s="6">
        <v>1</v>
      </c>
      <c r="F32" s="6">
        <v>382</v>
      </c>
      <c r="G32" s="5">
        <v>0.15469967046312694</v>
      </c>
      <c r="H32" s="5">
        <v>1.7315436519360065E-2</v>
      </c>
      <c r="I32" s="6">
        <v>0</v>
      </c>
      <c r="J32" s="6">
        <v>1</v>
      </c>
      <c r="K32" s="6">
        <v>475</v>
      </c>
      <c r="L32" s="5">
        <v>0.15465246754968828</v>
      </c>
      <c r="M32" s="5">
        <v>1.7097482428135913E-2</v>
      </c>
      <c r="N32" s="6">
        <v>0</v>
      </c>
      <c r="O32" s="6">
        <v>1</v>
      </c>
      <c r="P32" s="6">
        <v>474</v>
      </c>
      <c r="Q32" s="5">
        <v>0.13416252742816348</v>
      </c>
      <c r="R32" s="5">
        <v>1.6834266849755707E-2</v>
      </c>
      <c r="S32" s="6">
        <v>0</v>
      </c>
      <c r="T32" s="6">
        <v>1</v>
      </c>
      <c r="U32" s="6">
        <v>423</v>
      </c>
      <c r="V32" s="5">
        <v>4.0946313488166033E-2</v>
      </c>
      <c r="W32" s="5">
        <v>6.5332388522454272E-3</v>
      </c>
      <c r="X32" s="6">
        <v>0</v>
      </c>
      <c r="Y32" s="6">
        <v>1</v>
      </c>
      <c r="Z32" s="6">
        <v>1145</v>
      </c>
      <c r="AA32" s="16">
        <v>0.15253747703133069</v>
      </c>
      <c r="AB32" s="16">
        <v>9.3370656631984964E-3</v>
      </c>
      <c r="AC32" s="17">
        <v>0</v>
      </c>
      <c r="AD32" s="17">
        <v>1</v>
      </c>
      <c r="AE32" s="17">
        <v>2899</v>
      </c>
      <c r="AF32">
        <f>(AA33/AA31)-AA32</f>
        <v>1.9826251423980451E-2</v>
      </c>
    </row>
    <row r="33" spans="1:32" x14ac:dyDescent="0.45">
      <c r="A33" s="15" t="s">
        <v>33</v>
      </c>
      <c r="B33" s="5">
        <v>0.21190805352764663</v>
      </c>
      <c r="C33" s="5">
        <v>2.1973937505799963E-2</v>
      </c>
      <c r="D33" s="6">
        <v>0</v>
      </c>
      <c r="E33" s="6">
        <v>1</v>
      </c>
      <c r="F33" s="6">
        <v>382</v>
      </c>
      <c r="G33" s="5">
        <v>0.13766811973868046</v>
      </c>
      <c r="H33" s="5">
        <v>1.6439688492654682E-2</v>
      </c>
      <c r="I33" s="6">
        <v>0</v>
      </c>
      <c r="J33" s="6">
        <v>1</v>
      </c>
      <c r="K33" s="6">
        <v>475</v>
      </c>
      <c r="L33" s="5">
        <v>9.8391424484315995E-2</v>
      </c>
      <c r="M33" s="5">
        <v>1.406228096236665E-2</v>
      </c>
      <c r="N33" s="6">
        <v>0</v>
      </c>
      <c r="O33" s="6">
        <v>1</v>
      </c>
      <c r="P33" s="6">
        <v>474</v>
      </c>
      <c r="Q33" s="5">
        <v>9.8859665297675245E-2</v>
      </c>
      <c r="R33" s="5">
        <v>1.4760993640256452E-2</v>
      </c>
      <c r="S33" s="6">
        <v>0</v>
      </c>
      <c r="T33" s="6">
        <v>1</v>
      </c>
      <c r="U33" s="6">
        <v>423</v>
      </c>
      <c r="V33" s="5">
        <v>3.0605024356449653E-2</v>
      </c>
      <c r="W33" s="5">
        <v>5.957248347380528E-3</v>
      </c>
      <c r="X33" s="6">
        <v>0</v>
      </c>
      <c r="Y33" s="6">
        <v>1</v>
      </c>
      <c r="Z33" s="6">
        <v>1145</v>
      </c>
      <c r="AA33" s="16">
        <v>0.11400086755295109</v>
      </c>
      <c r="AB33" s="16">
        <v>8.1085851179397116E-3</v>
      </c>
      <c r="AC33" s="17">
        <v>0</v>
      </c>
      <c r="AD33" s="17">
        <v>1</v>
      </c>
      <c r="AE33" s="17">
        <v>2899</v>
      </c>
    </row>
    <row r="34" spans="1:32" x14ac:dyDescent="0.45">
      <c r="A34" s="4" t="s">
        <v>13</v>
      </c>
      <c r="B34" s="5">
        <v>0.72176921433327834</v>
      </c>
      <c r="C34" s="5">
        <v>2.9028968782716991E-2</v>
      </c>
      <c r="D34" s="6">
        <v>0</v>
      </c>
      <c r="E34" s="6">
        <v>1</v>
      </c>
      <c r="F34" s="6">
        <v>382</v>
      </c>
      <c r="G34" s="5">
        <v>0.84255208864764064</v>
      </c>
      <c r="H34" s="5">
        <v>1.7138525746655912E-2</v>
      </c>
      <c r="I34" s="6">
        <v>0</v>
      </c>
      <c r="J34" s="6">
        <v>1</v>
      </c>
      <c r="K34" s="6">
        <v>475</v>
      </c>
      <c r="L34" s="5">
        <v>0.59247247024008354</v>
      </c>
      <c r="M34" s="5">
        <v>2.3348494529892176E-2</v>
      </c>
      <c r="N34" s="6">
        <v>0</v>
      </c>
      <c r="O34" s="6">
        <v>1</v>
      </c>
      <c r="P34" s="6">
        <v>474</v>
      </c>
      <c r="Q34" s="5">
        <v>0.59230493585026966</v>
      </c>
      <c r="R34" s="5">
        <v>2.447481198118856E-2</v>
      </c>
      <c r="S34" s="6">
        <v>0</v>
      </c>
      <c r="T34" s="6">
        <v>1</v>
      </c>
      <c r="U34" s="6">
        <v>423</v>
      </c>
      <c r="V34" s="5">
        <v>0.41221383349800705</v>
      </c>
      <c r="W34" s="5">
        <v>1.990555252456656E-2</v>
      </c>
      <c r="X34" s="6">
        <v>0</v>
      </c>
      <c r="Y34" s="6">
        <v>1</v>
      </c>
      <c r="Z34" s="6">
        <v>1145</v>
      </c>
      <c r="AA34" s="5">
        <v>0.66139708495867311</v>
      </c>
      <c r="AB34" s="5">
        <v>1.2421253844692854E-2</v>
      </c>
      <c r="AC34" s="6">
        <v>0</v>
      </c>
      <c r="AD34" s="6">
        <v>1</v>
      </c>
      <c r="AE34" s="6">
        <v>2899</v>
      </c>
      <c r="AF34">
        <f>(AA36/AA35)-AA34</f>
        <v>0.13416838534865128</v>
      </c>
    </row>
    <row r="35" spans="1:32" x14ac:dyDescent="0.45">
      <c r="A35" s="4" t="s">
        <v>34</v>
      </c>
      <c r="B35" s="5">
        <v>2.234881186640706E-2</v>
      </c>
      <c r="C35" s="5">
        <v>7.2505456347755999E-3</v>
      </c>
      <c r="D35" s="6">
        <v>0</v>
      </c>
      <c r="E35" s="6">
        <v>1</v>
      </c>
      <c r="F35" s="6">
        <v>382</v>
      </c>
      <c r="G35" s="5">
        <v>5.804778638754593E-2</v>
      </c>
      <c r="H35" s="5">
        <v>1.1281809592535668E-2</v>
      </c>
      <c r="I35" s="6">
        <v>0</v>
      </c>
      <c r="J35" s="6">
        <v>1</v>
      </c>
      <c r="K35" s="6">
        <v>475</v>
      </c>
      <c r="L35" s="5">
        <v>7.7480419578348128E-2</v>
      </c>
      <c r="M35" s="5">
        <v>1.2659526579995721E-2</v>
      </c>
      <c r="N35" s="6">
        <v>0</v>
      </c>
      <c r="O35" s="6">
        <v>1</v>
      </c>
      <c r="P35" s="6">
        <v>474</v>
      </c>
      <c r="Q35" s="5">
        <v>5.2708548379860748E-2</v>
      </c>
      <c r="R35" s="5">
        <v>1.100803849809036E-2</v>
      </c>
      <c r="S35" s="6">
        <v>0</v>
      </c>
      <c r="T35" s="6">
        <v>1</v>
      </c>
      <c r="U35" s="6">
        <v>423</v>
      </c>
      <c r="V35" s="5">
        <v>5.6255696843250701E-3</v>
      </c>
      <c r="W35" s="5">
        <v>2.5449161715647033E-3</v>
      </c>
      <c r="X35" s="6">
        <v>0</v>
      </c>
      <c r="Y35" s="6">
        <v>1</v>
      </c>
      <c r="Z35" s="6">
        <v>1145</v>
      </c>
      <c r="AA35" s="5">
        <v>6.0690366495873303E-2</v>
      </c>
      <c r="AB35" s="5">
        <v>6.5213912070352298E-3</v>
      </c>
      <c r="AC35" s="6">
        <v>0</v>
      </c>
      <c r="AD35" s="6">
        <v>1</v>
      </c>
      <c r="AE35" s="6">
        <v>2899</v>
      </c>
      <c r="AF35">
        <f>(AA36/AA34)-AA35</f>
        <v>1.231140666348416E-2</v>
      </c>
    </row>
    <row r="36" spans="1:32" ht="26.25" x14ac:dyDescent="0.45">
      <c r="A36" s="4" t="s">
        <v>35</v>
      </c>
      <c r="B36" s="5">
        <v>1.6682939494425206E-2</v>
      </c>
      <c r="C36" s="5">
        <v>6.5754997313852009E-3</v>
      </c>
      <c r="D36" s="6">
        <v>0</v>
      </c>
      <c r="E36" s="6">
        <v>1</v>
      </c>
      <c r="F36" s="6">
        <v>382</v>
      </c>
      <c r="G36" s="5">
        <v>5.3096526560964072E-2</v>
      </c>
      <c r="H36" s="5">
        <v>1.078877098293266E-2</v>
      </c>
      <c r="I36" s="6">
        <v>0</v>
      </c>
      <c r="J36" s="6">
        <v>1</v>
      </c>
      <c r="K36" s="6">
        <v>475</v>
      </c>
      <c r="L36" s="5">
        <v>6.028253006186933E-2</v>
      </c>
      <c r="M36" s="5">
        <v>1.1326086081340064E-2</v>
      </c>
      <c r="N36" s="6">
        <v>0</v>
      </c>
      <c r="O36" s="6">
        <v>1</v>
      </c>
      <c r="P36" s="6">
        <v>474</v>
      </c>
      <c r="Q36" s="5">
        <v>3.6183117752125196E-2</v>
      </c>
      <c r="R36" s="5">
        <v>9.205318701422804E-3</v>
      </c>
      <c r="S36" s="6">
        <v>0</v>
      </c>
      <c r="T36" s="6">
        <v>1</v>
      </c>
      <c r="U36" s="6">
        <v>423</v>
      </c>
      <c r="V36" s="5">
        <v>5.3157050730632156E-3</v>
      </c>
      <c r="W36" s="5">
        <v>2.533093436457046E-3</v>
      </c>
      <c r="X36" s="6">
        <v>0</v>
      </c>
      <c r="Y36" s="6">
        <v>1</v>
      </c>
      <c r="Z36" s="6">
        <v>1145</v>
      </c>
      <c r="AA36" s="5">
        <v>4.8283159964413326E-2</v>
      </c>
      <c r="AB36" s="5">
        <v>5.8734839330371932E-3</v>
      </c>
      <c r="AC36" s="6">
        <v>0</v>
      </c>
      <c r="AD36" s="6">
        <v>1</v>
      </c>
      <c r="AE36" s="6">
        <v>2899</v>
      </c>
    </row>
    <row r="37" spans="1:32" x14ac:dyDescent="0.45">
      <c r="A37" s="4" t="s">
        <v>13</v>
      </c>
      <c r="B37" s="5">
        <v>0.72176921433327834</v>
      </c>
      <c r="C37" s="5">
        <v>2.9028968782716991E-2</v>
      </c>
      <c r="D37" s="6">
        <v>0</v>
      </c>
      <c r="E37" s="6">
        <v>1</v>
      </c>
      <c r="F37" s="6">
        <v>382</v>
      </c>
      <c r="G37" s="5">
        <v>0.84255208864764064</v>
      </c>
      <c r="H37" s="5">
        <v>1.7138525746655912E-2</v>
      </c>
      <c r="I37" s="6">
        <v>0</v>
      </c>
      <c r="J37" s="6">
        <v>1</v>
      </c>
      <c r="K37" s="6">
        <v>475</v>
      </c>
      <c r="L37" s="5">
        <v>0.59247247024008354</v>
      </c>
      <c r="M37" s="5">
        <v>2.3348494529892176E-2</v>
      </c>
      <c r="N37" s="6">
        <v>0</v>
      </c>
      <c r="O37" s="6">
        <v>1</v>
      </c>
      <c r="P37" s="6">
        <v>474</v>
      </c>
      <c r="Q37" s="5">
        <v>0.59230493585026966</v>
      </c>
      <c r="R37" s="5">
        <v>2.447481198118856E-2</v>
      </c>
      <c r="S37" s="6">
        <v>0</v>
      </c>
      <c r="T37" s="6">
        <v>1</v>
      </c>
      <c r="U37" s="6">
        <v>423</v>
      </c>
      <c r="V37" s="5">
        <v>0.41221383349800705</v>
      </c>
      <c r="W37" s="5">
        <v>1.990555252456656E-2</v>
      </c>
      <c r="X37" s="6">
        <v>0</v>
      </c>
      <c r="Y37" s="6">
        <v>1</v>
      </c>
      <c r="Z37" s="6">
        <v>1145</v>
      </c>
      <c r="AA37" s="5">
        <v>0.66139708495867311</v>
      </c>
      <c r="AB37" s="5">
        <v>1.2421253844692854E-2</v>
      </c>
      <c r="AC37" s="6">
        <v>0</v>
      </c>
      <c r="AD37" s="6">
        <v>1</v>
      </c>
      <c r="AE37" s="6">
        <v>2899</v>
      </c>
      <c r="AF37">
        <f>(AA39/AA38)-AA37</f>
        <v>0.11514902044188002</v>
      </c>
    </row>
    <row r="38" spans="1:32" x14ac:dyDescent="0.45">
      <c r="A38" s="4" t="s">
        <v>36</v>
      </c>
      <c r="B38" s="5">
        <v>0.26636125194779031</v>
      </c>
      <c r="C38" s="5">
        <v>2.4189991287900472E-2</v>
      </c>
      <c r="D38" s="6">
        <v>0</v>
      </c>
      <c r="E38" s="6">
        <v>1</v>
      </c>
      <c r="F38" s="6">
        <v>377</v>
      </c>
      <c r="G38" s="5">
        <v>0.17672760534526755</v>
      </c>
      <c r="H38" s="5">
        <v>1.8127456261163202E-2</v>
      </c>
      <c r="I38" s="6">
        <v>0</v>
      </c>
      <c r="J38" s="6">
        <v>1</v>
      </c>
      <c r="K38" s="6">
        <v>467</v>
      </c>
      <c r="L38" s="5">
        <v>4.3890875888197518E-2</v>
      </c>
      <c r="M38" s="5">
        <v>9.6682460234033402E-3</v>
      </c>
      <c r="N38" s="6">
        <v>0</v>
      </c>
      <c r="O38" s="6">
        <v>1</v>
      </c>
      <c r="P38" s="6">
        <v>441</v>
      </c>
      <c r="Q38" s="5">
        <v>8.371081995835053E-2</v>
      </c>
      <c r="R38" s="5">
        <v>1.4050470479779449E-2</v>
      </c>
      <c r="S38" s="6">
        <v>0</v>
      </c>
      <c r="T38" s="6">
        <v>1</v>
      </c>
      <c r="U38" s="6">
        <v>422</v>
      </c>
      <c r="V38" s="5">
        <v>0.17670361522524197</v>
      </c>
      <c r="W38" s="5">
        <v>1.6865782603968957E-2</v>
      </c>
      <c r="X38" s="6">
        <v>0</v>
      </c>
      <c r="Y38" s="6">
        <v>1</v>
      </c>
      <c r="Z38" s="6">
        <v>1068</v>
      </c>
      <c r="AA38" s="5">
        <v>0.10901593418102137</v>
      </c>
      <c r="AB38" s="5">
        <v>7.4445039199197852E-3</v>
      </c>
      <c r="AC38" s="6">
        <v>0</v>
      </c>
      <c r="AD38" s="6">
        <v>1</v>
      </c>
      <c r="AE38" s="6">
        <v>2775</v>
      </c>
      <c r="AF38">
        <f>(AA39/AA37)-AA38</f>
        <v>1.8979639189497549E-2</v>
      </c>
    </row>
    <row r="39" spans="1:32" x14ac:dyDescent="0.45">
      <c r="A39" s="4" t="s">
        <v>37</v>
      </c>
      <c r="B39" s="5">
        <v>0.21985030521610008</v>
      </c>
      <c r="C39" s="5">
        <v>2.2559572291894991E-2</v>
      </c>
      <c r="D39" s="6">
        <v>0</v>
      </c>
      <c r="E39" s="6">
        <v>1</v>
      </c>
      <c r="F39" s="6">
        <v>377</v>
      </c>
      <c r="G39" s="5">
        <v>0.16093774206582587</v>
      </c>
      <c r="H39" s="5">
        <v>1.7644932060902382E-2</v>
      </c>
      <c r="I39" s="6">
        <v>0</v>
      </c>
      <c r="J39" s="6">
        <v>1</v>
      </c>
      <c r="K39" s="6">
        <v>467</v>
      </c>
      <c r="L39" s="5">
        <v>3.2627814839872649E-2</v>
      </c>
      <c r="M39" s="5">
        <v>8.3610321904283094E-3</v>
      </c>
      <c r="N39" s="6">
        <v>0</v>
      </c>
      <c r="O39" s="6">
        <v>1</v>
      </c>
      <c r="P39" s="6">
        <v>441</v>
      </c>
      <c r="Q39" s="5">
        <v>4.7062539879064384E-2</v>
      </c>
      <c r="R39" s="5">
        <v>1.0640055560573802E-2</v>
      </c>
      <c r="S39" s="6">
        <v>0</v>
      </c>
      <c r="T39" s="6">
        <v>1</v>
      </c>
      <c r="U39" s="6">
        <v>422</v>
      </c>
      <c r="V39" s="5">
        <v>5.6358435774039428E-2</v>
      </c>
      <c r="W39" s="5">
        <v>9.440841338213669E-3</v>
      </c>
      <c r="X39" s="6">
        <v>0</v>
      </c>
      <c r="Y39" s="6">
        <v>1</v>
      </c>
      <c r="Z39" s="6">
        <v>1068</v>
      </c>
      <c r="AA39" s="5">
        <v>8.4655899114875185E-2</v>
      </c>
      <c r="AB39" s="5">
        <v>6.7286340748857788E-3</v>
      </c>
      <c r="AC39" s="6">
        <v>0</v>
      </c>
      <c r="AD39" s="6">
        <v>1</v>
      </c>
      <c r="AE39" s="6">
        <v>2775</v>
      </c>
    </row>
    <row r="40" spans="1:32" x14ac:dyDescent="0.45">
      <c r="A40" s="4" t="s">
        <v>13</v>
      </c>
      <c r="B40" s="5">
        <v>0.72176921433327834</v>
      </c>
      <c r="C40" s="5">
        <v>2.9028968782716991E-2</v>
      </c>
      <c r="D40" s="6">
        <v>0</v>
      </c>
      <c r="E40" s="6">
        <v>1</v>
      </c>
      <c r="F40" s="6">
        <v>382</v>
      </c>
      <c r="G40" s="5">
        <v>0.84255208864764064</v>
      </c>
      <c r="H40" s="5">
        <v>1.7138525746655912E-2</v>
      </c>
      <c r="I40" s="6">
        <v>0</v>
      </c>
      <c r="J40" s="6">
        <v>1</v>
      </c>
      <c r="K40" s="6">
        <v>475</v>
      </c>
      <c r="L40" s="5">
        <v>0.59247247024008354</v>
      </c>
      <c r="M40" s="5">
        <v>2.3348494529892176E-2</v>
      </c>
      <c r="N40" s="6">
        <v>0</v>
      </c>
      <c r="O40" s="6">
        <v>1</v>
      </c>
      <c r="P40" s="6">
        <v>474</v>
      </c>
      <c r="Q40" s="5">
        <v>0.59230493585026966</v>
      </c>
      <c r="R40" s="5">
        <v>2.447481198118856E-2</v>
      </c>
      <c r="S40" s="6">
        <v>0</v>
      </c>
      <c r="T40" s="6">
        <v>1</v>
      </c>
      <c r="U40" s="6">
        <v>423</v>
      </c>
      <c r="V40" s="5">
        <v>0.41221383349800705</v>
      </c>
      <c r="W40" s="5">
        <v>1.990555252456656E-2</v>
      </c>
      <c r="X40" s="6">
        <v>0</v>
      </c>
      <c r="Y40" s="6">
        <v>1</v>
      </c>
      <c r="Z40" s="6">
        <v>1145</v>
      </c>
      <c r="AA40" s="5">
        <v>0.66139708495867311</v>
      </c>
      <c r="AB40" s="5">
        <v>1.2421253844692854E-2</v>
      </c>
      <c r="AC40" s="6">
        <v>0</v>
      </c>
      <c r="AD40" s="6">
        <v>1</v>
      </c>
      <c r="AE40" s="6">
        <v>2899</v>
      </c>
      <c r="AF40">
        <f>(AA42/AA41)-AA40</f>
        <v>0.17444182169617506</v>
      </c>
    </row>
    <row r="41" spans="1:32" ht="26.25" x14ac:dyDescent="0.45">
      <c r="A41" s="4" t="s">
        <v>38</v>
      </c>
      <c r="B41" s="5">
        <v>0.4366780064058276</v>
      </c>
      <c r="C41" s="5">
        <v>2.805782617542071E-2</v>
      </c>
      <c r="D41" s="6">
        <v>0</v>
      </c>
      <c r="E41" s="6">
        <v>1</v>
      </c>
      <c r="F41" s="6">
        <v>382</v>
      </c>
      <c r="G41" s="5">
        <v>0.67637596318441151</v>
      </c>
      <c r="H41" s="5">
        <v>2.2183710228253588E-2</v>
      </c>
      <c r="I41" s="6">
        <v>0</v>
      </c>
      <c r="J41" s="6">
        <v>1</v>
      </c>
      <c r="K41" s="6">
        <v>475</v>
      </c>
      <c r="L41" s="5">
        <v>0.42140913195711371</v>
      </c>
      <c r="M41" s="5">
        <v>2.3440738415648886E-2</v>
      </c>
      <c r="N41" s="6">
        <v>0</v>
      </c>
      <c r="O41" s="6">
        <v>1</v>
      </c>
      <c r="P41" s="6">
        <v>474</v>
      </c>
      <c r="Q41" s="5">
        <v>0.50232647922994245</v>
      </c>
      <c r="R41" s="5">
        <v>2.4962894154274457E-2</v>
      </c>
      <c r="S41" s="6">
        <v>0</v>
      </c>
      <c r="T41" s="6">
        <v>1</v>
      </c>
      <c r="U41" s="6">
        <v>423</v>
      </c>
      <c r="V41" s="5">
        <v>0.19257168054166257</v>
      </c>
      <c r="W41" s="5">
        <v>1.5785783859687097E-2</v>
      </c>
      <c r="X41" s="6">
        <v>0</v>
      </c>
      <c r="Y41" s="6">
        <v>1</v>
      </c>
      <c r="Z41" s="6">
        <v>1145</v>
      </c>
      <c r="AA41" s="5">
        <v>0.50005721577724593</v>
      </c>
      <c r="AB41" s="5">
        <v>1.3039449215689536E-2</v>
      </c>
      <c r="AC41" s="6">
        <v>0</v>
      </c>
      <c r="AD41" s="6">
        <v>1</v>
      </c>
      <c r="AE41" s="6">
        <v>2899</v>
      </c>
      <c r="AF41">
        <f>(AA42/AA40)-AA41</f>
        <v>0.13188883600530321</v>
      </c>
    </row>
    <row r="42" spans="1:32" ht="26.25" x14ac:dyDescent="0.45">
      <c r="A42" s="4" t="s">
        <v>39</v>
      </c>
      <c r="B42" s="5">
        <v>0.4118837764313768</v>
      </c>
      <c r="C42" s="5">
        <v>2.7689092454609293E-2</v>
      </c>
      <c r="D42" s="6">
        <v>0</v>
      </c>
      <c r="E42" s="6">
        <v>1</v>
      </c>
      <c r="F42" s="6">
        <v>382</v>
      </c>
      <c r="G42" s="5">
        <v>0.64899431540303087</v>
      </c>
      <c r="H42" s="5">
        <v>2.2647288915499476E-2</v>
      </c>
      <c r="I42" s="6">
        <v>0</v>
      </c>
      <c r="J42" s="6">
        <v>1</v>
      </c>
      <c r="K42" s="6">
        <v>475</v>
      </c>
      <c r="L42" s="5">
        <v>0.31864125387903186</v>
      </c>
      <c r="M42" s="5">
        <v>2.2143501134571045E-2</v>
      </c>
      <c r="N42" s="6">
        <v>0</v>
      </c>
      <c r="O42" s="6">
        <v>1</v>
      </c>
      <c r="P42" s="6">
        <v>474</v>
      </c>
      <c r="Q42" s="5">
        <v>0.36605434693443034</v>
      </c>
      <c r="R42" s="5">
        <v>2.423308241408223E-2</v>
      </c>
      <c r="S42" s="6">
        <v>0</v>
      </c>
      <c r="T42" s="6">
        <v>1</v>
      </c>
      <c r="U42" s="6">
        <v>423</v>
      </c>
      <c r="V42" s="5">
        <v>0.16365462732104233</v>
      </c>
      <c r="W42" s="5">
        <v>1.4799340822799023E-2</v>
      </c>
      <c r="X42" s="6">
        <v>0</v>
      </c>
      <c r="Y42" s="6">
        <v>1</v>
      </c>
      <c r="Z42" s="6">
        <v>1145</v>
      </c>
      <c r="AA42" s="5">
        <v>0.41796727650012072</v>
      </c>
      <c r="AB42" s="5">
        <v>1.2824054933592614E-2</v>
      </c>
      <c r="AC42" s="6">
        <v>0</v>
      </c>
      <c r="AD42" s="6">
        <v>1</v>
      </c>
      <c r="AE42" s="6">
        <v>2899</v>
      </c>
    </row>
    <row r="43" spans="1:32" x14ac:dyDescent="0.45">
      <c r="A43" s="4" t="s">
        <v>13</v>
      </c>
      <c r="B43" s="5">
        <v>0.72176921433327834</v>
      </c>
      <c r="C43" s="5">
        <v>2.9028968782716991E-2</v>
      </c>
      <c r="D43" s="6">
        <v>0</v>
      </c>
      <c r="E43" s="6">
        <v>1</v>
      </c>
      <c r="F43" s="6">
        <v>382</v>
      </c>
      <c r="G43" s="5">
        <v>0.84255208864764064</v>
      </c>
      <c r="H43" s="5">
        <v>1.7138525746655912E-2</v>
      </c>
      <c r="I43" s="6">
        <v>0</v>
      </c>
      <c r="J43" s="6">
        <v>1</v>
      </c>
      <c r="K43" s="6">
        <v>475</v>
      </c>
      <c r="L43" s="5">
        <v>0.59247247024008354</v>
      </c>
      <c r="M43" s="5">
        <v>2.3348494529892176E-2</v>
      </c>
      <c r="N43" s="6">
        <v>0</v>
      </c>
      <c r="O43" s="6">
        <v>1</v>
      </c>
      <c r="P43" s="6">
        <v>474</v>
      </c>
      <c r="Q43" s="5">
        <v>0.59230493585026966</v>
      </c>
      <c r="R43" s="5">
        <v>2.447481198118856E-2</v>
      </c>
      <c r="S43" s="6">
        <v>0</v>
      </c>
      <c r="T43" s="6">
        <v>1</v>
      </c>
      <c r="U43" s="6">
        <v>423</v>
      </c>
      <c r="V43" s="5">
        <v>0.41221383349800705</v>
      </c>
      <c r="W43" s="5">
        <v>1.990555252456656E-2</v>
      </c>
      <c r="X43" s="6">
        <v>0</v>
      </c>
      <c r="Y43" s="6">
        <v>1</v>
      </c>
      <c r="Z43" s="6">
        <v>1145</v>
      </c>
      <c r="AA43" s="5">
        <v>0.66139708495867311</v>
      </c>
      <c r="AB43" s="5">
        <v>1.2421253844692854E-2</v>
      </c>
      <c r="AC43" s="6">
        <v>0</v>
      </c>
      <c r="AD43" s="6">
        <v>1</v>
      </c>
      <c r="AE43" s="6">
        <v>2899</v>
      </c>
      <c r="AF43">
        <f>(AA45/AA44)-AA43</f>
        <v>6.5359955690909466E-2</v>
      </c>
    </row>
    <row r="44" spans="1:32" x14ac:dyDescent="0.45">
      <c r="A44" s="4" t="s">
        <v>40</v>
      </c>
      <c r="B44" s="5">
        <v>0.24475289221599958</v>
      </c>
      <c r="C44" s="5">
        <v>2.3591602155120545E-2</v>
      </c>
      <c r="D44" s="6">
        <v>0</v>
      </c>
      <c r="E44" s="6">
        <v>1</v>
      </c>
      <c r="F44" s="6">
        <v>382</v>
      </c>
      <c r="G44" s="5">
        <v>0.31240436993335119</v>
      </c>
      <c r="H44" s="5">
        <v>2.1994479632135435E-2</v>
      </c>
      <c r="I44" s="6">
        <v>0</v>
      </c>
      <c r="J44" s="6">
        <v>1</v>
      </c>
      <c r="K44" s="6">
        <v>475</v>
      </c>
      <c r="L44" s="5">
        <v>0.31016209118028132</v>
      </c>
      <c r="M44" s="5">
        <v>2.1740010089836503E-2</v>
      </c>
      <c r="N44" s="6">
        <v>0</v>
      </c>
      <c r="O44" s="6">
        <v>1</v>
      </c>
      <c r="P44" s="6">
        <v>474</v>
      </c>
      <c r="Q44" s="5">
        <v>0.7144739729494628</v>
      </c>
      <c r="R44" s="5">
        <v>2.2433009195978806E-2</v>
      </c>
      <c r="S44" s="6">
        <v>0</v>
      </c>
      <c r="T44" s="6">
        <v>1</v>
      </c>
      <c r="U44" s="6">
        <v>423</v>
      </c>
      <c r="V44" s="5">
        <v>0.43483608765880821</v>
      </c>
      <c r="W44" s="5">
        <v>2.0083672578752446E-2</v>
      </c>
      <c r="X44" s="6">
        <v>0</v>
      </c>
      <c r="Y44" s="6">
        <v>1</v>
      </c>
      <c r="Z44" s="6">
        <v>1145</v>
      </c>
      <c r="AA44" s="5">
        <v>0.39887458467079651</v>
      </c>
      <c r="AB44" s="5">
        <v>1.2628190805574898E-2</v>
      </c>
      <c r="AC44" s="6">
        <v>0</v>
      </c>
      <c r="AD44" s="6">
        <v>1</v>
      </c>
      <c r="AE44" s="6">
        <v>2899</v>
      </c>
      <c r="AF44">
        <f>(AA45/AA43)-AA44</f>
        <v>3.9417206052461129E-2</v>
      </c>
    </row>
    <row r="45" spans="1:32" ht="26.25" x14ac:dyDescent="0.45">
      <c r="A45" s="4" t="s">
        <v>41</v>
      </c>
      <c r="B45" s="5">
        <v>0.21629825066039615</v>
      </c>
      <c r="C45" s="5">
        <v>2.2502037562888686E-2</v>
      </c>
      <c r="D45" s="6">
        <v>0</v>
      </c>
      <c r="E45" s="6">
        <v>1</v>
      </c>
      <c r="F45" s="6">
        <v>382</v>
      </c>
      <c r="G45" s="5">
        <v>0.3078606267708327</v>
      </c>
      <c r="H45" s="5">
        <v>2.1904114615000921E-2</v>
      </c>
      <c r="I45" s="6">
        <v>0</v>
      </c>
      <c r="J45" s="6">
        <v>1</v>
      </c>
      <c r="K45" s="6">
        <v>475</v>
      </c>
      <c r="L45" s="5">
        <v>0.18751390673099544</v>
      </c>
      <c r="M45" s="5">
        <v>1.8292638372495583E-2</v>
      </c>
      <c r="N45" s="6">
        <v>0</v>
      </c>
      <c r="O45" s="6">
        <v>1</v>
      </c>
      <c r="P45" s="6">
        <v>474</v>
      </c>
      <c r="Q45" s="5">
        <v>0.4793180195310397</v>
      </c>
      <c r="R45" s="5">
        <v>2.4958763627068132E-2</v>
      </c>
      <c r="S45" s="6">
        <v>0</v>
      </c>
      <c r="T45" s="6">
        <v>1</v>
      </c>
      <c r="U45" s="6">
        <v>423</v>
      </c>
      <c r="V45" s="5">
        <v>0.32085478196417827</v>
      </c>
      <c r="W45" s="5">
        <v>1.8516526969863452E-2</v>
      </c>
      <c r="X45" s="6">
        <v>0</v>
      </c>
      <c r="Y45" s="6">
        <v>1</v>
      </c>
      <c r="Z45" s="6">
        <v>1145</v>
      </c>
      <c r="AA45" s="5">
        <v>0.2898849127456794</v>
      </c>
      <c r="AB45" s="5">
        <v>1.1516014786545507E-2</v>
      </c>
      <c r="AC45" s="6">
        <v>0</v>
      </c>
      <c r="AD45" s="6">
        <v>1</v>
      </c>
      <c r="AE45" s="6">
        <v>2899</v>
      </c>
    </row>
    <row r="46" spans="1:32" x14ac:dyDescent="0.45">
      <c r="A46" s="4" t="s">
        <v>13</v>
      </c>
      <c r="B46" s="5">
        <v>0.72176921433327834</v>
      </c>
      <c r="C46" s="5">
        <v>2.9028968782716991E-2</v>
      </c>
      <c r="D46" s="6">
        <v>0</v>
      </c>
      <c r="E46" s="6">
        <v>1</v>
      </c>
      <c r="F46" s="6">
        <v>382</v>
      </c>
      <c r="G46" s="5">
        <v>0.84255208864764064</v>
      </c>
      <c r="H46" s="5">
        <v>1.7138525746655912E-2</v>
      </c>
      <c r="I46" s="6">
        <v>0</v>
      </c>
      <c r="J46" s="6">
        <v>1</v>
      </c>
      <c r="K46" s="6">
        <v>475</v>
      </c>
      <c r="L46" s="5">
        <v>0.59247247024008354</v>
      </c>
      <c r="M46" s="5">
        <v>2.3348494529892176E-2</v>
      </c>
      <c r="N46" s="6">
        <v>0</v>
      </c>
      <c r="O46" s="6">
        <v>1</v>
      </c>
      <c r="P46" s="6">
        <v>474</v>
      </c>
      <c r="Q46" s="5">
        <v>0.59230493585026966</v>
      </c>
      <c r="R46" s="5">
        <v>2.447481198118856E-2</v>
      </c>
      <c r="S46" s="6">
        <v>0</v>
      </c>
      <c r="T46" s="6">
        <v>1</v>
      </c>
      <c r="U46" s="6">
        <v>423</v>
      </c>
      <c r="V46" s="5">
        <v>0.41221383349800705</v>
      </c>
      <c r="W46" s="5">
        <v>1.990555252456656E-2</v>
      </c>
      <c r="X46" s="6">
        <v>0</v>
      </c>
      <c r="Y46" s="6">
        <v>1</v>
      </c>
      <c r="Z46" s="6">
        <v>1145</v>
      </c>
      <c r="AA46" s="5">
        <v>0.66139708495867311</v>
      </c>
      <c r="AB46" s="5">
        <v>1.2421253844692854E-2</v>
      </c>
      <c r="AC46" s="6">
        <v>0</v>
      </c>
      <c r="AD46" s="6">
        <v>1</v>
      </c>
      <c r="AE46" s="6">
        <v>2899</v>
      </c>
      <c r="AF46">
        <f>(AA48/AA47)-AA46</f>
        <v>6.268933039473934E-2</v>
      </c>
    </row>
    <row r="47" spans="1:32" x14ac:dyDescent="0.45">
      <c r="A47" s="4" t="s">
        <v>42</v>
      </c>
      <c r="B47" s="5">
        <v>0.25089279775929785</v>
      </c>
      <c r="C47" s="5">
        <v>2.3633364656887722E-2</v>
      </c>
      <c r="D47" s="6">
        <v>0</v>
      </c>
      <c r="E47" s="6">
        <v>1</v>
      </c>
      <c r="F47" s="6">
        <v>382</v>
      </c>
      <c r="G47" s="5">
        <v>0.39009576358444259</v>
      </c>
      <c r="H47" s="5">
        <v>2.3181206138358921E-2</v>
      </c>
      <c r="I47" s="6">
        <v>0</v>
      </c>
      <c r="J47" s="6">
        <v>1</v>
      </c>
      <c r="K47" s="6">
        <v>475</v>
      </c>
      <c r="L47" s="5">
        <v>0.31115391050319358</v>
      </c>
      <c r="M47" s="5">
        <v>2.230646426075697E-2</v>
      </c>
      <c r="N47" s="6">
        <v>0</v>
      </c>
      <c r="O47" s="6">
        <v>1</v>
      </c>
      <c r="P47" s="6">
        <v>474</v>
      </c>
      <c r="Q47" s="5">
        <v>0.48120800183961793</v>
      </c>
      <c r="R47" s="5">
        <v>2.4961710177192679E-2</v>
      </c>
      <c r="S47" s="6">
        <v>0</v>
      </c>
      <c r="T47" s="6">
        <v>1</v>
      </c>
      <c r="U47" s="6">
        <v>423</v>
      </c>
      <c r="V47" s="5">
        <v>0.3457577606704838</v>
      </c>
      <c r="W47" s="5">
        <v>1.8801067085193666E-2</v>
      </c>
      <c r="X47" s="6">
        <v>0</v>
      </c>
      <c r="Y47" s="6">
        <v>1</v>
      </c>
      <c r="Z47" s="6">
        <v>1145</v>
      </c>
      <c r="AA47" s="5">
        <v>0.36657663781801664</v>
      </c>
      <c r="AB47" s="5">
        <v>1.2575722914207254E-2</v>
      </c>
      <c r="AC47" s="6">
        <v>0</v>
      </c>
      <c r="AD47" s="6">
        <v>1</v>
      </c>
      <c r="AE47" s="6">
        <v>2899</v>
      </c>
      <c r="AF47">
        <f>(AA48/AA46)-AA47</f>
        <v>3.4745305786466008E-2</v>
      </c>
    </row>
    <row r="48" spans="1:32" ht="26.25" x14ac:dyDescent="0.45">
      <c r="A48" s="4" t="s">
        <v>43</v>
      </c>
      <c r="B48" s="5">
        <v>0.20522543425219406</v>
      </c>
      <c r="C48" s="5">
        <v>2.169577624790649E-2</v>
      </c>
      <c r="D48" s="6">
        <v>0</v>
      </c>
      <c r="E48" s="6">
        <v>1</v>
      </c>
      <c r="F48" s="6">
        <v>382</v>
      </c>
      <c r="G48" s="5">
        <v>0.3628687154429982</v>
      </c>
      <c r="H48" s="5">
        <v>2.2845001669343772E-2</v>
      </c>
      <c r="I48" s="6">
        <v>0</v>
      </c>
      <c r="J48" s="6">
        <v>1</v>
      </c>
      <c r="K48" s="6">
        <v>475</v>
      </c>
      <c r="L48" s="5">
        <v>0.1998232506953537</v>
      </c>
      <c r="M48" s="5">
        <v>1.9241206828791952E-2</v>
      </c>
      <c r="N48" s="6">
        <v>0</v>
      </c>
      <c r="O48" s="6">
        <v>1</v>
      </c>
      <c r="P48" s="6">
        <v>474</v>
      </c>
      <c r="Q48" s="5">
        <v>0.29804167033695206</v>
      </c>
      <c r="R48" s="5">
        <v>2.2999291005938293E-2</v>
      </c>
      <c r="S48" s="6">
        <v>0</v>
      </c>
      <c r="T48" s="6">
        <v>1</v>
      </c>
      <c r="U48" s="6">
        <v>423</v>
      </c>
      <c r="V48" s="5">
        <v>0.20599981430297482</v>
      </c>
      <c r="W48" s="5">
        <v>1.5913865479929623E-2</v>
      </c>
      <c r="X48" s="6">
        <v>0</v>
      </c>
      <c r="Y48" s="6">
        <v>1</v>
      </c>
      <c r="Z48" s="6">
        <v>1145</v>
      </c>
      <c r="AA48" s="5">
        <v>0.26543316362995384</v>
      </c>
      <c r="AB48" s="5">
        <v>1.1440866591713532E-2</v>
      </c>
      <c r="AC48" s="6">
        <v>0</v>
      </c>
      <c r="AD48" s="6">
        <v>1</v>
      </c>
      <c r="AE48" s="6">
        <v>2899</v>
      </c>
    </row>
    <row r="49" spans="1:32" x14ac:dyDescent="0.45">
      <c r="A49" s="4" t="s">
        <v>13</v>
      </c>
      <c r="B49" s="5">
        <v>0.72176921433327834</v>
      </c>
      <c r="C49" s="5">
        <v>2.9028968782716991E-2</v>
      </c>
      <c r="D49" s="6">
        <v>0</v>
      </c>
      <c r="E49" s="6">
        <v>1</v>
      </c>
      <c r="F49" s="6">
        <v>382</v>
      </c>
      <c r="G49" s="5">
        <v>0.84255208864764064</v>
      </c>
      <c r="H49" s="5">
        <v>1.7138525746655912E-2</v>
      </c>
      <c r="I49" s="6">
        <v>0</v>
      </c>
      <c r="J49" s="6">
        <v>1</v>
      </c>
      <c r="K49" s="6">
        <v>475</v>
      </c>
      <c r="L49" s="5">
        <v>0.59247247024008354</v>
      </c>
      <c r="M49" s="5">
        <v>2.3348494529892176E-2</v>
      </c>
      <c r="N49" s="6">
        <v>0</v>
      </c>
      <c r="O49" s="6">
        <v>1</v>
      </c>
      <c r="P49" s="6">
        <v>474</v>
      </c>
      <c r="Q49" s="5">
        <v>0.59230493585026966</v>
      </c>
      <c r="R49" s="5">
        <v>2.447481198118856E-2</v>
      </c>
      <c r="S49" s="6">
        <v>0</v>
      </c>
      <c r="T49" s="6">
        <v>1</v>
      </c>
      <c r="U49" s="6">
        <v>423</v>
      </c>
      <c r="V49" s="5">
        <v>0.41221383349800705</v>
      </c>
      <c r="W49" s="5">
        <v>1.990555252456656E-2</v>
      </c>
      <c r="X49" s="6">
        <v>0</v>
      </c>
      <c r="Y49" s="6">
        <v>1</v>
      </c>
      <c r="Z49" s="6">
        <v>1145</v>
      </c>
      <c r="AA49" s="5">
        <v>0.66139708495867311</v>
      </c>
      <c r="AB49" s="5">
        <v>1.2421253844692854E-2</v>
      </c>
      <c r="AC49" s="6">
        <v>0</v>
      </c>
      <c r="AD49" s="6">
        <v>1</v>
      </c>
      <c r="AE49" s="6">
        <v>2899</v>
      </c>
      <c r="AF49">
        <f>(AA51/AA50)-AA49</f>
        <v>2.5204443392541354E-2</v>
      </c>
    </row>
    <row r="50" spans="1:32" x14ac:dyDescent="0.45">
      <c r="A50" s="4" t="s">
        <v>44</v>
      </c>
      <c r="B50" s="5">
        <v>7.9771782857088899E-2</v>
      </c>
      <c r="C50" s="5">
        <v>1.4835173716237555E-2</v>
      </c>
      <c r="D50" s="6">
        <v>0</v>
      </c>
      <c r="E50" s="6">
        <v>1</v>
      </c>
      <c r="F50" s="6">
        <v>382</v>
      </c>
      <c r="G50" s="5">
        <v>9.1412983805042231E-2</v>
      </c>
      <c r="H50" s="5">
        <v>1.3542282503153303E-2</v>
      </c>
      <c r="I50" s="6">
        <v>0</v>
      </c>
      <c r="J50" s="6">
        <v>1</v>
      </c>
      <c r="K50" s="6">
        <v>475</v>
      </c>
      <c r="L50" s="5">
        <v>6.2522483872663487E-2</v>
      </c>
      <c r="M50" s="5">
        <v>1.2083621448993364E-2</v>
      </c>
      <c r="N50" s="6">
        <v>0</v>
      </c>
      <c r="O50" s="6">
        <v>1</v>
      </c>
      <c r="P50" s="6">
        <v>474</v>
      </c>
      <c r="Q50" s="5">
        <v>0.15234303743644023</v>
      </c>
      <c r="R50" s="5">
        <v>1.7921333577869139E-2</v>
      </c>
      <c r="S50" s="6">
        <v>0</v>
      </c>
      <c r="T50" s="6">
        <v>1</v>
      </c>
      <c r="U50" s="6">
        <v>423</v>
      </c>
      <c r="V50" s="5">
        <v>7.9695497124933817E-2</v>
      </c>
      <c r="W50" s="5">
        <v>8.4181414188695299E-3</v>
      </c>
      <c r="X50" s="6">
        <v>0</v>
      </c>
      <c r="Y50" s="6">
        <v>1</v>
      </c>
      <c r="Z50" s="6">
        <v>1145</v>
      </c>
      <c r="AA50" s="5">
        <v>9.1537468369046068E-2</v>
      </c>
      <c r="AB50" s="5">
        <v>7.4032918276990987E-3</v>
      </c>
      <c r="AC50" s="6">
        <v>0</v>
      </c>
      <c r="AD50" s="6">
        <v>1</v>
      </c>
      <c r="AE50" s="6">
        <v>2899</v>
      </c>
      <c r="AF50">
        <f>(AA51/AA49)-AA50</f>
        <v>3.4882992263994134E-3</v>
      </c>
    </row>
    <row r="51" spans="1:32" x14ac:dyDescent="0.45">
      <c r="A51" s="4" t="s">
        <v>45</v>
      </c>
      <c r="B51" s="5">
        <v>6.902521436230788E-2</v>
      </c>
      <c r="C51" s="5">
        <v>1.3660602546880587E-2</v>
      </c>
      <c r="D51" s="6">
        <v>0</v>
      </c>
      <c r="E51" s="6">
        <v>1</v>
      </c>
      <c r="F51" s="6">
        <v>382</v>
      </c>
      <c r="G51" s="5">
        <v>8.4656302354958343E-2</v>
      </c>
      <c r="H51" s="5">
        <v>1.3066689082637778E-2</v>
      </c>
      <c r="I51" s="6">
        <v>0</v>
      </c>
      <c r="J51" s="6">
        <v>1</v>
      </c>
      <c r="K51" s="6">
        <v>475</v>
      </c>
      <c r="L51" s="5">
        <v>2.4723784801603289E-2</v>
      </c>
      <c r="M51" s="5">
        <v>7.437720615732217E-3</v>
      </c>
      <c r="N51" s="6">
        <v>0</v>
      </c>
      <c r="O51" s="6">
        <v>1</v>
      </c>
      <c r="P51" s="6">
        <v>474</v>
      </c>
      <c r="Q51" s="5">
        <v>0.11145785186246526</v>
      </c>
      <c r="R51" s="5">
        <v>1.5749911831975945E-2</v>
      </c>
      <c r="S51" s="6">
        <v>0</v>
      </c>
      <c r="T51" s="6">
        <v>1</v>
      </c>
      <c r="U51" s="6">
        <v>423</v>
      </c>
      <c r="V51" s="5">
        <v>3.344353198548991E-2</v>
      </c>
      <c r="W51" s="5">
        <v>6.5457986714097692E-3</v>
      </c>
      <c r="X51" s="6">
        <v>0</v>
      </c>
      <c r="Y51" s="6">
        <v>1</v>
      </c>
      <c r="Z51" s="6">
        <v>1145</v>
      </c>
      <c r="AA51" s="5">
        <v>6.284976568358798E-2</v>
      </c>
      <c r="AB51" s="5">
        <v>5.925141990238688E-3</v>
      </c>
      <c r="AC51" s="6">
        <v>0</v>
      </c>
      <c r="AD51" s="6">
        <v>1</v>
      </c>
      <c r="AE51" s="6">
        <v>2899</v>
      </c>
    </row>
    <row r="52" spans="1:32" x14ac:dyDescent="0.45">
      <c r="A52" s="4" t="s">
        <v>14</v>
      </c>
      <c r="B52" s="5">
        <v>1.6094968575701626E-2</v>
      </c>
      <c r="C52" s="5">
        <v>6.6715854443944508E-3</v>
      </c>
      <c r="D52" s="6">
        <v>0</v>
      </c>
      <c r="E52" s="6">
        <v>1</v>
      </c>
      <c r="F52" s="6">
        <v>382</v>
      </c>
      <c r="G52" s="5">
        <v>4.0733732813672492E-2</v>
      </c>
      <c r="H52" s="5">
        <v>9.1849777172079219E-3</v>
      </c>
      <c r="I52" s="6">
        <v>0</v>
      </c>
      <c r="J52" s="6">
        <v>1</v>
      </c>
      <c r="K52" s="6">
        <v>475</v>
      </c>
      <c r="L52" s="5">
        <v>3.7333342725060573E-2</v>
      </c>
      <c r="M52" s="5">
        <v>9.0407273193900666E-3</v>
      </c>
      <c r="N52" s="6">
        <v>0</v>
      </c>
      <c r="O52" s="6">
        <v>1</v>
      </c>
      <c r="P52" s="6">
        <v>474</v>
      </c>
      <c r="Q52" s="5">
        <v>4.4859347935278154E-2</v>
      </c>
      <c r="R52" s="5">
        <v>1.0696186820389126E-2</v>
      </c>
      <c r="S52" s="6">
        <v>0</v>
      </c>
      <c r="T52" s="6">
        <v>1</v>
      </c>
      <c r="U52" s="6">
        <v>423</v>
      </c>
      <c r="V52" s="5">
        <v>6.7477197969102773E-2</v>
      </c>
      <c r="W52" s="5">
        <v>9.9982978664868126E-3</v>
      </c>
      <c r="X52" s="6">
        <v>0</v>
      </c>
      <c r="Y52" s="6">
        <v>1</v>
      </c>
      <c r="Z52" s="6">
        <v>1145</v>
      </c>
      <c r="AA52" s="5">
        <v>3.9577298531642532E-2</v>
      </c>
      <c r="AB52" s="5">
        <v>5.070485228182201E-3</v>
      </c>
      <c r="AC52" s="6">
        <v>0</v>
      </c>
      <c r="AD52" s="6">
        <v>1</v>
      </c>
      <c r="AE52" s="6">
        <v>2899</v>
      </c>
      <c r="AF52">
        <f>(AA54/AA53)-AA52</f>
        <v>6.6995233241562258E-2</v>
      </c>
    </row>
    <row r="53" spans="1:32" x14ac:dyDescent="0.45">
      <c r="A53" s="4" t="s">
        <v>26</v>
      </c>
      <c r="B53" s="5">
        <v>4.1884796563283817E-2</v>
      </c>
      <c r="C53" s="5">
        <v>1.0380573988597106E-2</v>
      </c>
      <c r="D53" s="6">
        <v>0</v>
      </c>
      <c r="E53" s="6">
        <v>1</v>
      </c>
      <c r="F53" s="6">
        <v>382</v>
      </c>
      <c r="G53" s="5">
        <v>0.13753902744546623</v>
      </c>
      <c r="H53" s="5">
        <v>1.640272398244708E-2</v>
      </c>
      <c r="I53" s="6">
        <v>0</v>
      </c>
      <c r="J53" s="6">
        <v>1</v>
      </c>
      <c r="K53" s="6">
        <v>475</v>
      </c>
      <c r="L53" s="5">
        <v>0.10931219334347021</v>
      </c>
      <c r="M53" s="5">
        <v>1.5011658014023562E-2</v>
      </c>
      <c r="N53" s="6">
        <v>0</v>
      </c>
      <c r="O53" s="6">
        <v>1</v>
      </c>
      <c r="P53" s="6">
        <v>474</v>
      </c>
      <c r="Q53" s="5">
        <v>0.21697284641081702</v>
      </c>
      <c r="R53" s="5">
        <v>2.0889826904432647E-2</v>
      </c>
      <c r="S53" s="6">
        <v>0</v>
      </c>
      <c r="T53" s="6">
        <v>1</v>
      </c>
      <c r="U53" s="6">
        <v>423</v>
      </c>
      <c r="V53" s="5">
        <v>6.6281456209125428E-2</v>
      </c>
      <c r="W53" s="5">
        <v>9.5772379732993566E-3</v>
      </c>
      <c r="X53" s="6">
        <v>0</v>
      </c>
      <c r="Y53" s="6">
        <v>1</v>
      </c>
      <c r="Z53" s="6">
        <v>1145</v>
      </c>
      <c r="AA53" s="5">
        <v>0.13431582341296991</v>
      </c>
      <c r="AB53" s="5">
        <v>8.9532354906008849E-3</v>
      </c>
      <c r="AC53" s="6">
        <v>0</v>
      </c>
      <c r="AD53" s="6">
        <v>1</v>
      </c>
      <c r="AE53" s="6">
        <v>2899</v>
      </c>
      <c r="AF53">
        <f>(AA54/AA52)-AA53</f>
        <v>0.22736569324937581</v>
      </c>
    </row>
    <row r="54" spans="1:32" x14ac:dyDescent="0.45">
      <c r="A54" s="4" t="s">
        <v>46</v>
      </c>
      <c r="B54" s="5">
        <v>0</v>
      </c>
      <c r="C54" s="5">
        <v>0</v>
      </c>
      <c r="D54" s="6">
        <v>0</v>
      </c>
      <c r="E54" s="6">
        <v>0</v>
      </c>
      <c r="F54" s="6">
        <v>382</v>
      </c>
      <c r="G54" s="5">
        <v>1.5177750679319511E-2</v>
      </c>
      <c r="H54" s="5">
        <v>5.7007354495150582E-3</v>
      </c>
      <c r="I54" s="6">
        <v>0</v>
      </c>
      <c r="J54" s="6">
        <v>1</v>
      </c>
      <c r="K54" s="6">
        <v>475</v>
      </c>
      <c r="L54" s="5">
        <v>1.0123713391135986E-2</v>
      </c>
      <c r="M54" s="5">
        <v>4.5118097632309232E-3</v>
      </c>
      <c r="N54" s="6">
        <v>0</v>
      </c>
      <c r="O54" s="6">
        <v>1</v>
      </c>
      <c r="P54" s="6">
        <v>474</v>
      </c>
      <c r="Q54" s="5">
        <v>2.7124286740931671E-2</v>
      </c>
      <c r="R54" s="5">
        <v>8.4834460090411415E-3</v>
      </c>
      <c r="S54" s="6">
        <v>0</v>
      </c>
      <c r="T54" s="6">
        <v>1</v>
      </c>
      <c r="U54" s="6">
        <v>423</v>
      </c>
      <c r="V54" s="5">
        <v>4.6662868100378818E-3</v>
      </c>
      <c r="W54" s="5">
        <v>2.4526882642706923E-3</v>
      </c>
      <c r="X54" s="6">
        <v>0</v>
      </c>
      <c r="Y54" s="6">
        <v>1</v>
      </c>
      <c r="Z54" s="6">
        <v>1145</v>
      </c>
      <c r="AA54" s="5">
        <v>1.4314377358322899E-2</v>
      </c>
      <c r="AB54" s="5">
        <v>3.0398214929768666E-3</v>
      </c>
      <c r="AC54" s="6">
        <v>0</v>
      </c>
      <c r="AD54" s="6">
        <v>1</v>
      </c>
      <c r="AE54" s="6">
        <v>2899</v>
      </c>
    </row>
    <row r="55" spans="1:32" x14ac:dyDescent="0.45">
      <c r="A55" s="4" t="s">
        <v>14</v>
      </c>
      <c r="B55" s="5">
        <v>1.6094968575701626E-2</v>
      </c>
      <c r="C55" s="5">
        <v>6.6715854443944508E-3</v>
      </c>
      <c r="D55" s="6">
        <v>0</v>
      </c>
      <c r="E55" s="6">
        <v>1</v>
      </c>
      <c r="F55" s="6">
        <v>382</v>
      </c>
      <c r="G55" s="5">
        <v>4.0733732813672492E-2</v>
      </c>
      <c r="H55" s="5">
        <v>9.1849777172079219E-3</v>
      </c>
      <c r="I55" s="6">
        <v>0</v>
      </c>
      <c r="J55" s="6">
        <v>1</v>
      </c>
      <c r="K55" s="6">
        <v>475</v>
      </c>
      <c r="L55" s="5">
        <v>3.7333342725060573E-2</v>
      </c>
      <c r="M55" s="5">
        <v>9.0407273193900666E-3</v>
      </c>
      <c r="N55" s="6">
        <v>0</v>
      </c>
      <c r="O55" s="6">
        <v>1</v>
      </c>
      <c r="P55" s="6">
        <v>474</v>
      </c>
      <c r="Q55" s="5">
        <v>4.4859347935278154E-2</v>
      </c>
      <c r="R55" s="5">
        <v>1.0696186820389126E-2</v>
      </c>
      <c r="S55" s="6">
        <v>0</v>
      </c>
      <c r="T55" s="6">
        <v>1</v>
      </c>
      <c r="U55" s="6">
        <v>423</v>
      </c>
      <c r="V55" s="5">
        <v>6.7477197969102773E-2</v>
      </c>
      <c r="W55" s="5">
        <v>9.9982978664868126E-3</v>
      </c>
      <c r="X55" s="6">
        <v>0</v>
      </c>
      <c r="Y55" s="6">
        <v>1</v>
      </c>
      <c r="Z55" s="6">
        <v>1145</v>
      </c>
      <c r="AA55" s="5">
        <v>3.9577298531642532E-2</v>
      </c>
      <c r="AB55" s="5">
        <v>5.070485228182201E-3</v>
      </c>
      <c r="AC55" s="6">
        <v>0</v>
      </c>
      <c r="AD55" s="6">
        <v>1</v>
      </c>
      <c r="AE55" s="6">
        <v>2899</v>
      </c>
      <c r="AF55">
        <f>(AA57/AA56)-AA55</f>
        <v>3.9784284191189873E-2</v>
      </c>
    </row>
    <row r="56" spans="1:32" x14ac:dyDescent="0.45">
      <c r="A56" s="4" t="s">
        <v>28</v>
      </c>
      <c r="B56" s="5">
        <v>1.7264055720039462E-2</v>
      </c>
      <c r="C56" s="5">
        <v>6.1707563542775538E-3</v>
      </c>
      <c r="D56" s="6">
        <v>0</v>
      </c>
      <c r="E56" s="6">
        <v>1</v>
      </c>
      <c r="F56" s="6">
        <v>382</v>
      </c>
      <c r="G56" s="5">
        <v>5.7730871783224384E-2</v>
      </c>
      <c r="H56" s="5">
        <v>1.1040934541099294E-2</v>
      </c>
      <c r="I56" s="6">
        <v>0</v>
      </c>
      <c r="J56" s="6">
        <v>1</v>
      </c>
      <c r="K56" s="6">
        <v>475</v>
      </c>
      <c r="L56" s="5">
        <v>0.15665379400173685</v>
      </c>
      <c r="M56" s="5">
        <v>1.7003833752222544E-2</v>
      </c>
      <c r="N56" s="6">
        <v>0</v>
      </c>
      <c r="O56" s="6">
        <v>1</v>
      </c>
      <c r="P56" s="6">
        <v>474</v>
      </c>
      <c r="Q56" s="5">
        <v>0.34721164151992517</v>
      </c>
      <c r="R56" s="5">
        <v>2.3722190078450694E-2</v>
      </c>
      <c r="S56" s="6">
        <v>0</v>
      </c>
      <c r="T56" s="6">
        <v>1</v>
      </c>
      <c r="U56" s="6">
        <v>423</v>
      </c>
      <c r="V56" s="5">
        <v>0.23125284705228391</v>
      </c>
      <c r="W56" s="5">
        <v>1.6225761418869618E-2</v>
      </c>
      <c r="X56" s="6">
        <v>0</v>
      </c>
      <c r="Y56" s="6">
        <v>1</v>
      </c>
      <c r="Z56" s="6">
        <v>1145</v>
      </c>
      <c r="AA56" s="5">
        <v>0.16514633074166635</v>
      </c>
      <c r="AB56" s="5">
        <v>9.5448257822117692E-3</v>
      </c>
      <c r="AC56" s="6">
        <v>0</v>
      </c>
      <c r="AD56" s="6">
        <v>1</v>
      </c>
      <c r="AE56" s="6">
        <v>2899</v>
      </c>
      <c r="AF56">
        <f>(AA57/AA55)-AA56</f>
        <v>0.1660100309804044</v>
      </c>
    </row>
    <row r="57" spans="1:32" x14ac:dyDescent="0.45">
      <c r="A57" s="4" t="s">
        <v>47</v>
      </c>
      <c r="B57" s="5">
        <v>0</v>
      </c>
      <c r="C57" s="5">
        <v>0</v>
      </c>
      <c r="D57" s="6">
        <v>0</v>
      </c>
      <c r="E57" s="6">
        <v>0</v>
      </c>
      <c r="F57" s="6">
        <v>382</v>
      </c>
      <c r="G57" s="5">
        <v>0</v>
      </c>
      <c r="H57" s="5">
        <v>0</v>
      </c>
      <c r="I57" s="6">
        <v>0</v>
      </c>
      <c r="J57" s="6">
        <v>0</v>
      </c>
      <c r="K57" s="6">
        <v>475</v>
      </c>
      <c r="L57" s="5">
        <v>1.2046650641157891E-2</v>
      </c>
      <c r="M57" s="5">
        <v>4.9519721350626232E-3</v>
      </c>
      <c r="N57" s="6">
        <v>0</v>
      </c>
      <c r="O57" s="6">
        <v>1</v>
      </c>
      <c r="P57" s="6">
        <v>474</v>
      </c>
      <c r="Q57" s="5">
        <v>3.1593667273249262E-2</v>
      </c>
      <c r="R57" s="5">
        <v>9.0193430246234465E-3</v>
      </c>
      <c r="S57" s="6">
        <v>0</v>
      </c>
      <c r="T57" s="6">
        <v>1</v>
      </c>
      <c r="U57" s="6">
        <v>423</v>
      </c>
      <c r="V57" s="5">
        <v>3.4953940045282857E-2</v>
      </c>
      <c r="W57" s="5">
        <v>7.5103221622751914E-3</v>
      </c>
      <c r="X57" s="6">
        <v>0</v>
      </c>
      <c r="Y57" s="6">
        <v>1</v>
      </c>
      <c r="Z57" s="6">
        <v>1145</v>
      </c>
      <c r="AA57" s="5">
        <v>1.3106274188526994E-2</v>
      </c>
      <c r="AB57" s="5">
        <v>2.858623898926914E-3</v>
      </c>
      <c r="AC57" s="6">
        <v>0</v>
      </c>
      <c r="AD57" s="6">
        <v>1</v>
      </c>
      <c r="AE57" s="6">
        <v>2899</v>
      </c>
    </row>
    <row r="58" spans="1:32" x14ac:dyDescent="0.45">
      <c r="A58" s="4" t="s">
        <v>14</v>
      </c>
      <c r="B58" s="5">
        <v>1.6094968575701626E-2</v>
      </c>
      <c r="C58" s="5">
        <v>6.6715854443944508E-3</v>
      </c>
      <c r="D58" s="6">
        <v>0</v>
      </c>
      <c r="E58" s="6">
        <v>1</v>
      </c>
      <c r="F58" s="6">
        <v>382</v>
      </c>
      <c r="G58" s="5">
        <v>4.0733732813672492E-2</v>
      </c>
      <c r="H58" s="5">
        <v>9.1849777172079219E-3</v>
      </c>
      <c r="I58" s="6">
        <v>0</v>
      </c>
      <c r="J58" s="6">
        <v>1</v>
      </c>
      <c r="K58" s="6">
        <v>475</v>
      </c>
      <c r="L58" s="5">
        <v>3.7333342725060573E-2</v>
      </c>
      <c r="M58" s="5">
        <v>9.0407273193900666E-3</v>
      </c>
      <c r="N58" s="6">
        <v>0</v>
      </c>
      <c r="O58" s="6">
        <v>1</v>
      </c>
      <c r="P58" s="6">
        <v>474</v>
      </c>
      <c r="Q58" s="5">
        <v>4.4859347935278154E-2</v>
      </c>
      <c r="R58" s="5">
        <v>1.0696186820389126E-2</v>
      </c>
      <c r="S58" s="6">
        <v>0</v>
      </c>
      <c r="T58" s="6">
        <v>1</v>
      </c>
      <c r="U58" s="6">
        <v>423</v>
      </c>
      <c r="V58" s="5">
        <v>6.7477197969102773E-2</v>
      </c>
      <c r="W58" s="5">
        <v>9.9982978664868126E-3</v>
      </c>
      <c r="X58" s="6">
        <v>0</v>
      </c>
      <c r="Y58" s="6">
        <v>1</v>
      </c>
      <c r="Z58" s="6">
        <v>1145</v>
      </c>
      <c r="AA58" s="5">
        <v>3.9577298531642532E-2</v>
      </c>
      <c r="AB58" s="5">
        <v>5.070485228182201E-3</v>
      </c>
      <c r="AC58" s="6">
        <v>0</v>
      </c>
      <c r="AD58" s="6">
        <v>1</v>
      </c>
      <c r="AE58" s="6">
        <v>2899</v>
      </c>
      <c r="AF58">
        <f>(AA60/AA59)-AA58</f>
        <v>3.2363017978087605E-4</v>
      </c>
    </row>
    <row r="59" spans="1:32" x14ac:dyDescent="0.45">
      <c r="A59" s="4" t="s">
        <v>30</v>
      </c>
      <c r="B59" s="5">
        <v>1.1313220175511628E-2</v>
      </c>
      <c r="C59" s="5">
        <v>4.5863484235674698E-3</v>
      </c>
      <c r="D59" s="6">
        <v>0</v>
      </c>
      <c r="E59" s="6">
        <v>1</v>
      </c>
      <c r="F59" s="6">
        <v>382</v>
      </c>
      <c r="G59" s="5">
        <v>2.0486202112384482E-2</v>
      </c>
      <c r="H59" s="5">
        <v>6.8262274481481599E-3</v>
      </c>
      <c r="I59" s="6">
        <v>0</v>
      </c>
      <c r="J59" s="6">
        <v>1</v>
      </c>
      <c r="K59" s="6">
        <v>475</v>
      </c>
      <c r="L59" s="5">
        <v>6.588841932522696E-2</v>
      </c>
      <c r="M59" s="5">
        <v>1.1660063921128712E-2</v>
      </c>
      <c r="N59" s="6">
        <v>0</v>
      </c>
      <c r="O59" s="6">
        <v>1</v>
      </c>
      <c r="P59" s="6">
        <v>474</v>
      </c>
      <c r="Q59" s="5">
        <v>5.0630794411700999E-2</v>
      </c>
      <c r="R59" s="5">
        <v>1.0815749508243298E-2</v>
      </c>
      <c r="S59" s="6">
        <v>0</v>
      </c>
      <c r="T59" s="6">
        <v>1</v>
      </c>
      <c r="U59" s="6">
        <v>423</v>
      </c>
      <c r="V59" s="5">
        <v>1.5718253828212927E-2</v>
      </c>
      <c r="W59" s="5">
        <v>3.6241988561389379E-3</v>
      </c>
      <c r="X59" s="6">
        <v>0</v>
      </c>
      <c r="Y59" s="6">
        <v>1</v>
      </c>
      <c r="Z59" s="6">
        <v>1145</v>
      </c>
      <c r="AA59" s="5">
        <v>4.5027529676807447E-2</v>
      </c>
      <c r="AB59" s="5">
        <v>5.6918609078179345E-3</v>
      </c>
      <c r="AC59" s="6">
        <v>0</v>
      </c>
      <c r="AD59" s="6">
        <v>1</v>
      </c>
      <c r="AE59" s="6">
        <v>2899</v>
      </c>
      <c r="AF59">
        <f>(AA60/AA58)-AA59</f>
        <v>3.6819763008188316E-4</v>
      </c>
    </row>
    <row r="60" spans="1:32" x14ac:dyDescent="0.45">
      <c r="A60" s="15" t="s">
        <v>48</v>
      </c>
      <c r="B60" s="5">
        <v>0</v>
      </c>
      <c r="C60" s="5">
        <v>0</v>
      </c>
      <c r="D60" s="6">
        <v>0</v>
      </c>
      <c r="E60" s="6">
        <v>0</v>
      </c>
      <c r="F60" s="6">
        <v>382</v>
      </c>
      <c r="G60" s="5">
        <v>2.1651260616339092E-3</v>
      </c>
      <c r="H60" s="5">
        <v>2.1651582096383877E-3</v>
      </c>
      <c r="I60" s="6">
        <v>0</v>
      </c>
      <c r="J60" s="6">
        <v>1</v>
      </c>
      <c r="K60" s="6">
        <v>475</v>
      </c>
      <c r="L60" s="5">
        <v>0</v>
      </c>
      <c r="M60" s="5">
        <v>0</v>
      </c>
      <c r="N60" s="6">
        <v>0</v>
      </c>
      <c r="O60" s="6">
        <v>0</v>
      </c>
      <c r="P60" s="6">
        <v>474</v>
      </c>
      <c r="Q60" s="5">
        <v>5.5960651481997805E-3</v>
      </c>
      <c r="R60" s="5">
        <v>3.9493661030935E-3</v>
      </c>
      <c r="S60" s="6">
        <v>0</v>
      </c>
      <c r="T60" s="6">
        <v>1</v>
      </c>
      <c r="U60" s="6">
        <v>423</v>
      </c>
      <c r="V60" s="5">
        <v>0</v>
      </c>
      <c r="W60" s="5">
        <v>0</v>
      </c>
      <c r="X60" s="6">
        <v>0</v>
      </c>
      <c r="Y60" s="6">
        <v>0</v>
      </c>
      <c r="Z60" s="6">
        <v>1145</v>
      </c>
      <c r="AA60" s="5">
        <v>1.7966402516857959E-3</v>
      </c>
      <c r="AB60" s="5">
        <v>1.0369190561665832E-3</v>
      </c>
      <c r="AC60" s="6">
        <v>0</v>
      </c>
      <c r="AD60" s="6">
        <v>1</v>
      </c>
      <c r="AE60" s="6">
        <v>2899</v>
      </c>
    </row>
    <row r="61" spans="1:32" x14ac:dyDescent="0.45">
      <c r="A61" s="4" t="s">
        <v>14</v>
      </c>
      <c r="B61" s="5">
        <v>1.6094968575701626E-2</v>
      </c>
      <c r="C61" s="5">
        <v>6.6715854443944508E-3</v>
      </c>
      <c r="D61" s="6">
        <v>0</v>
      </c>
      <c r="E61" s="6">
        <v>1</v>
      </c>
      <c r="F61" s="6">
        <v>382</v>
      </c>
      <c r="G61" s="5">
        <v>4.0733732813672492E-2</v>
      </c>
      <c r="H61" s="5">
        <v>9.1849777172079219E-3</v>
      </c>
      <c r="I61" s="6">
        <v>0</v>
      </c>
      <c r="J61" s="6">
        <v>1</v>
      </c>
      <c r="K61" s="6">
        <v>475</v>
      </c>
      <c r="L61" s="5">
        <v>3.7333342725060573E-2</v>
      </c>
      <c r="M61" s="5">
        <v>9.0407273193900666E-3</v>
      </c>
      <c r="N61" s="6">
        <v>0</v>
      </c>
      <c r="O61" s="6">
        <v>1</v>
      </c>
      <c r="P61" s="6">
        <v>474</v>
      </c>
      <c r="Q61" s="5">
        <v>4.4859347935278154E-2</v>
      </c>
      <c r="R61" s="5">
        <v>1.0696186820389126E-2</v>
      </c>
      <c r="S61" s="6">
        <v>0</v>
      </c>
      <c r="T61" s="6">
        <v>1</v>
      </c>
      <c r="U61" s="6">
        <v>423</v>
      </c>
      <c r="V61" s="5">
        <v>6.7477197969102773E-2</v>
      </c>
      <c r="W61" s="5">
        <v>9.9982978664868126E-3</v>
      </c>
      <c r="X61" s="6">
        <v>0</v>
      </c>
      <c r="Y61" s="6">
        <v>1</v>
      </c>
      <c r="Z61" s="6">
        <v>1145</v>
      </c>
      <c r="AA61" s="5">
        <v>3.9577298531642532E-2</v>
      </c>
      <c r="AB61" s="5">
        <v>5.070485228182201E-3</v>
      </c>
      <c r="AC61" s="6">
        <v>0</v>
      </c>
      <c r="AD61" s="6">
        <v>1</v>
      </c>
      <c r="AE61" s="6">
        <v>2899</v>
      </c>
      <c r="AF61">
        <f>(AA63/AA62)-AA61</f>
        <v>-4.3879639452661517E-3</v>
      </c>
    </row>
    <row r="62" spans="1:32" x14ac:dyDescent="0.45">
      <c r="A62" s="4" t="s">
        <v>32</v>
      </c>
      <c r="B62" s="5">
        <v>0.25284608180999629</v>
      </c>
      <c r="C62" s="5">
        <v>2.3458591618637691E-2</v>
      </c>
      <c r="D62" s="6">
        <v>0</v>
      </c>
      <c r="E62" s="6">
        <v>1</v>
      </c>
      <c r="F62" s="6">
        <v>382</v>
      </c>
      <c r="G62" s="5">
        <v>0.15469967046312694</v>
      </c>
      <c r="H62" s="5">
        <v>1.7315436519360065E-2</v>
      </c>
      <c r="I62" s="6">
        <v>0</v>
      </c>
      <c r="J62" s="6">
        <v>1</v>
      </c>
      <c r="K62" s="6">
        <v>475</v>
      </c>
      <c r="L62" s="5">
        <v>0.15465246754968828</v>
      </c>
      <c r="M62" s="5">
        <v>1.7097482428135913E-2</v>
      </c>
      <c r="N62" s="6">
        <v>0</v>
      </c>
      <c r="O62" s="6">
        <v>1</v>
      </c>
      <c r="P62" s="6">
        <v>474</v>
      </c>
      <c r="Q62" s="5">
        <v>0.13416252742816348</v>
      </c>
      <c r="R62" s="5">
        <v>1.6834266849755707E-2</v>
      </c>
      <c r="S62" s="6">
        <v>0</v>
      </c>
      <c r="T62" s="6">
        <v>1</v>
      </c>
      <c r="U62" s="6">
        <v>423</v>
      </c>
      <c r="V62" s="5">
        <v>4.0946313488166033E-2</v>
      </c>
      <c r="W62" s="5">
        <v>6.5332388522454272E-3</v>
      </c>
      <c r="X62" s="6">
        <v>0</v>
      </c>
      <c r="Y62" s="6">
        <v>1</v>
      </c>
      <c r="Z62" s="6">
        <v>1145</v>
      </c>
      <c r="AA62" s="5">
        <v>0.15253747703133069</v>
      </c>
      <c r="AB62" s="5">
        <v>9.3370656631984964E-3</v>
      </c>
      <c r="AC62" s="6">
        <v>0</v>
      </c>
      <c r="AD62" s="6">
        <v>1</v>
      </c>
      <c r="AE62" s="6">
        <v>2899</v>
      </c>
      <c r="AF62">
        <f>(AA63/AA61)-AA62</f>
        <v>-1.6911941298373534E-2</v>
      </c>
    </row>
    <row r="63" spans="1:32" x14ac:dyDescent="0.45">
      <c r="A63" s="15" t="s">
        <v>49</v>
      </c>
      <c r="B63" s="5">
        <v>4.9752597687801698E-3</v>
      </c>
      <c r="C63" s="5">
        <v>3.5183997544381146E-3</v>
      </c>
      <c r="D63" s="6">
        <v>0</v>
      </c>
      <c r="E63" s="6">
        <v>1</v>
      </c>
      <c r="F63" s="6">
        <v>382</v>
      </c>
      <c r="G63" s="5">
        <v>4.2895475753657215E-3</v>
      </c>
      <c r="H63" s="5">
        <v>3.0301809617284316E-3</v>
      </c>
      <c r="I63" s="6">
        <v>0</v>
      </c>
      <c r="J63" s="6">
        <v>1</v>
      </c>
      <c r="K63" s="6">
        <v>475</v>
      </c>
      <c r="L63" s="5">
        <v>6.4850933375547757E-3</v>
      </c>
      <c r="M63" s="5">
        <v>3.9242412069686117E-3</v>
      </c>
      <c r="N63" s="6">
        <v>0</v>
      </c>
      <c r="O63" s="6">
        <v>1</v>
      </c>
      <c r="P63" s="6">
        <v>474</v>
      </c>
      <c r="Q63" s="5">
        <v>4.9615624301958027E-3</v>
      </c>
      <c r="R63" s="5">
        <v>3.5321999578969408E-3</v>
      </c>
      <c r="S63" s="6">
        <v>0</v>
      </c>
      <c r="T63" s="6">
        <v>1</v>
      </c>
      <c r="U63" s="6">
        <v>423</v>
      </c>
      <c r="V63" s="5">
        <v>3.7341974652811243E-3</v>
      </c>
      <c r="W63" s="5">
        <v>2.363678376549147E-3</v>
      </c>
      <c r="X63" s="6">
        <v>0</v>
      </c>
      <c r="Y63" s="6">
        <v>1</v>
      </c>
      <c r="Z63" s="6">
        <v>1145</v>
      </c>
      <c r="AA63" s="5">
        <v>5.3676923162171977E-3</v>
      </c>
      <c r="AB63" s="5">
        <v>1.9829770544369388E-3</v>
      </c>
      <c r="AC63" s="6">
        <v>0</v>
      </c>
      <c r="AD63" s="6">
        <v>1</v>
      </c>
      <c r="AE63" s="6">
        <v>2899</v>
      </c>
    </row>
    <row r="64" spans="1:32" x14ac:dyDescent="0.45">
      <c r="A64" s="4" t="s">
        <v>14</v>
      </c>
      <c r="B64" s="5">
        <v>1.6094968575701626E-2</v>
      </c>
      <c r="C64" s="5">
        <v>6.6715854443944508E-3</v>
      </c>
      <c r="D64" s="6">
        <v>0</v>
      </c>
      <c r="E64" s="6">
        <v>1</v>
      </c>
      <c r="F64" s="6">
        <v>382</v>
      </c>
      <c r="G64" s="5">
        <v>4.0733732813672492E-2</v>
      </c>
      <c r="H64" s="5">
        <v>9.1849777172079219E-3</v>
      </c>
      <c r="I64" s="6">
        <v>0</v>
      </c>
      <c r="J64" s="6">
        <v>1</v>
      </c>
      <c r="K64" s="6">
        <v>475</v>
      </c>
      <c r="L64" s="5">
        <v>3.7333342725060573E-2</v>
      </c>
      <c r="M64" s="5">
        <v>9.0407273193900666E-3</v>
      </c>
      <c r="N64" s="6">
        <v>0</v>
      </c>
      <c r="O64" s="6">
        <v>1</v>
      </c>
      <c r="P64" s="6">
        <v>474</v>
      </c>
      <c r="Q64" s="5">
        <v>4.4859347935278154E-2</v>
      </c>
      <c r="R64" s="5">
        <v>1.0696186820389126E-2</v>
      </c>
      <c r="S64" s="6">
        <v>0</v>
      </c>
      <c r="T64" s="6">
        <v>1</v>
      </c>
      <c r="U64" s="6">
        <v>423</v>
      </c>
      <c r="V64" s="5">
        <v>6.7477197969102773E-2</v>
      </c>
      <c r="W64" s="5">
        <v>9.9982978664868126E-3</v>
      </c>
      <c r="X64" s="6">
        <v>0</v>
      </c>
      <c r="Y64" s="6">
        <v>1</v>
      </c>
      <c r="Z64" s="6">
        <v>1145</v>
      </c>
      <c r="AA64" s="5">
        <v>3.9577298531642532E-2</v>
      </c>
      <c r="AB64" s="5">
        <v>5.070485228182201E-3</v>
      </c>
      <c r="AC64" s="6">
        <v>0</v>
      </c>
      <c r="AD64" s="6">
        <v>1</v>
      </c>
      <c r="AE64" s="6">
        <v>2899</v>
      </c>
      <c r="AF64">
        <f>(AA66/AA65)-AA64</f>
        <v>-1.9666726153247903E-2</v>
      </c>
    </row>
    <row r="65" spans="1:32" x14ac:dyDescent="0.45">
      <c r="A65" s="4" t="s">
        <v>34</v>
      </c>
      <c r="B65" s="5">
        <v>2.234881186640706E-2</v>
      </c>
      <c r="C65" s="5">
        <v>7.2505456347755999E-3</v>
      </c>
      <c r="D65" s="6">
        <v>0</v>
      </c>
      <c r="E65" s="6">
        <v>1</v>
      </c>
      <c r="F65" s="6">
        <v>382</v>
      </c>
      <c r="G65" s="5">
        <v>5.804778638754593E-2</v>
      </c>
      <c r="H65" s="5">
        <v>1.1281809592535668E-2</v>
      </c>
      <c r="I65" s="6">
        <v>0</v>
      </c>
      <c r="J65" s="6">
        <v>1</v>
      </c>
      <c r="K65" s="6">
        <v>475</v>
      </c>
      <c r="L65" s="5">
        <v>7.7480419578348128E-2</v>
      </c>
      <c r="M65" s="5">
        <v>1.2659526579995721E-2</v>
      </c>
      <c r="N65" s="6">
        <v>0</v>
      </c>
      <c r="O65" s="6">
        <v>1</v>
      </c>
      <c r="P65" s="6">
        <v>474</v>
      </c>
      <c r="Q65" s="5">
        <v>5.2708548379860748E-2</v>
      </c>
      <c r="R65" s="5">
        <v>1.100803849809036E-2</v>
      </c>
      <c r="S65" s="6">
        <v>0</v>
      </c>
      <c r="T65" s="6">
        <v>1</v>
      </c>
      <c r="U65" s="6">
        <v>423</v>
      </c>
      <c r="V65" s="5">
        <v>5.6255696843250701E-3</v>
      </c>
      <c r="W65" s="5">
        <v>2.5449161715647033E-3</v>
      </c>
      <c r="X65" s="6">
        <v>0</v>
      </c>
      <c r="Y65" s="6">
        <v>1</v>
      </c>
      <c r="Z65" s="6">
        <v>1145</v>
      </c>
      <c r="AA65" s="5">
        <v>6.0690366495873303E-2</v>
      </c>
      <c r="AB65" s="5">
        <v>6.5213912070352298E-3</v>
      </c>
      <c r="AC65" s="6">
        <v>0</v>
      </c>
      <c r="AD65" s="6">
        <v>1</v>
      </c>
      <c r="AE65" s="6">
        <v>2899</v>
      </c>
      <c r="AF65">
        <f>(AA66/AA64)-AA65</f>
        <v>-3.0158218531775464E-2</v>
      </c>
    </row>
    <row r="66" spans="1:32" ht="26.25" x14ac:dyDescent="0.45">
      <c r="A66" s="4" t="s">
        <v>50</v>
      </c>
      <c r="B66" s="5">
        <v>0</v>
      </c>
      <c r="C66" s="5">
        <v>0</v>
      </c>
      <c r="D66" s="6">
        <v>0</v>
      </c>
      <c r="E66" s="6">
        <v>0</v>
      </c>
      <c r="F66" s="6">
        <v>382</v>
      </c>
      <c r="G66" s="5">
        <v>4.2895475753657215E-3</v>
      </c>
      <c r="H66" s="5">
        <v>3.0301809617284316E-3</v>
      </c>
      <c r="I66" s="6">
        <v>0</v>
      </c>
      <c r="J66" s="6">
        <v>1</v>
      </c>
      <c r="K66" s="6">
        <v>475</v>
      </c>
      <c r="L66" s="5">
        <v>0</v>
      </c>
      <c r="M66" s="5">
        <v>0</v>
      </c>
      <c r="N66" s="6">
        <v>0</v>
      </c>
      <c r="O66" s="6">
        <v>0</v>
      </c>
      <c r="P66" s="6">
        <v>474</v>
      </c>
      <c r="Q66" s="5">
        <v>0</v>
      </c>
      <c r="R66" s="5">
        <v>0</v>
      </c>
      <c r="S66" s="6">
        <v>0</v>
      </c>
      <c r="T66" s="6">
        <v>0</v>
      </c>
      <c r="U66" s="6">
        <v>423</v>
      </c>
      <c r="V66" s="5">
        <v>1.6416048821905214E-3</v>
      </c>
      <c r="W66" s="5">
        <v>1.6410271661799604E-3</v>
      </c>
      <c r="X66" s="6">
        <v>0</v>
      </c>
      <c r="Y66" s="6">
        <v>1</v>
      </c>
      <c r="Z66" s="6">
        <v>1145</v>
      </c>
      <c r="AA66" s="5">
        <v>1.2083799347873819E-3</v>
      </c>
      <c r="AB66" s="5">
        <v>8.1452280894978588E-4</v>
      </c>
      <c r="AC66" s="6">
        <v>0</v>
      </c>
      <c r="AD66" s="6">
        <v>1</v>
      </c>
      <c r="AE66" s="6">
        <v>2899</v>
      </c>
    </row>
    <row r="67" spans="1:32" x14ac:dyDescent="0.45">
      <c r="A67" s="4" t="s">
        <v>14</v>
      </c>
      <c r="B67" s="5">
        <v>1.6094968575701626E-2</v>
      </c>
      <c r="C67" s="5">
        <v>6.6715854443944508E-3</v>
      </c>
      <c r="D67" s="6">
        <v>0</v>
      </c>
      <c r="E67" s="6">
        <v>1</v>
      </c>
      <c r="F67" s="6">
        <v>382</v>
      </c>
      <c r="G67" s="5">
        <v>4.0733732813672492E-2</v>
      </c>
      <c r="H67" s="5">
        <v>9.1849777172079219E-3</v>
      </c>
      <c r="I67" s="6">
        <v>0</v>
      </c>
      <c r="J67" s="6">
        <v>1</v>
      </c>
      <c r="K67" s="6">
        <v>475</v>
      </c>
      <c r="L67" s="5">
        <v>3.7333342725060573E-2</v>
      </c>
      <c r="M67" s="5">
        <v>9.0407273193900666E-3</v>
      </c>
      <c r="N67" s="6">
        <v>0</v>
      </c>
      <c r="O67" s="6">
        <v>1</v>
      </c>
      <c r="P67" s="6">
        <v>474</v>
      </c>
      <c r="Q67" s="5">
        <v>4.4859347935278154E-2</v>
      </c>
      <c r="R67" s="5">
        <v>1.0696186820389126E-2</v>
      </c>
      <c r="S67" s="6">
        <v>0</v>
      </c>
      <c r="T67" s="6">
        <v>1</v>
      </c>
      <c r="U67" s="6">
        <v>423</v>
      </c>
      <c r="V67" s="5">
        <v>6.7477197969102773E-2</v>
      </c>
      <c r="W67" s="5">
        <v>9.9982978664868126E-3</v>
      </c>
      <c r="X67" s="6">
        <v>0</v>
      </c>
      <c r="Y67" s="6">
        <v>1</v>
      </c>
      <c r="Z67" s="6">
        <v>1145</v>
      </c>
      <c r="AA67" s="5">
        <v>3.9577298531642532E-2</v>
      </c>
      <c r="AB67" s="5">
        <v>5.070485228182201E-3</v>
      </c>
      <c r="AC67" s="6">
        <v>0</v>
      </c>
      <c r="AD67" s="6">
        <v>1</v>
      </c>
      <c r="AE67" s="6">
        <v>2899</v>
      </c>
      <c r="AF67">
        <f>(AA69/AA68)-AA67</f>
        <v>-5.2909915370062677E-3</v>
      </c>
    </row>
    <row r="68" spans="1:32" x14ac:dyDescent="0.45">
      <c r="A68" s="4" t="s">
        <v>36</v>
      </c>
      <c r="B68" s="5">
        <v>0.26636125194779031</v>
      </c>
      <c r="C68" s="5">
        <v>2.4189991287900472E-2</v>
      </c>
      <c r="D68" s="6">
        <v>0</v>
      </c>
      <c r="E68" s="6">
        <v>1</v>
      </c>
      <c r="F68" s="6">
        <v>377</v>
      </c>
      <c r="G68" s="5">
        <v>0.17672760534526755</v>
      </c>
      <c r="H68" s="5">
        <v>1.8127456261163202E-2</v>
      </c>
      <c r="I68" s="6">
        <v>0</v>
      </c>
      <c r="J68" s="6">
        <v>1</v>
      </c>
      <c r="K68" s="6">
        <v>467</v>
      </c>
      <c r="L68" s="5">
        <v>4.3890875888197518E-2</v>
      </c>
      <c r="M68" s="5">
        <v>9.6682460234033402E-3</v>
      </c>
      <c r="N68" s="6">
        <v>0</v>
      </c>
      <c r="O68" s="6">
        <v>1</v>
      </c>
      <c r="P68" s="6">
        <v>441</v>
      </c>
      <c r="Q68" s="5">
        <v>8.371081995835053E-2</v>
      </c>
      <c r="R68" s="5">
        <v>1.4050470479779449E-2</v>
      </c>
      <c r="S68" s="6">
        <v>0</v>
      </c>
      <c r="T68" s="6">
        <v>1</v>
      </c>
      <c r="U68" s="6">
        <v>422</v>
      </c>
      <c r="V68" s="5">
        <v>0.17670361522524197</v>
      </c>
      <c r="W68" s="5">
        <v>1.6865782603968957E-2</v>
      </c>
      <c r="X68" s="6">
        <v>0</v>
      </c>
      <c r="Y68" s="6">
        <v>1</v>
      </c>
      <c r="Z68" s="6">
        <v>1068</v>
      </c>
      <c r="AA68" s="5">
        <v>0.10901593418102137</v>
      </c>
      <c r="AB68" s="5">
        <v>7.4445039199197852E-3</v>
      </c>
      <c r="AC68" s="6">
        <v>0</v>
      </c>
      <c r="AD68" s="6">
        <v>1</v>
      </c>
      <c r="AE68" s="6">
        <v>2775</v>
      </c>
      <c r="AF68">
        <f>(AA69/AA67)-AA68</f>
        <v>-1.4574071666095534E-2</v>
      </c>
    </row>
    <row r="69" spans="1:32" x14ac:dyDescent="0.45">
      <c r="A69" s="4" t="s">
        <v>51</v>
      </c>
      <c r="B69" s="5">
        <v>2.6609971055302538E-3</v>
      </c>
      <c r="C69" s="5">
        <v>2.6618897379259931E-3</v>
      </c>
      <c r="D69" s="6">
        <v>0</v>
      </c>
      <c r="E69" s="6">
        <v>1</v>
      </c>
      <c r="F69" s="6">
        <v>377</v>
      </c>
      <c r="G69" s="5">
        <v>9.1212889796979685E-3</v>
      </c>
      <c r="H69" s="5">
        <v>4.5464139787510082E-3</v>
      </c>
      <c r="I69" s="6">
        <v>0</v>
      </c>
      <c r="J69" s="6">
        <v>1</v>
      </c>
      <c r="K69" s="6">
        <v>467</v>
      </c>
      <c r="L69" s="5">
        <v>1.7397420224184116E-3</v>
      </c>
      <c r="M69" s="5">
        <v>1.7407986229793484E-3</v>
      </c>
      <c r="N69" s="6">
        <v>0</v>
      </c>
      <c r="O69" s="6">
        <v>1</v>
      </c>
      <c r="P69" s="6">
        <v>441</v>
      </c>
      <c r="Q69" s="5">
        <v>0</v>
      </c>
      <c r="R69" s="5">
        <v>0</v>
      </c>
      <c r="S69" s="6">
        <v>0</v>
      </c>
      <c r="T69" s="6">
        <v>0</v>
      </c>
      <c r="U69" s="6">
        <v>422</v>
      </c>
      <c r="V69" s="5">
        <v>1.035858340951756E-2</v>
      </c>
      <c r="W69" s="5">
        <v>3.4841607260629511E-3</v>
      </c>
      <c r="X69" s="6">
        <v>0</v>
      </c>
      <c r="Y69" s="6">
        <v>1</v>
      </c>
      <c r="Z69" s="6">
        <v>1068</v>
      </c>
      <c r="AA69" s="5">
        <v>3.7377537866375601E-3</v>
      </c>
      <c r="AB69" s="5">
        <v>1.4485517235922779E-3</v>
      </c>
      <c r="AC69" s="6">
        <v>0</v>
      </c>
      <c r="AD69" s="6">
        <v>1</v>
      </c>
      <c r="AE69" s="6">
        <v>2775</v>
      </c>
    </row>
    <row r="70" spans="1:32" x14ac:dyDescent="0.45">
      <c r="A70" s="4" t="s">
        <v>26</v>
      </c>
      <c r="B70" s="5">
        <v>4.1884796563283817E-2</v>
      </c>
      <c r="C70" s="5">
        <v>1.0380573988597106E-2</v>
      </c>
      <c r="D70" s="6">
        <v>0</v>
      </c>
      <c r="E70" s="6">
        <v>1</v>
      </c>
      <c r="F70" s="6">
        <v>382</v>
      </c>
      <c r="G70" s="5">
        <v>0.13753902744546623</v>
      </c>
      <c r="H70" s="5">
        <v>1.640272398244708E-2</v>
      </c>
      <c r="I70" s="6">
        <v>0</v>
      </c>
      <c r="J70" s="6">
        <v>1</v>
      </c>
      <c r="K70" s="6">
        <v>475</v>
      </c>
      <c r="L70" s="5">
        <v>0.10931219334347021</v>
      </c>
      <c r="M70" s="5">
        <v>1.5011658014023562E-2</v>
      </c>
      <c r="N70" s="6">
        <v>0</v>
      </c>
      <c r="O70" s="6">
        <v>1</v>
      </c>
      <c r="P70" s="6">
        <v>474</v>
      </c>
      <c r="Q70" s="5">
        <v>0.21697284641081702</v>
      </c>
      <c r="R70" s="5">
        <v>2.0889826904432647E-2</v>
      </c>
      <c r="S70" s="6">
        <v>0</v>
      </c>
      <c r="T70" s="6">
        <v>1</v>
      </c>
      <c r="U70" s="6">
        <v>423</v>
      </c>
      <c r="V70" s="5">
        <v>6.6281456209125428E-2</v>
      </c>
      <c r="W70" s="5">
        <v>9.5772379732993566E-3</v>
      </c>
      <c r="X70" s="6">
        <v>0</v>
      </c>
      <c r="Y70" s="6">
        <v>1</v>
      </c>
      <c r="Z70" s="6">
        <v>1145</v>
      </c>
      <c r="AA70" s="5">
        <v>0.13431582341296991</v>
      </c>
      <c r="AB70" s="5">
        <v>8.9532354906008849E-3</v>
      </c>
      <c r="AC70" s="6">
        <v>0</v>
      </c>
      <c r="AD70" s="6">
        <v>1</v>
      </c>
      <c r="AE70" s="6">
        <v>2899</v>
      </c>
      <c r="AF70">
        <f>(AA72/AA71)-AA70</f>
        <v>5.0345455347104523E-2</v>
      </c>
    </row>
    <row r="71" spans="1:32" x14ac:dyDescent="0.45">
      <c r="A71" s="4" t="s">
        <v>28</v>
      </c>
      <c r="B71" s="5">
        <v>1.7264055720039462E-2</v>
      </c>
      <c r="C71" s="5">
        <v>6.1707563542775538E-3</v>
      </c>
      <c r="D71" s="6">
        <v>0</v>
      </c>
      <c r="E71" s="6">
        <v>1</v>
      </c>
      <c r="F71" s="6">
        <v>382</v>
      </c>
      <c r="G71" s="5">
        <v>5.7730871783224384E-2</v>
      </c>
      <c r="H71" s="5">
        <v>1.1040934541099294E-2</v>
      </c>
      <c r="I71" s="6">
        <v>0</v>
      </c>
      <c r="J71" s="6">
        <v>1</v>
      </c>
      <c r="K71" s="6">
        <v>475</v>
      </c>
      <c r="L71" s="5">
        <v>0.15665379400173685</v>
      </c>
      <c r="M71" s="5">
        <v>1.7003833752222544E-2</v>
      </c>
      <c r="N71" s="6">
        <v>0</v>
      </c>
      <c r="O71" s="6">
        <v>1</v>
      </c>
      <c r="P71" s="6">
        <v>474</v>
      </c>
      <c r="Q71" s="5">
        <v>0.34721164151992517</v>
      </c>
      <c r="R71" s="5">
        <v>2.3722190078450694E-2</v>
      </c>
      <c r="S71" s="6">
        <v>0</v>
      </c>
      <c r="T71" s="6">
        <v>1</v>
      </c>
      <c r="U71" s="6">
        <v>423</v>
      </c>
      <c r="V71" s="5">
        <v>0.23125284705228391</v>
      </c>
      <c r="W71" s="5">
        <v>1.6225761418869618E-2</v>
      </c>
      <c r="X71" s="6">
        <v>0</v>
      </c>
      <c r="Y71" s="6">
        <v>1</v>
      </c>
      <c r="Z71" s="6">
        <v>1145</v>
      </c>
      <c r="AA71" s="5">
        <v>0.16514633074166635</v>
      </c>
      <c r="AB71" s="5">
        <v>9.5448257822117692E-3</v>
      </c>
      <c r="AC71" s="6">
        <v>0</v>
      </c>
      <c r="AD71" s="6">
        <v>1</v>
      </c>
      <c r="AE71" s="6">
        <v>2899</v>
      </c>
      <c r="AF71">
        <f>(AA72/AA70)-AA71</f>
        <v>6.1901621185236011E-2</v>
      </c>
    </row>
    <row r="72" spans="1:32" x14ac:dyDescent="0.45">
      <c r="A72" s="4" t="s">
        <v>52</v>
      </c>
      <c r="B72" s="5">
        <v>0</v>
      </c>
      <c r="C72" s="5">
        <v>0</v>
      </c>
      <c r="D72" s="6">
        <v>0</v>
      </c>
      <c r="E72" s="6">
        <v>0</v>
      </c>
      <c r="F72" s="6">
        <v>382</v>
      </c>
      <c r="G72" s="5">
        <v>2.141496619392782E-3</v>
      </c>
      <c r="H72" s="5">
        <v>2.1415791243184546E-3</v>
      </c>
      <c r="I72" s="6">
        <v>0</v>
      </c>
      <c r="J72" s="6">
        <v>1</v>
      </c>
      <c r="K72" s="6">
        <v>475</v>
      </c>
      <c r="L72" s="5">
        <v>1.2985494766683469E-2</v>
      </c>
      <c r="M72" s="5">
        <v>5.3104805044688628E-3</v>
      </c>
      <c r="N72" s="6">
        <v>0</v>
      </c>
      <c r="O72" s="6">
        <v>1</v>
      </c>
      <c r="P72" s="6">
        <v>474</v>
      </c>
      <c r="Q72" s="5">
        <v>0.10716308659286111</v>
      </c>
      <c r="R72" s="5">
        <v>1.555308849223762E-2</v>
      </c>
      <c r="S72" s="6">
        <v>0</v>
      </c>
      <c r="T72" s="6">
        <v>1</v>
      </c>
      <c r="U72" s="6">
        <v>423</v>
      </c>
      <c r="V72" s="5">
        <v>3.4936156302097517E-2</v>
      </c>
      <c r="W72" s="5">
        <v>7.1267155206341101E-3</v>
      </c>
      <c r="X72" s="6">
        <v>0</v>
      </c>
      <c r="Y72" s="6">
        <v>1</v>
      </c>
      <c r="Z72" s="6">
        <v>1145</v>
      </c>
      <c r="AA72" s="5">
        <v>3.0496132617290297E-2</v>
      </c>
      <c r="AB72" s="5">
        <v>4.1951306012267542E-3</v>
      </c>
      <c r="AC72" s="6">
        <v>0</v>
      </c>
      <c r="AD72" s="6">
        <v>1</v>
      </c>
      <c r="AE72" s="6">
        <v>2899</v>
      </c>
    </row>
    <row r="73" spans="1:32" x14ac:dyDescent="0.45">
      <c r="A73" s="4" t="s">
        <v>26</v>
      </c>
      <c r="B73" s="5">
        <v>4.1884796563283817E-2</v>
      </c>
      <c r="C73" s="5">
        <v>1.0380573988597106E-2</v>
      </c>
      <c r="D73" s="6">
        <v>0</v>
      </c>
      <c r="E73" s="6">
        <v>1</v>
      </c>
      <c r="F73" s="6">
        <v>382</v>
      </c>
      <c r="G73" s="5">
        <v>0.13753902744546623</v>
      </c>
      <c r="H73" s="5">
        <v>1.640272398244708E-2</v>
      </c>
      <c r="I73" s="6">
        <v>0</v>
      </c>
      <c r="J73" s="6">
        <v>1</v>
      </c>
      <c r="K73" s="6">
        <v>475</v>
      </c>
      <c r="L73" s="5">
        <v>0.10931219334347021</v>
      </c>
      <c r="M73" s="5">
        <v>1.5011658014023562E-2</v>
      </c>
      <c r="N73" s="6">
        <v>0</v>
      </c>
      <c r="O73" s="6">
        <v>1</v>
      </c>
      <c r="P73" s="6">
        <v>474</v>
      </c>
      <c r="Q73" s="5">
        <v>0.21697284641081702</v>
      </c>
      <c r="R73" s="5">
        <v>2.0889826904432647E-2</v>
      </c>
      <c r="S73" s="6">
        <v>0</v>
      </c>
      <c r="T73" s="6">
        <v>1</v>
      </c>
      <c r="U73" s="6">
        <v>423</v>
      </c>
      <c r="V73" s="5">
        <v>6.6281456209125428E-2</v>
      </c>
      <c r="W73" s="5">
        <v>9.5772379732993566E-3</v>
      </c>
      <c r="X73" s="6">
        <v>0</v>
      </c>
      <c r="Y73" s="6">
        <v>1</v>
      </c>
      <c r="Z73" s="6">
        <v>1145</v>
      </c>
      <c r="AA73" s="5">
        <v>0.13431582341296991</v>
      </c>
      <c r="AB73" s="5">
        <v>8.9532354906008849E-3</v>
      </c>
      <c r="AC73" s="6">
        <v>0</v>
      </c>
      <c r="AD73" s="6">
        <v>1</v>
      </c>
      <c r="AE73" s="6">
        <v>2899</v>
      </c>
      <c r="AF73">
        <f>(AA75/AA74)-AA73</f>
        <v>2.185417430210998E-2</v>
      </c>
    </row>
    <row r="74" spans="1:32" x14ac:dyDescent="0.45">
      <c r="A74" s="4" t="s">
        <v>30</v>
      </c>
      <c r="B74" s="5">
        <v>1.1313220175511628E-2</v>
      </c>
      <c r="C74" s="5">
        <v>4.5863484235674698E-3</v>
      </c>
      <c r="D74" s="6">
        <v>0</v>
      </c>
      <c r="E74" s="6">
        <v>1</v>
      </c>
      <c r="F74" s="6">
        <v>382</v>
      </c>
      <c r="G74" s="5">
        <v>2.0486202112384482E-2</v>
      </c>
      <c r="H74" s="5">
        <v>6.8262274481481599E-3</v>
      </c>
      <c r="I74" s="6">
        <v>0</v>
      </c>
      <c r="J74" s="6">
        <v>1</v>
      </c>
      <c r="K74" s="6">
        <v>475</v>
      </c>
      <c r="L74" s="5">
        <v>6.588841932522696E-2</v>
      </c>
      <c r="M74" s="5">
        <v>1.1660063921128712E-2</v>
      </c>
      <c r="N74" s="6">
        <v>0</v>
      </c>
      <c r="O74" s="6">
        <v>1</v>
      </c>
      <c r="P74" s="6">
        <v>474</v>
      </c>
      <c r="Q74" s="5">
        <v>5.0630794411700999E-2</v>
      </c>
      <c r="R74" s="5">
        <v>1.0815749508243298E-2</v>
      </c>
      <c r="S74" s="6">
        <v>0</v>
      </c>
      <c r="T74" s="6">
        <v>1</v>
      </c>
      <c r="U74" s="6">
        <v>423</v>
      </c>
      <c r="V74" s="5">
        <v>1.5718253828212927E-2</v>
      </c>
      <c r="W74" s="5">
        <v>3.6241988561389379E-3</v>
      </c>
      <c r="X74" s="6">
        <v>0</v>
      </c>
      <c r="Y74" s="6">
        <v>1</v>
      </c>
      <c r="Z74" s="6">
        <v>1145</v>
      </c>
      <c r="AA74" s="5">
        <v>4.5027529676807447E-2</v>
      </c>
      <c r="AB74" s="5">
        <v>5.6918609078179345E-3</v>
      </c>
      <c r="AC74" s="6">
        <v>0</v>
      </c>
      <c r="AD74" s="6">
        <v>1</v>
      </c>
      <c r="AE74" s="6">
        <v>2899</v>
      </c>
      <c r="AF74">
        <f>(AA75/AA73)-AA74</f>
        <v>7.3263109062350271E-3</v>
      </c>
    </row>
    <row r="75" spans="1:32" ht="26.25" x14ac:dyDescent="0.45">
      <c r="A75" s="4" t="s">
        <v>53</v>
      </c>
      <c r="B75" s="5">
        <v>0</v>
      </c>
      <c r="C75" s="5">
        <v>0</v>
      </c>
      <c r="D75" s="6">
        <v>0</v>
      </c>
      <c r="E75" s="6">
        <v>0</v>
      </c>
      <c r="F75" s="6">
        <v>382</v>
      </c>
      <c r="G75" s="5">
        <v>2.1651260616339092E-3</v>
      </c>
      <c r="H75" s="5">
        <v>2.1651582096383877E-3</v>
      </c>
      <c r="I75" s="6">
        <v>0</v>
      </c>
      <c r="J75" s="6">
        <v>1</v>
      </c>
      <c r="K75" s="6">
        <v>475</v>
      </c>
      <c r="L75" s="5">
        <v>6.3893195016236012E-3</v>
      </c>
      <c r="M75" s="5">
        <v>3.6866266744804556E-3</v>
      </c>
      <c r="N75" s="6">
        <v>0</v>
      </c>
      <c r="O75" s="6">
        <v>1</v>
      </c>
      <c r="P75" s="6">
        <v>474</v>
      </c>
      <c r="Q75" s="5">
        <v>1.7437843242915009E-2</v>
      </c>
      <c r="R75" s="5">
        <v>6.5837547618348069E-3</v>
      </c>
      <c r="S75" s="6">
        <v>0</v>
      </c>
      <c r="T75" s="6">
        <v>1</v>
      </c>
      <c r="U75" s="6">
        <v>423</v>
      </c>
      <c r="V75" s="5">
        <v>5.7825990109466755E-4</v>
      </c>
      <c r="W75" s="5">
        <v>4.095315381568988E-4</v>
      </c>
      <c r="X75" s="6">
        <v>0</v>
      </c>
      <c r="Y75" s="6">
        <v>1</v>
      </c>
      <c r="Z75" s="6">
        <v>1145</v>
      </c>
      <c r="AA75" s="5">
        <v>7.0319492067427106E-3</v>
      </c>
      <c r="AB75" s="5">
        <v>2.1715067594284647E-3</v>
      </c>
      <c r="AC75" s="6">
        <v>0</v>
      </c>
      <c r="AD75" s="6">
        <v>1</v>
      </c>
      <c r="AE75" s="6">
        <v>2899</v>
      </c>
    </row>
    <row r="76" spans="1:32" x14ac:dyDescent="0.45">
      <c r="A76" s="4" t="s">
        <v>26</v>
      </c>
      <c r="B76" s="5">
        <v>4.1884796563283817E-2</v>
      </c>
      <c r="C76" s="5">
        <v>1.0380573988597106E-2</v>
      </c>
      <c r="D76" s="6">
        <v>0</v>
      </c>
      <c r="E76" s="6">
        <v>1</v>
      </c>
      <c r="F76" s="6">
        <v>382</v>
      </c>
      <c r="G76" s="5">
        <v>0.13753902744546623</v>
      </c>
      <c r="H76" s="5">
        <v>1.640272398244708E-2</v>
      </c>
      <c r="I76" s="6">
        <v>0</v>
      </c>
      <c r="J76" s="6">
        <v>1</v>
      </c>
      <c r="K76" s="6">
        <v>475</v>
      </c>
      <c r="L76" s="5">
        <v>0.10931219334347021</v>
      </c>
      <c r="M76" s="5">
        <v>1.5011658014023562E-2</v>
      </c>
      <c r="N76" s="6">
        <v>0</v>
      </c>
      <c r="O76" s="6">
        <v>1</v>
      </c>
      <c r="P76" s="6">
        <v>474</v>
      </c>
      <c r="Q76" s="5">
        <v>0.21697284641081702</v>
      </c>
      <c r="R76" s="5">
        <v>2.0889826904432647E-2</v>
      </c>
      <c r="S76" s="6">
        <v>0</v>
      </c>
      <c r="T76" s="6">
        <v>1</v>
      </c>
      <c r="U76" s="6">
        <v>423</v>
      </c>
      <c r="V76" s="5">
        <v>6.6281456209125428E-2</v>
      </c>
      <c r="W76" s="5">
        <v>9.5772379732993566E-3</v>
      </c>
      <c r="X76" s="6">
        <v>0</v>
      </c>
      <c r="Y76" s="6">
        <v>1</v>
      </c>
      <c r="Z76" s="6">
        <v>1145</v>
      </c>
      <c r="AA76" s="5">
        <v>0.13431582341296991</v>
      </c>
      <c r="AB76" s="5">
        <v>8.9532354906008849E-3</v>
      </c>
      <c r="AC76" s="6">
        <v>0</v>
      </c>
      <c r="AD76" s="6">
        <v>1</v>
      </c>
      <c r="AE76" s="6">
        <v>2899</v>
      </c>
      <c r="AF76">
        <f>(AA78/AA77)-AA76</f>
        <v>4.460156101377899E-3</v>
      </c>
    </row>
    <row r="77" spans="1:32" x14ac:dyDescent="0.45">
      <c r="A77" s="4" t="s">
        <v>32</v>
      </c>
      <c r="B77" s="5">
        <v>0.25284608180999629</v>
      </c>
      <c r="C77" s="5">
        <v>2.3458591618637691E-2</v>
      </c>
      <c r="D77" s="6">
        <v>0</v>
      </c>
      <c r="E77" s="6">
        <v>1</v>
      </c>
      <c r="F77" s="6">
        <v>382</v>
      </c>
      <c r="G77" s="5">
        <v>0.15469967046312694</v>
      </c>
      <c r="H77" s="5">
        <v>1.7315436519360065E-2</v>
      </c>
      <c r="I77" s="6">
        <v>0</v>
      </c>
      <c r="J77" s="6">
        <v>1</v>
      </c>
      <c r="K77" s="6">
        <v>475</v>
      </c>
      <c r="L77" s="5">
        <v>0.15465246754968828</v>
      </c>
      <c r="M77" s="5">
        <v>1.7097482428135913E-2</v>
      </c>
      <c r="N77" s="6">
        <v>0</v>
      </c>
      <c r="O77" s="6">
        <v>1</v>
      </c>
      <c r="P77" s="6">
        <v>474</v>
      </c>
      <c r="Q77" s="5">
        <v>0.13416252742816348</v>
      </c>
      <c r="R77" s="5">
        <v>1.6834266849755707E-2</v>
      </c>
      <c r="S77" s="6">
        <v>0</v>
      </c>
      <c r="T77" s="6">
        <v>1</v>
      </c>
      <c r="U77" s="6">
        <v>423</v>
      </c>
      <c r="V77" s="5">
        <v>4.0946313488166033E-2</v>
      </c>
      <c r="W77" s="5">
        <v>6.5332388522454272E-3</v>
      </c>
      <c r="X77" s="6">
        <v>0</v>
      </c>
      <c r="Y77" s="6">
        <v>1</v>
      </c>
      <c r="Z77" s="6">
        <v>1145</v>
      </c>
      <c r="AA77" s="5">
        <v>0.15253747703133069</v>
      </c>
      <c r="AB77" s="5">
        <v>9.3370656631984964E-3</v>
      </c>
      <c r="AC77" s="6">
        <v>0</v>
      </c>
      <c r="AD77" s="6">
        <v>1</v>
      </c>
      <c r="AE77" s="6">
        <v>2899</v>
      </c>
      <c r="AF77">
        <f>(AA78/AA76)-AA77</f>
        <v>5.0652331317531663E-3</v>
      </c>
    </row>
    <row r="78" spans="1:32" ht="26.25" x14ac:dyDescent="0.45">
      <c r="A78" s="4" t="s">
        <v>54</v>
      </c>
      <c r="B78" s="5">
        <v>1.2829671967139888E-2</v>
      </c>
      <c r="C78" s="5">
        <v>5.7524280284934467E-3</v>
      </c>
      <c r="D78" s="6">
        <v>0</v>
      </c>
      <c r="E78" s="6">
        <v>1</v>
      </c>
      <c r="F78" s="6">
        <v>382</v>
      </c>
      <c r="G78" s="5">
        <v>2.5750725201187274E-2</v>
      </c>
      <c r="H78" s="5">
        <v>7.6930849576909519E-3</v>
      </c>
      <c r="I78" s="6">
        <v>0</v>
      </c>
      <c r="J78" s="6">
        <v>1</v>
      </c>
      <c r="K78" s="6">
        <v>475</v>
      </c>
      <c r="L78" s="5">
        <v>1.2880942252134294E-2</v>
      </c>
      <c r="M78" s="5">
        <v>5.2573794887287931E-3</v>
      </c>
      <c r="N78" s="6">
        <v>0</v>
      </c>
      <c r="O78" s="6">
        <v>1</v>
      </c>
      <c r="P78" s="6">
        <v>474</v>
      </c>
      <c r="Q78" s="5">
        <v>3.619739568401608E-2</v>
      </c>
      <c r="R78" s="5">
        <v>9.2723494231463574E-3</v>
      </c>
      <c r="S78" s="6">
        <v>0</v>
      </c>
      <c r="T78" s="6">
        <v>1</v>
      </c>
      <c r="U78" s="6">
        <v>423</v>
      </c>
      <c r="V78" s="5">
        <v>6.6131675175115073E-3</v>
      </c>
      <c r="W78" s="5">
        <v>3.0786080454317023E-3</v>
      </c>
      <c r="X78" s="6">
        <v>0</v>
      </c>
      <c r="Y78" s="6">
        <v>1</v>
      </c>
      <c r="Z78" s="6">
        <v>1145</v>
      </c>
      <c r="AA78" s="5">
        <v>2.116853778767025E-2</v>
      </c>
      <c r="AB78" s="5">
        <v>3.6361767011415308E-3</v>
      </c>
      <c r="AC78" s="6">
        <v>0</v>
      </c>
      <c r="AD78" s="6">
        <v>1</v>
      </c>
      <c r="AE78" s="6">
        <v>2899</v>
      </c>
    </row>
    <row r="79" spans="1:32" x14ac:dyDescent="0.45">
      <c r="A79" s="4" t="s">
        <v>26</v>
      </c>
      <c r="B79" s="5">
        <v>4.1884796563283817E-2</v>
      </c>
      <c r="C79" s="5">
        <v>1.0380573988597106E-2</v>
      </c>
      <c r="D79" s="6">
        <v>0</v>
      </c>
      <c r="E79" s="6">
        <v>1</v>
      </c>
      <c r="F79" s="6">
        <v>382</v>
      </c>
      <c r="G79" s="5">
        <v>0.13753902744546623</v>
      </c>
      <c r="H79" s="5">
        <v>1.640272398244708E-2</v>
      </c>
      <c r="I79" s="6">
        <v>0</v>
      </c>
      <c r="J79" s="6">
        <v>1</v>
      </c>
      <c r="K79" s="6">
        <v>475</v>
      </c>
      <c r="L79" s="5">
        <v>0.10931219334347021</v>
      </c>
      <c r="M79" s="5">
        <v>1.5011658014023562E-2</v>
      </c>
      <c r="N79" s="6">
        <v>0</v>
      </c>
      <c r="O79" s="6">
        <v>1</v>
      </c>
      <c r="P79" s="6">
        <v>474</v>
      </c>
      <c r="Q79" s="5">
        <v>0.21697284641081702</v>
      </c>
      <c r="R79" s="5">
        <v>2.0889826904432647E-2</v>
      </c>
      <c r="S79" s="6">
        <v>0</v>
      </c>
      <c r="T79" s="6">
        <v>1</v>
      </c>
      <c r="U79" s="6">
        <v>423</v>
      </c>
      <c r="V79" s="5">
        <v>6.6281456209125428E-2</v>
      </c>
      <c r="W79" s="5">
        <v>9.5772379732993566E-3</v>
      </c>
      <c r="X79" s="6">
        <v>0</v>
      </c>
      <c r="Y79" s="6">
        <v>1</v>
      </c>
      <c r="Z79" s="6">
        <v>1145</v>
      </c>
      <c r="AA79" s="5">
        <v>0.13431582341296991</v>
      </c>
      <c r="AB79" s="5">
        <v>8.9532354906008849E-3</v>
      </c>
      <c r="AC79" s="6">
        <v>0</v>
      </c>
      <c r="AD79" s="6">
        <v>1</v>
      </c>
      <c r="AE79" s="6">
        <v>2899</v>
      </c>
      <c r="AF79">
        <f>(AA81/AA80)-AA79</f>
        <v>1.1773499306270863E-2</v>
      </c>
    </row>
    <row r="80" spans="1:32" x14ac:dyDescent="0.45">
      <c r="A80" s="4" t="s">
        <v>34</v>
      </c>
      <c r="B80" s="5">
        <v>2.234881186640706E-2</v>
      </c>
      <c r="C80" s="5">
        <v>7.2505456347755999E-3</v>
      </c>
      <c r="D80" s="6">
        <v>0</v>
      </c>
      <c r="E80" s="6">
        <v>1</v>
      </c>
      <c r="F80" s="6">
        <v>382</v>
      </c>
      <c r="G80" s="5">
        <v>5.804778638754593E-2</v>
      </c>
      <c r="H80" s="5">
        <v>1.1281809592535668E-2</v>
      </c>
      <c r="I80" s="6">
        <v>0</v>
      </c>
      <c r="J80" s="6">
        <v>1</v>
      </c>
      <c r="K80" s="6">
        <v>475</v>
      </c>
      <c r="L80" s="5">
        <v>7.7480419578348128E-2</v>
      </c>
      <c r="M80" s="5">
        <v>1.2659526579995721E-2</v>
      </c>
      <c r="N80" s="6">
        <v>0</v>
      </c>
      <c r="O80" s="6">
        <v>1</v>
      </c>
      <c r="P80" s="6">
        <v>474</v>
      </c>
      <c r="Q80" s="5">
        <v>5.2708548379860748E-2</v>
      </c>
      <c r="R80" s="5">
        <v>1.100803849809036E-2</v>
      </c>
      <c r="S80" s="6">
        <v>0</v>
      </c>
      <c r="T80" s="6">
        <v>1</v>
      </c>
      <c r="U80" s="6">
        <v>423</v>
      </c>
      <c r="V80" s="5">
        <v>5.6255696843250701E-3</v>
      </c>
      <c r="W80" s="5">
        <v>2.5449161715647033E-3</v>
      </c>
      <c r="X80" s="6">
        <v>0</v>
      </c>
      <c r="Y80" s="6">
        <v>1</v>
      </c>
      <c r="Z80" s="6">
        <v>1145</v>
      </c>
      <c r="AA80" s="5">
        <v>6.0690366495873303E-2</v>
      </c>
      <c r="AB80" s="5">
        <v>6.5213912070352298E-3</v>
      </c>
      <c r="AC80" s="6">
        <v>0</v>
      </c>
      <c r="AD80" s="6">
        <v>1</v>
      </c>
      <c r="AE80" s="6">
        <v>2899</v>
      </c>
      <c r="AF80">
        <f>(AA81/AA79)-AA80</f>
        <v>5.3198347721069086E-3</v>
      </c>
    </row>
    <row r="81" spans="1:32" ht="26.25" x14ac:dyDescent="0.45">
      <c r="A81" s="4" t="s">
        <v>55</v>
      </c>
      <c r="B81" s="5">
        <v>0</v>
      </c>
      <c r="C81" s="5">
        <v>0</v>
      </c>
      <c r="D81" s="6">
        <v>0</v>
      </c>
      <c r="E81" s="6">
        <v>0</v>
      </c>
      <c r="F81" s="6">
        <v>382</v>
      </c>
      <c r="G81" s="5">
        <v>1.1872670476001049E-2</v>
      </c>
      <c r="H81" s="5">
        <v>5.285517397379199E-3</v>
      </c>
      <c r="I81" s="6">
        <v>0</v>
      </c>
      <c r="J81" s="6">
        <v>1</v>
      </c>
      <c r="K81" s="6">
        <v>475</v>
      </c>
      <c r="L81" s="5">
        <v>6.5124516687578371E-3</v>
      </c>
      <c r="M81" s="5">
        <v>3.7831088578286478E-3</v>
      </c>
      <c r="N81" s="6">
        <v>0</v>
      </c>
      <c r="O81" s="6">
        <v>1</v>
      </c>
      <c r="P81" s="6">
        <v>474</v>
      </c>
      <c r="Q81" s="5">
        <v>1.368645482464137E-2</v>
      </c>
      <c r="R81" s="5">
        <v>5.6208453963533644E-3</v>
      </c>
      <c r="S81" s="6">
        <v>0</v>
      </c>
      <c r="T81" s="6">
        <v>1</v>
      </c>
      <c r="U81" s="6">
        <v>423</v>
      </c>
      <c r="V81" s="5">
        <v>5.2911069215317175E-4</v>
      </c>
      <c r="W81" s="5">
        <v>3.7634956671168468E-4</v>
      </c>
      <c r="X81" s="6">
        <v>0</v>
      </c>
      <c r="Y81" s="6">
        <v>1</v>
      </c>
      <c r="Z81" s="6">
        <v>1145</v>
      </c>
      <c r="AA81" s="5">
        <v>8.8662145369646332E-3</v>
      </c>
      <c r="AB81" s="5">
        <v>2.4369396730569708E-3</v>
      </c>
      <c r="AC81" s="6">
        <v>0</v>
      </c>
      <c r="AD81" s="6">
        <v>1</v>
      </c>
      <c r="AE81" s="6">
        <v>2899</v>
      </c>
    </row>
    <row r="82" spans="1:32" x14ac:dyDescent="0.45">
      <c r="A82" s="4" t="s">
        <v>26</v>
      </c>
      <c r="B82" s="5">
        <v>4.1884796563283817E-2</v>
      </c>
      <c r="C82" s="5">
        <v>1.0380573988597106E-2</v>
      </c>
      <c r="D82" s="6">
        <v>0</v>
      </c>
      <c r="E82" s="6">
        <v>1</v>
      </c>
      <c r="F82" s="6">
        <v>382</v>
      </c>
      <c r="G82" s="5">
        <v>0.13753902744546623</v>
      </c>
      <c r="H82" s="5">
        <v>1.640272398244708E-2</v>
      </c>
      <c r="I82" s="6">
        <v>0</v>
      </c>
      <c r="J82" s="6">
        <v>1</v>
      </c>
      <c r="K82" s="6">
        <v>475</v>
      </c>
      <c r="L82" s="5">
        <v>0.10931219334347021</v>
      </c>
      <c r="M82" s="5">
        <v>1.5011658014023562E-2</v>
      </c>
      <c r="N82" s="6">
        <v>0</v>
      </c>
      <c r="O82" s="6">
        <v>1</v>
      </c>
      <c r="P82" s="6">
        <v>474</v>
      </c>
      <c r="Q82" s="5">
        <v>0.21697284641081702</v>
      </c>
      <c r="R82" s="5">
        <v>2.0889826904432647E-2</v>
      </c>
      <c r="S82" s="6">
        <v>0</v>
      </c>
      <c r="T82" s="6">
        <v>1</v>
      </c>
      <c r="U82" s="6">
        <v>423</v>
      </c>
      <c r="V82" s="5">
        <v>6.6281456209125428E-2</v>
      </c>
      <c r="W82" s="5">
        <v>9.5772379732993566E-3</v>
      </c>
      <c r="X82" s="6">
        <v>0</v>
      </c>
      <c r="Y82" s="6">
        <v>1</v>
      </c>
      <c r="Z82" s="6">
        <v>1145</v>
      </c>
      <c r="AA82" s="5">
        <v>0.13431582341296991</v>
      </c>
      <c r="AB82" s="5">
        <v>8.9532354906008849E-3</v>
      </c>
      <c r="AC82" s="6">
        <v>0</v>
      </c>
      <c r="AD82" s="6">
        <v>1</v>
      </c>
      <c r="AE82" s="6">
        <v>2899</v>
      </c>
      <c r="AF82">
        <f>(AA84/AA83)-AA82</f>
        <v>1.3195523551904148E-2</v>
      </c>
    </row>
    <row r="83" spans="1:32" x14ac:dyDescent="0.45">
      <c r="A83" s="4" t="s">
        <v>36</v>
      </c>
      <c r="B83" s="5">
        <v>0.26636125194779031</v>
      </c>
      <c r="C83" s="5">
        <v>2.4189991287900472E-2</v>
      </c>
      <c r="D83" s="6">
        <v>0</v>
      </c>
      <c r="E83" s="6">
        <v>1</v>
      </c>
      <c r="F83" s="6">
        <v>377</v>
      </c>
      <c r="G83" s="5">
        <v>0.17672760534526755</v>
      </c>
      <c r="H83" s="5">
        <v>1.8127456261163202E-2</v>
      </c>
      <c r="I83" s="6">
        <v>0</v>
      </c>
      <c r="J83" s="6">
        <v>1</v>
      </c>
      <c r="K83" s="6">
        <v>467</v>
      </c>
      <c r="L83" s="5">
        <v>4.3890875888197518E-2</v>
      </c>
      <c r="M83" s="5">
        <v>9.6682460234033402E-3</v>
      </c>
      <c r="N83" s="6">
        <v>0</v>
      </c>
      <c r="O83" s="6">
        <v>1</v>
      </c>
      <c r="P83" s="6">
        <v>441</v>
      </c>
      <c r="Q83" s="5">
        <v>8.371081995835053E-2</v>
      </c>
      <c r="R83" s="5">
        <v>1.4050470479779449E-2</v>
      </c>
      <c r="S83" s="6">
        <v>0</v>
      </c>
      <c r="T83" s="6">
        <v>1</v>
      </c>
      <c r="U83" s="6">
        <v>422</v>
      </c>
      <c r="V83" s="5">
        <v>0.17670361522524197</v>
      </c>
      <c r="W83" s="5">
        <v>1.6865782603968957E-2</v>
      </c>
      <c r="X83" s="6">
        <v>0</v>
      </c>
      <c r="Y83" s="6">
        <v>1</v>
      </c>
      <c r="Z83" s="6">
        <v>1068</v>
      </c>
      <c r="AA83" s="5">
        <v>0.10901593418102137</v>
      </c>
      <c r="AB83" s="5">
        <v>7.4445039199197852E-3</v>
      </c>
      <c r="AC83" s="6">
        <v>0</v>
      </c>
      <c r="AD83" s="6">
        <v>1</v>
      </c>
      <c r="AE83" s="6">
        <v>2775</v>
      </c>
      <c r="AF83">
        <f>(AA84/AA82)-AA83</f>
        <v>1.070999894476761E-2</v>
      </c>
    </row>
    <row r="84" spans="1:32" x14ac:dyDescent="0.45">
      <c r="A84" s="4" t="s">
        <v>56</v>
      </c>
      <c r="B84" s="5">
        <v>9.9524833702427755E-3</v>
      </c>
      <c r="C84" s="5">
        <v>4.980497574721166E-3</v>
      </c>
      <c r="D84" s="6">
        <v>0</v>
      </c>
      <c r="E84" s="6">
        <v>1</v>
      </c>
      <c r="F84" s="6">
        <v>377</v>
      </c>
      <c r="G84" s="5">
        <v>2.7271285686481465E-2</v>
      </c>
      <c r="H84" s="5">
        <v>7.7841479734337147E-3</v>
      </c>
      <c r="I84" s="6">
        <v>0</v>
      </c>
      <c r="J84" s="6">
        <v>1</v>
      </c>
      <c r="K84" s="6">
        <v>467</v>
      </c>
      <c r="L84" s="5">
        <v>5.5974105820633382E-3</v>
      </c>
      <c r="M84" s="5">
        <v>3.9563652955599783E-3</v>
      </c>
      <c r="N84" s="6">
        <v>0</v>
      </c>
      <c r="O84" s="6">
        <v>1</v>
      </c>
      <c r="P84" s="6">
        <v>441</v>
      </c>
      <c r="Q84" s="5">
        <v>2.4803418467396966E-2</v>
      </c>
      <c r="R84" s="5">
        <v>8.1815935937382001E-3</v>
      </c>
      <c r="S84" s="6">
        <v>0</v>
      </c>
      <c r="T84" s="6">
        <v>1</v>
      </c>
      <c r="U84" s="6">
        <v>422</v>
      </c>
      <c r="V84" s="5">
        <v>1.9343041328141147E-3</v>
      </c>
      <c r="W84" s="5">
        <v>9.6936164530321556E-4</v>
      </c>
      <c r="X84" s="6">
        <v>0</v>
      </c>
      <c r="Y84" s="6">
        <v>1</v>
      </c>
      <c r="Z84" s="6">
        <v>1068</v>
      </c>
      <c r="AA84" s="5">
        <v>1.6081087291676517E-2</v>
      </c>
      <c r="AB84" s="5">
        <v>3.2643644469211985E-3</v>
      </c>
      <c r="AC84" s="6">
        <v>0</v>
      </c>
      <c r="AD84" s="6">
        <v>1</v>
      </c>
      <c r="AE84" s="6">
        <v>2775</v>
      </c>
    </row>
    <row r="85" spans="1:32" x14ac:dyDescent="0.45">
      <c r="A85" s="4" t="s">
        <v>26</v>
      </c>
      <c r="B85" s="5">
        <v>4.1884796563283817E-2</v>
      </c>
      <c r="C85" s="5">
        <v>1.0380573988597106E-2</v>
      </c>
      <c r="D85" s="6">
        <v>0</v>
      </c>
      <c r="E85" s="6">
        <v>1</v>
      </c>
      <c r="F85" s="6">
        <v>382</v>
      </c>
      <c r="G85" s="5">
        <v>0.13753902744546623</v>
      </c>
      <c r="H85" s="5">
        <v>1.640272398244708E-2</v>
      </c>
      <c r="I85" s="6">
        <v>0</v>
      </c>
      <c r="J85" s="6">
        <v>1</v>
      </c>
      <c r="K85" s="6">
        <v>475</v>
      </c>
      <c r="L85" s="5">
        <v>0.10931219334347021</v>
      </c>
      <c r="M85" s="5">
        <v>1.5011658014023562E-2</v>
      </c>
      <c r="N85" s="6">
        <v>0</v>
      </c>
      <c r="O85" s="6">
        <v>1</v>
      </c>
      <c r="P85" s="6">
        <v>474</v>
      </c>
      <c r="Q85" s="5">
        <v>0.21697284641081702</v>
      </c>
      <c r="R85" s="5">
        <v>2.0889826904432647E-2</v>
      </c>
      <c r="S85" s="6">
        <v>0</v>
      </c>
      <c r="T85" s="6">
        <v>1</v>
      </c>
      <c r="U85" s="6">
        <v>423</v>
      </c>
      <c r="V85" s="5">
        <v>6.6281456209125428E-2</v>
      </c>
      <c r="W85" s="5">
        <v>9.5772379732993566E-3</v>
      </c>
      <c r="X85" s="6">
        <v>0</v>
      </c>
      <c r="Y85" s="6">
        <v>1</v>
      </c>
      <c r="Z85" s="6">
        <v>1145</v>
      </c>
      <c r="AA85" s="5">
        <v>0.13431582341296991</v>
      </c>
      <c r="AB85" s="5">
        <v>8.9532354906008849E-3</v>
      </c>
      <c r="AC85" s="6">
        <v>0</v>
      </c>
      <c r="AD85" s="6">
        <v>1</v>
      </c>
      <c r="AE85" s="6">
        <v>2899</v>
      </c>
      <c r="AF85">
        <f>(AA87/AA86)-AA85</f>
        <v>7.0600824010123159E-2</v>
      </c>
    </row>
    <row r="86" spans="1:32" ht="26.25" x14ac:dyDescent="0.45">
      <c r="A86" s="4" t="s">
        <v>38</v>
      </c>
      <c r="B86" s="5">
        <v>0.4366780064058276</v>
      </c>
      <c r="C86" s="5">
        <v>2.805782617542071E-2</v>
      </c>
      <c r="D86" s="6">
        <v>0</v>
      </c>
      <c r="E86" s="6">
        <v>1</v>
      </c>
      <c r="F86" s="6">
        <v>382</v>
      </c>
      <c r="G86" s="5">
        <v>0.67637596318441151</v>
      </c>
      <c r="H86" s="5">
        <v>2.2183710228253588E-2</v>
      </c>
      <c r="I86" s="6">
        <v>0</v>
      </c>
      <c r="J86" s="6">
        <v>1</v>
      </c>
      <c r="K86" s="6">
        <v>475</v>
      </c>
      <c r="L86" s="5">
        <v>0.42140913195711371</v>
      </c>
      <c r="M86" s="5">
        <v>2.3440738415648886E-2</v>
      </c>
      <c r="N86" s="6">
        <v>0</v>
      </c>
      <c r="O86" s="6">
        <v>1</v>
      </c>
      <c r="P86" s="6">
        <v>474</v>
      </c>
      <c r="Q86" s="5">
        <v>0.50232647922994245</v>
      </c>
      <c r="R86" s="5">
        <v>2.4962894154274457E-2</v>
      </c>
      <c r="S86" s="6">
        <v>0</v>
      </c>
      <c r="T86" s="6">
        <v>1</v>
      </c>
      <c r="U86" s="6">
        <v>423</v>
      </c>
      <c r="V86" s="5">
        <v>0.19257168054166257</v>
      </c>
      <c r="W86" s="5">
        <v>1.5785783859687097E-2</v>
      </c>
      <c r="X86" s="6">
        <v>0</v>
      </c>
      <c r="Y86" s="6">
        <v>1</v>
      </c>
      <c r="Z86" s="6">
        <v>1145</v>
      </c>
      <c r="AA86" s="5">
        <v>0.50005721577724593</v>
      </c>
      <c r="AB86" s="5">
        <v>1.3039449215689536E-2</v>
      </c>
      <c r="AC86" s="6">
        <v>0</v>
      </c>
      <c r="AD86" s="6">
        <v>1</v>
      </c>
      <c r="AE86" s="6">
        <v>2899</v>
      </c>
      <c r="AF86">
        <f>(AA87/AA85)-AA86</f>
        <v>0.26284655514885835</v>
      </c>
    </row>
    <row r="87" spans="1:32" ht="26.25" x14ac:dyDescent="0.45">
      <c r="A87" s="4" t="s">
        <v>57</v>
      </c>
      <c r="B87" s="5">
        <v>2.8389820506052588E-2</v>
      </c>
      <c r="C87" s="5">
        <v>8.5098161618012511E-3</v>
      </c>
      <c r="D87" s="6">
        <v>0</v>
      </c>
      <c r="E87" s="6">
        <v>1</v>
      </c>
      <c r="F87" s="6">
        <v>382</v>
      </c>
      <c r="G87" s="5">
        <v>0.13539753082607342</v>
      </c>
      <c r="H87" s="5">
        <v>1.6300756074464712E-2</v>
      </c>
      <c r="I87" s="6">
        <v>0</v>
      </c>
      <c r="J87" s="6">
        <v>1</v>
      </c>
      <c r="K87" s="6">
        <v>475</v>
      </c>
      <c r="L87" s="5">
        <v>6.6529578814358822E-2</v>
      </c>
      <c r="M87" s="5">
        <v>1.1863088127715206E-2</v>
      </c>
      <c r="N87" s="6">
        <v>0</v>
      </c>
      <c r="O87" s="6">
        <v>1</v>
      </c>
      <c r="P87" s="6">
        <v>474</v>
      </c>
      <c r="Q87" s="5">
        <v>0.16329027696077131</v>
      </c>
      <c r="R87" s="5">
        <v>1.888987256392511E-2</v>
      </c>
      <c r="S87" s="6">
        <v>0</v>
      </c>
      <c r="T87" s="6">
        <v>1</v>
      </c>
      <c r="U87" s="6">
        <v>423</v>
      </c>
      <c r="V87" s="5">
        <v>3.7417337927680885E-2</v>
      </c>
      <c r="W87" s="5">
        <v>7.514850222549857E-3</v>
      </c>
      <c r="X87" s="6">
        <v>0</v>
      </c>
      <c r="Y87" s="6">
        <v>1</v>
      </c>
      <c r="Z87" s="6">
        <v>1145</v>
      </c>
      <c r="AA87" s="5">
        <v>0.10247004817679947</v>
      </c>
      <c r="AB87" s="5">
        <v>7.8472780889336791E-3</v>
      </c>
      <c r="AC87" s="6">
        <v>0</v>
      </c>
      <c r="AD87" s="6">
        <v>1</v>
      </c>
      <c r="AE87" s="6">
        <v>2899</v>
      </c>
    </row>
    <row r="88" spans="1:32" x14ac:dyDescent="0.45">
      <c r="A88" s="4" t="s">
        <v>26</v>
      </c>
      <c r="B88" s="5">
        <v>4.1884796563283817E-2</v>
      </c>
      <c r="C88" s="5">
        <v>1.0380573988597106E-2</v>
      </c>
      <c r="D88" s="6">
        <v>0</v>
      </c>
      <c r="E88" s="6">
        <v>1</v>
      </c>
      <c r="F88" s="6">
        <v>382</v>
      </c>
      <c r="G88" s="5">
        <v>0.13753902744546623</v>
      </c>
      <c r="H88" s="5">
        <v>1.640272398244708E-2</v>
      </c>
      <c r="I88" s="6">
        <v>0</v>
      </c>
      <c r="J88" s="6">
        <v>1</v>
      </c>
      <c r="K88" s="6">
        <v>475</v>
      </c>
      <c r="L88" s="5">
        <v>0.10931219334347021</v>
      </c>
      <c r="M88" s="5">
        <v>1.5011658014023562E-2</v>
      </c>
      <c r="N88" s="6">
        <v>0</v>
      </c>
      <c r="O88" s="6">
        <v>1</v>
      </c>
      <c r="P88" s="6">
        <v>474</v>
      </c>
      <c r="Q88" s="5">
        <v>0.21697284641081702</v>
      </c>
      <c r="R88" s="5">
        <v>2.0889826904432647E-2</v>
      </c>
      <c r="S88" s="6">
        <v>0</v>
      </c>
      <c r="T88" s="6">
        <v>1</v>
      </c>
      <c r="U88" s="6">
        <v>423</v>
      </c>
      <c r="V88" s="5">
        <v>6.6281456209125428E-2</v>
      </c>
      <c r="W88" s="5">
        <v>9.5772379732993566E-3</v>
      </c>
      <c r="X88" s="6">
        <v>0</v>
      </c>
      <c r="Y88" s="6">
        <v>1</v>
      </c>
      <c r="Z88" s="6">
        <v>1145</v>
      </c>
      <c r="AA88" s="5">
        <v>0.13431582341296991</v>
      </c>
      <c r="AB88" s="5">
        <v>8.9532354906008849E-3</v>
      </c>
      <c r="AC88" s="6">
        <v>0</v>
      </c>
      <c r="AD88" s="6">
        <v>1</v>
      </c>
      <c r="AE88" s="6">
        <v>2899</v>
      </c>
      <c r="AF88">
        <f>(AA90/AA89)-AA88</f>
        <v>5.3787694468637431E-2</v>
      </c>
    </row>
    <row r="89" spans="1:32" x14ac:dyDescent="0.45">
      <c r="A89" s="4" t="s">
        <v>40</v>
      </c>
      <c r="B89" s="5">
        <v>0.24475289221599958</v>
      </c>
      <c r="C89" s="5">
        <v>2.3591602155120545E-2</v>
      </c>
      <c r="D89" s="6">
        <v>0</v>
      </c>
      <c r="E89" s="6">
        <v>1</v>
      </c>
      <c r="F89" s="6">
        <v>382</v>
      </c>
      <c r="G89" s="5">
        <v>0.31240436993335119</v>
      </c>
      <c r="H89" s="5">
        <v>2.1994479632135435E-2</v>
      </c>
      <c r="I89" s="6">
        <v>0</v>
      </c>
      <c r="J89" s="6">
        <v>1</v>
      </c>
      <c r="K89" s="6">
        <v>475</v>
      </c>
      <c r="L89" s="5">
        <v>0.31016209118028132</v>
      </c>
      <c r="M89" s="5">
        <v>2.1740010089836503E-2</v>
      </c>
      <c r="N89" s="6">
        <v>0</v>
      </c>
      <c r="O89" s="6">
        <v>1</v>
      </c>
      <c r="P89" s="6">
        <v>474</v>
      </c>
      <c r="Q89" s="5">
        <v>0.7144739729494628</v>
      </c>
      <c r="R89" s="5">
        <v>2.2433009195978806E-2</v>
      </c>
      <c r="S89" s="6">
        <v>0</v>
      </c>
      <c r="T89" s="6">
        <v>1</v>
      </c>
      <c r="U89" s="6">
        <v>423</v>
      </c>
      <c r="V89" s="5">
        <v>0.43483608765880821</v>
      </c>
      <c r="W89" s="5">
        <v>2.0083672578752446E-2</v>
      </c>
      <c r="X89" s="6">
        <v>0</v>
      </c>
      <c r="Y89" s="6">
        <v>1</v>
      </c>
      <c r="Z89" s="6">
        <v>1145</v>
      </c>
      <c r="AA89" s="5">
        <v>0.39887458467079651</v>
      </c>
      <c r="AB89" s="5">
        <v>1.2628190805574898E-2</v>
      </c>
      <c r="AC89" s="6">
        <v>0</v>
      </c>
      <c r="AD89" s="6">
        <v>1</v>
      </c>
      <c r="AE89" s="6">
        <v>2899</v>
      </c>
      <c r="AF89">
        <f>(AA90/AA88)-AA89</f>
        <v>0.15973206839236598</v>
      </c>
    </row>
    <row r="90" spans="1:32" ht="26.25" x14ac:dyDescent="0.45">
      <c r="A90" s="4" t="s">
        <v>58</v>
      </c>
      <c r="B90" s="5">
        <v>7.6923876283361723E-3</v>
      </c>
      <c r="C90" s="5">
        <v>4.434815995670238E-3</v>
      </c>
      <c r="D90" s="6">
        <v>0</v>
      </c>
      <c r="E90" s="6">
        <v>1</v>
      </c>
      <c r="F90" s="6">
        <v>382</v>
      </c>
      <c r="G90" s="5">
        <v>6.0353268161451222E-2</v>
      </c>
      <c r="H90" s="5">
        <v>1.1285684518726417E-2</v>
      </c>
      <c r="I90" s="6">
        <v>0</v>
      </c>
      <c r="J90" s="6">
        <v>1</v>
      </c>
      <c r="K90" s="6">
        <v>475</v>
      </c>
      <c r="L90" s="5">
        <v>3.2812123421844856E-2</v>
      </c>
      <c r="M90" s="5">
        <v>8.4223485620844411E-3</v>
      </c>
      <c r="N90" s="6">
        <v>0</v>
      </c>
      <c r="O90" s="6">
        <v>1</v>
      </c>
      <c r="P90" s="6">
        <v>474</v>
      </c>
      <c r="Q90" s="5">
        <v>0.19763699392018647</v>
      </c>
      <c r="R90" s="5">
        <v>2.0229568014455402E-2</v>
      </c>
      <c r="S90" s="6">
        <v>0</v>
      </c>
      <c r="T90" s="6">
        <v>1</v>
      </c>
      <c r="U90" s="6">
        <v>423</v>
      </c>
      <c r="V90" s="5">
        <v>5.0842298185342992E-2</v>
      </c>
      <c r="W90" s="5">
        <v>8.4720424721684683E-3</v>
      </c>
      <c r="X90" s="6">
        <v>0</v>
      </c>
      <c r="Y90" s="6">
        <v>1</v>
      </c>
      <c r="Z90" s="6">
        <v>1145</v>
      </c>
      <c r="AA90" s="5">
        <v>7.5029712570141877E-2</v>
      </c>
      <c r="AB90" s="5">
        <v>6.5976330607208254E-3</v>
      </c>
      <c r="AC90" s="6">
        <v>0</v>
      </c>
      <c r="AD90" s="6">
        <v>1</v>
      </c>
      <c r="AE90" s="6">
        <v>2899</v>
      </c>
    </row>
    <row r="91" spans="1:32" x14ac:dyDescent="0.45">
      <c r="A91" s="4" t="s">
        <v>26</v>
      </c>
      <c r="B91" s="5">
        <v>4.1884796563283817E-2</v>
      </c>
      <c r="C91" s="5">
        <v>1.0380573988597106E-2</v>
      </c>
      <c r="D91" s="6">
        <v>0</v>
      </c>
      <c r="E91" s="6">
        <v>1</v>
      </c>
      <c r="F91" s="6">
        <v>382</v>
      </c>
      <c r="G91" s="5">
        <v>0.13753902744546623</v>
      </c>
      <c r="H91" s="5">
        <v>1.640272398244708E-2</v>
      </c>
      <c r="I91" s="6">
        <v>0</v>
      </c>
      <c r="J91" s="6">
        <v>1</v>
      </c>
      <c r="K91" s="6">
        <v>475</v>
      </c>
      <c r="L91" s="5">
        <v>0.10931219334347021</v>
      </c>
      <c r="M91" s="5">
        <v>1.5011658014023562E-2</v>
      </c>
      <c r="N91" s="6">
        <v>0</v>
      </c>
      <c r="O91" s="6">
        <v>1</v>
      </c>
      <c r="P91" s="6">
        <v>474</v>
      </c>
      <c r="Q91" s="5">
        <v>0.21697284641081702</v>
      </c>
      <c r="R91" s="5">
        <v>2.0889826904432647E-2</v>
      </c>
      <c r="S91" s="6">
        <v>0</v>
      </c>
      <c r="T91" s="6">
        <v>1</v>
      </c>
      <c r="U91" s="6">
        <v>423</v>
      </c>
      <c r="V91" s="5">
        <v>6.6281456209125428E-2</v>
      </c>
      <c r="W91" s="5">
        <v>9.5772379732993566E-3</v>
      </c>
      <c r="X91" s="6">
        <v>0</v>
      </c>
      <c r="Y91" s="6">
        <v>1</v>
      </c>
      <c r="Z91" s="6">
        <v>1145</v>
      </c>
      <c r="AA91" s="5">
        <v>0.13431582341296991</v>
      </c>
      <c r="AB91" s="5">
        <v>8.9532354906008849E-3</v>
      </c>
      <c r="AC91" s="6">
        <v>0</v>
      </c>
      <c r="AD91" s="6">
        <v>1</v>
      </c>
      <c r="AE91" s="6">
        <v>2899</v>
      </c>
      <c r="AF91">
        <f>(AA93/AA92)-AA91</f>
        <v>6.7026044008685837E-2</v>
      </c>
    </row>
    <row r="92" spans="1:32" x14ac:dyDescent="0.45">
      <c r="A92" s="4" t="s">
        <v>42</v>
      </c>
      <c r="B92" s="5">
        <v>0.25089279775929785</v>
      </c>
      <c r="C92" s="5">
        <v>2.3633364656887722E-2</v>
      </c>
      <c r="D92" s="6">
        <v>0</v>
      </c>
      <c r="E92" s="6">
        <v>1</v>
      </c>
      <c r="F92" s="6">
        <v>382</v>
      </c>
      <c r="G92" s="5">
        <v>0.39009576358444259</v>
      </c>
      <c r="H92" s="5">
        <v>2.3181206138358921E-2</v>
      </c>
      <c r="I92" s="6">
        <v>0</v>
      </c>
      <c r="J92" s="6">
        <v>1</v>
      </c>
      <c r="K92" s="6">
        <v>475</v>
      </c>
      <c r="L92" s="5">
        <v>0.31115391050319358</v>
      </c>
      <c r="M92" s="5">
        <v>2.230646426075697E-2</v>
      </c>
      <c r="N92" s="6">
        <v>0</v>
      </c>
      <c r="O92" s="6">
        <v>1</v>
      </c>
      <c r="P92" s="6">
        <v>474</v>
      </c>
      <c r="Q92" s="5">
        <v>0.48120800183961793</v>
      </c>
      <c r="R92" s="5">
        <v>2.4961710177192679E-2</v>
      </c>
      <c r="S92" s="6">
        <v>0</v>
      </c>
      <c r="T92" s="6">
        <v>1</v>
      </c>
      <c r="U92" s="6">
        <v>423</v>
      </c>
      <c r="V92" s="5">
        <v>0.3457577606704838</v>
      </c>
      <c r="W92" s="5">
        <v>1.8801067085193666E-2</v>
      </c>
      <c r="X92" s="6">
        <v>0</v>
      </c>
      <c r="Y92" s="6">
        <v>1</v>
      </c>
      <c r="Z92" s="6">
        <v>1145</v>
      </c>
      <c r="AA92" s="5">
        <v>0.36657663781801664</v>
      </c>
      <c r="AB92" s="5">
        <v>1.2575722914207254E-2</v>
      </c>
      <c r="AC92" s="6">
        <v>0</v>
      </c>
      <c r="AD92" s="6">
        <v>1</v>
      </c>
      <c r="AE92" s="6">
        <v>2899</v>
      </c>
      <c r="AF92">
        <f>(AA93/AA91)-AA92</f>
        <v>0.18292842373011065</v>
      </c>
    </row>
    <row r="93" spans="1:32" ht="26.25" x14ac:dyDescent="0.45">
      <c r="A93" s="4" t="s">
        <v>59</v>
      </c>
      <c r="B93" s="5">
        <v>2.8441092003860347E-2</v>
      </c>
      <c r="C93" s="5">
        <v>8.5459471392986767E-3</v>
      </c>
      <c r="D93" s="6">
        <v>0</v>
      </c>
      <c r="E93" s="6">
        <v>1</v>
      </c>
      <c r="F93" s="6">
        <v>382</v>
      </c>
      <c r="G93" s="5">
        <v>9.0021179179733388E-2</v>
      </c>
      <c r="H93" s="5">
        <v>1.3621080385280039E-2</v>
      </c>
      <c r="I93" s="6">
        <v>0</v>
      </c>
      <c r="J93" s="6">
        <v>1</v>
      </c>
      <c r="K93" s="6">
        <v>475</v>
      </c>
      <c r="L93" s="5">
        <v>4.0465259261599856E-2</v>
      </c>
      <c r="M93" s="5">
        <v>9.6863330129095919E-3</v>
      </c>
      <c r="N93" s="6">
        <v>0</v>
      </c>
      <c r="O93" s="6">
        <v>1</v>
      </c>
      <c r="P93" s="6">
        <v>474</v>
      </c>
      <c r="Q93" s="5">
        <v>0.13538150467648388</v>
      </c>
      <c r="R93" s="5">
        <v>1.7457690746360503E-2</v>
      </c>
      <c r="S93" s="6">
        <v>0</v>
      </c>
      <c r="T93" s="6">
        <v>1</v>
      </c>
      <c r="U93" s="6">
        <v>423</v>
      </c>
      <c r="V93" s="5">
        <v>4.6502601281744264E-2</v>
      </c>
      <c r="W93" s="5">
        <v>8.0837670524932792E-3</v>
      </c>
      <c r="X93" s="6">
        <v>0</v>
      </c>
      <c r="Y93" s="6">
        <v>1</v>
      </c>
      <c r="Z93" s="6">
        <v>1145</v>
      </c>
      <c r="AA93" s="5">
        <v>7.3807224811431427E-2</v>
      </c>
      <c r="AB93" s="5">
        <v>6.7109892582846529E-3</v>
      </c>
      <c r="AC93" s="6">
        <v>0</v>
      </c>
      <c r="AD93" s="6">
        <v>1</v>
      </c>
      <c r="AE93" s="6">
        <v>2899</v>
      </c>
    </row>
    <row r="94" spans="1:32" x14ac:dyDescent="0.45">
      <c r="A94" s="4" t="s">
        <v>26</v>
      </c>
      <c r="B94" s="5">
        <v>4.1884796563283817E-2</v>
      </c>
      <c r="C94" s="5">
        <v>1.0380573988597106E-2</v>
      </c>
      <c r="D94" s="6">
        <v>0</v>
      </c>
      <c r="E94" s="6">
        <v>1</v>
      </c>
      <c r="F94" s="6">
        <v>382</v>
      </c>
      <c r="G94" s="5">
        <v>0.13753902744546623</v>
      </c>
      <c r="H94" s="5">
        <v>1.640272398244708E-2</v>
      </c>
      <c r="I94" s="6">
        <v>0</v>
      </c>
      <c r="J94" s="6">
        <v>1</v>
      </c>
      <c r="K94" s="6">
        <v>475</v>
      </c>
      <c r="L94" s="5">
        <v>0.10931219334347021</v>
      </c>
      <c r="M94" s="5">
        <v>1.5011658014023562E-2</v>
      </c>
      <c r="N94" s="6">
        <v>0</v>
      </c>
      <c r="O94" s="6">
        <v>1</v>
      </c>
      <c r="P94" s="6">
        <v>474</v>
      </c>
      <c r="Q94" s="5">
        <v>0.21697284641081702</v>
      </c>
      <c r="R94" s="5">
        <v>2.0889826904432647E-2</v>
      </c>
      <c r="S94" s="6">
        <v>0</v>
      </c>
      <c r="T94" s="6">
        <v>1</v>
      </c>
      <c r="U94" s="6">
        <v>423</v>
      </c>
      <c r="V94" s="5">
        <v>6.6281456209125428E-2</v>
      </c>
      <c r="W94" s="5">
        <v>9.5772379732993566E-3</v>
      </c>
      <c r="X94" s="6">
        <v>0</v>
      </c>
      <c r="Y94" s="6">
        <v>1</v>
      </c>
      <c r="Z94" s="6">
        <v>1145</v>
      </c>
      <c r="AA94" s="5">
        <v>0.13431582341296991</v>
      </c>
      <c r="AB94" s="5">
        <v>8.9532354906008849E-3</v>
      </c>
      <c r="AC94" s="6">
        <v>0</v>
      </c>
      <c r="AD94" s="6">
        <v>1</v>
      </c>
      <c r="AE94" s="6">
        <v>2899</v>
      </c>
      <c r="AF94">
        <f>(AA96/AA95)-AA94</f>
        <v>4.3923533742331461E-2</v>
      </c>
    </row>
    <row r="95" spans="1:32" x14ac:dyDescent="0.45">
      <c r="A95" s="4" t="s">
        <v>44</v>
      </c>
      <c r="B95" s="5">
        <v>7.9771782857088899E-2</v>
      </c>
      <c r="C95" s="5">
        <v>1.4835173716237555E-2</v>
      </c>
      <c r="D95" s="6">
        <v>0</v>
      </c>
      <c r="E95" s="6">
        <v>1</v>
      </c>
      <c r="F95" s="6">
        <v>382</v>
      </c>
      <c r="G95" s="5">
        <v>9.1412983805042231E-2</v>
      </c>
      <c r="H95" s="5">
        <v>1.3542282503153303E-2</v>
      </c>
      <c r="I95" s="6">
        <v>0</v>
      </c>
      <c r="J95" s="6">
        <v>1</v>
      </c>
      <c r="K95" s="6">
        <v>475</v>
      </c>
      <c r="L95" s="5">
        <v>6.2522483872663487E-2</v>
      </c>
      <c r="M95" s="5">
        <v>1.2083621448993364E-2</v>
      </c>
      <c r="N95" s="6">
        <v>0</v>
      </c>
      <c r="O95" s="6">
        <v>1</v>
      </c>
      <c r="P95" s="6">
        <v>474</v>
      </c>
      <c r="Q95" s="5">
        <v>0.15234303743644023</v>
      </c>
      <c r="R95" s="5">
        <v>1.7921333577869139E-2</v>
      </c>
      <c r="S95" s="6">
        <v>0</v>
      </c>
      <c r="T95" s="6">
        <v>1</v>
      </c>
      <c r="U95" s="6">
        <v>423</v>
      </c>
      <c r="V95" s="5">
        <v>7.9695497124933817E-2</v>
      </c>
      <c r="W95" s="5">
        <v>8.4181414188695299E-3</v>
      </c>
      <c r="X95" s="6">
        <v>0</v>
      </c>
      <c r="Y95" s="6">
        <v>1</v>
      </c>
      <c r="Z95" s="6">
        <v>1145</v>
      </c>
      <c r="AA95" s="5">
        <v>9.1537468369046068E-2</v>
      </c>
      <c r="AB95" s="5">
        <v>7.4032918276990987E-3</v>
      </c>
      <c r="AC95" s="6">
        <v>0</v>
      </c>
      <c r="AD95" s="6">
        <v>1</v>
      </c>
      <c r="AE95" s="6">
        <v>2899</v>
      </c>
      <c r="AF95">
        <f>(AA96/AA94)-AA95</f>
        <v>2.9934292017355479E-2</v>
      </c>
    </row>
    <row r="96" spans="1:32" ht="26.25" x14ac:dyDescent="0.45">
      <c r="A96" s="4" t="s">
        <v>60</v>
      </c>
      <c r="B96" s="5">
        <v>3.0508702743379822E-3</v>
      </c>
      <c r="C96" s="5">
        <v>3.0505893114828484E-3</v>
      </c>
      <c r="D96" s="6">
        <v>0</v>
      </c>
      <c r="E96" s="6">
        <v>1</v>
      </c>
      <c r="F96" s="6">
        <v>382</v>
      </c>
      <c r="G96" s="5">
        <v>3.3149269152980658E-2</v>
      </c>
      <c r="H96" s="5">
        <v>8.4325751006058183E-3</v>
      </c>
      <c r="I96" s="6">
        <v>0</v>
      </c>
      <c r="J96" s="6">
        <v>1</v>
      </c>
      <c r="K96" s="6">
        <v>475</v>
      </c>
      <c r="L96" s="5">
        <v>4.049485356454394E-3</v>
      </c>
      <c r="M96" s="5">
        <v>2.8612809200004347E-3</v>
      </c>
      <c r="N96" s="6">
        <v>0</v>
      </c>
      <c r="O96" s="6">
        <v>1</v>
      </c>
      <c r="P96" s="6">
        <v>474</v>
      </c>
      <c r="Q96" s="5">
        <v>2.2671432192761586E-2</v>
      </c>
      <c r="R96" s="5">
        <v>7.5383760073494469E-3</v>
      </c>
      <c r="S96" s="6">
        <v>0</v>
      </c>
      <c r="T96" s="6">
        <v>1</v>
      </c>
      <c r="U96" s="6">
        <v>423</v>
      </c>
      <c r="V96" s="5">
        <v>1.7557960552013377E-2</v>
      </c>
      <c r="W96" s="5">
        <v>5.1038765708464832E-3</v>
      </c>
      <c r="X96" s="6">
        <v>0</v>
      </c>
      <c r="Y96" s="6">
        <v>1</v>
      </c>
      <c r="Z96" s="6">
        <v>1145</v>
      </c>
      <c r="AA96" s="5">
        <v>1.6315579517722504E-2</v>
      </c>
      <c r="AB96" s="5">
        <v>3.0588382311022163E-3</v>
      </c>
      <c r="AC96" s="6">
        <v>0</v>
      </c>
      <c r="AD96" s="6">
        <v>1</v>
      </c>
      <c r="AE96" s="6">
        <v>2899</v>
      </c>
    </row>
    <row r="97" spans="1:32" x14ac:dyDescent="0.45">
      <c r="A97" s="4" t="s">
        <v>26</v>
      </c>
      <c r="B97" s="5">
        <v>4.1884796563283817E-2</v>
      </c>
      <c r="C97" s="5">
        <v>1.0380573988597106E-2</v>
      </c>
      <c r="D97" s="6">
        <v>0</v>
      </c>
      <c r="E97" s="6">
        <v>1</v>
      </c>
      <c r="F97" s="6">
        <v>382</v>
      </c>
      <c r="G97" s="5">
        <v>0.13753902744546623</v>
      </c>
      <c r="H97" s="5">
        <v>1.640272398244708E-2</v>
      </c>
      <c r="I97" s="6">
        <v>0</v>
      </c>
      <c r="J97" s="6">
        <v>1</v>
      </c>
      <c r="K97" s="6">
        <v>475</v>
      </c>
      <c r="L97" s="5">
        <v>0.10931219334347021</v>
      </c>
      <c r="M97" s="5">
        <v>1.5011658014023562E-2</v>
      </c>
      <c r="N97" s="6">
        <v>0</v>
      </c>
      <c r="O97" s="6">
        <v>1</v>
      </c>
      <c r="P97" s="6">
        <v>474</v>
      </c>
      <c r="Q97" s="5">
        <v>0.21697284641081702</v>
      </c>
      <c r="R97" s="5">
        <v>2.0889826904432647E-2</v>
      </c>
      <c r="S97" s="6">
        <v>0</v>
      </c>
      <c r="T97" s="6">
        <v>1</v>
      </c>
      <c r="U97" s="6">
        <v>423</v>
      </c>
      <c r="V97" s="5">
        <v>6.6281456209125428E-2</v>
      </c>
      <c r="W97" s="5">
        <v>9.5772379732993566E-3</v>
      </c>
      <c r="X97" s="6">
        <v>0</v>
      </c>
      <c r="Y97" s="6">
        <v>1</v>
      </c>
      <c r="Z97" s="6">
        <v>1145</v>
      </c>
      <c r="AA97" s="5">
        <v>0.13431582341296991</v>
      </c>
      <c r="AB97" s="5">
        <v>8.9532354906008849E-3</v>
      </c>
      <c r="AC97" s="6">
        <v>0</v>
      </c>
      <c r="AD97" s="6">
        <v>1</v>
      </c>
      <c r="AE97" s="6">
        <v>2899</v>
      </c>
      <c r="AF97">
        <f>(AA99/AA98)-AA97</f>
        <v>4.8322787509763765E-2</v>
      </c>
    </row>
    <row r="98" spans="1:32" ht="39.4" x14ac:dyDescent="0.45">
      <c r="A98" s="4" t="s">
        <v>16</v>
      </c>
      <c r="B98" s="5">
        <v>0.50556237093372625</v>
      </c>
      <c r="C98" s="5">
        <v>2.8806099607079916E-2</v>
      </c>
      <c r="D98" s="6">
        <v>0</v>
      </c>
      <c r="E98" s="6">
        <v>1</v>
      </c>
      <c r="F98" s="6">
        <v>382</v>
      </c>
      <c r="G98" s="5">
        <v>0.75127200876490052</v>
      </c>
      <c r="H98" s="5">
        <v>2.0440411467445026E-2</v>
      </c>
      <c r="I98" s="6">
        <v>0</v>
      </c>
      <c r="J98" s="6">
        <v>1</v>
      </c>
      <c r="K98" s="6">
        <v>475</v>
      </c>
      <c r="L98" s="5">
        <v>0.57082825926267877</v>
      </c>
      <c r="M98" s="5">
        <v>2.3540070455782523E-2</v>
      </c>
      <c r="N98" s="6">
        <v>0</v>
      </c>
      <c r="O98" s="6">
        <v>1</v>
      </c>
      <c r="P98" s="6">
        <v>474</v>
      </c>
      <c r="Q98" s="5">
        <v>0.83603306383602227</v>
      </c>
      <c r="R98" s="5">
        <v>1.8289048327108152E-2</v>
      </c>
      <c r="S98" s="6">
        <v>0</v>
      </c>
      <c r="T98" s="6">
        <v>1</v>
      </c>
      <c r="U98" s="6">
        <v>423</v>
      </c>
      <c r="V98" s="5">
        <v>0.4594408339654299</v>
      </c>
      <c r="W98" s="5">
        <v>2.0333889342993294E-2</v>
      </c>
      <c r="X98" s="6">
        <v>0</v>
      </c>
      <c r="Y98" s="6">
        <v>1</v>
      </c>
      <c r="Z98" s="6">
        <v>1145</v>
      </c>
      <c r="AA98" s="5">
        <v>0.6685391064616979</v>
      </c>
      <c r="AB98" s="5">
        <v>1.2404909142965445E-2</v>
      </c>
      <c r="AC98" s="6">
        <v>0</v>
      </c>
      <c r="AD98" s="6">
        <v>1</v>
      </c>
      <c r="AE98" s="6">
        <v>2899</v>
      </c>
      <c r="AF98">
        <f>(AA99/AA97)-AA98</f>
        <v>0.24052023330258232</v>
      </c>
    </row>
    <row r="99" spans="1:32" x14ac:dyDescent="0.45">
      <c r="A99" s="4" t="s">
        <v>61</v>
      </c>
      <c r="B99" s="5">
        <v>2.8389820506052588E-2</v>
      </c>
      <c r="C99" s="5">
        <v>8.5098161618012511E-3</v>
      </c>
      <c r="D99" s="6">
        <v>0</v>
      </c>
      <c r="E99" s="6">
        <v>1</v>
      </c>
      <c r="F99" s="6">
        <v>382</v>
      </c>
      <c r="G99" s="5">
        <v>0.13753902744546623</v>
      </c>
      <c r="H99" s="5">
        <v>1.640272398244708E-2</v>
      </c>
      <c r="I99" s="6">
        <v>0</v>
      </c>
      <c r="J99" s="6">
        <v>1</v>
      </c>
      <c r="K99" s="6">
        <v>475</v>
      </c>
      <c r="L99" s="5">
        <v>8.7714103884790257E-2</v>
      </c>
      <c r="M99" s="5">
        <v>1.354109257567206E-2</v>
      </c>
      <c r="N99" s="6">
        <v>0</v>
      </c>
      <c r="O99" s="6">
        <v>1</v>
      </c>
      <c r="P99" s="6">
        <v>474</v>
      </c>
      <c r="Q99" s="5">
        <v>0.20710349139112802</v>
      </c>
      <c r="R99" s="5">
        <v>2.0560248436235124E-2</v>
      </c>
      <c r="S99" s="6">
        <v>0</v>
      </c>
      <c r="T99" s="6">
        <v>1</v>
      </c>
      <c r="U99" s="6">
        <v>423</v>
      </c>
      <c r="V99" s="5">
        <v>5.9021646031414292E-2</v>
      </c>
      <c r="W99" s="5">
        <v>9.1219499954284574E-3</v>
      </c>
      <c r="X99" s="6">
        <v>0</v>
      </c>
      <c r="Y99" s="6">
        <v>1</v>
      </c>
      <c r="Z99" s="6">
        <v>1145</v>
      </c>
      <c r="AA99" s="5">
        <v>0.12210105375169007</v>
      </c>
      <c r="AB99" s="5">
        <v>8.5159227149592624E-3</v>
      </c>
      <c r="AC99" s="6">
        <v>0</v>
      </c>
      <c r="AD99" s="6">
        <v>1</v>
      </c>
      <c r="AE99" s="6">
        <v>2899</v>
      </c>
    </row>
    <row r="100" spans="1:32" x14ac:dyDescent="0.45">
      <c r="A100" s="4" t="s">
        <v>26</v>
      </c>
      <c r="B100" s="5">
        <v>4.1884796563283817E-2</v>
      </c>
      <c r="C100" s="5">
        <v>1.0380573988597106E-2</v>
      </c>
      <c r="D100" s="6">
        <v>0</v>
      </c>
      <c r="E100" s="6">
        <v>1</v>
      </c>
      <c r="F100" s="6">
        <v>382</v>
      </c>
      <c r="G100" s="5">
        <v>0.13753902744546623</v>
      </c>
      <c r="H100" s="5">
        <v>1.640272398244708E-2</v>
      </c>
      <c r="I100" s="6">
        <v>0</v>
      </c>
      <c r="J100" s="6">
        <v>1</v>
      </c>
      <c r="K100" s="6">
        <v>475</v>
      </c>
      <c r="L100" s="5">
        <v>0.10931219334347021</v>
      </c>
      <c r="M100" s="5">
        <v>1.5011658014023562E-2</v>
      </c>
      <c r="N100" s="6">
        <v>0</v>
      </c>
      <c r="O100" s="6">
        <v>1</v>
      </c>
      <c r="P100" s="6">
        <v>474</v>
      </c>
      <c r="Q100" s="5">
        <v>0.21697284641081702</v>
      </c>
      <c r="R100" s="5">
        <v>2.0889826904432647E-2</v>
      </c>
      <c r="S100" s="6">
        <v>0</v>
      </c>
      <c r="T100" s="6">
        <v>1</v>
      </c>
      <c r="U100" s="6">
        <v>423</v>
      </c>
      <c r="V100" s="5">
        <v>6.6281456209125428E-2</v>
      </c>
      <c r="W100" s="5">
        <v>9.5772379732993566E-3</v>
      </c>
      <c r="X100" s="6">
        <v>0</v>
      </c>
      <c r="Y100" s="6">
        <v>1</v>
      </c>
      <c r="Z100" s="6">
        <v>1145</v>
      </c>
      <c r="AA100" s="5">
        <v>0.13431582341296991</v>
      </c>
      <c r="AB100" s="5">
        <v>8.9532354906008849E-3</v>
      </c>
      <c r="AC100" s="6">
        <v>0</v>
      </c>
      <c r="AD100" s="6">
        <v>1</v>
      </c>
      <c r="AE100" s="6">
        <v>2899</v>
      </c>
      <c r="AF100">
        <f>(AA102/AA101)-AA100</f>
        <v>4.7990292845896121E-2</v>
      </c>
    </row>
    <row r="101" spans="1:32" ht="39.4" x14ac:dyDescent="0.45">
      <c r="A101" s="4" t="s">
        <v>18</v>
      </c>
      <c r="B101" s="5">
        <v>0.57072600859564226</v>
      </c>
      <c r="C101" s="5">
        <v>2.9131924939021201E-2</v>
      </c>
      <c r="D101" s="6">
        <v>0</v>
      </c>
      <c r="E101" s="6">
        <v>1</v>
      </c>
      <c r="F101" s="6">
        <v>382</v>
      </c>
      <c r="G101" s="5">
        <v>0.77458535334454726</v>
      </c>
      <c r="H101" s="5">
        <v>1.9819153022370115E-2</v>
      </c>
      <c r="I101" s="6">
        <v>0</v>
      </c>
      <c r="J101" s="6">
        <v>1</v>
      </c>
      <c r="K101" s="6">
        <v>475</v>
      </c>
      <c r="L101" s="5">
        <v>0.5654398229580665</v>
      </c>
      <c r="M101" s="5">
        <v>2.3474274957925739E-2</v>
      </c>
      <c r="N101" s="6">
        <v>0</v>
      </c>
      <c r="O101" s="6">
        <v>1</v>
      </c>
      <c r="P101" s="6">
        <v>474</v>
      </c>
      <c r="Q101" s="5">
        <v>0.74315598481496103</v>
      </c>
      <c r="R101" s="5">
        <v>2.153023882484394E-2</v>
      </c>
      <c r="S101" s="6">
        <v>0</v>
      </c>
      <c r="T101" s="6">
        <v>1</v>
      </c>
      <c r="U101" s="6">
        <v>423</v>
      </c>
      <c r="V101" s="5">
        <v>0.41997286525770899</v>
      </c>
      <c r="W101" s="5">
        <v>1.993996945027731E-2</v>
      </c>
      <c r="X101" s="6">
        <v>0</v>
      </c>
      <c r="Y101" s="6">
        <v>1</v>
      </c>
      <c r="Z101" s="6">
        <v>1145</v>
      </c>
      <c r="AA101" s="5">
        <v>0.65520854638593373</v>
      </c>
      <c r="AB101" s="5">
        <v>1.2427109701659765E-2</v>
      </c>
      <c r="AC101" s="6">
        <v>0</v>
      </c>
      <c r="AD101" s="6">
        <v>1</v>
      </c>
      <c r="AE101" s="6">
        <v>2899</v>
      </c>
      <c r="AF101">
        <f>(AA102/AA100)-AA101</f>
        <v>0.23410235084155084</v>
      </c>
    </row>
    <row r="102" spans="1:32" x14ac:dyDescent="0.45">
      <c r="A102" s="4" t="s">
        <v>62</v>
      </c>
      <c r="B102" s="5">
        <v>3.3379531658515024E-2</v>
      </c>
      <c r="C102" s="5">
        <v>9.2154995451850016E-3</v>
      </c>
      <c r="D102" s="6">
        <v>0</v>
      </c>
      <c r="E102" s="6">
        <v>1</v>
      </c>
      <c r="F102" s="6">
        <v>382</v>
      </c>
      <c r="G102" s="5">
        <v>0.13753902744546623</v>
      </c>
      <c r="H102" s="5">
        <v>1.640272398244708E-2</v>
      </c>
      <c r="I102" s="6">
        <v>0</v>
      </c>
      <c r="J102" s="6">
        <v>1</v>
      </c>
      <c r="K102" s="6">
        <v>475</v>
      </c>
      <c r="L102" s="5">
        <v>8.1937819074755655E-2</v>
      </c>
      <c r="M102" s="5">
        <v>1.3220822530777039E-2</v>
      </c>
      <c r="N102" s="6">
        <v>0</v>
      </c>
      <c r="O102" s="6">
        <v>1</v>
      </c>
      <c r="P102" s="6">
        <v>474</v>
      </c>
      <c r="Q102" s="5">
        <v>0.20382733529827907</v>
      </c>
      <c r="R102" s="5">
        <v>2.0496942378580078E-2</v>
      </c>
      <c r="S102" s="6">
        <v>0</v>
      </c>
      <c r="T102" s="6">
        <v>1</v>
      </c>
      <c r="U102" s="6">
        <v>423</v>
      </c>
      <c r="V102" s="5">
        <v>6.234772917446952E-2</v>
      </c>
      <c r="W102" s="5">
        <v>9.4147022846279571E-3</v>
      </c>
      <c r="X102" s="6">
        <v>0</v>
      </c>
      <c r="Y102" s="6">
        <v>1</v>
      </c>
      <c r="Z102" s="6">
        <v>1145</v>
      </c>
      <c r="AA102" s="5">
        <v>0.11944852543123664</v>
      </c>
      <c r="AB102" s="5">
        <v>8.4294566005828301E-3</v>
      </c>
      <c r="AC102" s="6">
        <v>0</v>
      </c>
      <c r="AD102" s="6">
        <v>1</v>
      </c>
      <c r="AE102" s="6">
        <v>2899</v>
      </c>
    </row>
    <row r="103" spans="1:32" x14ac:dyDescent="0.45">
      <c r="A103" s="4" t="s">
        <v>26</v>
      </c>
      <c r="B103" s="5">
        <v>4.1884796563283817E-2</v>
      </c>
      <c r="C103" s="5">
        <v>1.0380573988597106E-2</v>
      </c>
      <c r="D103" s="6">
        <v>0</v>
      </c>
      <c r="E103" s="6">
        <v>1</v>
      </c>
      <c r="F103" s="6">
        <v>382</v>
      </c>
      <c r="G103" s="5">
        <v>0.13753902744546623</v>
      </c>
      <c r="H103" s="5">
        <v>1.640272398244708E-2</v>
      </c>
      <c r="I103" s="6">
        <v>0</v>
      </c>
      <c r="J103" s="6">
        <v>1</v>
      </c>
      <c r="K103" s="6">
        <v>475</v>
      </c>
      <c r="L103" s="5">
        <v>0.10931219334347021</v>
      </c>
      <c r="M103" s="5">
        <v>1.5011658014023562E-2</v>
      </c>
      <c r="N103" s="6">
        <v>0</v>
      </c>
      <c r="O103" s="6">
        <v>1</v>
      </c>
      <c r="P103" s="6">
        <v>474</v>
      </c>
      <c r="Q103" s="5">
        <v>0.21697284641081702</v>
      </c>
      <c r="R103" s="5">
        <v>2.0889826904432647E-2</v>
      </c>
      <c r="S103" s="6">
        <v>0</v>
      </c>
      <c r="T103" s="6">
        <v>1</v>
      </c>
      <c r="U103" s="6">
        <v>423</v>
      </c>
      <c r="V103" s="5">
        <v>6.6281456209125428E-2</v>
      </c>
      <c r="W103" s="5">
        <v>9.5772379732993566E-3</v>
      </c>
      <c r="X103" s="6">
        <v>0</v>
      </c>
      <c r="Y103" s="6">
        <v>1</v>
      </c>
      <c r="Z103" s="6">
        <v>1145</v>
      </c>
      <c r="AA103" s="5">
        <v>0.13431582341296991</v>
      </c>
      <c r="AB103" s="5">
        <v>8.9532354906008849E-3</v>
      </c>
      <c r="AC103" s="6">
        <v>0</v>
      </c>
      <c r="AD103" s="6">
        <v>1</v>
      </c>
      <c r="AE103" s="6">
        <v>2899</v>
      </c>
      <c r="AF103">
        <f>(AA105/AA104)-AA103</f>
        <v>5.8354392273990224E-2</v>
      </c>
    </row>
    <row r="104" spans="1:32" ht="39.4" x14ac:dyDescent="0.45">
      <c r="A104" s="4" t="s">
        <v>20</v>
      </c>
      <c r="B104" s="5">
        <v>0.49338798814146861</v>
      </c>
      <c r="C104" s="5">
        <v>2.8707903736097995E-2</v>
      </c>
      <c r="D104" s="6">
        <v>0</v>
      </c>
      <c r="E104" s="6">
        <v>1</v>
      </c>
      <c r="F104" s="6">
        <v>382</v>
      </c>
      <c r="G104" s="5">
        <v>0.69081776050351118</v>
      </c>
      <c r="H104" s="5">
        <v>2.1925596244174266E-2</v>
      </c>
      <c r="I104" s="6">
        <v>0</v>
      </c>
      <c r="J104" s="6">
        <v>1</v>
      </c>
      <c r="K104" s="6">
        <v>475</v>
      </c>
      <c r="L104" s="5">
        <v>0.46365152535875825</v>
      </c>
      <c r="M104" s="5">
        <v>2.3696802294859671E-2</v>
      </c>
      <c r="N104" s="6">
        <v>0</v>
      </c>
      <c r="O104" s="6">
        <v>1</v>
      </c>
      <c r="P104" s="6">
        <v>474</v>
      </c>
      <c r="Q104" s="5">
        <v>0.58710843859266493</v>
      </c>
      <c r="R104" s="5">
        <v>2.4491537195724417E-2</v>
      </c>
      <c r="S104" s="6">
        <v>0</v>
      </c>
      <c r="T104" s="6">
        <v>1</v>
      </c>
      <c r="U104" s="6">
        <v>423</v>
      </c>
      <c r="V104" s="5">
        <v>0.25029012683588503</v>
      </c>
      <c r="W104" s="5">
        <v>1.6687579347897857E-2</v>
      </c>
      <c r="X104" s="6">
        <v>0</v>
      </c>
      <c r="Y104" s="6">
        <v>1</v>
      </c>
      <c r="Z104" s="6">
        <v>1145</v>
      </c>
      <c r="AA104" s="5">
        <v>0.54560453381291008</v>
      </c>
      <c r="AB104" s="5">
        <v>1.2992144899166979E-2</v>
      </c>
      <c r="AC104" s="6">
        <v>0</v>
      </c>
      <c r="AD104" s="6">
        <v>1</v>
      </c>
      <c r="AE104" s="6">
        <v>2899</v>
      </c>
      <c r="AF104">
        <f>(AA105/AA103)-AA104</f>
        <v>0.23704147570681311</v>
      </c>
    </row>
    <row r="105" spans="1:32" x14ac:dyDescent="0.45">
      <c r="A105" s="4" t="s">
        <v>63</v>
      </c>
      <c r="B105" s="5">
        <v>3.1440690780390565E-2</v>
      </c>
      <c r="C105" s="5">
        <v>9.0174919720837077E-3</v>
      </c>
      <c r="D105" s="6">
        <v>0</v>
      </c>
      <c r="E105" s="6">
        <v>1</v>
      </c>
      <c r="F105" s="6">
        <v>382</v>
      </c>
      <c r="G105" s="5">
        <v>0.13753902744546623</v>
      </c>
      <c r="H105" s="5">
        <v>1.640272398244708E-2</v>
      </c>
      <c r="I105" s="6">
        <v>0</v>
      </c>
      <c r="J105" s="6">
        <v>1</v>
      </c>
      <c r="K105" s="6">
        <v>475</v>
      </c>
      <c r="L105" s="5">
        <v>6.6529578814358822E-2</v>
      </c>
      <c r="M105" s="5">
        <v>1.1863088127715206E-2</v>
      </c>
      <c r="N105" s="6">
        <v>0</v>
      </c>
      <c r="O105" s="6">
        <v>1</v>
      </c>
      <c r="P105" s="6">
        <v>474</v>
      </c>
      <c r="Q105" s="5">
        <v>0.1705495846842438</v>
      </c>
      <c r="R105" s="5">
        <v>1.9190023300773667E-2</v>
      </c>
      <c r="S105" s="6">
        <v>0</v>
      </c>
      <c r="T105" s="6">
        <v>1</v>
      </c>
      <c r="U105" s="6">
        <v>423</v>
      </c>
      <c r="V105" s="5">
        <v>4.5742492331331312E-2</v>
      </c>
      <c r="W105" s="5">
        <v>8.2266893718808583E-3</v>
      </c>
      <c r="X105" s="6">
        <v>0</v>
      </c>
      <c r="Y105" s="6">
        <v>1</v>
      </c>
      <c r="Z105" s="6">
        <v>1145</v>
      </c>
      <c r="AA105" s="5">
        <v>0.10512174320951671</v>
      </c>
      <c r="AB105" s="5">
        <v>7.9090745308044077E-3</v>
      </c>
      <c r="AC105" s="6">
        <v>0</v>
      </c>
      <c r="AD105" s="6">
        <v>1</v>
      </c>
      <c r="AE105" s="6">
        <v>2899</v>
      </c>
    </row>
    <row r="106" spans="1:32" x14ac:dyDescent="0.45">
      <c r="A106" s="4" t="s">
        <v>26</v>
      </c>
      <c r="B106" s="5">
        <v>4.1884796563283817E-2</v>
      </c>
      <c r="C106" s="5">
        <v>1.0380573988597106E-2</v>
      </c>
      <c r="D106" s="6">
        <v>0</v>
      </c>
      <c r="E106" s="6">
        <v>1</v>
      </c>
      <c r="F106" s="6">
        <v>382</v>
      </c>
      <c r="G106" s="5">
        <v>0.13753902744546623</v>
      </c>
      <c r="H106" s="5">
        <v>1.640272398244708E-2</v>
      </c>
      <c r="I106" s="6">
        <v>0</v>
      </c>
      <c r="J106" s="6">
        <v>1</v>
      </c>
      <c r="K106" s="6">
        <v>475</v>
      </c>
      <c r="L106" s="5">
        <v>0.10931219334347021</v>
      </c>
      <c r="M106" s="5">
        <v>1.5011658014023562E-2</v>
      </c>
      <c r="N106" s="6">
        <v>0</v>
      </c>
      <c r="O106" s="6">
        <v>1</v>
      </c>
      <c r="P106" s="6">
        <v>474</v>
      </c>
      <c r="Q106" s="5">
        <v>0.21697284641081702</v>
      </c>
      <c r="R106" s="5">
        <v>2.0889826904432647E-2</v>
      </c>
      <c r="S106" s="6">
        <v>0</v>
      </c>
      <c r="T106" s="6">
        <v>1</v>
      </c>
      <c r="U106" s="6">
        <v>423</v>
      </c>
      <c r="V106" s="5">
        <v>6.6281456209125428E-2</v>
      </c>
      <c r="W106" s="5">
        <v>9.5772379732993566E-3</v>
      </c>
      <c r="X106" s="6">
        <v>0</v>
      </c>
      <c r="Y106" s="6">
        <v>1</v>
      </c>
      <c r="Z106" s="6">
        <v>1145</v>
      </c>
      <c r="AA106" s="5">
        <v>0.13431582341296991</v>
      </c>
      <c r="AB106" s="5">
        <v>8.9532354906008849E-3</v>
      </c>
      <c r="AC106" s="6">
        <v>0</v>
      </c>
      <c r="AD106" s="6">
        <v>1</v>
      </c>
      <c r="AE106" s="6">
        <v>2899</v>
      </c>
      <c r="AF106">
        <f>(AA108/AA107)-AA106</f>
        <v>4.3637997166656256E-2</v>
      </c>
    </row>
    <row r="107" spans="1:32" ht="26.25" x14ac:dyDescent="0.45">
      <c r="A107" s="4" t="s">
        <v>22</v>
      </c>
      <c r="B107" s="5">
        <v>0.43781029932519605</v>
      </c>
      <c r="C107" s="5">
        <v>2.8093230494023593E-2</v>
      </c>
      <c r="D107" s="6">
        <v>0</v>
      </c>
      <c r="E107" s="6">
        <v>1</v>
      </c>
      <c r="F107" s="6">
        <v>382</v>
      </c>
      <c r="G107" s="5">
        <v>0.55219468727267385</v>
      </c>
      <c r="H107" s="5">
        <v>2.3637016925189443E-2</v>
      </c>
      <c r="I107" s="6">
        <v>0</v>
      </c>
      <c r="J107" s="6">
        <v>1</v>
      </c>
      <c r="K107" s="6">
        <v>475</v>
      </c>
      <c r="L107" s="5">
        <v>0.49668116027963227</v>
      </c>
      <c r="M107" s="5">
        <v>2.3742455291589224E-2</v>
      </c>
      <c r="N107" s="6">
        <v>0</v>
      </c>
      <c r="O107" s="6">
        <v>1</v>
      </c>
      <c r="P107" s="6">
        <v>474</v>
      </c>
      <c r="Q107" s="5">
        <v>0.81611123613737024</v>
      </c>
      <c r="R107" s="5">
        <v>1.9017745333524308E-2</v>
      </c>
      <c r="S107" s="6">
        <v>0</v>
      </c>
      <c r="T107" s="6">
        <v>1</v>
      </c>
      <c r="U107" s="6">
        <v>423</v>
      </c>
      <c r="V107" s="5">
        <v>0.5075346037063696</v>
      </c>
      <c r="W107" s="5">
        <v>2.0723299778355728E-2</v>
      </c>
      <c r="X107" s="6">
        <v>0</v>
      </c>
      <c r="Y107" s="6">
        <v>1</v>
      </c>
      <c r="Z107" s="6">
        <v>1145</v>
      </c>
      <c r="AA107" s="5">
        <v>0.57753648852202433</v>
      </c>
      <c r="AB107" s="5">
        <v>1.2930285821107954E-2</v>
      </c>
      <c r="AC107" s="6">
        <v>0</v>
      </c>
      <c r="AD107" s="6">
        <v>1</v>
      </c>
      <c r="AE107" s="6">
        <v>2899</v>
      </c>
      <c r="AF107">
        <f>(AA108/AA106)-AA107</f>
        <v>0.18763638571664421</v>
      </c>
    </row>
    <row r="108" spans="1:32" x14ac:dyDescent="0.45">
      <c r="A108" s="4" t="s">
        <v>64</v>
      </c>
      <c r="B108" s="5">
        <v>2.8441092003860347E-2</v>
      </c>
      <c r="C108" s="5">
        <v>8.5459471392986767E-3</v>
      </c>
      <c r="D108" s="6">
        <v>0</v>
      </c>
      <c r="E108" s="6">
        <v>1</v>
      </c>
      <c r="F108" s="6">
        <v>382</v>
      </c>
      <c r="G108" s="5">
        <v>0.10769421615738589</v>
      </c>
      <c r="H108" s="5">
        <v>1.472865042786051E-2</v>
      </c>
      <c r="I108" s="6">
        <v>0</v>
      </c>
      <c r="J108" s="6">
        <v>1</v>
      </c>
      <c r="K108" s="6">
        <v>475</v>
      </c>
      <c r="L108" s="5">
        <v>5.8328476672351186E-2</v>
      </c>
      <c r="M108" s="5">
        <v>1.1420952391700757E-2</v>
      </c>
      <c r="N108" s="6">
        <v>0</v>
      </c>
      <c r="O108" s="6">
        <v>1</v>
      </c>
      <c r="P108" s="6">
        <v>474</v>
      </c>
      <c r="Q108" s="5">
        <v>0.21022848074328207</v>
      </c>
      <c r="R108" s="5">
        <v>2.0676256073381191E-2</v>
      </c>
      <c r="S108" s="6">
        <v>0</v>
      </c>
      <c r="T108" s="6">
        <v>1</v>
      </c>
      <c r="U108" s="6">
        <v>423</v>
      </c>
      <c r="V108" s="5">
        <v>6.259217099849046E-2</v>
      </c>
      <c r="W108" s="5">
        <v>9.3000155059852745E-3</v>
      </c>
      <c r="X108" s="6">
        <v>0</v>
      </c>
      <c r="Y108" s="6">
        <v>1</v>
      </c>
      <c r="Z108" s="6">
        <v>1145</v>
      </c>
      <c r="AA108" s="5">
        <v>0.10277482465663564</v>
      </c>
      <c r="AB108" s="5">
        <v>7.7911959361137142E-3</v>
      </c>
      <c r="AC108" s="6">
        <v>0</v>
      </c>
      <c r="AD108" s="6">
        <v>1</v>
      </c>
      <c r="AE108" s="6">
        <v>2899</v>
      </c>
    </row>
    <row r="109" spans="1:32" x14ac:dyDescent="0.45">
      <c r="A109" s="4" t="s">
        <v>26</v>
      </c>
      <c r="B109" s="5">
        <v>4.1884796563283817E-2</v>
      </c>
      <c r="C109" s="5">
        <v>1.0380573988597106E-2</v>
      </c>
      <c r="D109" s="6">
        <v>0</v>
      </c>
      <c r="E109" s="6">
        <v>1</v>
      </c>
      <c r="F109" s="6">
        <v>382</v>
      </c>
      <c r="G109" s="5">
        <v>0.13753902744546623</v>
      </c>
      <c r="H109" s="5">
        <v>1.640272398244708E-2</v>
      </c>
      <c r="I109" s="6">
        <v>0</v>
      </c>
      <c r="J109" s="6">
        <v>1</v>
      </c>
      <c r="K109" s="6">
        <v>475</v>
      </c>
      <c r="L109" s="5">
        <v>0.10931219334347021</v>
      </c>
      <c r="M109" s="5">
        <v>1.5011658014023562E-2</v>
      </c>
      <c r="N109" s="6">
        <v>0</v>
      </c>
      <c r="O109" s="6">
        <v>1</v>
      </c>
      <c r="P109" s="6">
        <v>474</v>
      </c>
      <c r="Q109" s="5">
        <v>0.21697284641081702</v>
      </c>
      <c r="R109" s="5">
        <v>2.0889826904432647E-2</v>
      </c>
      <c r="S109" s="6">
        <v>0</v>
      </c>
      <c r="T109" s="6">
        <v>1</v>
      </c>
      <c r="U109" s="6">
        <v>423</v>
      </c>
      <c r="V109" s="5">
        <v>6.6281456209125428E-2</v>
      </c>
      <c r="W109" s="5">
        <v>9.5772379732993566E-3</v>
      </c>
      <c r="X109" s="6">
        <v>0</v>
      </c>
      <c r="Y109" s="6">
        <v>1</v>
      </c>
      <c r="Z109" s="6">
        <v>1145</v>
      </c>
      <c r="AA109" s="5">
        <v>0.13431582341296991</v>
      </c>
      <c r="AB109" s="5">
        <v>8.9532354906008849E-3</v>
      </c>
      <c r="AC109" s="6">
        <v>0</v>
      </c>
      <c r="AD109" s="6">
        <v>1</v>
      </c>
      <c r="AE109" s="6">
        <v>2899</v>
      </c>
      <c r="AF109">
        <f>(AA111/AA110)-AA109</f>
        <v>4.5858164019160652E-2</v>
      </c>
    </row>
    <row r="110" spans="1:32" ht="26.25" x14ac:dyDescent="0.45">
      <c r="A110" s="4" t="s">
        <v>24</v>
      </c>
      <c r="B110" s="5">
        <v>0.31036797432157132</v>
      </c>
      <c r="C110" s="5">
        <v>2.5728317926234395E-2</v>
      </c>
      <c r="D110" s="6">
        <v>0</v>
      </c>
      <c r="E110" s="6">
        <v>1</v>
      </c>
      <c r="F110" s="6">
        <v>382</v>
      </c>
      <c r="G110" s="5">
        <v>0.35788515033258406</v>
      </c>
      <c r="H110" s="5">
        <v>2.2745953295009329E-2</v>
      </c>
      <c r="I110" s="6">
        <v>0</v>
      </c>
      <c r="J110" s="6">
        <v>1</v>
      </c>
      <c r="K110" s="6">
        <v>475</v>
      </c>
      <c r="L110" s="5">
        <v>0.34114411132876798</v>
      </c>
      <c r="M110" s="5">
        <v>2.2373839656142282E-2</v>
      </c>
      <c r="N110" s="6">
        <v>0</v>
      </c>
      <c r="O110" s="6">
        <v>1</v>
      </c>
      <c r="P110" s="6">
        <v>474</v>
      </c>
      <c r="Q110" s="5">
        <v>0.74339061825172903</v>
      </c>
      <c r="R110" s="5">
        <v>2.1616709115009351E-2</v>
      </c>
      <c r="S110" s="6">
        <v>0</v>
      </c>
      <c r="T110" s="6">
        <v>1</v>
      </c>
      <c r="U110" s="6">
        <v>423</v>
      </c>
      <c r="V110" s="5">
        <v>0.44820179046503339</v>
      </c>
      <c r="W110" s="5">
        <v>2.0196250233777673E-2</v>
      </c>
      <c r="X110" s="6">
        <v>0</v>
      </c>
      <c r="Y110" s="6">
        <v>1</v>
      </c>
      <c r="Z110" s="6">
        <v>1145</v>
      </c>
      <c r="AA110" s="5">
        <v>0.43492332944629264</v>
      </c>
      <c r="AB110" s="5">
        <v>1.2839399235713171E-2</v>
      </c>
      <c r="AC110" s="6">
        <v>0</v>
      </c>
      <c r="AD110" s="6">
        <v>1</v>
      </c>
      <c r="AE110" s="6">
        <v>2899</v>
      </c>
      <c r="AF110">
        <f>(AA111/AA109)-AA110</f>
        <v>0.14849170314196658</v>
      </c>
    </row>
    <row r="111" spans="1:32" x14ac:dyDescent="0.45">
      <c r="A111" s="4" t="s">
        <v>65</v>
      </c>
      <c r="B111" s="5">
        <v>1.0743257902674155E-2</v>
      </c>
      <c r="C111" s="5">
        <v>5.3725929831660276E-3</v>
      </c>
      <c r="D111" s="6">
        <v>0</v>
      </c>
      <c r="E111" s="6">
        <v>1</v>
      </c>
      <c r="F111" s="6">
        <v>382</v>
      </c>
      <c r="G111" s="5">
        <v>7.1765564900923173E-2</v>
      </c>
      <c r="H111" s="5">
        <v>1.2250500989496297E-2</v>
      </c>
      <c r="I111" s="6">
        <v>0</v>
      </c>
      <c r="J111" s="6">
        <v>1</v>
      </c>
      <c r="K111" s="6">
        <v>475</v>
      </c>
      <c r="L111" s="5">
        <v>3.2812123421844856E-2</v>
      </c>
      <c r="M111" s="5">
        <v>8.4223485620844411E-3</v>
      </c>
      <c r="N111" s="6">
        <v>0</v>
      </c>
      <c r="O111" s="6">
        <v>1</v>
      </c>
      <c r="P111" s="6">
        <v>474</v>
      </c>
      <c r="Q111" s="5">
        <v>0.19763699392018647</v>
      </c>
      <c r="R111" s="5">
        <v>2.0229568014455402E-2</v>
      </c>
      <c r="S111" s="6">
        <v>0</v>
      </c>
      <c r="T111" s="6">
        <v>1</v>
      </c>
      <c r="U111" s="6">
        <v>423</v>
      </c>
      <c r="V111" s="5">
        <v>5.292456553830728E-2</v>
      </c>
      <c r="W111" s="5">
        <v>8.6288389085497803E-3</v>
      </c>
      <c r="X111" s="6">
        <v>0</v>
      </c>
      <c r="Y111" s="6">
        <v>1</v>
      </c>
      <c r="Z111" s="6">
        <v>1145</v>
      </c>
      <c r="AA111" s="5">
        <v>7.8361870493596705E-2</v>
      </c>
      <c r="AB111" s="5">
        <v>6.7217333648401153E-3</v>
      </c>
      <c r="AC111" s="6">
        <v>0</v>
      </c>
      <c r="AD111" s="6">
        <v>1</v>
      </c>
      <c r="AE111" s="6">
        <v>2899</v>
      </c>
    </row>
    <row r="112" spans="1:32" x14ac:dyDescent="0.45">
      <c r="A112" s="4" t="s">
        <v>28</v>
      </c>
      <c r="B112" s="5">
        <v>1.7264055720039462E-2</v>
      </c>
      <c r="C112" s="5">
        <v>6.1707563542775538E-3</v>
      </c>
      <c r="D112" s="6">
        <v>0</v>
      </c>
      <c r="E112" s="6">
        <v>1</v>
      </c>
      <c r="F112" s="6">
        <v>382</v>
      </c>
      <c r="G112" s="5">
        <v>5.7730871783224384E-2</v>
      </c>
      <c r="H112" s="5">
        <v>1.1040934541099294E-2</v>
      </c>
      <c r="I112" s="6">
        <v>0</v>
      </c>
      <c r="J112" s="6">
        <v>1</v>
      </c>
      <c r="K112" s="6">
        <v>475</v>
      </c>
      <c r="L112" s="5">
        <v>0.15665379400173685</v>
      </c>
      <c r="M112" s="5">
        <v>1.7003833752222544E-2</v>
      </c>
      <c r="N112" s="6">
        <v>0</v>
      </c>
      <c r="O112" s="6">
        <v>1</v>
      </c>
      <c r="P112" s="6">
        <v>474</v>
      </c>
      <c r="Q112" s="5">
        <v>0.34721164151992517</v>
      </c>
      <c r="R112" s="5">
        <v>2.3722190078450694E-2</v>
      </c>
      <c r="S112" s="6">
        <v>0</v>
      </c>
      <c r="T112" s="6">
        <v>1</v>
      </c>
      <c r="U112" s="6">
        <v>423</v>
      </c>
      <c r="V112" s="5">
        <v>0.23125284705228391</v>
      </c>
      <c r="W112" s="5">
        <v>1.6225761418869618E-2</v>
      </c>
      <c r="X112" s="6">
        <v>0</v>
      </c>
      <c r="Y112" s="6">
        <v>1</v>
      </c>
      <c r="Z112" s="6">
        <v>1145</v>
      </c>
      <c r="AA112" s="5">
        <v>0.16514633074166635</v>
      </c>
      <c r="AB112" s="5">
        <v>9.5448257822117692E-3</v>
      </c>
      <c r="AC112" s="6">
        <v>0</v>
      </c>
      <c r="AD112" s="6">
        <v>1</v>
      </c>
      <c r="AE112" s="6">
        <v>2899</v>
      </c>
      <c r="AF112">
        <f>(AA114/AA113)-AA112</f>
        <v>4.4182821744628287E-3</v>
      </c>
    </row>
    <row r="113" spans="1:32" x14ac:dyDescent="0.45">
      <c r="A113" s="4" t="s">
        <v>30</v>
      </c>
      <c r="B113" s="5">
        <v>1.1313220175511628E-2</v>
      </c>
      <c r="C113" s="5">
        <v>4.5863484235674698E-3</v>
      </c>
      <c r="D113" s="6">
        <v>0</v>
      </c>
      <c r="E113" s="6">
        <v>1</v>
      </c>
      <c r="F113" s="6">
        <v>382</v>
      </c>
      <c r="G113" s="5">
        <v>2.0486202112384482E-2</v>
      </c>
      <c r="H113" s="5">
        <v>6.8262274481481599E-3</v>
      </c>
      <c r="I113" s="6">
        <v>0</v>
      </c>
      <c r="J113" s="6">
        <v>1</v>
      </c>
      <c r="K113" s="6">
        <v>475</v>
      </c>
      <c r="L113" s="5">
        <v>6.588841932522696E-2</v>
      </c>
      <c r="M113" s="5">
        <v>1.1660063921128712E-2</v>
      </c>
      <c r="N113" s="6">
        <v>0</v>
      </c>
      <c r="O113" s="6">
        <v>1</v>
      </c>
      <c r="P113" s="6">
        <v>474</v>
      </c>
      <c r="Q113" s="5">
        <v>5.0630794411700999E-2</v>
      </c>
      <c r="R113" s="5">
        <v>1.0815749508243298E-2</v>
      </c>
      <c r="S113" s="6">
        <v>0</v>
      </c>
      <c r="T113" s="6">
        <v>1</v>
      </c>
      <c r="U113" s="6">
        <v>423</v>
      </c>
      <c r="V113" s="5">
        <v>1.5718253828212927E-2</v>
      </c>
      <c r="W113" s="5">
        <v>3.6241988561389379E-3</v>
      </c>
      <c r="X113" s="6">
        <v>0</v>
      </c>
      <c r="Y113" s="6">
        <v>1</v>
      </c>
      <c r="Z113" s="6">
        <v>1145</v>
      </c>
      <c r="AA113" s="5">
        <v>4.5027529676807447E-2</v>
      </c>
      <c r="AB113" s="5">
        <v>5.6918609078179345E-3</v>
      </c>
      <c r="AC113" s="6">
        <v>0</v>
      </c>
      <c r="AD113" s="6">
        <v>1</v>
      </c>
      <c r="AE113" s="6">
        <v>2899</v>
      </c>
      <c r="AF113">
        <f>(AA114/AA112)-AA113</f>
        <v>1.2046548708510921E-3</v>
      </c>
    </row>
    <row r="114" spans="1:32" ht="26.25" x14ac:dyDescent="0.45">
      <c r="A114" s="4" t="s">
        <v>66</v>
      </c>
      <c r="B114" s="5">
        <v>0</v>
      </c>
      <c r="C114" s="5">
        <v>0</v>
      </c>
      <c r="D114" s="6">
        <v>0</v>
      </c>
      <c r="E114" s="6">
        <v>0</v>
      </c>
      <c r="F114" s="6">
        <v>382</v>
      </c>
      <c r="G114" s="5">
        <v>0</v>
      </c>
      <c r="H114" s="5">
        <v>0</v>
      </c>
      <c r="I114" s="6">
        <v>0</v>
      </c>
      <c r="J114" s="6">
        <v>0</v>
      </c>
      <c r="K114" s="6">
        <v>475</v>
      </c>
      <c r="L114" s="5">
        <v>0</v>
      </c>
      <c r="M114" s="5">
        <v>0</v>
      </c>
      <c r="N114" s="6">
        <v>0</v>
      </c>
      <c r="O114" s="6">
        <v>0</v>
      </c>
      <c r="P114" s="6">
        <v>474</v>
      </c>
      <c r="Q114" s="5">
        <v>3.4722924982990469E-2</v>
      </c>
      <c r="R114" s="5">
        <v>9.1432873419651402E-3</v>
      </c>
      <c r="S114" s="6">
        <v>0</v>
      </c>
      <c r="T114" s="6">
        <v>1</v>
      </c>
      <c r="U114" s="6">
        <v>423</v>
      </c>
      <c r="V114" s="5">
        <v>2.3933713267166737E-3</v>
      </c>
      <c r="W114" s="5">
        <v>1.7298144753920845E-3</v>
      </c>
      <c r="X114" s="6">
        <v>0</v>
      </c>
      <c r="Y114" s="6">
        <v>1</v>
      </c>
      <c r="Z114" s="6">
        <v>1145</v>
      </c>
      <c r="AA114" s="5">
        <v>7.6350756402173738E-3</v>
      </c>
      <c r="AB114" s="5">
        <v>2.0164838990962084E-3</v>
      </c>
      <c r="AC114" s="6">
        <v>0</v>
      </c>
      <c r="AD114" s="6">
        <v>1</v>
      </c>
      <c r="AE114" s="6">
        <v>2899</v>
      </c>
    </row>
    <row r="115" spans="1:32" x14ac:dyDescent="0.45">
      <c r="A115" s="4" t="s">
        <v>28</v>
      </c>
      <c r="B115" s="5">
        <v>1.7264055720039462E-2</v>
      </c>
      <c r="C115" s="5">
        <v>6.1707563542775538E-3</v>
      </c>
      <c r="D115" s="6">
        <v>0</v>
      </c>
      <c r="E115" s="6">
        <v>1</v>
      </c>
      <c r="F115" s="6">
        <v>382</v>
      </c>
      <c r="G115" s="5">
        <v>5.7730871783224384E-2</v>
      </c>
      <c r="H115" s="5">
        <v>1.1040934541099294E-2</v>
      </c>
      <c r="I115" s="6">
        <v>0</v>
      </c>
      <c r="J115" s="6">
        <v>1</v>
      </c>
      <c r="K115" s="6">
        <v>475</v>
      </c>
      <c r="L115" s="5">
        <v>0.15665379400173685</v>
      </c>
      <c r="M115" s="5">
        <v>1.7003833752222544E-2</v>
      </c>
      <c r="N115" s="6">
        <v>0</v>
      </c>
      <c r="O115" s="6">
        <v>1</v>
      </c>
      <c r="P115" s="6">
        <v>474</v>
      </c>
      <c r="Q115" s="5">
        <v>0.34721164151992517</v>
      </c>
      <c r="R115" s="5">
        <v>2.3722190078450694E-2</v>
      </c>
      <c r="S115" s="6">
        <v>0</v>
      </c>
      <c r="T115" s="6">
        <v>1</v>
      </c>
      <c r="U115" s="6">
        <v>423</v>
      </c>
      <c r="V115" s="5">
        <v>0.23125284705228391</v>
      </c>
      <c r="W115" s="5">
        <v>1.6225761418869618E-2</v>
      </c>
      <c r="X115" s="6">
        <v>0</v>
      </c>
      <c r="Y115" s="6">
        <v>1</v>
      </c>
      <c r="Z115" s="6">
        <v>1145</v>
      </c>
      <c r="AA115" s="5">
        <v>0.16514633074166635</v>
      </c>
      <c r="AB115" s="5">
        <v>9.5448257822117692E-3</v>
      </c>
      <c r="AC115" s="6">
        <v>0</v>
      </c>
      <c r="AD115" s="6">
        <v>1</v>
      </c>
      <c r="AE115" s="6">
        <v>2899</v>
      </c>
      <c r="AF115">
        <f>(AA117/AA116)-AA115</f>
        <v>1.8833259184716483E-2</v>
      </c>
    </row>
    <row r="116" spans="1:32" x14ac:dyDescent="0.45">
      <c r="A116" s="4" t="s">
        <v>32</v>
      </c>
      <c r="B116" s="5">
        <v>0.25284608180999629</v>
      </c>
      <c r="C116" s="5">
        <v>2.3458591618637691E-2</v>
      </c>
      <c r="D116" s="6">
        <v>0</v>
      </c>
      <c r="E116" s="6">
        <v>1</v>
      </c>
      <c r="F116" s="6">
        <v>382</v>
      </c>
      <c r="G116" s="5">
        <v>0.15469967046312694</v>
      </c>
      <c r="H116" s="5">
        <v>1.7315436519360065E-2</v>
      </c>
      <c r="I116" s="6">
        <v>0</v>
      </c>
      <c r="J116" s="6">
        <v>1</v>
      </c>
      <c r="K116" s="6">
        <v>475</v>
      </c>
      <c r="L116" s="5">
        <v>0.15465246754968828</v>
      </c>
      <c r="M116" s="5">
        <v>1.7097482428135913E-2</v>
      </c>
      <c r="N116" s="6">
        <v>0</v>
      </c>
      <c r="O116" s="6">
        <v>1</v>
      </c>
      <c r="P116" s="6">
        <v>474</v>
      </c>
      <c r="Q116" s="5">
        <v>0.13416252742816348</v>
      </c>
      <c r="R116" s="5">
        <v>1.6834266849755707E-2</v>
      </c>
      <c r="S116" s="6">
        <v>0</v>
      </c>
      <c r="T116" s="6">
        <v>1</v>
      </c>
      <c r="U116" s="6">
        <v>423</v>
      </c>
      <c r="V116" s="5">
        <v>4.0946313488166033E-2</v>
      </c>
      <c r="W116" s="5">
        <v>6.5332388522454272E-3</v>
      </c>
      <c r="X116" s="6">
        <v>0</v>
      </c>
      <c r="Y116" s="6">
        <v>1</v>
      </c>
      <c r="Z116" s="6">
        <v>1145</v>
      </c>
      <c r="AA116" s="5">
        <v>0.15253747703133069</v>
      </c>
      <c r="AB116" s="5">
        <v>9.3370656631984964E-3</v>
      </c>
      <c r="AC116" s="6">
        <v>0</v>
      </c>
      <c r="AD116" s="6">
        <v>1</v>
      </c>
      <c r="AE116" s="6">
        <v>2899</v>
      </c>
      <c r="AF116">
        <f>(AA117/AA115)-AA116</f>
        <v>1.7395347673861389E-2</v>
      </c>
    </row>
    <row r="117" spans="1:32" x14ac:dyDescent="0.45">
      <c r="A117" s="4" t="s">
        <v>67</v>
      </c>
      <c r="B117" s="5">
        <v>7.1528782036271582E-3</v>
      </c>
      <c r="C117" s="5">
        <v>4.2163067395430331E-3</v>
      </c>
      <c r="D117" s="6">
        <v>0</v>
      </c>
      <c r="E117" s="6">
        <v>1</v>
      </c>
      <c r="F117" s="6">
        <v>382</v>
      </c>
      <c r="G117" s="5">
        <v>8.3714386765461231E-3</v>
      </c>
      <c r="H117" s="5">
        <v>4.1742901279098396E-3</v>
      </c>
      <c r="I117" s="6">
        <v>0</v>
      </c>
      <c r="J117" s="6">
        <v>1</v>
      </c>
      <c r="K117" s="6">
        <v>475</v>
      </c>
      <c r="L117" s="5">
        <v>2.2590608393730408E-2</v>
      </c>
      <c r="M117" s="5">
        <v>6.8062296288020204E-3</v>
      </c>
      <c r="N117" s="6">
        <v>0</v>
      </c>
      <c r="O117" s="6">
        <v>1</v>
      </c>
      <c r="P117" s="6">
        <v>474</v>
      </c>
      <c r="Q117" s="5">
        <v>7.1113509480821721E-2</v>
      </c>
      <c r="R117" s="5">
        <v>1.2619026987937872E-2</v>
      </c>
      <c r="S117" s="6">
        <v>0</v>
      </c>
      <c r="T117" s="6">
        <v>1</v>
      </c>
      <c r="U117" s="6">
        <v>423</v>
      </c>
      <c r="V117" s="5">
        <v>1.5488823163364364E-2</v>
      </c>
      <c r="W117" s="5">
        <v>4.4555995114567868E-3</v>
      </c>
      <c r="X117" s="6">
        <v>0</v>
      </c>
      <c r="Y117" s="6">
        <v>1</v>
      </c>
      <c r="Z117" s="6">
        <v>1145</v>
      </c>
      <c r="AA117" s="5">
        <v>2.8063782472629261E-2</v>
      </c>
      <c r="AB117" s="5">
        <v>4.1280856846964099E-3</v>
      </c>
      <c r="AC117" s="6">
        <v>0</v>
      </c>
      <c r="AD117" s="6">
        <v>1</v>
      </c>
      <c r="AE117" s="6">
        <v>2899</v>
      </c>
    </row>
    <row r="118" spans="1:32" x14ac:dyDescent="0.45">
      <c r="A118" s="4" t="s">
        <v>28</v>
      </c>
      <c r="B118" s="5">
        <v>1.7264055720039462E-2</v>
      </c>
      <c r="C118" s="5">
        <v>6.1707563542775538E-3</v>
      </c>
      <c r="D118" s="6">
        <v>0</v>
      </c>
      <c r="E118" s="6">
        <v>1</v>
      </c>
      <c r="F118" s="6">
        <v>382</v>
      </c>
      <c r="G118" s="5">
        <v>5.7730871783224384E-2</v>
      </c>
      <c r="H118" s="5">
        <v>1.1040934541099294E-2</v>
      </c>
      <c r="I118" s="6">
        <v>0</v>
      </c>
      <c r="J118" s="6">
        <v>1</v>
      </c>
      <c r="K118" s="6">
        <v>475</v>
      </c>
      <c r="L118" s="5">
        <v>0.15665379400173685</v>
      </c>
      <c r="M118" s="5">
        <v>1.7003833752222544E-2</v>
      </c>
      <c r="N118" s="6">
        <v>0</v>
      </c>
      <c r="O118" s="6">
        <v>1</v>
      </c>
      <c r="P118" s="6">
        <v>474</v>
      </c>
      <c r="Q118" s="5">
        <v>0.34721164151992517</v>
      </c>
      <c r="R118" s="5">
        <v>2.3722190078450694E-2</v>
      </c>
      <c r="S118" s="6">
        <v>0</v>
      </c>
      <c r="T118" s="6">
        <v>1</v>
      </c>
      <c r="U118" s="6">
        <v>423</v>
      </c>
      <c r="V118" s="5">
        <v>0.23125284705228391</v>
      </c>
      <c r="W118" s="5">
        <v>1.6225761418869618E-2</v>
      </c>
      <c r="X118" s="6">
        <v>0</v>
      </c>
      <c r="Y118" s="6">
        <v>1</v>
      </c>
      <c r="Z118" s="6">
        <v>1145</v>
      </c>
      <c r="AA118" s="5">
        <v>0.16514633074166635</v>
      </c>
      <c r="AB118" s="5">
        <v>9.5448257822117692E-3</v>
      </c>
      <c r="AC118" s="6">
        <v>0</v>
      </c>
      <c r="AD118" s="6">
        <v>1</v>
      </c>
      <c r="AE118" s="6">
        <v>2899</v>
      </c>
      <c r="AF118">
        <f>(AA120/AA119)-AA118</f>
        <v>-1.704450469864871E-2</v>
      </c>
    </row>
    <row r="119" spans="1:32" x14ac:dyDescent="0.45">
      <c r="A119" s="4" t="s">
        <v>34</v>
      </c>
      <c r="B119" s="5">
        <v>2.234881186640706E-2</v>
      </c>
      <c r="C119" s="5">
        <v>7.2505456347755999E-3</v>
      </c>
      <c r="D119" s="6">
        <v>0</v>
      </c>
      <c r="E119" s="6">
        <v>1</v>
      </c>
      <c r="F119" s="6">
        <v>382</v>
      </c>
      <c r="G119" s="5">
        <v>5.804778638754593E-2</v>
      </c>
      <c r="H119" s="5">
        <v>1.1281809592535668E-2</v>
      </c>
      <c r="I119" s="6">
        <v>0</v>
      </c>
      <c r="J119" s="6">
        <v>1</v>
      </c>
      <c r="K119" s="6">
        <v>475</v>
      </c>
      <c r="L119" s="5">
        <v>7.7480419578348128E-2</v>
      </c>
      <c r="M119" s="5">
        <v>1.2659526579995721E-2</v>
      </c>
      <c r="N119" s="6">
        <v>0</v>
      </c>
      <c r="O119" s="6">
        <v>1</v>
      </c>
      <c r="P119" s="6">
        <v>474</v>
      </c>
      <c r="Q119" s="5">
        <v>5.2708548379860748E-2</v>
      </c>
      <c r="R119" s="5">
        <v>1.100803849809036E-2</v>
      </c>
      <c r="S119" s="6">
        <v>0</v>
      </c>
      <c r="T119" s="6">
        <v>1</v>
      </c>
      <c r="U119" s="6">
        <v>423</v>
      </c>
      <c r="V119" s="5">
        <v>5.6255696843250701E-3</v>
      </c>
      <c r="W119" s="5">
        <v>2.5449161715647033E-3</v>
      </c>
      <c r="X119" s="6">
        <v>0</v>
      </c>
      <c r="Y119" s="6">
        <v>1</v>
      </c>
      <c r="Z119" s="6">
        <v>1145</v>
      </c>
      <c r="AA119" s="5">
        <v>6.0690366495873303E-2</v>
      </c>
      <c r="AB119" s="5">
        <v>6.5213912070352298E-3</v>
      </c>
      <c r="AC119" s="6">
        <v>0</v>
      </c>
      <c r="AD119" s="6">
        <v>1</v>
      </c>
      <c r="AE119" s="6">
        <v>2899</v>
      </c>
      <c r="AF119">
        <f>(AA120/AA118)-AA119</f>
        <v>-6.2637615516857245E-3</v>
      </c>
    </row>
    <row r="120" spans="1:32" ht="26.25" x14ac:dyDescent="0.45">
      <c r="A120" s="4" t="s">
        <v>68</v>
      </c>
      <c r="B120" s="5">
        <v>2.0162404841826478E-3</v>
      </c>
      <c r="C120" s="5">
        <v>2.0181454495025214E-3</v>
      </c>
      <c r="D120" s="6">
        <v>0</v>
      </c>
      <c r="E120" s="6">
        <v>1</v>
      </c>
      <c r="F120" s="6">
        <v>382</v>
      </c>
      <c r="G120" s="5">
        <v>0</v>
      </c>
      <c r="H120" s="5">
        <v>0</v>
      </c>
      <c r="I120" s="6">
        <v>0</v>
      </c>
      <c r="J120" s="6">
        <v>0</v>
      </c>
      <c r="K120" s="6">
        <v>475</v>
      </c>
      <c r="L120" s="5">
        <v>2.2008072589426051E-3</v>
      </c>
      <c r="M120" s="5">
        <v>2.2007609916448534E-3</v>
      </c>
      <c r="N120" s="6">
        <v>0</v>
      </c>
      <c r="O120" s="6">
        <v>1</v>
      </c>
      <c r="P120" s="6">
        <v>474</v>
      </c>
      <c r="Q120" s="5">
        <v>3.5948601895113654E-2</v>
      </c>
      <c r="R120" s="5">
        <v>9.1852772944695481E-3</v>
      </c>
      <c r="S120" s="6">
        <v>0</v>
      </c>
      <c r="T120" s="6">
        <v>1</v>
      </c>
      <c r="U120" s="6">
        <v>423</v>
      </c>
      <c r="V120" s="5">
        <v>3.6553716783191042E-3</v>
      </c>
      <c r="W120" s="5">
        <v>2.4256119752864135E-3</v>
      </c>
      <c r="X120" s="6">
        <v>0</v>
      </c>
      <c r="Y120" s="6">
        <v>1</v>
      </c>
      <c r="Z120" s="6">
        <v>1145</v>
      </c>
      <c r="AA120" s="5">
        <v>8.9883541012588143E-3</v>
      </c>
      <c r="AB120" s="5">
        <v>2.2230258702346586E-3</v>
      </c>
      <c r="AC120" s="6">
        <v>0</v>
      </c>
      <c r="AD120" s="6">
        <v>1</v>
      </c>
      <c r="AE120" s="6">
        <v>2899</v>
      </c>
    </row>
    <row r="121" spans="1:32" x14ac:dyDescent="0.45">
      <c r="A121" s="4" t="s">
        <v>28</v>
      </c>
      <c r="B121" s="5">
        <v>1.7264055720039462E-2</v>
      </c>
      <c r="C121" s="5">
        <v>6.1707563542775538E-3</v>
      </c>
      <c r="D121" s="6">
        <v>0</v>
      </c>
      <c r="E121" s="6">
        <v>1</v>
      </c>
      <c r="F121" s="6">
        <v>382</v>
      </c>
      <c r="G121" s="5">
        <v>5.7730871783224384E-2</v>
      </c>
      <c r="H121" s="5">
        <v>1.1040934541099294E-2</v>
      </c>
      <c r="I121" s="6">
        <v>0</v>
      </c>
      <c r="J121" s="6">
        <v>1</v>
      </c>
      <c r="K121" s="6">
        <v>475</v>
      </c>
      <c r="L121" s="5">
        <v>0.15665379400173685</v>
      </c>
      <c r="M121" s="5">
        <v>1.7003833752222544E-2</v>
      </c>
      <c r="N121" s="6">
        <v>0</v>
      </c>
      <c r="O121" s="6">
        <v>1</v>
      </c>
      <c r="P121" s="6">
        <v>474</v>
      </c>
      <c r="Q121" s="5">
        <v>0.34721164151992517</v>
      </c>
      <c r="R121" s="5">
        <v>2.3722190078450694E-2</v>
      </c>
      <c r="S121" s="6">
        <v>0</v>
      </c>
      <c r="T121" s="6">
        <v>1</v>
      </c>
      <c r="U121" s="6">
        <v>423</v>
      </c>
      <c r="V121" s="5">
        <v>0.23125284705228391</v>
      </c>
      <c r="W121" s="5">
        <v>1.6225761418869618E-2</v>
      </c>
      <c r="X121" s="6">
        <v>0</v>
      </c>
      <c r="Y121" s="6">
        <v>1</v>
      </c>
      <c r="Z121" s="6">
        <v>1145</v>
      </c>
      <c r="AA121" s="5">
        <v>0.16514633074166635</v>
      </c>
      <c r="AB121" s="5">
        <v>9.5448257822117692E-3</v>
      </c>
      <c r="AC121" s="6">
        <v>0</v>
      </c>
      <c r="AD121" s="6">
        <v>1</v>
      </c>
      <c r="AE121" s="6">
        <v>2899</v>
      </c>
      <c r="AF121">
        <f>(AA123/AA122)-AA121</f>
        <v>-7.8158374243628717E-2</v>
      </c>
    </row>
    <row r="122" spans="1:32" x14ac:dyDescent="0.45">
      <c r="A122" s="4" t="s">
        <v>36</v>
      </c>
      <c r="B122" s="5">
        <v>0.26636125194779031</v>
      </c>
      <c r="C122" s="5">
        <v>2.4189991287900472E-2</v>
      </c>
      <c r="D122" s="6">
        <v>0</v>
      </c>
      <c r="E122" s="6">
        <v>1</v>
      </c>
      <c r="F122" s="6">
        <v>377</v>
      </c>
      <c r="G122" s="5">
        <v>0.17672760534526755</v>
      </c>
      <c r="H122" s="5">
        <v>1.8127456261163202E-2</v>
      </c>
      <c r="I122" s="6">
        <v>0</v>
      </c>
      <c r="J122" s="6">
        <v>1</v>
      </c>
      <c r="K122" s="6">
        <v>467</v>
      </c>
      <c r="L122" s="5">
        <v>4.3890875888197518E-2</v>
      </c>
      <c r="M122" s="5">
        <v>9.6682460234033402E-3</v>
      </c>
      <c r="N122" s="6">
        <v>0</v>
      </c>
      <c r="O122" s="6">
        <v>1</v>
      </c>
      <c r="P122" s="6">
        <v>441</v>
      </c>
      <c r="Q122" s="5">
        <v>8.371081995835053E-2</v>
      </c>
      <c r="R122" s="5">
        <v>1.4050470479779449E-2</v>
      </c>
      <c r="S122" s="6">
        <v>0</v>
      </c>
      <c r="T122" s="6">
        <v>1</v>
      </c>
      <c r="U122" s="6">
        <v>422</v>
      </c>
      <c r="V122" s="5">
        <v>0.17670361522524197</v>
      </c>
      <c r="W122" s="5">
        <v>1.6865782603968957E-2</v>
      </c>
      <c r="X122" s="6">
        <v>0</v>
      </c>
      <c r="Y122" s="6">
        <v>1</v>
      </c>
      <c r="Z122" s="6">
        <v>1068</v>
      </c>
      <c r="AA122" s="5">
        <v>0.10901593418102137</v>
      </c>
      <c r="AB122" s="5">
        <v>7.4445039199197852E-3</v>
      </c>
      <c r="AC122" s="6">
        <v>0</v>
      </c>
      <c r="AD122" s="6">
        <v>1</v>
      </c>
      <c r="AE122" s="6">
        <v>2775</v>
      </c>
      <c r="AF122">
        <f>(AA123/AA121)-AA122</f>
        <v>-5.1593687513211847E-2</v>
      </c>
    </row>
    <row r="123" spans="1:32" x14ac:dyDescent="0.45">
      <c r="A123" s="4" t="s">
        <v>69</v>
      </c>
      <c r="B123" s="5">
        <v>2.0655947442096236E-3</v>
      </c>
      <c r="C123" s="5">
        <v>2.06751999856365E-3</v>
      </c>
      <c r="D123" s="6">
        <v>0</v>
      </c>
      <c r="E123" s="6">
        <v>1</v>
      </c>
      <c r="F123" s="6">
        <v>377</v>
      </c>
      <c r="G123" s="5">
        <v>4.8736361571960528E-3</v>
      </c>
      <c r="H123" s="5">
        <v>3.4470293711862084E-3</v>
      </c>
      <c r="I123" s="6">
        <v>0</v>
      </c>
      <c r="J123" s="6">
        <v>1</v>
      </c>
      <c r="K123" s="6">
        <v>467</v>
      </c>
      <c r="L123" s="5">
        <v>6.4391711700316429E-3</v>
      </c>
      <c r="M123" s="5">
        <v>3.8414006138652607E-3</v>
      </c>
      <c r="N123" s="6">
        <v>0</v>
      </c>
      <c r="O123" s="6">
        <v>1</v>
      </c>
      <c r="P123" s="6">
        <v>441</v>
      </c>
      <c r="Q123" s="5">
        <v>2.2498847406381122E-2</v>
      </c>
      <c r="R123" s="5">
        <v>7.4358453873900185E-3</v>
      </c>
      <c r="S123" s="6">
        <v>0</v>
      </c>
      <c r="T123" s="6">
        <v>1</v>
      </c>
      <c r="U123" s="6">
        <v>422</v>
      </c>
      <c r="V123" s="5">
        <v>1.0451203817865219E-2</v>
      </c>
      <c r="W123" s="5">
        <v>3.7424070364763325E-3</v>
      </c>
      <c r="X123" s="6">
        <v>0</v>
      </c>
      <c r="Y123" s="6">
        <v>1</v>
      </c>
      <c r="Z123" s="6">
        <v>1068</v>
      </c>
      <c r="AA123" s="5">
        <v>9.4830733401316206E-3</v>
      </c>
      <c r="AB123" s="5">
        <v>2.4713747799046306E-3</v>
      </c>
      <c r="AC123" s="6">
        <v>0</v>
      </c>
      <c r="AD123" s="6">
        <v>1</v>
      </c>
      <c r="AE123" s="6">
        <v>2775</v>
      </c>
    </row>
    <row r="124" spans="1:32" x14ac:dyDescent="0.45">
      <c r="A124" s="4" t="s">
        <v>28</v>
      </c>
      <c r="B124" s="5">
        <v>1.7264055720039462E-2</v>
      </c>
      <c r="C124" s="5">
        <v>6.1707563542775538E-3</v>
      </c>
      <c r="D124" s="6">
        <v>0</v>
      </c>
      <c r="E124" s="6">
        <v>1</v>
      </c>
      <c r="F124" s="6">
        <v>382</v>
      </c>
      <c r="G124" s="5">
        <v>5.7730871783224384E-2</v>
      </c>
      <c r="H124" s="5">
        <v>1.1040934541099294E-2</v>
      </c>
      <c r="I124" s="6">
        <v>0</v>
      </c>
      <c r="J124" s="6">
        <v>1</v>
      </c>
      <c r="K124" s="6">
        <v>475</v>
      </c>
      <c r="L124" s="5">
        <v>0.15665379400173685</v>
      </c>
      <c r="M124" s="5">
        <v>1.7003833752222544E-2</v>
      </c>
      <c r="N124" s="6">
        <v>0</v>
      </c>
      <c r="O124" s="6">
        <v>1</v>
      </c>
      <c r="P124" s="6">
        <v>474</v>
      </c>
      <c r="Q124" s="5">
        <v>0.34721164151992517</v>
      </c>
      <c r="R124" s="5">
        <v>2.3722190078450694E-2</v>
      </c>
      <c r="S124" s="6">
        <v>0</v>
      </c>
      <c r="T124" s="6">
        <v>1</v>
      </c>
      <c r="U124" s="6">
        <v>423</v>
      </c>
      <c r="V124" s="5">
        <v>0.23125284705228391</v>
      </c>
      <c r="W124" s="5">
        <v>1.6225761418869618E-2</v>
      </c>
      <c r="X124" s="6">
        <v>0</v>
      </c>
      <c r="Y124" s="6">
        <v>1</v>
      </c>
      <c r="Z124" s="6">
        <v>1145</v>
      </c>
      <c r="AA124" s="5">
        <v>0.16514633074166635</v>
      </c>
      <c r="AB124" s="5">
        <v>9.5448257822117692E-3</v>
      </c>
      <c r="AC124" s="6">
        <v>0</v>
      </c>
      <c r="AD124" s="6">
        <v>1</v>
      </c>
      <c r="AE124" s="6">
        <v>2899</v>
      </c>
      <c r="AF124">
        <f>(AA126/AA125)-AA124</f>
        <v>-3.5333547843216184E-2</v>
      </c>
    </row>
    <row r="125" spans="1:32" ht="26.25" x14ac:dyDescent="0.45">
      <c r="A125" s="4" t="s">
        <v>38</v>
      </c>
      <c r="B125" s="5">
        <v>0.4366780064058276</v>
      </c>
      <c r="C125" s="5">
        <v>2.805782617542071E-2</v>
      </c>
      <c r="D125" s="6">
        <v>0</v>
      </c>
      <c r="E125" s="6">
        <v>1</v>
      </c>
      <c r="F125" s="6">
        <v>382</v>
      </c>
      <c r="G125" s="5">
        <v>0.67637596318441151</v>
      </c>
      <c r="H125" s="5">
        <v>2.2183710228253588E-2</v>
      </c>
      <c r="I125" s="6">
        <v>0</v>
      </c>
      <c r="J125" s="6">
        <v>1</v>
      </c>
      <c r="K125" s="6">
        <v>475</v>
      </c>
      <c r="L125" s="5">
        <v>0.42140913195711371</v>
      </c>
      <c r="M125" s="5">
        <v>2.3440738415648886E-2</v>
      </c>
      <c r="N125" s="6">
        <v>0</v>
      </c>
      <c r="O125" s="6">
        <v>1</v>
      </c>
      <c r="P125" s="6">
        <v>474</v>
      </c>
      <c r="Q125" s="5">
        <v>0.50232647922994245</v>
      </c>
      <c r="R125" s="5">
        <v>2.4962894154274457E-2</v>
      </c>
      <c r="S125" s="6">
        <v>0</v>
      </c>
      <c r="T125" s="6">
        <v>1</v>
      </c>
      <c r="U125" s="6">
        <v>423</v>
      </c>
      <c r="V125" s="5">
        <v>0.19257168054166257</v>
      </c>
      <c r="W125" s="5">
        <v>1.5785783859687097E-2</v>
      </c>
      <c r="X125" s="6">
        <v>0</v>
      </c>
      <c r="Y125" s="6">
        <v>1</v>
      </c>
      <c r="Z125" s="6">
        <v>1145</v>
      </c>
      <c r="AA125" s="5">
        <v>0.50005721577724593</v>
      </c>
      <c r="AB125" s="5">
        <v>1.3039449215689536E-2</v>
      </c>
      <c r="AC125" s="6">
        <v>0</v>
      </c>
      <c r="AD125" s="6">
        <v>1</v>
      </c>
      <c r="AE125" s="6">
        <v>2899</v>
      </c>
      <c r="AF125">
        <f>(AA126/AA124)-AA125</f>
        <v>-0.1069887261718796</v>
      </c>
    </row>
    <row r="126" spans="1:32" ht="26.25" x14ac:dyDescent="0.45">
      <c r="A126" s="4" t="s">
        <v>70</v>
      </c>
      <c r="B126" s="5">
        <v>9.383118470556567E-3</v>
      </c>
      <c r="C126" s="5">
        <v>4.7648980572985349E-3</v>
      </c>
      <c r="D126" s="6">
        <v>0</v>
      </c>
      <c r="E126" s="6">
        <v>1</v>
      </c>
      <c r="F126" s="6">
        <v>382</v>
      </c>
      <c r="G126" s="5">
        <v>3.1159238364640504E-2</v>
      </c>
      <c r="H126" s="5">
        <v>8.2336720319504016E-3</v>
      </c>
      <c r="I126" s="6">
        <v>0</v>
      </c>
      <c r="J126" s="6">
        <v>1</v>
      </c>
      <c r="K126" s="6">
        <v>475</v>
      </c>
      <c r="L126" s="5">
        <v>3.6641085626174852E-2</v>
      </c>
      <c r="M126" s="5">
        <v>8.5815552308341134E-3</v>
      </c>
      <c r="N126" s="6">
        <v>0</v>
      </c>
      <c r="O126" s="6">
        <v>1</v>
      </c>
      <c r="P126" s="6">
        <v>474</v>
      </c>
      <c r="Q126" s="5">
        <v>0.17187608274121394</v>
      </c>
      <c r="R126" s="5">
        <v>1.8843641395561602E-2</v>
      </c>
      <c r="S126" s="6">
        <v>0</v>
      </c>
      <c r="T126" s="6">
        <v>1</v>
      </c>
      <c r="U126" s="6">
        <v>423</v>
      </c>
      <c r="V126" s="5">
        <v>9.558533041250146E-2</v>
      </c>
      <c r="W126" s="5">
        <v>1.1807707936001026E-2</v>
      </c>
      <c r="X126" s="6">
        <v>0</v>
      </c>
      <c r="Y126" s="6">
        <v>1</v>
      </c>
      <c r="Z126" s="6">
        <v>1145</v>
      </c>
      <c r="AA126" s="5">
        <v>6.4913818788495073E-2</v>
      </c>
      <c r="AB126" s="5">
        <v>6.0322346459503323E-3</v>
      </c>
      <c r="AC126" s="6">
        <v>0</v>
      </c>
      <c r="AD126" s="6">
        <v>1</v>
      </c>
      <c r="AE126" s="6">
        <v>2899</v>
      </c>
    </row>
    <row r="127" spans="1:32" x14ac:dyDescent="0.45">
      <c r="A127" s="4" t="s">
        <v>28</v>
      </c>
      <c r="B127" s="5">
        <v>1.7264055720039462E-2</v>
      </c>
      <c r="C127" s="5">
        <v>6.1707563542775538E-3</v>
      </c>
      <c r="D127" s="6">
        <v>0</v>
      </c>
      <c r="E127" s="6">
        <v>1</v>
      </c>
      <c r="F127" s="6">
        <v>382</v>
      </c>
      <c r="G127" s="5">
        <v>5.7730871783224384E-2</v>
      </c>
      <c r="H127" s="5">
        <v>1.1040934541099294E-2</v>
      </c>
      <c r="I127" s="6">
        <v>0</v>
      </c>
      <c r="J127" s="6">
        <v>1</v>
      </c>
      <c r="K127" s="6">
        <v>475</v>
      </c>
      <c r="L127" s="5">
        <v>0.15665379400173685</v>
      </c>
      <c r="M127" s="5">
        <v>1.7003833752222544E-2</v>
      </c>
      <c r="N127" s="6">
        <v>0</v>
      </c>
      <c r="O127" s="6">
        <v>1</v>
      </c>
      <c r="P127" s="6">
        <v>474</v>
      </c>
      <c r="Q127" s="5">
        <v>0.34721164151992517</v>
      </c>
      <c r="R127" s="5">
        <v>2.3722190078450694E-2</v>
      </c>
      <c r="S127" s="6">
        <v>0</v>
      </c>
      <c r="T127" s="6">
        <v>1</v>
      </c>
      <c r="U127" s="6">
        <v>423</v>
      </c>
      <c r="V127" s="5">
        <v>0.23125284705228391</v>
      </c>
      <c r="W127" s="5">
        <v>1.6225761418869618E-2</v>
      </c>
      <c r="X127" s="6">
        <v>0</v>
      </c>
      <c r="Y127" s="6">
        <v>1</v>
      </c>
      <c r="Z127" s="6">
        <v>1145</v>
      </c>
      <c r="AA127" s="5">
        <v>0.16514633074166635</v>
      </c>
      <c r="AB127" s="5">
        <v>9.5448257822117692E-3</v>
      </c>
      <c r="AC127" s="6">
        <v>0</v>
      </c>
      <c r="AD127" s="6">
        <v>1</v>
      </c>
      <c r="AE127" s="6">
        <v>2899</v>
      </c>
      <c r="AF127">
        <f>(AA129/AA128)-AA127</f>
        <v>0.1069637807318779</v>
      </c>
    </row>
    <row r="128" spans="1:32" x14ac:dyDescent="0.45">
      <c r="A128" s="4" t="s">
        <v>40</v>
      </c>
      <c r="B128" s="5">
        <v>0.24475289221599958</v>
      </c>
      <c r="C128" s="5">
        <v>2.3591602155120545E-2</v>
      </c>
      <c r="D128" s="6">
        <v>0</v>
      </c>
      <c r="E128" s="6">
        <v>1</v>
      </c>
      <c r="F128" s="6">
        <v>382</v>
      </c>
      <c r="G128" s="5">
        <v>0.31240436993335119</v>
      </c>
      <c r="H128" s="5">
        <v>2.1994479632135435E-2</v>
      </c>
      <c r="I128" s="6">
        <v>0</v>
      </c>
      <c r="J128" s="6">
        <v>1</v>
      </c>
      <c r="K128" s="6">
        <v>475</v>
      </c>
      <c r="L128" s="5">
        <v>0.31016209118028132</v>
      </c>
      <c r="M128" s="5">
        <v>2.1740010089836503E-2</v>
      </c>
      <c r="N128" s="6">
        <v>0</v>
      </c>
      <c r="O128" s="6">
        <v>1</v>
      </c>
      <c r="P128" s="6">
        <v>474</v>
      </c>
      <c r="Q128" s="5">
        <v>0.7144739729494628</v>
      </c>
      <c r="R128" s="5">
        <v>2.2433009195978806E-2</v>
      </c>
      <c r="S128" s="6">
        <v>0</v>
      </c>
      <c r="T128" s="6">
        <v>1</v>
      </c>
      <c r="U128" s="6">
        <v>423</v>
      </c>
      <c r="V128" s="5">
        <v>0.43483608765880821</v>
      </c>
      <c r="W128" s="5">
        <v>2.0083672578752446E-2</v>
      </c>
      <c r="X128" s="6">
        <v>0</v>
      </c>
      <c r="Y128" s="6">
        <v>1</v>
      </c>
      <c r="Z128" s="6">
        <v>1145</v>
      </c>
      <c r="AA128" s="5">
        <v>0.39887458467079651</v>
      </c>
      <c r="AB128" s="5">
        <v>1.2628190805574898E-2</v>
      </c>
      <c r="AC128" s="6">
        <v>0</v>
      </c>
      <c r="AD128" s="6">
        <v>1</v>
      </c>
      <c r="AE128" s="6">
        <v>2899</v>
      </c>
      <c r="AF128">
        <f>(AA129/AA127)-AA128</f>
        <v>0.25834745115218927</v>
      </c>
    </row>
    <row r="129" spans="1:32" ht="26.25" x14ac:dyDescent="0.45">
      <c r="A129" s="4" t="s">
        <v>71</v>
      </c>
      <c r="B129" s="5">
        <v>4.0792964695722123E-3</v>
      </c>
      <c r="C129" s="5">
        <v>2.8860301485925458E-3</v>
      </c>
      <c r="D129" s="6">
        <v>0</v>
      </c>
      <c r="E129" s="6">
        <v>1</v>
      </c>
      <c r="F129" s="6">
        <v>382</v>
      </c>
      <c r="G129" s="5">
        <v>2.8628549325270775E-2</v>
      </c>
      <c r="H129" s="5">
        <v>7.8659031343503473E-3</v>
      </c>
      <c r="I129" s="6">
        <v>0</v>
      </c>
      <c r="J129" s="6">
        <v>1</v>
      </c>
      <c r="K129" s="6">
        <v>475</v>
      </c>
      <c r="L129" s="5">
        <v>8.2408461475031933E-2</v>
      </c>
      <c r="M129" s="5">
        <v>1.2436170840998524E-2</v>
      </c>
      <c r="N129" s="6">
        <v>0</v>
      </c>
      <c r="O129" s="6">
        <v>1</v>
      </c>
      <c r="P129" s="6">
        <v>474</v>
      </c>
      <c r="Q129" s="5">
        <v>0.27268815782061473</v>
      </c>
      <c r="R129" s="5">
        <v>2.2137514179865453E-2</v>
      </c>
      <c r="S129" s="6">
        <v>0</v>
      </c>
      <c r="T129" s="6">
        <v>1</v>
      </c>
      <c r="U129" s="6">
        <v>423</v>
      </c>
      <c r="V129" s="5">
        <v>0.20158637332667281</v>
      </c>
      <c r="W129" s="5">
        <v>1.5629942932227723E-2</v>
      </c>
      <c r="X129" s="6">
        <v>0</v>
      </c>
      <c r="Y129" s="6">
        <v>1</v>
      </c>
      <c r="Z129" s="6">
        <v>1145</v>
      </c>
      <c r="AA129" s="5">
        <v>0.1085378076987341</v>
      </c>
      <c r="AB129" s="5">
        <v>7.6759866173077545E-3</v>
      </c>
      <c r="AC129" s="6">
        <v>0</v>
      </c>
      <c r="AD129" s="6">
        <v>1</v>
      </c>
      <c r="AE129" s="6">
        <v>2899</v>
      </c>
    </row>
    <row r="130" spans="1:32" x14ac:dyDescent="0.45">
      <c r="A130" s="4" t="s">
        <v>28</v>
      </c>
      <c r="B130" s="5">
        <v>1.7264055720039462E-2</v>
      </c>
      <c r="C130" s="5">
        <v>6.1707563542775538E-3</v>
      </c>
      <c r="D130" s="6">
        <v>0</v>
      </c>
      <c r="E130" s="6">
        <v>1</v>
      </c>
      <c r="F130" s="6">
        <v>382</v>
      </c>
      <c r="G130" s="5">
        <v>5.7730871783224384E-2</v>
      </c>
      <c r="H130" s="5">
        <v>1.1040934541099294E-2</v>
      </c>
      <c r="I130" s="6">
        <v>0</v>
      </c>
      <c r="J130" s="6">
        <v>1</v>
      </c>
      <c r="K130" s="6">
        <v>475</v>
      </c>
      <c r="L130" s="5">
        <v>0.15665379400173685</v>
      </c>
      <c r="M130" s="5">
        <v>1.7003833752222544E-2</v>
      </c>
      <c r="N130" s="6">
        <v>0</v>
      </c>
      <c r="O130" s="6">
        <v>1</v>
      </c>
      <c r="P130" s="6">
        <v>474</v>
      </c>
      <c r="Q130" s="5">
        <v>0.34721164151992517</v>
      </c>
      <c r="R130" s="5">
        <v>2.3722190078450694E-2</v>
      </c>
      <c r="S130" s="6">
        <v>0</v>
      </c>
      <c r="T130" s="6">
        <v>1</v>
      </c>
      <c r="U130" s="6">
        <v>423</v>
      </c>
      <c r="V130" s="5">
        <v>0.23125284705228391</v>
      </c>
      <c r="W130" s="5">
        <v>1.6225761418869618E-2</v>
      </c>
      <c r="X130" s="6">
        <v>0</v>
      </c>
      <c r="Y130" s="6">
        <v>1</v>
      </c>
      <c r="Z130" s="6">
        <v>1145</v>
      </c>
      <c r="AA130" s="5">
        <v>0.16514633074166635</v>
      </c>
      <c r="AB130" s="5">
        <v>9.5448257822117692E-3</v>
      </c>
      <c r="AC130" s="6">
        <v>0</v>
      </c>
      <c r="AD130" s="6">
        <v>1</v>
      </c>
      <c r="AE130" s="6">
        <v>2899</v>
      </c>
      <c r="AF130">
        <f>(AA132/AA131)-AA130</f>
        <v>6.7910156058068105E-2</v>
      </c>
    </row>
    <row r="131" spans="1:32" x14ac:dyDescent="0.45">
      <c r="A131" s="4" t="s">
        <v>42</v>
      </c>
      <c r="B131" s="5">
        <v>0.25089279775929785</v>
      </c>
      <c r="C131" s="5">
        <v>2.3633364656887722E-2</v>
      </c>
      <c r="D131" s="6">
        <v>0</v>
      </c>
      <c r="E131" s="6">
        <v>1</v>
      </c>
      <c r="F131" s="6">
        <v>382</v>
      </c>
      <c r="G131" s="5">
        <v>0.39009576358444259</v>
      </c>
      <c r="H131" s="5">
        <v>2.3181206138358921E-2</v>
      </c>
      <c r="I131" s="6">
        <v>0</v>
      </c>
      <c r="J131" s="6">
        <v>1</v>
      </c>
      <c r="K131" s="6">
        <v>475</v>
      </c>
      <c r="L131" s="5">
        <v>0.31115391050319358</v>
      </c>
      <c r="M131" s="5">
        <v>2.230646426075697E-2</v>
      </c>
      <c r="N131" s="6">
        <v>0</v>
      </c>
      <c r="O131" s="6">
        <v>1</v>
      </c>
      <c r="P131" s="6">
        <v>474</v>
      </c>
      <c r="Q131" s="5">
        <v>0.48120800183961793</v>
      </c>
      <c r="R131" s="5">
        <v>2.4961710177192679E-2</v>
      </c>
      <c r="S131" s="6">
        <v>0</v>
      </c>
      <c r="T131" s="6">
        <v>1</v>
      </c>
      <c r="U131" s="6">
        <v>423</v>
      </c>
      <c r="V131" s="5">
        <v>0.3457577606704838</v>
      </c>
      <c r="W131" s="5">
        <v>1.8801067085193666E-2</v>
      </c>
      <c r="X131" s="6">
        <v>0</v>
      </c>
      <c r="Y131" s="6">
        <v>1</v>
      </c>
      <c r="Z131" s="6">
        <v>1145</v>
      </c>
      <c r="AA131" s="5">
        <v>0.36657663781801664</v>
      </c>
      <c r="AB131" s="5">
        <v>1.2575722914207254E-2</v>
      </c>
      <c r="AC131" s="6">
        <v>0</v>
      </c>
      <c r="AD131" s="6">
        <v>1</v>
      </c>
      <c r="AE131" s="6">
        <v>2899</v>
      </c>
      <c r="AF131">
        <f>(AA132/AA130)-AA131</f>
        <v>0.15074071927401655</v>
      </c>
    </row>
    <row r="132" spans="1:32" x14ac:dyDescent="0.45">
      <c r="A132" s="4" t="s">
        <v>72</v>
      </c>
      <c r="B132" s="5">
        <v>5.8881045159037042E-3</v>
      </c>
      <c r="C132" s="5">
        <v>3.4021192901745835E-3</v>
      </c>
      <c r="D132" s="6">
        <v>0</v>
      </c>
      <c r="E132" s="6">
        <v>1</v>
      </c>
      <c r="F132" s="6">
        <v>382</v>
      </c>
      <c r="G132" s="5">
        <v>1.7745084720388851E-2</v>
      </c>
      <c r="H132" s="5">
        <v>6.2611524003124636E-3</v>
      </c>
      <c r="I132" s="6">
        <v>0</v>
      </c>
      <c r="J132" s="6">
        <v>1</v>
      </c>
      <c r="K132" s="6">
        <v>475</v>
      </c>
      <c r="L132" s="5">
        <v>7.1645636583447234E-2</v>
      </c>
      <c r="M132" s="5">
        <v>1.2143577266645408E-2</v>
      </c>
      <c r="N132" s="6">
        <v>0</v>
      </c>
      <c r="O132" s="6">
        <v>1</v>
      </c>
      <c r="P132" s="6">
        <v>474</v>
      </c>
      <c r="Q132" s="5">
        <v>0.2085968429437253</v>
      </c>
      <c r="R132" s="5">
        <v>2.0326851184518501E-2</v>
      </c>
      <c r="S132" s="6">
        <v>0</v>
      </c>
      <c r="T132" s="6">
        <v>1</v>
      </c>
      <c r="U132" s="6">
        <v>423</v>
      </c>
      <c r="V132" s="5">
        <v>0.14814348634792629</v>
      </c>
      <c r="W132" s="5">
        <v>1.3457937704537805E-2</v>
      </c>
      <c r="X132" s="6">
        <v>0</v>
      </c>
      <c r="Y132" s="6">
        <v>1</v>
      </c>
      <c r="Z132" s="6">
        <v>1145</v>
      </c>
      <c r="AA132" s="5">
        <v>8.543306335272563E-2</v>
      </c>
      <c r="AB132" s="5">
        <v>7.10327190920566E-3</v>
      </c>
      <c r="AC132" s="6">
        <v>0</v>
      </c>
      <c r="AD132" s="6">
        <v>1</v>
      </c>
      <c r="AE132" s="6">
        <v>2899</v>
      </c>
    </row>
    <row r="133" spans="1:32" x14ac:dyDescent="0.45">
      <c r="A133" s="4" t="s">
        <v>28</v>
      </c>
      <c r="B133" s="5">
        <v>1.7264055720039462E-2</v>
      </c>
      <c r="C133" s="5">
        <v>6.1707563542775538E-3</v>
      </c>
      <c r="D133" s="6">
        <v>0</v>
      </c>
      <c r="E133" s="6">
        <v>1</v>
      </c>
      <c r="F133" s="6">
        <v>382</v>
      </c>
      <c r="G133" s="5">
        <v>5.7730871783224384E-2</v>
      </c>
      <c r="H133" s="5">
        <v>1.1040934541099294E-2</v>
      </c>
      <c r="I133" s="6">
        <v>0</v>
      </c>
      <c r="J133" s="6">
        <v>1</v>
      </c>
      <c r="K133" s="6">
        <v>475</v>
      </c>
      <c r="L133" s="5">
        <v>0.15665379400173685</v>
      </c>
      <c r="M133" s="5">
        <v>1.7003833752222544E-2</v>
      </c>
      <c r="N133" s="6">
        <v>0</v>
      </c>
      <c r="O133" s="6">
        <v>1</v>
      </c>
      <c r="P133" s="6">
        <v>474</v>
      </c>
      <c r="Q133" s="5">
        <v>0.34721164151992517</v>
      </c>
      <c r="R133" s="5">
        <v>2.3722190078450694E-2</v>
      </c>
      <c r="S133" s="6">
        <v>0</v>
      </c>
      <c r="T133" s="6">
        <v>1</v>
      </c>
      <c r="U133" s="6">
        <v>423</v>
      </c>
      <c r="V133" s="5">
        <v>0.23125284705228391</v>
      </c>
      <c r="W133" s="5">
        <v>1.6225761418869618E-2</v>
      </c>
      <c r="X133" s="6">
        <v>0</v>
      </c>
      <c r="Y133" s="6">
        <v>1</v>
      </c>
      <c r="Z133" s="6">
        <v>1145</v>
      </c>
      <c r="AA133" s="5">
        <v>0.16514633074166635</v>
      </c>
      <c r="AB133" s="5">
        <v>9.5448257822117692E-3</v>
      </c>
      <c r="AC133" s="6">
        <v>0</v>
      </c>
      <c r="AD133" s="6">
        <v>1</v>
      </c>
      <c r="AE133" s="6">
        <v>2899</v>
      </c>
      <c r="AF133">
        <f>(AA135/AA134)-AA133</f>
        <v>0.15169593662744874</v>
      </c>
    </row>
    <row r="134" spans="1:32" x14ac:dyDescent="0.45">
      <c r="A134" s="4" t="s">
        <v>44</v>
      </c>
      <c r="B134" s="5">
        <v>7.9771782857088899E-2</v>
      </c>
      <c r="C134" s="5">
        <v>1.4835173716237555E-2</v>
      </c>
      <c r="D134" s="6">
        <v>0</v>
      </c>
      <c r="E134" s="6">
        <v>1</v>
      </c>
      <c r="F134" s="6">
        <v>382</v>
      </c>
      <c r="G134" s="5">
        <v>9.1412983805042231E-2</v>
      </c>
      <c r="H134" s="5">
        <v>1.3542282503153303E-2</v>
      </c>
      <c r="I134" s="6">
        <v>0</v>
      </c>
      <c r="J134" s="6">
        <v>1</v>
      </c>
      <c r="K134" s="6">
        <v>475</v>
      </c>
      <c r="L134" s="5">
        <v>6.2522483872663487E-2</v>
      </c>
      <c r="M134" s="5">
        <v>1.2083621448993364E-2</v>
      </c>
      <c r="N134" s="6">
        <v>0</v>
      </c>
      <c r="O134" s="6">
        <v>1</v>
      </c>
      <c r="P134" s="6">
        <v>474</v>
      </c>
      <c r="Q134" s="5">
        <v>0.15234303743644023</v>
      </c>
      <c r="R134" s="5">
        <v>1.7921333577869139E-2</v>
      </c>
      <c r="S134" s="6">
        <v>0</v>
      </c>
      <c r="T134" s="6">
        <v>1</v>
      </c>
      <c r="U134" s="6">
        <v>423</v>
      </c>
      <c r="V134" s="5">
        <v>7.9695497124933817E-2</v>
      </c>
      <c r="W134" s="5">
        <v>8.4181414188695299E-3</v>
      </c>
      <c r="X134" s="6">
        <v>0</v>
      </c>
      <c r="Y134" s="6">
        <v>1</v>
      </c>
      <c r="Z134" s="6">
        <v>1145</v>
      </c>
      <c r="AA134" s="5">
        <v>9.1537468369046068E-2</v>
      </c>
      <c r="AB134" s="5">
        <v>7.4032918276990987E-3</v>
      </c>
      <c r="AC134" s="6">
        <v>0</v>
      </c>
      <c r="AD134" s="6">
        <v>1</v>
      </c>
      <c r="AE134" s="6">
        <v>2899</v>
      </c>
      <c r="AF134">
        <f>(AA135/AA133)-AA134</f>
        <v>8.4082170874684239E-2</v>
      </c>
    </row>
    <row r="135" spans="1:32" x14ac:dyDescent="0.45">
      <c r="A135" s="4" t="s">
        <v>73</v>
      </c>
      <c r="B135" s="5">
        <v>2.0396482347861062E-3</v>
      </c>
      <c r="C135" s="5">
        <v>2.0415274917319247E-3</v>
      </c>
      <c r="D135" s="6">
        <v>0</v>
      </c>
      <c r="E135" s="6">
        <v>1</v>
      </c>
      <c r="F135" s="6">
        <v>382</v>
      </c>
      <c r="G135" s="5">
        <v>4.526533043869194E-3</v>
      </c>
      <c r="H135" s="5">
        <v>3.2014316990004992E-3</v>
      </c>
      <c r="I135" s="6">
        <v>0</v>
      </c>
      <c r="J135" s="6">
        <v>1</v>
      </c>
      <c r="K135" s="6">
        <v>475</v>
      </c>
      <c r="L135" s="5">
        <v>1.4257035272337678E-2</v>
      </c>
      <c r="M135" s="5">
        <v>5.4100815067779128E-3</v>
      </c>
      <c r="N135" s="6">
        <v>0</v>
      </c>
      <c r="O135" s="6">
        <v>1</v>
      </c>
      <c r="P135" s="6">
        <v>474</v>
      </c>
      <c r="Q135" s="5">
        <v>9.2906115401909461E-2</v>
      </c>
      <c r="R135" s="5">
        <v>1.444624436970458E-2</v>
      </c>
      <c r="S135" s="6">
        <v>0</v>
      </c>
      <c r="T135" s="6">
        <v>1</v>
      </c>
      <c r="U135" s="6">
        <v>423</v>
      </c>
      <c r="V135" s="5">
        <v>4.3491603960047504E-2</v>
      </c>
      <c r="W135" s="5">
        <v>6.7395149107004641E-3</v>
      </c>
      <c r="X135" s="6">
        <v>0</v>
      </c>
      <c r="Y135" s="6">
        <v>1</v>
      </c>
      <c r="Z135" s="6">
        <v>1145</v>
      </c>
      <c r="AA135" s="5">
        <v>2.900293902727721E-2</v>
      </c>
      <c r="AB135" s="5">
        <v>4.0392915791506176E-3</v>
      </c>
      <c r="AC135" s="6">
        <v>0</v>
      </c>
      <c r="AD135" s="6">
        <v>1</v>
      </c>
      <c r="AE135" s="6">
        <v>2899</v>
      </c>
    </row>
    <row r="136" spans="1:32" x14ac:dyDescent="0.45">
      <c r="A136" s="4" t="s">
        <v>28</v>
      </c>
      <c r="B136" s="5">
        <v>1.7264055720039462E-2</v>
      </c>
      <c r="C136" s="5">
        <v>6.1707563542775538E-3</v>
      </c>
      <c r="D136" s="6">
        <v>0</v>
      </c>
      <c r="E136" s="6">
        <v>1</v>
      </c>
      <c r="F136" s="6">
        <v>382</v>
      </c>
      <c r="G136" s="5">
        <v>5.7730871783224384E-2</v>
      </c>
      <c r="H136" s="5">
        <v>1.1040934541099294E-2</v>
      </c>
      <c r="I136" s="6">
        <v>0</v>
      </c>
      <c r="J136" s="6">
        <v>1</v>
      </c>
      <c r="K136" s="6">
        <v>475</v>
      </c>
      <c r="L136" s="5">
        <v>0.15665379400173685</v>
      </c>
      <c r="M136" s="5">
        <v>1.7003833752222544E-2</v>
      </c>
      <c r="N136" s="6">
        <v>0</v>
      </c>
      <c r="O136" s="6">
        <v>1</v>
      </c>
      <c r="P136" s="6">
        <v>474</v>
      </c>
      <c r="Q136" s="5">
        <v>0.34721164151992517</v>
      </c>
      <c r="R136" s="5">
        <v>2.3722190078450694E-2</v>
      </c>
      <c r="S136" s="6">
        <v>0</v>
      </c>
      <c r="T136" s="6">
        <v>1</v>
      </c>
      <c r="U136" s="6">
        <v>423</v>
      </c>
      <c r="V136" s="5">
        <v>0.23125284705228391</v>
      </c>
      <c r="W136" s="5">
        <v>1.6225761418869618E-2</v>
      </c>
      <c r="X136" s="6">
        <v>0</v>
      </c>
      <c r="Y136" s="6">
        <v>1</v>
      </c>
      <c r="Z136" s="6">
        <v>1145</v>
      </c>
      <c r="AA136" s="5">
        <v>0.16514633074166635</v>
      </c>
      <c r="AB136" s="5">
        <v>9.5448257822117692E-3</v>
      </c>
      <c r="AC136" s="6">
        <v>0</v>
      </c>
      <c r="AD136" s="6">
        <v>1</v>
      </c>
      <c r="AE136" s="6">
        <v>2899</v>
      </c>
      <c r="AF136">
        <f>(AA138/AA137)-AA136</f>
        <v>1.9909984532819169E-2</v>
      </c>
    </row>
    <row r="137" spans="1:32" ht="39.4" x14ac:dyDescent="0.45">
      <c r="A137" s="4" t="s">
        <v>16</v>
      </c>
      <c r="B137" s="5">
        <v>0.50556237093372625</v>
      </c>
      <c r="C137" s="5">
        <v>2.8806099607079916E-2</v>
      </c>
      <c r="D137" s="6">
        <v>0</v>
      </c>
      <c r="E137" s="6">
        <v>1</v>
      </c>
      <c r="F137" s="6">
        <v>382</v>
      </c>
      <c r="G137" s="5">
        <v>0.75127200876490052</v>
      </c>
      <c r="H137" s="5">
        <v>2.0440411467445026E-2</v>
      </c>
      <c r="I137" s="6">
        <v>0</v>
      </c>
      <c r="J137" s="6">
        <v>1</v>
      </c>
      <c r="K137" s="6">
        <v>475</v>
      </c>
      <c r="L137" s="5">
        <v>0.57082825926267877</v>
      </c>
      <c r="M137" s="5">
        <v>2.3540070455782523E-2</v>
      </c>
      <c r="N137" s="6">
        <v>0</v>
      </c>
      <c r="O137" s="6">
        <v>1</v>
      </c>
      <c r="P137" s="6">
        <v>474</v>
      </c>
      <c r="Q137" s="5">
        <v>0.83603306383602227</v>
      </c>
      <c r="R137" s="5">
        <v>1.8289048327108152E-2</v>
      </c>
      <c r="S137" s="6">
        <v>0</v>
      </c>
      <c r="T137" s="6">
        <v>1</v>
      </c>
      <c r="U137" s="6">
        <v>423</v>
      </c>
      <c r="V137" s="5">
        <v>0.4594408339654299</v>
      </c>
      <c r="W137" s="5">
        <v>2.0333889342993294E-2</v>
      </c>
      <c r="X137" s="6">
        <v>0</v>
      </c>
      <c r="Y137" s="6">
        <v>1</v>
      </c>
      <c r="Z137" s="6">
        <v>1145</v>
      </c>
      <c r="AA137" s="5">
        <v>0.6685391064616979</v>
      </c>
      <c r="AB137" s="5">
        <v>1.2404909142965445E-2</v>
      </c>
      <c r="AC137" s="6">
        <v>0</v>
      </c>
      <c r="AD137" s="6">
        <v>1</v>
      </c>
      <c r="AE137" s="6">
        <v>2899</v>
      </c>
      <c r="AF137">
        <f>(AA138/AA136)-AA137</f>
        <v>8.0598843519318342E-2</v>
      </c>
    </row>
    <row r="138" spans="1:32" x14ac:dyDescent="0.45">
      <c r="A138" s="4" t="s">
        <v>74</v>
      </c>
      <c r="B138" s="5">
        <v>9.383118470556567E-3</v>
      </c>
      <c r="C138" s="5">
        <v>4.7648980572985349E-3</v>
      </c>
      <c r="D138" s="6">
        <v>0</v>
      </c>
      <c r="E138" s="6">
        <v>1</v>
      </c>
      <c r="F138" s="6">
        <v>382</v>
      </c>
      <c r="G138" s="5">
        <v>4.0135928482153041E-2</v>
      </c>
      <c r="H138" s="5">
        <v>9.3095203558904108E-3</v>
      </c>
      <c r="I138" s="6">
        <v>0</v>
      </c>
      <c r="J138" s="6">
        <v>1</v>
      </c>
      <c r="K138" s="6">
        <v>475</v>
      </c>
      <c r="L138" s="5">
        <v>9.1780158961316749E-2</v>
      </c>
      <c r="M138" s="5">
        <v>1.3161238188386062E-2</v>
      </c>
      <c r="N138" s="6">
        <v>0</v>
      </c>
      <c r="O138" s="6">
        <v>1</v>
      </c>
      <c r="P138" s="6">
        <v>474</v>
      </c>
      <c r="Q138" s="5">
        <v>0.30790974447590874</v>
      </c>
      <c r="R138" s="5">
        <v>2.2995005974841658E-2</v>
      </c>
      <c r="S138" s="6">
        <v>0</v>
      </c>
      <c r="T138" s="6">
        <v>1</v>
      </c>
      <c r="U138" s="6">
        <v>423</v>
      </c>
      <c r="V138" s="5">
        <v>0.20768904971616994</v>
      </c>
      <c r="W138" s="5">
        <v>1.5813025298718048E-2</v>
      </c>
      <c r="X138" s="6">
        <v>0</v>
      </c>
      <c r="Y138" s="6">
        <v>1</v>
      </c>
      <c r="Z138" s="6">
        <v>1145</v>
      </c>
      <c r="AA138" s="5">
        <v>0.1237173836586988</v>
      </c>
      <c r="AB138" s="5">
        <v>8.1786251346944276E-3</v>
      </c>
      <c r="AC138" s="6">
        <v>0</v>
      </c>
      <c r="AD138" s="6">
        <v>1</v>
      </c>
      <c r="AE138" s="6">
        <v>2899</v>
      </c>
    </row>
    <row r="139" spans="1:32" x14ac:dyDescent="0.45">
      <c r="A139" s="4" t="s">
        <v>28</v>
      </c>
      <c r="B139" s="5">
        <v>1.7264055720039462E-2</v>
      </c>
      <c r="C139" s="5">
        <v>6.1707563542775538E-3</v>
      </c>
      <c r="D139" s="6">
        <v>0</v>
      </c>
      <c r="E139" s="6">
        <v>1</v>
      </c>
      <c r="F139" s="6">
        <v>382</v>
      </c>
      <c r="G139" s="5">
        <v>5.7730871783224384E-2</v>
      </c>
      <c r="H139" s="5">
        <v>1.1040934541099294E-2</v>
      </c>
      <c r="I139" s="6">
        <v>0</v>
      </c>
      <c r="J139" s="6">
        <v>1</v>
      </c>
      <c r="K139" s="6">
        <v>475</v>
      </c>
      <c r="L139" s="5">
        <v>0.15665379400173685</v>
      </c>
      <c r="M139" s="5">
        <v>1.7003833752222544E-2</v>
      </c>
      <c r="N139" s="6">
        <v>0</v>
      </c>
      <c r="O139" s="6">
        <v>1</v>
      </c>
      <c r="P139" s="6">
        <v>474</v>
      </c>
      <c r="Q139" s="5">
        <v>0.34721164151992517</v>
      </c>
      <c r="R139" s="5">
        <v>2.3722190078450694E-2</v>
      </c>
      <c r="S139" s="6">
        <v>0</v>
      </c>
      <c r="T139" s="6">
        <v>1</v>
      </c>
      <c r="U139" s="6">
        <v>423</v>
      </c>
      <c r="V139" s="5">
        <v>0.23125284705228391</v>
      </c>
      <c r="W139" s="5">
        <v>1.6225761418869618E-2</v>
      </c>
      <c r="X139" s="6">
        <v>0</v>
      </c>
      <c r="Y139" s="6">
        <v>1</v>
      </c>
      <c r="Z139" s="6">
        <v>1145</v>
      </c>
      <c r="AA139" s="5">
        <v>0.16514633074166635</v>
      </c>
      <c r="AB139" s="5">
        <v>9.5448257822117692E-3</v>
      </c>
      <c r="AC139" s="6">
        <v>0</v>
      </c>
      <c r="AD139" s="6">
        <v>1</v>
      </c>
      <c r="AE139" s="6">
        <v>2899</v>
      </c>
      <c r="AF139">
        <f>(AA141/AA140)-AA139</f>
        <v>5.9983710795349088E-3</v>
      </c>
    </row>
    <row r="140" spans="1:32" ht="39.4" x14ac:dyDescent="0.45">
      <c r="A140" s="4" t="s">
        <v>18</v>
      </c>
      <c r="B140" s="5">
        <v>0.57072600859564226</v>
      </c>
      <c r="C140" s="5">
        <v>2.9131924939021201E-2</v>
      </c>
      <c r="D140" s="6">
        <v>0</v>
      </c>
      <c r="E140" s="6">
        <v>1</v>
      </c>
      <c r="F140" s="6">
        <v>382</v>
      </c>
      <c r="G140" s="5">
        <v>0.77458535334454726</v>
      </c>
      <c r="H140" s="5">
        <v>1.9819153022370115E-2</v>
      </c>
      <c r="I140" s="6">
        <v>0</v>
      </c>
      <c r="J140" s="6">
        <v>1</v>
      </c>
      <c r="K140" s="6">
        <v>475</v>
      </c>
      <c r="L140" s="5">
        <v>0.5654398229580665</v>
      </c>
      <c r="M140" s="5">
        <v>2.3474274957925739E-2</v>
      </c>
      <c r="N140" s="6">
        <v>0</v>
      </c>
      <c r="O140" s="6">
        <v>1</v>
      </c>
      <c r="P140" s="6">
        <v>474</v>
      </c>
      <c r="Q140" s="5">
        <v>0.74315598481496103</v>
      </c>
      <c r="R140" s="5">
        <v>2.153023882484394E-2</v>
      </c>
      <c r="S140" s="6">
        <v>0</v>
      </c>
      <c r="T140" s="6">
        <v>1</v>
      </c>
      <c r="U140" s="6">
        <v>423</v>
      </c>
      <c r="V140" s="5">
        <v>0.41997286525770899</v>
      </c>
      <c r="W140" s="5">
        <v>1.993996945027731E-2</v>
      </c>
      <c r="X140" s="6">
        <v>0</v>
      </c>
      <c r="Y140" s="6">
        <v>1</v>
      </c>
      <c r="Z140" s="6">
        <v>1145</v>
      </c>
      <c r="AA140" s="5">
        <v>0.65520854638593373</v>
      </c>
      <c r="AB140" s="5">
        <v>1.2427109701659765E-2</v>
      </c>
      <c r="AC140" s="6">
        <v>0</v>
      </c>
      <c r="AD140" s="6">
        <v>1</v>
      </c>
      <c r="AE140" s="6">
        <v>2899</v>
      </c>
      <c r="AF140">
        <f>(AA141/AA139)-AA140</f>
        <v>2.3798191446671391E-2</v>
      </c>
    </row>
    <row r="141" spans="1:32" x14ac:dyDescent="0.45">
      <c r="A141" s="4" t="s">
        <v>75</v>
      </c>
      <c r="B141" s="5">
        <v>1.3231574751674165E-2</v>
      </c>
      <c r="C141" s="5">
        <v>5.4813413160236663E-3</v>
      </c>
      <c r="D141" s="6">
        <v>0</v>
      </c>
      <c r="E141" s="6">
        <v>1</v>
      </c>
      <c r="F141" s="6">
        <v>382</v>
      </c>
      <c r="G141" s="5">
        <v>3.981379169644985E-2</v>
      </c>
      <c r="H141" s="5">
        <v>9.2460978486759264E-3</v>
      </c>
      <c r="I141" s="6">
        <v>0</v>
      </c>
      <c r="J141" s="6">
        <v>1</v>
      </c>
      <c r="K141" s="6">
        <v>475</v>
      </c>
      <c r="L141" s="5">
        <v>8.3807992488130034E-2</v>
      </c>
      <c r="M141" s="5">
        <v>1.3001097302812256E-2</v>
      </c>
      <c r="N141" s="6">
        <v>0</v>
      </c>
      <c r="O141" s="6">
        <v>1</v>
      </c>
      <c r="P141" s="6">
        <v>474</v>
      </c>
      <c r="Q141" s="5">
        <v>0.27240919077615228</v>
      </c>
      <c r="R141" s="5">
        <v>2.2205912289989908E-2</v>
      </c>
      <c r="S141" s="6">
        <v>0</v>
      </c>
      <c r="T141" s="6">
        <v>1</v>
      </c>
      <c r="U141" s="6">
        <v>423</v>
      </c>
      <c r="V141" s="5">
        <v>0.18728653109329654</v>
      </c>
      <c r="W141" s="5">
        <v>1.5020125690977656E-2</v>
      </c>
      <c r="X141" s="6">
        <v>0</v>
      </c>
      <c r="Y141" s="6">
        <v>1</v>
      </c>
      <c r="Z141" s="6">
        <v>1145</v>
      </c>
      <c r="AA141" s="5">
        <v>0.11213547130192333</v>
      </c>
      <c r="AB141" s="5">
        <v>7.9348919887984298E-3</v>
      </c>
      <c r="AC141" s="6">
        <v>0</v>
      </c>
      <c r="AD141" s="6">
        <v>1</v>
      </c>
      <c r="AE141" s="6">
        <v>2899</v>
      </c>
    </row>
    <row r="142" spans="1:32" x14ac:dyDescent="0.45">
      <c r="A142" s="4" t="s">
        <v>28</v>
      </c>
      <c r="B142" s="5">
        <v>1.7264055720039462E-2</v>
      </c>
      <c r="C142" s="5">
        <v>6.1707563542775538E-3</v>
      </c>
      <c r="D142" s="6">
        <v>0</v>
      </c>
      <c r="E142" s="6">
        <v>1</v>
      </c>
      <c r="F142" s="6">
        <v>382</v>
      </c>
      <c r="G142" s="5">
        <v>5.7730871783224384E-2</v>
      </c>
      <c r="H142" s="5">
        <v>1.1040934541099294E-2</v>
      </c>
      <c r="I142" s="6">
        <v>0</v>
      </c>
      <c r="J142" s="6">
        <v>1</v>
      </c>
      <c r="K142" s="6">
        <v>475</v>
      </c>
      <c r="L142" s="5">
        <v>0.15665379400173685</v>
      </c>
      <c r="M142" s="5">
        <v>1.7003833752222544E-2</v>
      </c>
      <c r="N142" s="6">
        <v>0</v>
      </c>
      <c r="O142" s="6">
        <v>1</v>
      </c>
      <c r="P142" s="6">
        <v>474</v>
      </c>
      <c r="Q142" s="5">
        <v>0.34721164151992517</v>
      </c>
      <c r="R142" s="5">
        <v>2.3722190078450694E-2</v>
      </c>
      <c r="S142" s="6">
        <v>0</v>
      </c>
      <c r="T142" s="6">
        <v>1</v>
      </c>
      <c r="U142" s="6">
        <v>423</v>
      </c>
      <c r="V142" s="5">
        <v>0.23125284705228391</v>
      </c>
      <c r="W142" s="5">
        <v>1.6225761418869618E-2</v>
      </c>
      <c r="X142" s="6">
        <v>0</v>
      </c>
      <c r="Y142" s="6">
        <v>1</v>
      </c>
      <c r="Z142" s="6">
        <v>1145</v>
      </c>
      <c r="AA142" s="5">
        <v>0.16514633074166635</v>
      </c>
      <c r="AB142" s="5">
        <v>9.5448257822117692E-3</v>
      </c>
      <c r="AC142" s="6">
        <v>0</v>
      </c>
      <c r="AD142" s="6">
        <v>1</v>
      </c>
      <c r="AE142" s="6">
        <v>2899</v>
      </c>
      <c r="AF142">
        <f>(AA144/AA143)-AA142</f>
        <v>-1.672745272413742E-2</v>
      </c>
    </row>
    <row r="143" spans="1:32" ht="39.4" x14ac:dyDescent="0.45">
      <c r="A143" s="4" t="s">
        <v>20</v>
      </c>
      <c r="B143" s="5">
        <v>0.49338798814146861</v>
      </c>
      <c r="C143" s="5">
        <v>2.8707903736097995E-2</v>
      </c>
      <c r="D143" s="6">
        <v>0</v>
      </c>
      <c r="E143" s="6">
        <v>1</v>
      </c>
      <c r="F143" s="6">
        <v>382</v>
      </c>
      <c r="G143" s="5">
        <v>0.69081776050351118</v>
      </c>
      <c r="H143" s="5">
        <v>2.1925596244174266E-2</v>
      </c>
      <c r="I143" s="6">
        <v>0</v>
      </c>
      <c r="J143" s="6">
        <v>1</v>
      </c>
      <c r="K143" s="6">
        <v>475</v>
      </c>
      <c r="L143" s="5">
        <v>0.46365152535875825</v>
      </c>
      <c r="M143" s="5">
        <v>2.3696802294859671E-2</v>
      </c>
      <c r="N143" s="6">
        <v>0</v>
      </c>
      <c r="O143" s="6">
        <v>1</v>
      </c>
      <c r="P143" s="6">
        <v>474</v>
      </c>
      <c r="Q143" s="5">
        <v>0.58710843859266493</v>
      </c>
      <c r="R143" s="5">
        <v>2.4491537195724417E-2</v>
      </c>
      <c r="S143" s="6">
        <v>0</v>
      </c>
      <c r="T143" s="6">
        <v>1</v>
      </c>
      <c r="U143" s="6">
        <v>423</v>
      </c>
      <c r="V143" s="5">
        <v>0.25029012683588503</v>
      </c>
      <c r="W143" s="5">
        <v>1.6687579347897857E-2</v>
      </c>
      <c r="X143" s="6">
        <v>0</v>
      </c>
      <c r="Y143" s="6">
        <v>1</v>
      </c>
      <c r="Z143" s="6">
        <v>1145</v>
      </c>
      <c r="AA143" s="5">
        <v>0.54560453381291008</v>
      </c>
      <c r="AB143" s="5">
        <v>1.2992144899166979E-2</v>
      </c>
      <c r="AC143" s="6">
        <v>0</v>
      </c>
      <c r="AD143" s="6">
        <v>1</v>
      </c>
      <c r="AE143" s="6">
        <v>2899</v>
      </c>
      <c r="AF143">
        <f>(AA144/AA142)-AA143</f>
        <v>-5.5263559320048894E-2</v>
      </c>
    </row>
    <row r="144" spans="1:32" x14ac:dyDescent="0.45">
      <c r="A144" s="4" t="s">
        <v>76</v>
      </c>
      <c r="B144" s="5">
        <v>9.383118470556567E-3</v>
      </c>
      <c r="C144" s="5">
        <v>4.7648980572985349E-3</v>
      </c>
      <c r="D144" s="6">
        <v>0</v>
      </c>
      <c r="E144" s="6">
        <v>1</v>
      </c>
      <c r="F144" s="6">
        <v>382</v>
      </c>
      <c r="G144" s="5">
        <v>3.3300734984033291E-2</v>
      </c>
      <c r="H144" s="5">
        <v>8.4908897834141996E-3</v>
      </c>
      <c r="I144" s="6">
        <v>0</v>
      </c>
      <c r="J144" s="6">
        <v>1</v>
      </c>
      <c r="K144" s="6">
        <v>475</v>
      </c>
      <c r="L144" s="5">
        <v>4.7487684760951103E-2</v>
      </c>
      <c r="M144" s="5">
        <v>9.7687091848407716E-3</v>
      </c>
      <c r="N144" s="6">
        <v>0</v>
      </c>
      <c r="O144" s="6">
        <v>1</v>
      </c>
      <c r="P144" s="6">
        <v>474</v>
      </c>
      <c r="Q144" s="5">
        <v>0.21758014450421384</v>
      </c>
      <c r="R144" s="5">
        <v>2.0562830662213195E-2</v>
      </c>
      <c r="S144" s="6">
        <v>0</v>
      </c>
      <c r="T144" s="6">
        <v>1</v>
      </c>
      <c r="U144" s="6">
        <v>423</v>
      </c>
      <c r="V144" s="5">
        <v>0.12533688675689766</v>
      </c>
      <c r="W144" s="5">
        <v>1.2689496776511345E-2</v>
      </c>
      <c r="X144" s="6">
        <v>0</v>
      </c>
      <c r="Y144" s="6">
        <v>1</v>
      </c>
      <c r="Z144" s="6">
        <v>1145</v>
      </c>
      <c r="AA144" s="5">
        <v>8.0978012749789038E-2</v>
      </c>
      <c r="AB144" s="5">
        <v>6.6933678253916842E-3</v>
      </c>
      <c r="AC144" s="6">
        <v>0</v>
      </c>
      <c r="AD144" s="6">
        <v>1</v>
      </c>
      <c r="AE144" s="6">
        <v>2899</v>
      </c>
    </row>
    <row r="145" spans="1:32" x14ac:dyDescent="0.45">
      <c r="A145" s="4" t="s">
        <v>28</v>
      </c>
      <c r="B145" s="5">
        <v>1.7264055720039462E-2</v>
      </c>
      <c r="C145" s="5">
        <v>6.1707563542775538E-3</v>
      </c>
      <c r="D145" s="6">
        <v>0</v>
      </c>
      <c r="E145" s="6">
        <v>1</v>
      </c>
      <c r="F145" s="6">
        <v>382</v>
      </c>
      <c r="G145" s="5">
        <v>5.7730871783224384E-2</v>
      </c>
      <c r="H145" s="5">
        <v>1.1040934541099294E-2</v>
      </c>
      <c r="I145" s="6">
        <v>0</v>
      </c>
      <c r="J145" s="6">
        <v>1</v>
      </c>
      <c r="K145" s="6">
        <v>475</v>
      </c>
      <c r="L145" s="5">
        <v>0.15665379400173685</v>
      </c>
      <c r="M145" s="5">
        <v>1.7003833752222544E-2</v>
      </c>
      <c r="N145" s="6">
        <v>0</v>
      </c>
      <c r="O145" s="6">
        <v>1</v>
      </c>
      <c r="P145" s="6">
        <v>474</v>
      </c>
      <c r="Q145" s="5">
        <v>0.34721164151992517</v>
      </c>
      <c r="R145" s="5">
        <v>2.3722190078450694E-2</v>
      </c>
      <c r="S145" s="6">
        <v>0</v>
      </c>
      <c r="T145" s="6">
        <v>1</v>
      </c>
      <c r="U145" s="6">
        <v>423</v>
      </c>
      <c r="V145" s="5">
        <v>0.23125284705228391</v>
      </c>
      <c r="W145" s="5">
        <v>1.6225761418869618E-2</v>
      </c>
      <c r="X145" s="6">
        <v>0</v>
      </c>
      <c r="Y145" s="6">
        <v>1</v>
      </c>
      <c r="Z145" s="6">
        <v>1145</v>
      </c>
      <c r="AA145" s="5">
        <v>0.16514633074166635</v>
      </c>
      <c r="AB145" s="5">
        <v>9.5448257822117692E-3</v>
      </c>
      <c r="AC145" s="6">
        <v>0</v>
      </c>
      <c r="AD145" s="6">
        <v>1</v>
      </c>
      <c r="AE145" s="6">
        <v>2899</v>
      </c>
      <c r="AF145">
        <f>(AA147/AA146)-AA145</f>
        <v>5.8919997650610845E-2</v>
      </c>
    </row>
    <row r="146" spans="1:32" ht="26.25" x14ac:dyDescent="0.45">
      <c r="A146" s="4" t="s">
        <v>22</v>
      </c>
      <c r="B146" s="5">
        <v>0.43781029932519605</v>
      </c>
      <c r="C146" s="5">
        <v>2.8093230494023593E-2</v>
      </c>
      <c r="D146" s="6">
        <v>0</v>
      </c>
      <c r="E146" s="6">
        <v>1</v>
      </c>
      <c r="F146" s="6">
        <v>382</v>
      </c>
      <c r="G146" s="5">
        <v>0.55219468727267385</v>
      </c>
      <c r="H146" s="5">
        <v>2.3637016925189443E-2</v>
      </c>
      <c r="I146" s="6">
        <v>0</v>
      </c>
      <c r="J146" s="6">
        <v>1</v>
      </c>
      <c r="K146" s="6">
        <v>475</v>
      </c>
      <c r="L146" s="5">
        <v>0.49668116027963227</v>
      </c>
      <c r="M146" s="5">
        <v>2.3742455291589224E-2</v>
      </c>
      <c r="N146" s="6">
        <v>0</v>
      </c>
      <c r="O146" s="6">
        <v>1</v>
      </c>
      <c r="P146" s="6">
        <v>474</v>
      </c>
      <c r="Q146" s="5">
        <v>0.81611123613737024</v>
      </c>
      <c r="R146" s="5">
        <v>1.9017745333524308E-2</v>
      </c>
      <c r="S146" s="6">
        <v>0</v>
      </c>
      <c r="T146" s="6">
        <v>1</v>
      </c>
      <c r="U146" s="6">
        <v>423</v>
      </c>
      <c r="V146" s="5">
        <v>0.5075346037063696</v>
      </c>
      <c r="W146" s="5">
        <v>2.0723299778355728E-2</v>
      </c>
      <c r="X146" s="6">
        <v>0</v>
      </c>
      <c r="Y146" s="6">
        <v>1</v>
      </c>
      <c r="Z146" s="6">
        <v>1145</v>
      </c>
      <c r="AA146" s="5">
        <v>0.57753648852202433</v>
      </c>
      <c r="AB146" s="5">
        <v>1.2930285821107954E-2</v>
      </c>
      <c r="AC146" s="6">
        <v>0</v>
      </c>
      <c r="AD146" s="6">
        <v>1</v>
      </c>
      <c r="AE146" s="6">
        <v>2899</v>
      </c>
      <c r="AF146">
        <f>(AA147/AA145)-AA146</f>
        <v>0.20605028518671376</v>
      </c>
    </row>
    <row r="147" spans="1:32" x14ac:dyDescent="0.45">
      <c r="A147" s="4" t="s">
        <v>77</v>
      </c>
      <c r="B147" s="5">
        <v>7.9277527506898104E-3</v>
      </c>
      <c r="C147" s="5">
        <v>3.9655143100297101E-3</v>
      </c>
      <c r="D147" s="6">
        <v>0</v>
      </c>
      <c r="E147" s="6">
        <v>1</v>
      </c>
      <c r="F147" s="6">
        <v>382</v>
      </c>
      <c r="G147" s="5">
        <v>3.2832945583436787E-2</v>
      </c>
      <c r="H147" s="5">
        <v>8.3872662298831151E-3</v>
      </c>
      <c r="I147" s="6">
        <v>0</v>
      </c>
      <c r="J147" s="6">
        <v>1</v>
      </c>
      <c r="K147" s="6">
        <v>475</v>
      </c>
      <c r="L147" s="5">
        <v>0.10809287923745681</v>
      </c>
      <c r="M147" s="5">
        <v>1.4303401166148907E-2</v>
      </c>
      <c r="N147" s="6">
        <v>0</v>
      </c>
      <c r="O147" s="6">
        <v>1</v>
      </c>
      <c r="P147" s="6">
        <v>474</v>
      </c>
      <c r="Q147" s="5">
        <v>0.31057575919860847</v>
      </c>
      <c r="R147" s="5">
        <v>2.3044881183795895E-2</v>
      </c>
      <c r="S147" s="6">
        <v>0</v>
      </c>
      <c r="T147" s="6">
        <v>1</v>
      </c>
      <c r="U147" s="6">
        <v>423</v>
      </c>
      <c r="V147" s="5">
        <v>0.21936377406095212</v>
      </c>
      <c r="W147" s="5">
        <v>1.5987926349451856E-2</v>
      </c>
      <c r="X147" s="6">
        <v>0</v>
      </c>
      <c r="Y147" s="6">
        <v>1</v>
      </c>
      <c r="Z147" s="6">
        <v>1145</v>
      </c>
      <c r="AA147" s="5">
        <v>0.12940648049569853</v>
      </c>
      <c r="AB147" s="5">
        <v>8.4342644038008785E-3</v>
      </c>
      <c r="AC147" s="6">
        <v>0</v>
      </c>
      <c r="AD147" s="6">
        <v>1</v>
      </c>
      <c r="AE147" s="6">
        <v>2899</v>
      </c>
    </row>
    <row r="148" spans="1:32" x14ac:dyDescent="0.45">
      <c r="A148" s="4" t="s">
        <v>28</v>
      </c>
      <c r="B148" s="5">
        <v>1.7264055720039462E-2</v>
      </c>
      <c r="C148" s="5">
        <v>6.1707563542775538E-3</v>
      </c>
      <c r="D148" s="6">
        <v>0</v>
      </c>
      <c r="E148" s="6">
        <v>1</v>
      </c>
      <c r="F148" s="6">
        <v>382</v>
      </c>
      <c r="G148" s="5">
        <v>5.7730871783224384E-2</v>
      </c>
      <c r="H148" s="5">
        <v>1.1040934541099294E-2</v>
      </c>
      <c r="I148" s="6">
        <v>0</v>
      </c>
      <c r="J148" s="6">
        <v>1</v>
      </c>
      <c r="K148" s="6">
        <v>475</v>
      </c>
      <c r="L148" s="5">
        <v>0.15665379400173685</v>
      </c>
      <c r="M148" s="5">
        <v>1.7003833752222544E-2</v>
      </c>
      <c r="N148" s="6">
        <v>0</v>
      </c>
      <c r="O148" s="6">
        <v>1</v>
      </c>
      <c r="P148" s="6">
        <v>474</v>
      </c>
      <c r="Q148" s="5">
        <v>0.34721164151992517</v>
      </c>
      <c r="R148" s="5">
        <v>2.3722190078450694E-2</v>
      </c>
      <c r="S148" s="6">
        <v>0</v>
      </c>
      <c r="T148" s="6">
        <v>1</v>
      </c>
      <c r="U148" s="6">
        <v>423</v>
      </c>
      <c r="V148" s="5">
        <v>0.23125284705228391</v>
      </c>
      <c r="W148" s="5">
        <v>1.6225761418869618E-2</v>
      </c>
      <c r="X148" s="6">
        <v>0</v>
      </c>
      <c r="Y148" s="6">
        <v>1</v>
      </c>
      <c r="Z148" s="6">
        <v>1145</v>
      </c>
      <c r="AA148" s="5">
        <v>0.16514633074166635</v>
      </c>
      <c r="AB148" s="5">
        <v>9.5448257822117692E-3</v>
      </c>
      <c r="AC148" s="6">
        <v>0</v>
      </c>
      <c r="AD148" s="6">
        <v>1</v>
      </c>
      <c r="AE148" s="6">
        <v>2899</v>
      </c>
      <c r="AF148">
        <f>(AA150/AA149)-AA148</f>
        <v>0.10656097876582571</v>
      </c>
    </row>
    <row r="149" spans="1:32" ht="26.25" x14ac:dyDescent="0.45">
      <c r="A149" s="4" t="s">
        <v>24</v>
      </c>
      <c r="B149" s="5">
        <v>0.31036797432157132</v>
      </c>
      <c r="C149" s="5">
        <v>2.5728317926234395E-2</v>
      </c>
      <c r="D149" s="6">
        <v>0</v>
      </c>
      <c r="E149" s="6">
        <v>1</v>
      </c>
      <c r="F149" s="6">
        <v>382</v>
      </c>
      <c r="G149" s="5">
        <v>0.35788515033258406</v>
      </c>
      <c r="H149" s="5">
        <v>2.2745953295009329E-2</v>
      </c>
      <c r="I149" s="6">
        <v>0</v>
      </c>
      <c r="J149" s="6">
        <v>1</v>
      </c>
      <c r="K149" s="6">
        <v>475</v>
      </c>
      <c r="L149" s="5">
        <v>0.34114411132876798</v>
      </c>
      <c r="M149" s="5">
        <v>2.2373839656142282E-2</v>
      </c>
      <c r="N149" s="6">
        <v>0</v>
      </c>
      <c r="O149" s="6">
        <v>1</v>
      </c>
      <c r="P149" s="6">
        <v>474</v>
      </c>
      <c r="Q149" s="5">
        <v>0.74339061825172903</v>
      </c>
      <c r="R149" s="5">
        <v>2.1616709115009351E-2</v>
      </c>
      <c r="S149" s="6">
        <v>0</v>
      </c>
      <c r="T149" s="6">
        <v>1</v>
      </c>
      <c r="U149" s="6">
        <v>423</v>
      </c>
      <c r="V149" s="5">
        <v>0.44820179046503339</v>
      </c>
      <c r="W149" s="5">
        <v>2.0196250233777673E-2</v>
      </c>
      <c r="X149" s="6">
        <v>0</v>
      </c>
      <c r="Y149" s="6">
        <v>1</v>
      </c>
      <c r="Z149" s="6">
        <v>1145</v>
      </c>
      <c r="AA149" s="5">
        <v>0.43492332944629264</v>
      </c>
      <c r="AB149" s="5">
        <v>1.2839399235713171E-2</v>
      </c>
      <c r="AC149" s="6">
        <v>0</v>
      </c>
      <c r="AD149" s="6">
        <v>1</v>
      </c>
      <c r="AE149" s="6">
        <v>2899</v>
      </c>
      <c r="AF149">
        <f>(AA150/AA148)-AA149</f>
        <v>0.28063509171382139</v>
      </c>
    </row>
    <row r="150" spans="1:32" x14ac:dyDescent="0.45">
      <c r="A150" s="4" t="s">
        <v>78</v>
      </c>
      <c r="B150" s="5">
        <v>4.0792964695722123E-3</v>
      </c>
      <c r="C150" s="5">
        <v>2.8860301485925458E-3</v>
      </c>
      <c r="D150" s="6">
        <v>0</v>
      </c>
      <c r="E150" s="6">
        <v>1</v>
      </c>
      <c r="F150" s="6">
        <v>382</v>
      </c>
      <c r="G150" s="5">
        <v>3.1013585749747188E-2</v>
      </c>
      <c r="H150" s="5">
        <v>8.1998142875625134E-3</v>
      </c>
      <c r="I150" s="6">
        <v>0</v>
      </c>
      <c r="J150" s="6">
        <v>1</v>
      </c>
      <c r="K150" s="6">
        <v>475</v>
      </c>
      <c r="L150" s="5">
        <v>9.1160499218538665E-2</v>
      </c>
      <c r="M150" s="5">
        <v>1.3072291084550006E-2</v>
      </c>
      <c r="N150" s="6">
        <v>0</v>
      </c>
      <c r="O150" s="6">
        <v>1</v>
      </c>
      <c r="P150" s="6">
        <v>474</v>
      </c>
      <c r="Q150" s="5">
        <v>0.29630969255449702</v>
      </c>
      <c r="R150" s="5">
        <v>2.2746203265588866E-2</v>
      </c>
      <c r="S150" s="6">
        <v>0</v>
      </c>
      <c r="T150" s="6">
        <v>1</v>
      </c>
      <c r="U150" s="6">
        <v>423</v>
      </c>
      <c r="V150" s="5">
        <v>0.20833821987983206</v>
      </c>
      <c r="W150" s="5">
        <v>1.57498007316141E-2</v>
      </c>
      <c r="X150" s="6">
        <v>0</v>
      </c>
      <c r="Y150" s="6">
        <v>1</v>
      </c>
      <c r="Z150" s="6">
        <v>1145</v>
      </c>
      <c r="AA150" s="5">
        <v>0.11817184768589277</v>
      </c>
      <c r="AB150" s="5">
        <v>8.0140420488388452E-3</v>
      </c>
      <c r="AC150" s="6">
        <v>0</v>
      </c>
      <c r="AD150" s="6">
        <v>1</v>
      </c>
      <c r="AE150" s="6">
        <v>2899</v>
      </c>
    </row>
    <row r="151" spans="1:32" x14ac:dyDescent="0.45">
      <c r="A151" s="4" t="s">
        <v>30</v>
      </c>
      <c r="B151" s="5">
        <v>1.1313220175511628E-2</v>
      </c>
      <c r="C151" s="5">
        <v>4.5863484235674698E-3</v>
      </c>
      <c r="D151" s="6">
        <v>0</v>
      </c>
      <c r="E151" s="6">
        <v>1</v>
      </c>
      <c r="F151" s="6">
        <v>382</v>
      </c>
      <c r="G151" s="5">
        <v>2.0486202112384482E-2</v>
      </c>
      <c r="H151" s="5">
        <v>6.8262274481481599E-3</v>
      </c>
      <c r="I151" s="6">
        <v>0</v>
      </c>
      <c r="J151" s="6">
        <v>1</v>
      </c>
      <c r="K151" s="6">
        <v>475</v>
      </c>
      <c r="L151" s="5">
        <v>6.588841932522696E-2</v>
      </c>
      <c r="M151" s="5">
        <v>1.1660063921128712E-2</v>
      </c>
      <c r="N151" s="6">
        <v>0</v>
      </c>
      <c r="O151" s="6">
        <v>1</v>
      </c>
      <c r="P151" s="6">
        <v>474</v>
      </c>
      <c r="Q151" s="5">
        <v>5.0630794411700999E-2</v>
      </c>
      <c r="R151" s="5">
        <v>1.0815749508243298E-2</v>
      </c>
      <c r="S151" s="6">
        <v>0</v>
      </c>
      <c r="T151" s="6">
        <v>1</v>
      </c>
      <c r="U151" s="6">
        <v>423</v>
      </c>
      <c r="V151" s="5">
        <v>1.5718253828212927E-2</v>
      </c>
      <c r="W151" s="5">
        <v>3.6241988561389379E-3</v>
      </c>
      <c r="X151" s="6">
        <v>0</v>
      </c>
      <c r="Y151" s="6">
        <v>1</v>
      </c>
      <c r="Z151" s="6">
        <v>1145</v>
      </c>
      <c r="AA151" s="16">
        <v>4.5027529676807447E-2</v>
      </c>
      <c r="AB151" s="16">
        <v>5.6918609078179345E-3</v>
      </c>
      <c r="AC151" s="17">
        <v>0</v>
      </c>
      <c r="AD151" s="17">
        <v>1</v>
      </c>
      <c r="AE151" s="17">
        <v>2899</v>
      </c>
      <c r="AF151">
        <f>(AA153/AA152)-AA151</f>
        <v>2.1349709048483163E-2</v>
      </c>
    </row>
    <row r="152" spans="1:32" x14ac:dyDescent="0.45">
      <c r="A152" s="4" t="s">
        <v>32</v>
      </c>
      <c r="B152" s="5">
        <v>0.25284608180999629</v>
      </c>
      <c r="C152" s="5">
        <v>2.3458591618637691E-2</v>
      </c>
      <c r="D152" s="6">
        <v>0</v>
      </c>
      <c r="E152" s="6">
        <v>1</v>
      </c>
      <c r="F152" s="6">
        <v>382</v>
      </c>
      <c r="G152" s="5">
        <v>0.15469967046312694</v>
      </c>
      <c r="H152" s="5">
        <v>1.7315436519360065E-2</v>
      </c>
      <c r="I152" s="6">
        <v>0</v>
      </c>
      <c r="J152" s="6">
        <v>1</v>
      </c>
      <c r="K152" s="6">
        <v>475</v>
      </c>
      <c r="L152" s="5">
        <v>0.15465246754968828</v>
      </c>
      <c r="M152" s="5">
        <v>1.7097482428135913E-2</v>
      </c>
      <c r="N152" s="6">
        <v>0</v>
      </c>
      <c r="O152" s="6">
        <v>1</v>
      </c>
      <c r="P152" s="6">
        <v>474</v>
      </c>
      <c r="Q152" s="5">
        <v>0.13416252742816348</v>
      </c>
      <c r="R152" s="5">
        <v>1.6834266849755707E-2</v>
      </c>
      <c r="S152" s="6">
        <v>0</v>
      </c>
      <c r="T152" s="6">
        <v>1</v>
      </c>
      <c r="U152" s="6">
        <v>423</v>
      </c>
      <c r="V152" s="5">
        <v>4.0946313488166033E-2</v>
      </c>
      <c r="W152" s="5">
        <v>6.5332388522454272E-3</v>
      </c>
      <c r="X152" s="6">
        <v>0</v>
      </c>
      <c r="Y152" s="6">
        <v>1</v>
      </c>
      <c r="Z152" s="6">
        <v>1145</v>
      </c>
      <c r="AA152" s="16">
        <v>0.15253747703133069</v>
      </c>
      <c r="AB152" s="16">
        <v>9.3370656631984964E-3</v>
      </c>
      <c r="AC152" s="17">
        <v>0</v>
      </c>
      <c r="AD152" s="17">
        <v>1</v>
      </c>
      <c r="AE152" s="17">
        <v>2899</v>
      </c>
      <c r="AF152">
        <f>(AA153/AA151)-AA152</f>
        <v>7.2325325794765999E-2</v>
      </c>
    </row>
    <row r="153" spans="1:32" ht="26.25" x14ac:dyDescent="0.45">
      <c r="A153" s="15" t="s">
        <v>79</v>
      </c>
      <c r="B153" s="5">
        <v>5.3949490648492046E-3</v>
      </c>
      <c r="C153" s="5">
        <v>3.3626202886882298E-3</v>
      </c>
      <c r="D153" s="6">
        <v>0</v>
      </c>
      <c r="E153" s="6">
        <v>1</v>
      </c>
      <c r="F153" s="6">
        <v>382</v>
      </c>
      <c r="G153" s="5">
        <v>3.8404730452461229E-3</v>
      </c>
      <c r="H153" s="5">
        <v>2.7546773167222414E-3</v>
      </c>
      <c r="I153" s="6">
        <v>0</v>
      </c>
      <c r="J153" s="6">
        <v>1</v>
      </c>
      <c r="K153" s="6">
        <v>475</v>
      </c>
      <c r="L153" s="5">
        <v>1.7168740278075918E-2</v>
      </c>
      <c r="M153" s="5">
        <v>6.0300533086424532E-3</v>
      </c>
      <c r="N153" s="6">
        <v>0</v>
      </c>
      <c r="O153" s="6">
        <v>1</v>
      </c>
      <c r="P153" s="6">
        <v>474</v>
      </c>
      <c r="Q153" s="5">
        <v>7.2397590262310444E-3</v>
      </c>
      <c r="R153" s="5">
        <v>4.1727502725591187E-3</v>
      </c>
      <c r="S153" s="6">
        <v>0</v>
      </c>
      <c r="T153" s="6">
        <v>1</v>
      </c>
      <c r="U153" s="6">
        <v>423</v>
      </c>
      <c r="V153" s="5">
        <v>2.0818824791760432E-3</v>
      </c>
      <c r="W153" s="5">
        <v>1.1263180297329579E-3</v>
      </c>
      <c r="X153" s="6">
        <v>0</v>
      </c>
      <c r="Y153" s="6">
        <v>1</v>
      </c>
      <c r="Z153" s="6">
        <v>1145</v>
      </c>
      <c r="AA153" s="16">
        <v>1.012501652746217E-2</v>
      </c>
      <c r="AB153" s="16">
        <v>2.7633604549551502E-3</v>
      </c>
      <c r="AC153" s="17">
        <v>0</v>
      </c>
      <c r="AD153" s="17">
        <v>1</v>
      </c>
      <c r="AE153" s="17">
        <v>2899</v>
      </c>
    </row>
    <row r="154" spans="1:32" x14ac:dyDescent="0.45">
      <c r="A154" s="4" t="s">
        <v>30</v>
      </c>
      <c r="B154" s="5">
        <v>1.1313220175511628E-2</v>
      </c>
      <c r="C154" s="5">
        <v>4.5863484235674698E-3</v>
      </c>
      <c r="D154" s="6">
        <v>0</v>
      </c>
      <c r="E154" s="6">
        <v>1</v>
      </c>
      <c r="F154" s="6">
        <v>382</v>
      </c>
      <c r="G154" s="5">
        <v>2.0486202112384482E-2</v>
      </c>
      <c r="H154" s="5">
        <v>6.8262274481481599E-3</v>
      </c>
      <c r="I154" s="6">
        <v>0</v>
      </c>
      <c r="J154" s="6">
        <v>1</v>
      </c>
      <c r="K154" s="6">
        <v>475</v>
      </c>
      <c r="L154" s="5">
        <v>6.588841932522696E-2</v>
      </c>
      <c r="M154" s="5">
        <v>1.1660063921128712E-2</v>
      </c>
      <c r="N154" s="6">
        <v>0</v>
      </c>
      <c r="O154" s="6">
        <v>1</v>
      </c>
      <c r="P154" s="6">
        <v>474</v>
      </c>
      <c r="Q154" s="5">
        <v>5.0630794411700999E-2</v>
      </c>
      <c r="R154" s="5">
        <v>1.0815749508243298E-2</v>
      </c>
      <c r="S154" s="6">
        <v>0</v>
      </c>
      <c r="T154" s="6">
        <v>1</v>
      </c>
      <c r="U154" s="6">
        <v>423</v>
      </c>
      <c r="V154" s="5">
        <v>1.5718253828212927E-2</v>
      </c>
      <c r="W154" s="5">
        <v>3.6241988561389379E-3</v>
      </c>
      <c r="X154" s="6">
        <v>0</v>
      </c>
      <c r="Y154" s="6">
        <v>1</v>
      </c>
      <c r="Z154" s="6">
        <v>1145</v>
      </c>
      <c r="AA154" s="5">
        <v>4.5027529676807447E-2</v>
      </c>
      <c r="AB154" s="5">
        <v>5.6918609078179345E-3</v>
      </c>
      <c r="AC154" s="6">
        <v>0</v>
      </c>
      <c r="AD154" s="6">
        <v>1</v>
      </c>
      <c r="AE154" s="6">
        <v>2899</v>
      </c>
      <c r="AF154">
        <f>(AA156/AA155)-AA154</f>
        <v>4.8123173322388392E-2</v>
      </c>
    </row>
    <row r="155" spans="1:32" x14ac:dyDescent="0.45">
      <c r="A155" s="4" t="s">
        <v>34</v>
      </c>
      <c r="B155" s="5">
        <v>2.234881186640706E-2</v>
      </c>
      <c r="C155" s="5">
        <v>7.2505456347755999E-3</v>
      </c>
      <c r="D155" s="6">
        <v>0</v>
      </c>
      <c r="E155" s="6">
        <v>1</v>
      </c>
      <c r="F155" s="6">
        <v>382</v>
      </c>
      <c r="G155" s="5">
        <v>5.804778638754593E-2</v>
      </c>
      <c r="H155" s="5">
        <v>1.1281809592535668E-2</v>
      </c>
      <c r="I155" s="6">
        <v>0</v>
      </c>
      <c r="J155" s="6">
        <v>1</v>
      </c>
      <c r="K155" s="6">
        <v>475</v>
      </c>
      <c r="L155" s="5">
        <v>7.7480419578348128E-2</v>
      </c>
      <c r="M155" s="5">
        <v>1.2659526579995721E-2</v>
      </c>
      <c r="N155" s="6">
        <v>0</v>
      </c>
      <c r="O155" s="6">
        <v>1</v>
      </c>
      <c r="P155" s="6">
        <v>474</v>
      </c>
      <c r="Q155" s="5">
        <v>5.2708548379860748E-2</v>
      </c>
      <c r="R155" s="5">
        <v>1.100803849809036E-2</v>
      </c>
      <c r="S155" s="6">
        <v>0</v>
      </c>
      <c r="T155" s="6">
        <v>1</v>
      </c>
      <c r="U155" s="6">
        <v>423</v>
      </c>
      <c r="V155" s="5">
        <v>5.6255696843250701E-3</v>
      </c>
      <c r="W155" s="5">
        <v>2.5449161715647033E-3</v>
      </c>
      <c r="X155" s="6">
        <v>0</v>
      </c>
      <c r="Y155" s="6">
        <v>1</v>
      </c>
      <c r="Z155" s="6">
        <v>1145</v>
      </c>
      <c r="AA155" s="5">
        <v>6.0690366495873303E-2</v>
      </c>
      <c r="AB155" s="5">
        <v>6.5213912070352298E-3</v>
      </c>
      <c r="AC155" s="6">
        <v>0</v>
      </c>
      <c r="AD155" s="6">
        <v>1</v>
      </c>
      <c r="AE155" s="6">
        <v>2899</v>
      </c>
      <c r="AF155">
        <f>(AA156/AA154)-AA155</f>
        <v>6.4862830513762765E-2</v>
      </c>
    </row>
    <row r="156" spans="1:32" ht="26.25" x14ac:dyDescent="0.45">
      <c r="A156" s="4" t="s">
        <v>80</v>
      </c>
      <c r="B156" s="5">
        <v>8.1457937122116596E-4</v>
      </c>
      <c r="C156" s="5">
        <v>8.1632889671908382E-4</v>
      </c>
      <c r="D156" s="6">
        <v>0</v>
      </c>
      <c r="E156" s="6">
        <v>1</v>
      </c>
      <c r="F156" s="6">
        <v>382</v>
      </c>
      <c r="G156" s="5">
        <v>2.2539701813356801E-3</v>
      </c>
      <c r="H156" s="5">
        <v>2.2538029680832291E-3</v>
      </c>
      <c r="I156" s="6">
        <v>0</v>
      </c>
      <c r="J156" s="6">
        <v>1</v>
      </c>
      <c r="K156" s="6">
        <v>475</v>
      </c>
      <c r="L156" s="5">
        <v>1.0740153744492886E-2</v>
      </c>
      <c r="M156" s="5">
        <v>4.7876050227179468E-3</v>
      </c>
      <c r="N156" s="6">
        <v>0</v>
      </c>
      <c r="O156" s="6">
        <v>1</v>
      </c>
      <c r="P156" s="6">
        <v>474</v>
      </c>
      <c r="Q156" s="5">
        <v>2.520510758095112E-3</v>
      </c>
      <c r="R156" s="5">
        <v>2.5202711846866307E-3</v>
      </c>
      <c r="S156" s="6">
        <v>0</v>
      </c>
      <c r="T156" s="6">
        <v>1</v>
      </c>
      <c r="U156" s="6">
        <v>423</v>
      </c>
      <c r="V156" s="5">
        <v>2.8912995054733377E-4</v>
      </c>
      <c r="W156" s="5">
        <v>2.8941945530216876E-4</v>
      </c>
      <c r="X156" s="6">
        <v>0</v>
      </c>
      <c r="Y156" s="6">
        <v>1</v>
      </c>
      <c r="Z156" s="6">
        <v>1145</v>
      </c>
      <c r="AA156" s="5">
        <v>5.6533503043694399E-3</v>
      </c>
      <c r="AB156" s="5">
        <v>2.1411587541614522E-3</v>
      </c>
      <c r="AC156" s="6">
        <v>0</v>
      </c>
      <c r="AD156" s="6">
        <v>1</v>
      </c>
      <c r="AE156" s="6">
        <v>2899</v>
      </c>
    </row>
    <row r="157" spans="1:32" x14ac:dyDescent="0.45">
      <c r="A157" s="4" t="s">
        <v>30</v>
      </c>
      <c r="B157" s="5">
        <v>1.1313220175511628E-2</v>
      </c>
      <c r="C157" s="5">
        <v>4.5863484235674698E-3</v>
      </c>
      <c r="D157" s="6">
        <v>0</v>
      </c>
      <c r="E157" s="6">
        <v>1</v>
      </c>
      <c r="F157" s="6">
        <v>382</v>
      </c>
      <c r="G157" s="5">
        <v>2.0486202112384482E-2</v>
      </c>
      <c r="H157" s="5">
        <v>6.8262274481481599E-3</v>
      </c>
      <c r="I157" s="6">
        <v>0</v>
      </c>
      <c r="J157" s="6">
        <v>1</v>
      </c>
      <c r="K157" s="6">
        <v>475</v>
      </c>
      <c r="L157" s="5">
        <v>6.588841932522696E-2</v>
      </c>
      <c r="M157" s="5">
        <v>1.1660063921128712E-2</v>
      </c>
      <c r="N157" s="6">
        <v>0</v>
      </c>
      <c r="O157" s="6">
        <v>1</v>
      </c>
      <c r="P157" s="6">
        <v>474</v>
      </c>
      <c r="Q157" s="5">
        <v>5.0630794411700999E-2</v>
      </c>
      <c r="R157" s="5">
        <v>1.0815749508243298E-2</v>
      </c>
      <c r="S157" s="6">
        <v>0</v>
      </c>
      <c r="T157" s="6">
        <v>1</v>
      </c>
      <c r="U157" s="6">
        <v>423</v>
      </c>
      <c r="V157" s="5">
        <v>1.5718253828212927E-2</v>
      </c>
      <c r="W157" s="5">
        <v>3.6241988561389379E-3</v>
      </c>
      <c r="X157" s="6">
        <v>0</v>
      </c>
      <c r="Y157" s="6">
        <v>1</v>
      </c>
      <c r="Z157" s="6">
        <v>1145</v>
      </c>
      <c r="AA157" s="5">
        <v>4.5027529676807447E-2</v>
      </c>
      <c r="AB157" s="5">
        <v>5.6918609078179345E-3</v>
      </c>
      <c r="AC157" s="6">
        <v>0</v>
      </c>
      <c r="AD157" s="6">
        <v>1</v>
      </c>
      <c r="AE157" s="6">
        <v>2899</v>
      </c>
      <c r="AF157">
        <f>(AA159/AA158)-AA157</f>
        <v>-3.1793276704140859E-2</v>
      </c>
    </row>
    <row r="158" spans="1:32" x14ac:dyDescent="0.45">
      <c r="A158" s="4" t="s">
        <v>36</v>
      </c>
      <c r="B158" s="5">
        <v>0.26636125194779031</v>
      </c>
      <c r="C158" s="5">
        <v>2.4189991287900472E-2</v>
      </c>
      <c r="D158" s="6">
        <v>0</v>
      </c>
      <c r="E158" s="6">
        <v>1</v>
      </c>
      <c r="F158" s="6">
        <v>377</v>
      </c>
      <c r="G158" s="5">
        <v>0.17672760534526755</v>
      </c>
      <c r="H158" s="5">
        <v>1.8127456261163202E-2</v>
      </c>
      <c r="I158" s="6">
        <v>0</v>
      </c>
      <c r="J158" s="6">
        <v>1</v>
      </c>
      <c r="K158" s="6">
        <v>467</v>
      </c>
      <c r="L158" s="5">
        <v>4.3890875888197518E-2</v>
      </c>
      <c r="M158" s="5">
        <v>9.6682460234033402E-3</v>
      </c>
      <c r="N158" s="6">
        <v>0</v>
      </c>
      <c r="O158" s="6">
        <v>1</v>
      </c>
      <c r="P158" s="6">
        <v>441</v>
      </c>
      <c r="Q158" s="5">
        <v>8.371081995835053E-2</v>
      </c>
      <c r="R158" s="5">
        <v>1.4050470479779449E-2</v>
      </c>
      <c r="S158" s="6">
        <v>0</v>
      </c>
      <c r="T158" s="6">
        <v>1</v>
      </c>
      <c r="U158" s="6">
        <v>422</v>
      </c>
      <c r="V158" s="5">
        <v>0.17670361522524197</v>
      </c>
      <c r="W158" s="5">
        <v>1.6865782603968957E-2</v>
      </c>
      <c r="X158" s="6">
        <v>0</v>
      </c>
      <c r="Y158" s="6">
        <v>1</v>
      </c>
      <c r="Z158" s="6">
        <v>1068</v>
      </c>
      <c r="AA158" s="5">
        <v>0.10901593418102137</v>
      </c>
      <c r="AB158" s="5">
        <v>7.4445039199197852E-3</v>
      </c>
      <c r="AC158" s="6">
        <v>0</v>
      </c>
      <c r="AD158" s="6">
        <v>1</v>
      </c>
      <c r="AE158" s="6">
        <v>2775</v>
      </c>
      <c r="AF158">
        <f>(AA159/AA157)-AA158</f>
        <v>-7.6974548358642397E-2</v>
      </c>
    </row>
    <row r="159" spans="1:32" ht="26.25" x14ac:dyDescent="0.45">
      <c r="A159" s="4" t="s">
        <v>81</v>
      </c>
      <c r="B159" s="5">
        <v>2.0418892219555159E-3</v>
      </c>
      <c r="C159" s="5">
        <v>2.0438408684011985E-3</v>
      </c>
      <c r="D159" s="6">
        <v>0</v>
      </c>
      <c r="E159" s="6">
        <v>1</v>
      </c>
      <c r="F159" s="6">
        <v>377</v>
      </c>
      <c r="G159" s="5">
        <v>2.2053521264373721E-3</v>
      </c>
      <c r="H159" s="5">
        <v>2.2053690689327107E-3</v>
      </c>
      <c r="I159" s="6">
        <v>0</v>
      </c>
      <c r="J159" s="6">
        <v>1</v>
      </c>
      <c r="K159" s="6">
        <v>467</v>
      </c>
      <c r="L159" s="5">
        <v>0</v>
      </c>
      <c r="M159" s="5">
        <v>0</v>
      </c>
      <c r="N159" s="6">
        <v>0</v>
      </c>
      <c r="O159" s="6">
        <v>0</v>
      </c>
      <c r="P159" s="6">
        <v>441</v>
      </c>
      <c r="Q159" s="5">
        <v>2.4106268068317142E-3</v>
      </c>
      <c r="R159" s="5">
        <v>2.4106724293932818E-3</v>
      </c>
      <c r="S159" s="6">
        <v>0</v>
      </c>
      <c r="T159" s="6">
        <v>1</v>
      </c>
      <c r="U159" s="6">
        <v>422</v>
      </c>
      <c r="V159" s="5">
        <v>4.450456533854368E-3</v>
      </c>
      <c r="W159" s="5">
        <v>1.9082080396181397E-3</v>
      </c>
      <c r="X159" s="6">
        <v>0</v>
      </c>
      <c r="Y159" s="6">
        <v>1</v>
      </c>
      <c r="Z159" s="6">
        <v>1068</v>
      </c>
      <c r="AA159" s="5">
        <v>1.4427444510032071E-3</v>
      </c>
      <c r="AB159" s="5">
        <v>8.3030241856450813E-4</v>
      </c>
      <c r="AC159" s="6">
        <v>0</v>
      </c>
      <c r="AD159" s="6">
        <v>1</v>
      </c>
      <c r="AE159" s="6">
        <v>2775</v>
      </c>
    </row>
    <row r="160" spans="1:32" x14ac:dyDescent="0.45">
      <c r="A160" s="4" t="s">
        <v>30</v>
      </c>
      <c r="B160" s="5">
        <v>1.1313220175511628E-2</v>
      </c>
      <c r="C160" s="5">
        <v>4.5863484235674698E-3</v>
      </c>
      <c r="D160" s="6">
        <v>0</v>
      </c>
      <c r="E160" s="6">
        <v>1</v>
      </c>
      <c r="F160" s="6">
        <v>382</v>
      </c>
      <c r="G160" s="5">
        <v>2.0486202112384482E-2</v>
      </c>
      <c r="H160" s="5">
        <v>6.8262274481481599E-3</v>
      </c>
      <c r="I160" s="6">
        <v>0</v>
      </c>
      <c r="J160" s="6">
        <v>1</v>
      </c>
      <c r="K160" s="6">
        <v>475</v>
      </c>
      <c r="L160" s="5">
        <v>6.588841932522696E-2</v>
      </c>
      <c r="M160" s="5">
        <v>1.1660063921128712E-2</v>
      </c>
      <c r="N160" s="6">
        <v>0</v>
      </c>
      <c r="O160" s="6">
        <v>1</v>
      </c>
      <c r="P160" s="6">
        <v>474</v>
      </c>
      <c r="Q160" s="5">
        <v>5.0630794411700999E-2</v>
      </c>
      <c r="R160" s="5">
        <v>1.0815749508243298E-2</v>
      </c>
      <c r="S160" s="6">
        <v>0</v>
      </c>
      <c r="T160" s="6">
        <v>1</v>
      </c>
      <c r="U160" s="6">
        <v>423</v>
      </c>
      <c r="V160" s="5">
        <v>1.5718253828212927E-2</v>
      </c>
      <c r="W160" s="5">
        <v>3.6241988561389379E-3</v>
      </c>
      <c r="X160" s="6">
        <v>0</v>
      </c>
      <c r="Y160" s="6">
        <v>1</v>
      </c>
      <c r="Z160" s="6">
        <v>1145</v>
      </c>
      <c r="AA160" s="5">
        <v>4.5027529676807447E-2</v>
      </c>
      <c r="AB160" s="5">
        <v>5.6918609078179345E-3</v>
      </c>
      <c r="AC160" s="6">
        <v>0</v>
      </c>
      <c r="AD160" s="6">
        <v>1</v>
      </c>
      <c r="AE160" s="6">
        <v>2899</v>
      </c>
      <c r="AF160">
        <f>(AA162/AA161)-AA160</f>
        <v>4.6568005506405635E-3</v>
      </c>
    </row>
    <row r="161" spans="1:32" ht="26.25" x14ac:dyDescent="0.45">
      <c r="A161" s="4" t="s">
        <v>38</v>
      </c>
      <c r="B161" s="5">
        <v>0.4366780064058276</v>
      </c>
      <c r="C161" s="5">
        <v>2.805782617542071E-2</v>
      </c>
      <c r="D161" s="6">
        <v>0</v>
      </c>
      <c r="E161" s="6">
        <v>1</v>
      </c>
      <c r="F161" s="6">
        <v>382</v>
      </c>
      <c r="G161" s="5">
        <v>0.67637596318441151</v>
      </c>
      <c r="H161" s="5">
        <v>2.2183710228253588E-2</v>
      </c>
      <c r="I161" s="6">
        <v>0</v>
      </c>
      <c r="J161" s="6">
        <v>1</v>
      </c>
      <c r="K161" s="6">
        <v>475</v>
      </c>
      <c r="L161" s="5">
        <v>0.42140913195711371</v>
      </c>
      <c r="M161" s="5">
        <v>2.3440738415648886E-2</v>
      </c>
      <c r="N161" s="6">
        <v>0</v>
      </c>
      <c r="O161" s="6">
        <v>1</v>
      </c>
      <c r="P161" s="6">
        <v>474</v>
      </c>
      <c r="Q161" s="5">
        <v>0.50232647922994245</v>
      </c>
      <c r="R161" s="5">
        <v>2.4962894154274457E-2</v>
      </c>
      <c r="S161" s="6">
        <v>0</v>
      </c>
      <c r="T161" s="6">
        <v>1</v>
      </c>
      <c r="U161" s="6">
        <v>423</v>
      </c>
      <c r="V161" s="5">
        <v>0.19257168054166257</v>
      </c>
      <c r="W161" s="5">
        <v>1.5785783859687097E-2</v>
      </c>
      <c r="X161" s="6">
        <v>0</v>
      </c>
      <c r="Y161" s="6">
        <v>1</v>
      </c>
      <c r="Z161" s="6">
        <v>1145</v>
      </c>
      <c r="AA161" s="5">
        <v>0.50005721577724593</v>
      </c>
      <c r="AB161" s="5">
        <v>1.3039449215689536E-2</v>
      </c>
      <c r="AC161" s="6">
        <v>0</v>
      </c>
      <c r="AD161" s="6">
        <v>1</v>
      </c>
      <c r="AE161" s="6">
        <v>2899</v>
      </c>
      <c r="AF161">
        <f>(AA162/AA160)-AA161</f>
        <v>5.1716510643547542E-2</v>
      </c>
    </row>
    <row r="162" spans="1:32" ht="39.4" x14ac:dyDescent="0.45">
      <c r="A162" s="4" t="s">
        <v>82</v>
      </c>
      <c r="B162" s="5">
        <v>5.224082835223149E-3</v>
      </c>
      <c r="C162" s="5">
        <v>3.6923230511953426E-3</v>
      </c>
      <c r="D162" s="6">
        <v>0</v>
      </c>
      <c r="E162" s="6">
        <v>1</v>
      </c>
      <c r="F162" s="6">
        <v>382</v>
      </c>
      <c r="G162" s="5">
        <v>1.3442782455872661E-2</v>
      </c>
      <c r="H162" s="5">
        <v>5.5315651806582588E-3</v>
      </c>
      <c r="I162" s="6">
        <v>0</v>
      </c>
      <c r="J162" s="6">
        <v>1</v>
      </c>
      <c r="K162" s="6">
        <v>475</v>
      </c>
      <c r="L162" s="5">
        <v>2.8407718757829995E-2</v>
      </c>
      <c r="M162" s="5">
        <v>7.7912675654476307E-3</v>
      </c>
      <c r="N162" s="6">
        <v>0</v>
      </c>
      <c r="O162" s="6">
        <v>1</v>
      </c>
      <c r="P162" s="6">
        <v>474</v>
      </c>
      <c r="Q162" s="5">
        <v>4.1830983289516316E-2</v>
      </c>
      <c r="R162" s="5">
        <v>9.9600766108272603E-3</v>
      </c>
      <c r="S162" s="6">
        <v>0</v>
      </c>
      <c r="T162" s="6">
        <v>1</v>
      </c>
      <c r="U162" s="6">
        <v>423</v>
      </c>
      <c r="V162" s="5">
        <v>1.9314576528914615E-3</v>
      </c>
      <c r="W162" s="5">
        <v>1.6669997913496592E-3</v>
      </c>
      <c r="X162" s="6">
        <v>0</v>
      </c>
      <c r="Y162" s="6">
        <v>1</v>
      </c>
      <c r="Z162" s="6">
        <v>1145</v>
      </c>
      <c r="AA162" s="5">
        <v>2.4845007841294911E-2</v>
      </c>
      <c r="AB162" s="5">
        <v>4.1643629804176668E-3</v>
      </c>
      <c r="AC162" s="6">
        <v>0</v>
      </c>
      <c r="AD162" s="6">
        <v>1</v>
      </c>
      <c r="AE162" s="6">
        <v>2899</v>
      </c>
    </row>
    <row r="163" spans="1:32" x14ac:dyDescent="0.45">
      <c r="A163" s="4" t="s">
        <v>30</v>
      </c>
      <c r="B163" s="5">
        <v>1.1313220175511628E-2</v>
      </c>
      <c r="C163" s="5">
        <v>4.5863484235674698E-3</v>
      </c>
      <c r="D163" s="6">
        <v>0</v>
      </c>
      <c r="E163" s="6">
        <v>1</v>
      </c>
      <c r="F163" s="6">
        <v>382</v>
      </c>
      <c r="G163" s="5">
        <v>2.0486202112384482E-2</v>
      </c>
      <c r="H163" s="5">
        <v>6.8262274481481599E-3</v>
      </c>
      <c r="I163" s="6">
        <v>0</v>
      </c>
      <c r="J163" s="6">
        <v>1</v>
      </c>
      <c r="K163" s="6">
        <v>475</v>
      </c>
      <c r="L163" s="5">
        <v>6.588841932522696E-2</v>
      </c>
      <c r="M163" s="5">
        <v>1.1660063921128712E-2</v>
      </c>
      <c r="N163" s="6">
        <v>0</v>
      </c>
      <c r="O163" s="6">
        <v>1</v>
      </c>
      <c r="P163" s="6">
        <v>474</v>
      </c>
      <c r="Q163" s="5">
        <v>5.0630794411700999E-2</v>
      </c>
      <c r="R163" s="5">
        <v>1.0815749508243298E-2</v>
      </c>
      <c r="S163" s="6">
        <v>0</v>
      </c>
      <c r="T163" s="6">
        <v>1</v>
      </c>
      <c r="U163" s="6">
        <v>423</v>
      </c>
      <c r="V163" s="5">
        <v>1.5718253828212927E-2</v>
      </c>
      <c r="W163" s="5">
        <v>3.6241988561389379E-3</v>
      </c>
      <c r="X163" s="6">
        <v>0</v>
      </c>
      <c r="Y163" s="6">
        <v>1</v>
      </c>
      <c r="Z163" s="6">
        <v>1145</v>
      </c>
      <c r="AA163" s="5">
        <v>4.5027529676807447E-2</v>
      </c>
      <c r="AB163" s="5">
        <v>5.6918609078179345E-3</v>
      </c>
      <c r="AC163" s="6">
        <v>0</v>
      </c>
      <c r="AD163" s="6">
        <v>1</v>
      </c>
      <c r="AE163" s="6">
        <v>2899</v>
      </c>
      <c r="AF163">
        <f>(AA165/AA164)-AA163</f>
        <v>7.238835645437286E-3</v>
      </c>
    </row>
    <row r="164" spans="1:32" x14ac:dyDescent="0.45">
      <c r="A164" s="4" t="s">
        <v>40</v>
      </c>
      <c r="B164" s="5">
        <v>0.24475289221599958</v>
      </c>
      <c r="C164" s="5">
        <v>2.3591602155120545E-2</v>
      </c>
      <c r="D164" s="6">
        <v>0</v>
      </c>
      <c r="E164" s="6">
        <v>1</v>
      </c>
      <c r="F164" s="6">
        <v>382</v>
      </c>
      <c r="G164" s="5">
        <v>0.31240436993335119</v>
      </c>
      <c r="H164" s="5">
        <v>2.1994479632135435E-2</v>
      </c>
      <c r="I164" s="6">
        <v>0</v>
      </c>
      <c r="J164" s="6">
        <v>1</v>
      </c>
      <c r="K164" s="6">
        <v>475</v>
      </c>
      <c r="L164" s="5">
        <v>0.31016209118028132</v>
      </c>
      <c r="M164" s="5">
        <v>2.1740010089836503E-2</v>
      </c>
      <c r="N164" s="6">
        <v>0</v>
      </c>
      <c r="O164" s="6">
        <v>1</v>
      </c>
      <c r="P164" s="6">
        <v>474</v>
      </c>
      <c r="Q164" s="5">
        <v>0.7144739729494628</v>
      </c>
      <c r="R164" s="5">
        <v>2.2433009195978806E-2</v>
      </c>
      <c r="S164" s="6">
        <v>0</v>
      </c>
      <c r="T164" s="6">
        <v>1</v>
      </c>
      <c r="U164" s="6">
        <v>423</v>
      </c>
      <c r="V164" s="5">
        <v>0.43483608765880821</v>
      </c>
      <c r="W164" s="5">
        <v>2.0083672578752446E-2</v>
      </c>
      <c r="X164" s="6">
        <v>0</v>
      </c>
      <c r="Y164" s="6">
        <v>1</v>
      </c>
      <c r="Z164" s="6">
        <v>1145</v>
      </c>
      <c r="AA164" s="5">
        <v>0.39887458467079651</v>
      </c>
      <c r="AB164" s="5">
        <v>1.2628190805574898E-2</v>
      </c>
      <c r="AC164" s="6">
        <v>0</v>
      </c>
      <c r="AD164" s="6">
        <v>1</v>
      </c>
      <c r="AE164" s="6">
        <v>2899</v>
      </c>
      <c r="AF164">
        <f>(AA165/AA163)-AA164</f>
        <v>6.412493828328264E-2</v>
      </c>
    </row>
    <row r="165" spans="1:32" ht="26.25" x14ac:dyDescent="0.45">
      <c r="A165" s="4" t="s">
        <v>83</v>
      </c>
      <c r="B165" s="5">
        <v>0</v>
      </c>
      <c r="C165" s="5">
        <v>0</v>
      </c>
      <c r="D165" s="6">
        <v>0</v>
      </c>
      <c r="E165" s="6">
        <v>0</v>
      </c>
      <c r="F165" s="6">
        <v>382</v>
      </c>
      <c r="G165" s="5">
        <v>4.5681730586521335E-3</v>
      </c>
      <c r="H165" s="5">
        <v>3.2304547187024827E-3</v>
      </c>
      <c r="I165" s="6">
        <v>0</v>
      </c>
      <c r="J165" s="6">
        <v>1</v>
      </c>
      <c r="K165" s="6">
        <v>475</v>
      </c>
      <c r="L165" s="5">
        <v>2.1856224776757079E-2</v>
      </c>
      <c r="M165" s="5">
        <v>6.8455027225656816E-3</v>
      </c>
      <c r="N165" s="6">
        <v>0</v>
      </c>
      <c r="O165" s="6">
        <v>1</v>
      </c>
      <c r="P165" s="6">
        <v>474</v>
      </c>
      <c r="Q165" s="5">
        <v>4.822124953603775E-2</v>
      </c>
      <c r="R165" s="5">
        <v>1.0569823464898948E-2</v>
      </c>
      <c r="S165" s="6">
        <v>0</v>
      </c>
      <c r="T165" s="6">
        <v>1</v>
      </c>
      <c r="U165" s="6">
        <v>423</v>
      </c>
      <c r="V165" s="5">
        <v>3.0403635754755842E-3</v>
      </c>
      <c r="W165" s="5">
        <v>1.8948667317198232E-3</v>
      </c>
      <c r="X165" s="6">
        <v>0</v>
      </c>
      <c r="Y165" s="6">
        <v>1</v>
      </c>
      <c r="Z165" s="6">
        <v>1145</v>
      </c>
      <c r="AA165" s="5">
        <v>2.084772476016249E-2</v>
      </c>
      <c r="AB165" s="5">
        <v>3.7600875937295886E-3</v>
      </c>
      <c r="AC165" s="6">
        <v>0</v>
      </c>
      <c r="AD165" s="6">
        <v>1</v>
      </c>
      <c r="AE165" s="6">
        <v>2899</v>
      </c>
    </row>
    <row r="166" spans="1:32" x14ac:dyDescent="0.45">
      <c r="A166" s="4" t="s">
        <v>30</v>
      </c>
      <c r="B166" s="5">
        <v>1.1313220175511628E-2</v>
      </c>
      <c r="C166" s="5">
        <v>4.5863484235674698E-3</v>
      </c>
      <c r="D166" s="6">
        <v>0</v>
      </c>
      <c r="E166" s="6">
        <v>1</v>
      </c>
      <c r="F166" s="6">
        <v>382</v>
      </c>
      <c r="G166" s="5">
        <v>2.0486202112384482E-2</v>
      </c>
      <c r="H166" s="5">
        <v>6.8262274481481599E-3</v>
      </c>
      <c r="I166" s="6">
        <v>0</v>
      </c>
      <c r="J166" s="6">
        <v>1</v>
      </c>
      <c r="K166" s="6">
        <v>475</v>
      </c>
      <c r="L166" s="5">
        <v>6.588841932522696E-2</v>
      </c>
      <c r="M166" s="5">
        <v>1.1660063921128712E-2</v>
      </c>
      <c r="N166" s="6">
        <v>0</v>
      </c>
      <c r="O166" s="6">
        <v>1</v>
      </c>
      <c r="P166" s="6">
        <v>474</v>
      </c>
      <c r="Q166" s="5">
        <v>5.0630794411700999E-2</v>
      </c>
      <c r="R166" s="5">
        <v>1.0815749508243298E-2</v>
      </c>
      <c r="S166" s="6">
        <v>0</v>
      </c>
      <c r="T166" s="6">
        <v>1</v>
      </c>
      <c r="U166" s="6">
        <v>423</v>
      </c>
      <c r="V166" s="5">
        <v>1.5718253828212927E-2</v>
      </c>
      <c r="W166" s="5">
        <v>3.6241988561389379E-3</v>
      </c>
      <c r="X166" s="6">
        <v>0</v>
      </c>
      <c r="Y166" s="6">
        <v>1</v>
      </c>
      <c r="Z166" s="6">
        <v>1145</v>
      </c>
      <c r="AA166" s="5">
        <v>4.5027529676807447E-2</v>
      </c>
      <c r="AB166" s="5">
        <v>5.6918609078179345E-3</v>
      </c>
      <c r="AC166" s="6">
        <v>0</v>
      </c>
      <c r="AD166" s="6">
        <v>1</v>
      </c>
      <c r="AE166" s="6">
        <v>2899</v>
      </c>
      <c r="AF166">
        <f>(AA168/AA167)-AA166</f>
        <v>-2.4259427403202759E-2</v>
      </c>
    </row>
    <row r="167" spans="1:32" x14ac:dyDescent="0.45">
      <c r="A167" s="4" t="s">
        <v>42</v>
      </c>
      <c r="B167" s="5">
        <v>0.25089279775929785</v>
      </c>
      <c r="C167" s="5">
        <v>2.3633364656887722E-2</v>
      </c>
      <c r="D167" s="6">
        <v>0</v>
      </c>
      <c r="E167" s="6">
        <v>1</v>
      </c>
      <c r="F167" s="6">
        <v>382</v>
      </c>
      <c r="G167" s="5">
        <v>0.39009576358444259</v>
      </c>
      <c r="H167" s="5">
        <v>2.3181206138358921E-2</v>
      </c>
      <c r="I167" s="6">
        <v>0</v>
      </c>
      <c r="J167" s="6">
        <v>1</v>
      </c>
      <c r="K167" s="6">
        <v>475</v>
      </c>
      <c r="L167" s="5">
        <v>0.31115391050319358</v>
      </c>
      <c r="M167" s="5">
        <v>2.230646426075697E-2</v>
      </c>
      <c r="N167" s="6">
        <v>0</v>
      </c>
      <c r="O167" s="6">
        <v>1</v>
      </c>
      <c r="P167" s="6">
        <v>474</v>
      </c>
      <c r="Q167" s="5">
        <v>0.48120800183961793</v>
      </c>
      <c r="R167" s="5">
        <v>2.4961710177192679E-2</v>
      </c>
      <c r="S167" s="6">
        <v>0</v>
      </c>
      <c r="T167" s="6">
        <v>1</v>
      </c>
      <c r="U167" s="6">
        <v>423</v>
      </c>
      <c r="V167" s="5">
        <v>0.3457577606704838</v>
      </c>
      <c r="W167" s="5">
        <v>1.8801067085193666E-2</v>
      </c>
      <c r="X167" s="6">
        <v>0</v>
      </c>
      <c r="Y167" s="6">
        <v>1</v>
      </c>
      <c r="Z167" s="6">
        <v>1145</v>
      </c>
      <c r="AA167" s="5">
        <v>0.36657663781801664</v>
      </c>
      <c r="AB167" s="5">
        <v>1.2575722914207254E-2</v>
      </c>
      <c r="AC167" s="6">
        <v>0</v>
      </c>
      <c r="AD167" s="6">
        <v>1</v>
      </c>
      <c r="AE167" s="6">
        <v>2899</v>
      </c>
      <c r="AF167">
        <f>(AA168/AA166)-AA167</f>
        <v>-0.19750004934063384</v>
      </c>
    </row>
    <row r="168" spans="1:32" ht="26.25" x14ac:dyDescent="0.45">
      <c r="A168" s="4" t="s">
        <v>84</v>
      </c>
      <c r="B168" s="5">
        <v>2.6599536257777582E-3</v>
      </c>
      <c r="C168" s="5">
        <v>2.660751104566283E-3</v>
      </c>
      <c r="D168" s="6">
        <v>0</v>
      </c>
      <c r="E168" s="6">
        <v>1</v>
      </c>
      <c r="F168" s="6">
        <v>382</v>
      </c>
      <c r="G168" s="5">
        <v>8.8600588188493326E-3</v>
      </c>
      <c r="H168" s="5">
        <v>4.5045215071589919E-3</v>
      </c>
      <c r="I168" s="6">
        <v>0</v>
      </c>
      <c r="J168" s="6">
        <v>1</v>
      </c>
      <c r="K168" s="6">
        <v>475</v>
      </c>
      <c r="L168" s="5">
        <v>0</v>
      </c>
      <c r="M168" s="5">
        <v>0</v>
      </c>
      <c r="N168" s="6">
        <v>0</v>
      </c>
      <c r="O168" s="6">
        <v>0</v>
      </c>
      <c r="P168" s="6">
        <v>474</v>
      </c>
      <c r="Q168" s="5">
        <v>2.2695935441947552E-2</v>
      </c>
      <c r="R168" s="5">
        <v>7.5016645736425431E-3</v>
      </c>
      <c r="S168" s="6">
        <v>0</v>
      </c>
      <c r="T168" s="6">
        <v>1</v>
      </c>
      <c r="U168" s="6">
        <v>423</v>
      </c>
      <c r="V168" s="5">
        <v>3.6404072239295576E-3</v>
      </c>
      <c r="W168" s="5">
        <v>1.4299660706722675E-3</v>
      </c>
      <c r="X168" s="6">
        <v>0</v>
      </c>
      <c r="Y168" s="6">
        <v>1</v>
      </c>
      <c r="Z168" s="6">
        <v>1145</v>
      </c>
      <c r="AA168" s="5">
        <v>7.6131011053187135E-3</v>
      </c>
      <c r="AB168" s="5">
        <v>2.0475232928127895E-3</v>
      </c>
      <c r="AC168" s="6">
        <v>0</v>
      </c>
      <c r="AD168" s="6">
        <v>1</v>
      </c>
      <c r="AE168" s="6">
        <v>2899</v>
      </c>
    </row>
    <row r="169" spans="1:32" x14ac:dyDescent="0.45">
      <c r="A169" s="4" t="s">
        <v>30</v>
      </c>
      <c r="B169" s="5">
        <v>1.1313220175511628E-2</v>
      </c>
      <c r="C169" s="5">
        <v>4.5863484235674698E-3</v>
      </c>
      <c r="D169" s="6">
        <v>0</v>
      </c>
      <c r="E169" s="6">
        <v>1</v>
      </c>
      <c r="F169" s="6">
        <v>382</v>
      </c>
      <c r="G169" s="5">
        <v>2.0486202112384482E-2</v>
      </c>
      <c r="H169" s="5">
        <v>6.8262274481481599E-3</v>
      </c>
      <c r="I169" s="6">
        <v>0</v>
      </c>
      <c r="J169" s="6">
        <v>1</v>
      </c>
      <c r="K169" s="6">
        <v>475</v>
      </c>
      <c r="L169" s="5">
        <v>6.588841932522696E-2</v>
      </c>
      <c r="M169" s="5">
        <v>1.1660063921128712E-2</v>
      </c>
      <c r="N169" s="6">
        <v>0</v>
      </c>
      <c r="O169" s="6">
        <v>1</v>
      </c>
      <c r="P169" s="6">
        <v>474</v>
      </c>
      <c r="Q169" s="5">
        <v>5.0630794411700999E-2</v>
      </c>
      <c r="R169" s="5">
        <v>1.0815749508243298E-2</v>
      </c>
      <c r="S169" s="6">
        <v>0</v>
      </c>
      <c r="T169" s="6">
        <v>1</v>
      </c>
      <c r="U169" s="6">
        <v>423</v>
      </c>
      <c r="V169" s="5">
        <v>1.5718253828212927E-2</v>
      </c>
      <c r="W169" s="5">
        <v>3.6241988561389379E-3</v>
      </c>
      <c r="X169" s="6">
        <v>0</v>
      </c>
      <c r="Y169" s="6">
        <v>1</v>
      </c>
      <c r="Z169" s="6">
        <v>1145</v>
      </c>
      <c r="AA169" s="5">
        <v>4.5027529676807447E-2</v>
      </c>
      <c r="AB169" s="5">
        <v>5.6918609078179345E-3</v>
      </c>
      <c r="AC169" s="6">
        <v>0</v>
      </c>
      <c r="AD169" s="6">
        <v>1</v>
      </c>
      <c r="AE169" s="6">
        <v>2899</v>
      </c>
      <c r="AF169">
        <f>(AA171/AA170)-AA169</f>
        <v>-2.1759937144852474E-2</v>
      </c>
    </row>
    <row r="170" spans="1:32" x14ac:dyDescent="0.45">
      <c r="A170" s="4" t="s">
        <v>44</v>
      </c>
      <c r="B170" s="5">
        <v>7.9771782857088899E-2</v>
      </c>
      <c r="C170" s="5">
        <v>1.4835173716237555E-2</v>
      </c>
      <c r="D170" s="6">
        <v>0</v>
      </c>
      <c r="E170" s="6">
        <v>1</v>
      </c>
      <c r="F170" s="6">
        <v>382</v>
      </c>
      <c r="G170" s="5">
        <v>9.1412983805042231E-2</v>
      </c>
      <c r="H170" s="5">
        <v>1.3542282503153303E-2</v>
      </c>
      <c r="I170" s="6">
        <v>0</v>
      </c>
      <c r="J170" s="6">
        <v>1</v>
      </c>
      <c r="K170" s="6">
        <v>475</v>
      </c>
      <c r="L170" s="5">
        <v>6.2522483872663487E-2</v>
      </c>
      <c r="M170" s="5">
        <v>1.2083621448993364E-2</v>
      </c>
      <c r="N170" s="6">
        <v>0</v>
      </c>
      <c r="O170" s="6">
        <v>1</v>
      </c>
      <c r="P170" s="6">
        <v>474</v>
      </c>
      <c r="Q170" s="5">
        <v>0.15234303743644023</v>
      </c>
      <c r="R170" s="5">
        <v>1.7921333577869139E-2</v>
      </c>
      <c r="S170" s="6">
        <v>0</v>
      </c>
      <c r="T170" s="6">
        <v>1</v>
      </c>
      <c r="U170" s="6">
        <v>423</v>
      </c>
      <c r="V170" s="5">
        <v>7.9695497124933817E-2</v>
      </c>
      <c r="W170" s="5">
        <v>8.4181414188695299E-3</v>
      </c>
      <c r="X170" s="6">
        <v>0</v>
      </c>
      <c r="Y170" s="6">
        <v>1</v>
      </c>
      <c r="Z170" s="6">
        <v>1145</v>
      </c>
      <c r="AA170" s="5">
        <v>9.1537468369046068E-2</v>
      </c>
      <c r="AB170" s="5">
        <v>7.4032918276990987E-3</v>
      </c>
      <c r="AC170" s="6">
        <v>0</v>
      </c>
      <c r="AD170" s="6">
        <v>1</v>
      </c>
      <c r="AE170" s="6">
        <v>2899</v>
      </c>
      <c r="AF170">
        <f>(AA171/AA169)-AA170</f>
        <v>-4.4236261069754305E-2</v>
      </c>
    </row>
    <row r="171" spans="1:32" ht="26.25" x14ac:dyDescent="0.45">
      <c r="A171" s="4" t="s">
        <v>85</v>
      </c>
      <c r="B171" s="5">
        <v>0</v>
      </c>
      <c r="C171" s="5">
        <v>0</v>
      </c>
      <c r="D171" s="6">
        <v>0</v>
      </c>
      <c r="E171" s="6">
        <v>0</v>
      </c>
      <c r="F171" s="6">
        <v>382</v>
      </c>
      <c r="G171" s="5">
        <v>2.1651260616339092E-3</v>
      </c>
      <c r="H171" s="5">
        <v>2.1651582096383877E-3</v>
      </c>
      <c r="I171" s="6">
        <v>0</v>
      </c>
      <c r="J171" s="6">
        <v>1</v>
      </c>
      <c r="K171" s="6">
        <v>475</v>
      </c>
      <c r="L171" s="5">
        <v>0</v>
      </c>
      <c r="M171" s="5">
        <v>0</v>
      </c>
      <c r="N171" s="6">
        <v>0</v>
      </c>
      <c r="O171" s="6">
        <v>0</v>
      </c>
      <c r="P171" s="6">
        <v>474</v>
      </c>
      <c r="Q171" s="5">
        <v>7.128793143799184E-3</v>
      </c>
      <c r="R171" s="5">
        <v>4.1074584859656822E-3</v>
      </c>
      <c r="S171" s="6">
        <v>0</v>
      </c>
      <c r="T171" s="6">
        <v>1</v>
      </c>
      <c r="U171" s="6">
        <v>423</v>
      </c>
      <c r="V171" s="5">
        <v>0</v>
      </c>
      <c r="W171" s="5">
        <v>0</v>
      </c>
      <c r="X171" s="6">
        <v>0</v>
      </c>
      <c r="Y171" s="6">
        <v>0</v>
      </c>
      <c r="Z171" s="6">
        <v>1145</v>
      </c>
      <c r="AA171" s="5">
        <v>2.129856515417681E-3</v>
      </c>
      <c r="AB171" s="5">
        <v>1.0658501875245882E-3</v>
      </c>
      <c r="AC171" s="6">
        <v>0</v>
      </c>
      <c r="AD171" s="6">
        <v>1</v>
      </c>
      <c r="AE171" s="6">
        <v>2899</v>
      </c>
    </row>
    <row r="172" spans="1:32" x14ac:dyDescent="0.45">
      <c r="A172" s="4" t="s">
        <v>30</v>
      </c>
      <c r="B172" s="5">
        <v>1.1313220175511628E-2</v>
      </c>
      <c r="C172" s="5">
        <v>4.5863484235674698E-3</v>
      </c>
      <c r="D172" s="6">
        <v>0</v>
      </c>
      <c r="E172" s="6">
        <v>1</v>
      </c>
      <c r="F172" s="6">
        <v>382</v>
      </c>
      <c r="G172" s="5">
        <v>2.0486202112384482E-2</v>
      </c>
      <c r="H172" s="5">
        <v>6.8262274481481599E-3</v>
      </c>
      <c r="I172" s="6">
        <v>0</v>
      </c>
      <c r="J172" s="6">
        <v>1</v>
      </c>
      <c r="K172" s="6">
        <v>475</v>
      </c>
      <c r="L172" s="5">
        <v>6.588841932522696E-2</v>
      </c>
      <c r="M172" s="5">
        <v>1.1660063921128712E-2</v>
      </c>
      <c r="N172" s="6">
        <v>0</v>
      </c>
      <c r="O172" s="6">
        <v>1</v>
      </c>
      <c r="P172" s="6">
        <v>474</v>
      </c>
      <c r="Q172" s="5">
        <v>5.0630794411700999E-2</v>
      </c>
      <c r="R172" s="5">
        <v>1.0815749508243298E-2</v>
      </c>
      <c r="S172" s="6">
        <v>0</v>
      </c>
      <c r="T172" s="6">
        <v>1</v>
      </c>
      <c r="U172" s="6">
        <v>423</v>
      </c>
      <c r="V172" s="5">
        <v>1.5718253828212927E-2</v>
      </c>
      <c r="W172" s="5">
        <v>3.6241988561389379E-3</v>
      </c>
      <c r="X172" s="6">
        <v>0</v>
      </c>
      <c r="Y172" s="6">
        <v>1</v>
      </c>
      <c r="Z172" s="6">
        <v>1145</v>
      </c>
      <c r="AA172" s="5">
        <v>4.5027529676807447E-2</v>
      </c>
      <c r="AB172" s="5">
        <v>5.6918609078179345E-3</v>
      </c>
      <c r="AC172" s="6">
        <v>0</v>
      </c>
      <c r="AD172" s="6">
        <v>1</v>
      </c>
      <c r="AE172" s="6">
        <v>2899</v>
      </c>
      <c r="AF172">
        <f>(AA174/AA173)-AA172</f>
        <v>4.5661703169208104E-3</v>
      </c>
    </row>
    <row r="173" spans="1:32" ht="39.4" x14ac:dyDescent="0.45">
      <c r="A173" s="4" t="s">
        <v>16</v>
      </c>
      <c r="B173" s="5">
        <v>0.50556237093372625</v>
      </c>
      <c r="C173" s="5">
        <v>2.8806099607079916E-2</v>
      </c>
      <c r="D173" s="6">
        <v>0</v>
      </c>
      <c r="E173" s="6">
        <v>1</v>
      </c>
      <c r="F173" s="6">
        <v>382</v>
      </c>
      <c r="G173" s="5">
        <v>0.75127200876490052</v>
      </c>
      <c r="H173" s="5">
        <v>2.0440411467445026E-2</v>
      </c>
      <c r="I173" s="6">
        <v>0</v>
      </c>
      <c r="J173" s="6">
        <v>1</v>
      </c>
      <c r="K173" s="6">
        <v>475</v>
      </c>
      <c r="L173" s="5">
        <v>0.57082825926267877</v>
      </c>
      <c r="M173" s="5">
        <v>2.3540070455782523E-2</v>
      </c>
      <c r="N173" s="6">
        <v>0</v>
      </c>
      <c r="O173" s="6">
        <v>1</v>
      </c>
      <c r="P173" s="6">
        <v>474</v>
      </c>
      <c r="Q173" s="5">
        <v>0.83603306383602227</v>
      </c>
      <c r="R173" s="5">
        <v>1.8289048327108152E-2</v>
      </c>
      <c r="S173" s="6">
        <v>0</v>
      </c>
      <c r="T173" s="6">
        <v>1</v>
      </c>
      <c r="U173" s="6">
        <v>423</v>
      </c>
      <c r="V173" s="5">
        <v>0.4594408339654299</v>
      </c>
      <c r="W173" s="5">
        <v>2.0333889342993294E-2</v>
      </c>
      <c r="X173" s="6">
        <v>0</v>
      </c>
      <c r="Y173" s="6">
        <v>1</v>
      </c>
      <c r="Z173" s="6">
        <v>1145</v>
      </c>
      <c r="AA173" s="5">
        <v>0.6685391064616979</v>
      </c>
      <c r="AB173" s="5">
        <v>1.2404909142965445E-2</v>
      </c>
      <c r="AC173" s="6">
        <v>0</v>
      </c>
      <c r="AD173" s="6">
        <v>1</v>
      </c>
      <c r="AE173" s="6">
        <v>2899</v>
      </c>
      <c r="AF173">
        <f>(AA174/AA172)-AA173</f>
        <v>6.7795489682360155E-2</v>
      </c>
    </row>
    <row r="174" spans="1:32" x14ac:dyDescent="0.45">
      <c r="A174" s="4" t="s">
        <v>86</v>
      </c>
      <c r="B174" s="5">
        <v>5.224082835223149E-3</v>
      </c>
      <c r="C174" s="5">
        <v>3.6923230511953426E-3</v>
      </c>
      <c r="D174" s="6">
        <v>0</v>
      </c>
      <c r="E174" s="6">
        <v>1</v>
      </c>
      <c r="F174" s="6">
        <v>382</v>
      </c>
      <c r="G174" s="5">
        <v>1.3442782455872661E-2</v>
      </c>
      <c r="H174" s="5">
        <v>5.5315651806582588E-3</v>
      </c>
      <c r="I174" s="6">
        <v>0</v>
      </c>
      <c r="J174" s="6">
        <v>1</v>
      </c>
      <c r="K174" s="6">
        <v>475</v>
      </c>
      <c r="L174" s="5">
        <v>4.3768012431579066E-2</v>
      </c>
      <c r="M174" s="5">
        <v>9.5973808118434856E-3</v>
      </c>
      <c r="N174" s="6">
        <v>0</v>
      </c>
      <c r="O174" s="6">
        <v>1</v>
      </c>
      <c r="P174" s="6">
        <v>474</v>
      </c>
      <c r="Q174" s="5">
        <v>5.0630794411700999E-2</v>
      </c>
      <c r="R174" s="5">
        <v>1.0815749508243298E-2</v>
      </c>
      <c r="S174" s="6">
        <v>0</v>
      </c>
      <c r="T174" s="6">
        <v>1</v>
      </c>
      <c r="U174" s="6">
        <v>423</v>
      </c>
      <c r="V174" s="5">
        <v>3.3294935260229181E-3</v>
      </c>
      <c r="W174" s="5">
        <v>1.9169502590266948E-3</v>
      </c>
      <c r="X174" s="6">
        <v>0</v>
      </c>
      <c r="Y174" s="6">
        <v>1</v>
      </c>
      <c r="Z174" s="6">
        <v>1145</v>
      </c>
      <c r="AA174" s="5">
        <v>3.3155327879936601E-2</v>
      </c>
      <c r="AB174" s="5">
        <v>4.8591577507043193E-3</v>
      </c>
      <c r="AC174" s="6">
        <v>0</v>
      </c>
      <c r="AD174" s="6">
        <v>1</v>
      </c>
      <c r="AE174" s="6">
        <v>2899</v>
      </c>
    </row>
    <row r="175" spans="1:32" x14ac:dyDescent="0.45">
      <c r="A175" s="4" t="s">
        <v>30</v>
      </c>
      <c r="B175" s="5">
        <v>1.1313220175511628E-2</v>
      </c>
      <c r="C175" s="5">
        <v>4.5863484235674698E-3</v>
      </c>
      <c r="D175" s="6">
        <v>0</v>
      </c>
      <c r="E175" s="6">
        <v>1</v>
      </c>
      <c r="F175" s="6">
        <v>382</v>
      </c>
      <c r="G175" s="5">
        <v>2.0486202112384482E-2</v>
      </c>
      <c r="H175" s="5">
        <v>6.8262274481481599E-3</v>
      </c>
      <c r="I175" s="6">
        <v>0</v>
      </c>
      <c r="J175" s="6">
        <v>1</v>
      </c>
      <c r="K175" s="6">
        <v>475</v>
      </c>
      <c r="L175" s="5">
        <v>6.588841932522696E-2</v>
      </c>
      <c r="M175" s="5">
        <v>1.1660063921128712E-2</v>
      </c>
      <c r="N175" s="6">
        <v>0</v>
      </c>
      <c r="O175" s="6">
        <v>1</v>
      </c>
      <c r="P175" s="6">
        <v>474</v>
      </c>
      <c r="Q175" s="5">
        <v>5.0630794411700999E-2</v>
      </c>
      <c r="R175" s="5">
        <v>1.0815749508243298E-2</v>
      </c>
      <c r="S175" s="6">
        <v>0</v>
      </c>
      <c r="T175" s="6">
        <v>1</v>
      </c>
      <c r="U175" s="6">
        <v>423</v>
      </c>
      <c r="V175" s="5">
        <v>1.5718253828212927E-2</v>
      </c>
      <c r="W175" s="5">
        <v>3.6241988561389379E-3</v>
      </c>
      <c r="X175" s="6">
        <v>0</v>
      </c>
      <c r="Y175" s="6">
        <v>1</v>
      </c>
      <c r="Z175" s="6">
        <v>1145</v>
      </c>
      <c r="AA175" s="5">
        <v>4.5027529676807447E-2</v>
      </c>
      <c r="AB175" s="5">
        <v>5.6918609078179345E-3</v>
      </c>
      <c r="AC175" s="6">
        <v>0</v>
      </c>
      <c r="AD175" s="6">
        <v>1</v>
      </c>
      <c r="AE175" s="6">
        <v>2899</v>
      </c>
      <c r="AF175">
        <f>(AA177/AA176)-AA175</f>
        <v>-6.1416185632630627E-3</v>
      </c>
    </row>
    <row r="176" spans="1:32" ht="39.4" x14ac:dyDescent="0.45">
      <c r="A176" s="4" t="s">
        <v>18</v>
      </c>
      <c r="B176" s="5">
        <v>0.57072600859564226</v>
      </c>
      <c r="C176" s="5">
        <v>2.9131924939021201E-2</v>
      </c>
      <c r="D176" s="6">
        <v>0</v>
      </c>
      <c r="E176" s="6">
        <v>1</v>
      </c>
      <c r="F176" s="6">
        <v>382</v>
      </c>
      <c r="G176" s="5">
        <v>0.77458535334454726</v>
      </c>
      <c r="H176" s="5">
        <v>1.9819153022370115E-2</v>
      </c>
      <c r="I176" s="6">
        <v>0</v>
      </c>
      <c r="J176" s="6">
        <v>1</v>
      </c>
      <c r="K176" s="6">
        <v>475</v>
      </c>
      <c r="L176" s="5">
        <v>0.5654398229580665</v>
      </c>
      <c r="M176" s="5">
        <v>2.3474274957925739E-2</v>
      </c>
      <c r="N176" s="6">
        <v>0</v>
      </c>
      <c r="O176" s="6">
        <v>1</v>
      </c>
      <c r="P176" s="6">
        <v>474</v>
      </c>
      <c r="Q176" s="5">
        <v>0.74315598481496103</v>
      </c>
      <c r="R176" s="5">
        <v>2.153023882484394E-2</v>
      </c>
      <c r="S176" s="6">
        <v>0</v>
      </c>
      <c r="T176" s="6">
        <v>1</v>
      </c>
      <c r="U176" s="6">
        <v>423</v>
      </c>
      <c r="V176" s="5">
        <v>0.41997286525770899</v>
      </c>
      <c r="W176" s="5">
        <v>1.993996945027731E-2</v>
      </c>
      <c r="X176" s="6">
        <v>0</v>
      </c>
      <c r="Y176" s="6">
        <v>1</v>
      </c>
      <c r="Z176" s="6">
        <v>1145</v>
      </c>
      <c r="AA176" s="5">
        <v>0.65520854638593373</v>
      </c>
      <c r="AB176" s="5">
        <v>1.2427109701659765E-2</v>
      </c>
      <c r="AC176" s="6">
        <v>0</v>
      </c>
      <c r="AD176" s="6">
        <v>1</v>
      </c>
      <c r="AE176" s="6">
        <v>2899</v>
      </c>
      <c r="AF176">
        <f>(AA177/AA175)-AA176</f>
        <v>-8.9368459699558866E-2</v>
      </c>
    </row>
    <row r="177" spans="1:32" x14ac:dyDescent="0.45">
      <c r="A177" s="4" t="s">
        <v>87</v>
      </c>
      <c r="B177" s="5">
        <v>5.224082835223149E-3</v>
      </c>
      <c r="C177" s="5">
        <v>3.6923230511953426E-3</v>
      </c>
      <c r="D177" s="6">
        <v>0</v>
      </c>
      <c r="E177" s="6">
        <v>1</v>
      </c>
      <c r="F177" s="6">
        <v>382</v>
      </c>
      <c r="G177" s="5">
        <v>1.3442782455872661E-2</v>
      </c>
      <c r="H177" s="5">
        <v>5.5315651806582588E-3</v>
      </c>
      <c r="I177" s="6">
        <v>0</v>
      </c>
      <c r="J177" s="6">
        <v>1</v>
      </c>
      <c r="K177" s="6">
        <v>475</v>
      </c>
      <c r="L177" s="5">
        <v>2.8407718757829995E-2</v>
      </c>
      <c r="M177" s="5">
        <v>7.7912675654476307E-3</v>
      </c>
      <c r="N177" s="6">
        <v>0</v>
      </c>
      <c r="O177" s="6">
        <v>1</v>
      </c>
      <c r="P177" s="6">
        <v>474</v>
      </c>
      <c r="Q177" s="5">
        <v>4.4140686681988991E-2</v>
      </c>
      <c r="R177" s="5">
        <v>1.0202714953389596E-2</v>
      </c>
      <c r="S177" s="6">
        <v>0</v>
      </c>
      <c r="T177" s="6">
        <v>1</v>
      </c>
      <c r="U177" s="6">
        <v>423</v>
      </c>
      <c r="V177" s="5">
        <v>5.5718648768210187E-3</v>
      </c>
      <c r="W177" s="5">
        <v>2.1953542471051368E-3</v>
      </c>
      <c r="X177" s="6">
        <v>0</v>
      </c>
      <c r="Y177" s="6">
        <v>1</v>
      </c>
      <c r="Z177" s="6">
        <v>1145</v>
      </c>
      <c r="AA177" s="5">
        <v>2.547838129559804E-2</v>
      </c>
      <c r="AB177" s="5">
        <v>4.1931994049194078E-3</v>
      </c>
      <c r="AC177" s="6">
        <v>0</v>
      </c>
      <c r="AD177" s="6">
        <v>1</v>
      </c>
      <c r="AE177" s="6">
        <v>2899</v>
      </c>
    </row>
    <row r="178" spans="1:32" x14ac:dyDescent="0.45">
      <c r="A178" s="4" t="s">
        <v>30</v>
      </c>
      <c r="B178" s="5">
        <v>1.1313220175511628E-2</v>
      </c>
      <c r="C178" s="5">
        <v>4.5863484235674698E-3</v>
      </c>
      <c r="D178" s="6">
        <v>0</v>
      </c>
      <c r="E178" s="6">
        <v>1</v>
      </c>
      <c r="F178" s="6">
        <v>382</v>
      </c>
      <c r="G178" s="5">
        <v>2.0486202112384482E-2</v>
      </c>
      <c r="H178" s="5">
        <v>6.8262274481481599E-3</v>
      </c>
      <c r="I178" s="6">
        <v>0</v>
      </c>
      <c r="J178" s="6">
        <v>1</v>
      </c>
      <c r="K178" s="6">
        <v>475</v>
      </c>
      <c r="L178" s="5">
        <v>6.588841932522696E-2</v>
      </c>
      <c r="M178" s="5">
        <v>1.1660063921128712E-2</v>
      </c>
      <c r="N178" s="6">
        <v>0</v>
      </c>
      <c r="O178" s="6">
        <v>1</v>
      </c>
      <c r="P178" s="6">
        <v>474</v>
      </c>
      <c r="Q178" s="5">
        <v>5.0630794411700999E-2</v>
      </c>
      <c r="R178" s="5">
        <v>1.0815749508243298E-2</v>
      </c>
      <c r="S178" s="6">
        <v>0</v>
      </c>
      <c r="T178" s="6">
        <v>1</v>
      </c>
      <c r="U178" s="6">
        <v>423</v>
      </c>
      <c r="V178" s="5">
        <v>1.5718253828212927E-2</v>
      </c>
      <c r="W178" s="5">
        <v>3.6241988561389379E-3</v>
      </c>
      <c r="X178" s="6">
        <v>0</v>
      </c>
      <c r="Y178" s="6">
        <v>1</v>
      </c>
      <c r="Z178" s="6">
        <v>1145</v>
      </c>
      <c r="AA178" s="5">
        <v>4.5027529676807447E-2</v>
      </c>
      <c r="AB178" s="5">
        <v>5.6918609078179345E-3</v>
      </c>
      <c r="AC178" s="6">
        <v>0</v>
      </c>
      <c r="AD178" s="6">
        <v>1</v>
      </c>
      <c r="AE178" s="6">
        <v>2899</v>
      </c>
      <c r="AF178">
        <f>(AA180/AA179)-AA178</f>
        <v>1.4294507778920551E-3</v>
      </c>
    </row>
    <row r="179" spans="1:32" ht="39.4" x14ac:dyDescent="0.45">
      <c r="A179" s="4" t="s">
        <v>20</v>
      </c>
      <c r="B179" s="5">
        <v>0.49338798814146861</v>
      </c>
      <c r="C179" s="5">
        <v>2.8707903736097995E-2</v>
      </c>
      <c r="D179" s="6">
        <v>0</v>
      </c>
      <c r="E179" s="6">
        <v>1</v>
      </c>
      <c r="F179" s="6">
        <v>382</v>
      </c>
      <c r="G179" s="5">
        <v>0.69081776050351118</v>
      </c>
      <c r="H179" s="5">
        <v>2.1925596244174266E-2</v>
      </c>
      <c r="I179" s="6">
        <v>0</v>
      </c>
      <c r="J179" s="6">
        <v>1</v>
      </c>
      <c r="K179" s="6">
        <v>475</v>
      </c>
      <c r="L179" s="5">
        <v>0.46365152535875825</v>
      </c>
      <c r="M179" s="5">
        <v>2.3696802294859671E-2</v>
      </c>
      <c r="N179" s="6">
        <v>0</v>
      </c>
      <c r="O179" s="6">
        <v>1</v>
      </c>
      <c r="P179" s="6">
        <v>474</v>
      </c>
      <c r="Q179" s="5">
        <v>0.58710843859266493</v>
      </c>
      <c r="R179" s="5">
        <v>2.4491537195724417E-2</v>
      </c>
      <c r="S179" s="6">
        <v>0</v>
      </c>
      <c r="T179" s="6">
        <v>1</v>
      </c>
      <c r="U179" s="6">
        <v>423</v>
      </c>
      <c r="V179" s="5">
        <v>0.25029012683588503</v>
      </c>
      <c r="W179" s="5">
        <v>1.6687579347897857E-2</v>
      </c>
      <c r="X179" s="6">
        <v>0</v>
      </c>
      <c r="Y179" s="6">
        <v>1</v>
      </c>
      <c r="Z179" s="6">
        <v>1145</v>
      </c>
      <c r="AA179" s="5">
        <v>0.54560453381291008</v>
      </c>
      <c r="AB179" s="5">
        <v>1.2992144899166979E-2</v>
      </c>
      <c r="AC179" s="6">
        <v>0</v>
      </c>
      <c r="AD179" s="6">
        <v>1</v>
      </c>
      <c r="AE179" s="6">
        <v>2899</v>
      </c>
      <c r="AF179">
        <f>(AA180/AA178)-AA179</f>
        <v>1.7320844178622785E-2</v>
      </c>
    </row>
    <row r="180" spans="1:32" x14ac:dyDescent="0.45">
      <c r="A180" s="4" t="s">
        <v>88</v>
      </c>
      <c r="B180" s="5">
        <v>5.224082835223149E-3</v>
      </c>
      <c r="C180" s="5">
        <v>3.6923230511953426E-3</v>
      </c>
      <c r="D180" s="6">
        <v>0</v>
      </c>
      <c r="E180" s="6">
        <v>1</v>
      </c>
      <c r="F180" s="6">
        <v>382</v>
      </c>
      <c r="G180" s="5">
        <v>1.3442782455872661E-2</v>
      </c>
      <c r="H180" s="5">
        <v>5.5315651806582588E-3</v>
      </c>
      <c r="I180" s="6">
        <v>0</v>
      </c>
      <c r="J180" s="6">
        <v>1</v>
      </c>
      <c r="K180" s="6">
        <v>475</v>
      </c>
      <c r="L180" s="5">
        <v>2.8407718757829995E-2</v>
      </c>
      <c r="M180" s="5">
        <v>7.7912675654476307E-3</v>
      </c>
      <c r="N180" s="6">
        <v>0</v>
      </c>
      <c r="O180" s="6">
        <v>1</v>
      </c>
      <c r="P180" s="6">
        <v>474</v>
      </c>
      <c r="Q180" s="5">
        <v>4.4140686681988991E-2</v>
      </c>
      <c r="R180" s="5">
        <v>1.0202714953389596E-2</v>
      </c>
      <c r="S180" s="6">
        <v>0</v>
      </c>
      <c r="T180" s="6">
        <v>1</v>
      </c>
      <c r="U180" s="6">
        <v>423</v>
      </c>
      <c r="V180" s="5">
        <v>1.9314576528914615E-3</v>
      </c>
      <c r="W180" s="5">
        <v>1.6669997913496592E-3</v>
      </c>
      <c r="X180" s="6">
        <v>0</v>
      </c>
      <c r="Y180" s="6">
        <v>1</v>
      </c>
      <c r="Z180" s="6">
        <v>1145</v>
      </c>
      <c r="AA180" s="5">
        <v>2.5347139163341796E-2</v>
      </c>
      <c r="AB180" s="5">
        <v>4.1929242301853038E-3</v>
      </c>
      <c r="AC180" s="6">
        <v>0</v>
      </c>
      <c r="AD180" s="6">
        <v>1</v>
      </c>
      <c r="AE180" s="6">
        <v>2899</v>
      </c>
    </row>
    <row r="181" spans="1:32" x14ac:dyDescent="0.45">
      <c r="A181" s="4" t="s">
        <v>30</v>
      </c>
      <c r="B181" s="5">
        <v>1.1313220175511628E-2</v>
      </c>
      <c r="C181" s="5">
        <v>4.5863484235674698E-3</v>
      </c>
      <c r="D181" s="6">
        <v>0</v>
      </c>
      <c r="E181" s="6">
        <v>1</v>
      </c>
      <c r="F181" s="6">
        <v>382</v>
      </c>
      <c r="G181" s="5">
        <v>2.0486202112384482E-2</v>
      </c>
      <c r="H181" s="5">
        <v>6.8262274481481599E-3</v>
      </c>
      <c r="I181" s="6">
        <v>0</v>
      </c>
      <c r="J181" s="6">
        <v>1</v>
      </c>
      <c r="K181" s="6">
        <v>475</v>
      </c>
      <c r="L181" s="5">
        <v>6.588841932522696E-2</v>
      </c>
      <c r="M181" s="5">
        <v>1.1660063921128712E-2</v>
      </c>
      <c r="N181" s="6">
        <v>0</v>
      </c>
      <c r="O181" s="6">
        <v>1</v>
      </c>
      <c r="P181" s="6">
        <v>474</v>
      </c>
      <c r="Q181" s="5">
        <v>5.0630794411700999E-2</v>
      </c>
      <c r="R181" s="5">
        <v>1.0815749508243298E-2</v>
      </c>
      <c r="S181" s="6">
        <v>0</v>
      </c>
      <c r="T181" s="6">
        <v>1</v>
      </c>
      <c r="U181" s="6">
        <v>423</v>
      </c>
      <c r="V181" s="5">
        <v>1.5718253828212927E-2</v>
      </c>
      <c r="W181" s="5">
        <v>3.6241988561389379E-3</v>
      </c>
      <c r="X181" s="6">
        <v>0</v>
      </c>
      <c r="Y181" s="6">
        <v>1</v>
      </c>
      <c r="Z181" s="6">
        <v>1145</v>
      </c>
      <c r="AA181" s="5">
        <v>4.5027529676807447E-2</v>
      </c>
      <c r="AB181" s="5">
        <v>5.6918609078179345E-3</v>
      </c>
      <c r="AC181" s="6">
        <v>0</v>
      </c>
      <c r="AD181" s="6">
        <v>1</v>
      </c>
      <c r="AE181" s="6">
        <v>2899</v>
      </c>
      <c r="AF181">
        <f>(AA183/AA182)-AA181</f>
        <v>-5.3498039339083744E-3</v>
      </c>
    </row>
    <row r="182" spans="1:32" ht="26.25" x14ac:dyDescent="0.45">
      <c r="A182" s="4" t="s">
        <v>22</v>
      </c>
      <c r="B182" s="5">
        <v>0.43781029932519605</v>
      </c>
      <c r="C182" s="5">
        <v>2.8093230494023593E-2</v>
      </c>
      <c r="D182" s="6">
        <v>0</v>
      </c>
      <c r="E182" s="6">
        <v>1</v>
      </c>
      <c r="F182" s="6">
        <v>382</v>
      </c>
      <c r="G182" s="5">
        <v>0.55219468727267385</v>
      </c>
      <c r="H182" s="5">
        <v>2.3637016925189443E-2</v>
      </c>
      <c r="I182" s="6">
        <v>0</v>
      </c>
      <c r="J182" s="6">
        <v>1</v>
      </c>
      <c r="K182" s="6">
        <v>475</v>
      </c>
      <c r="L182" s="5">
        <v>0.49668116027963227</v>
      </c>
      <c r="M182" s="5">
        <v>2.3742455291589224E-2</v>
      </c>
      <c r="N182" s="6">
        <v>0</v>
      </c>
      <c r="O182" s="6">
        <v>1</v>
      </c>
      <c r="P182" s="6">
        <v>474</v>
      </c>
      <c r="Q182" s="5">
        <v>0.81611123613737024</v>
      </c>
      <c r="R182" s="5">
        <v>1.9017745333524308E-2</v>
      </c>
      <c r="S182" s="6">
        <v>0</v>
      </c>
      <c r="T182" s="6">
        <v>1</v>
      </c>
      <c r="U182" s="6">
        <v>423</v>
      </c>
      <c r="V182" s="5">
        <v>0.5075346037063696</v>
      </c>
      <c r="W182" s="5">
        <v>2.0723299778355728E-2</v>
      </c>
      <c r="X182" s="6">
        <v>0</v>
      </c>
      <c r="Y182" s="6">
        <v>1</v>
      </c>
      <c r="Z182" s="6">
        <v>1145</v>
      </c>
      <c r="AA182" s="5">
        <v>0.57753648852202433</v>
      </c>
      <c r="AB182" s="5">
        <v>1.2930285821107954E-2</v>
      </c>
      <c r="AC182" s="6">
        <v>0</v>
      </c>
      <c r="AD182" s="6">
        <v>1</v>
      </c>
      <c r="AE182" s="6">
        <v>2899</v>
      </c>
      <c r="AF182">
        <f>(AA183/AA181)-AA182</f>
        <v>-6.8618176489974925E-2</v>
      </c>
    </row>
    <row r="183" spans="1:32" x14ac:dyDescent="0.45">
      <c r="A183" s="4" t="s">
        <v>89</v>
      </c>
      <c r="B183" s="5">
        <v>2.6599536257777582E-3</v>
      </c>
      <c r="C183" s="5">
        <v>2.660751104566283E-3</v>
      </c>
      <c r="D183" s="6">
        <v>0</v>
      </c>
      <c r="E183" s="6">
        <v>1</v>
      </c>
      <c r="F183" s="6">
        <v>382</v>
      </c>
      <c r="G183" s="5">
        <v>1.1263105815867558E-2</v>
      </c>
      <c r="H183" s="5">
        <v>5.0949016360058753E-3</v>
      </c>
      <c r="I183" s="6">
        <v>0</v>
      </c>
      <c r="J183" s="6">
        <v>1</v>
      </c>
      <c r="K183" s="6">
        <v>475</v>
      </c>
      <c r="L183" s="5">
        <v>2.1856224776757079E-2</v>
      </c>
      <c r="M183" s="5">
        <v>6.8455027225656816E-3</v>
      </c>
      <c r="N183" s="6">
        <v>0</v>
      </c>
      <c r="O183" s="6">
        <v>1</v>
      </c>
      <c r="P183" s="6">
        <v>474</v>
      </c>
      <c r="Q183" s="5">
        <v>4.822124953603775E-2</v>
      </c>
      <c r="R183" s="5">
        <v>1.0569823464898948E-2</v>
      </c>
      <c r="S183" s="6">
        <v>0</v>
      </c>
      <c r="T183" s="6">
        <v>1</v>
      </c>
      <c r="U183" s="6">
        <v>423</v>
      </c>
      <c r="V183" s="5">
        <v>5.811845618426857E-3</v>
      </c>
      <c r="W183" s="5">
        <v>2.2088242353922884E-3</v>
      </c>
      <c r="X183" s="6">
        <v>0</v>
      </c>
      <c r="Y183" s="6">
        <v>1</v>
      </c>
      <c r="Z183" s="6">
        <v>1145</v>
      </c>
      <c r="AA183" s="5">
        <v>2.2915334398093859E-2</v>
      </c>
      <c r="AB183" s="5">
        <v>3.9050299075298433E-3</v>
      </c>
      <c r="AC183" s="6">
        <v>0</v>
      </c>
      <c r="AD183" s="6">
        <v>1</v>
      </c>
      <c r="AE183" s="6">
        <v>2899</v>
      </c>
    </row>
    <row r="184" spans="1:32" x14ac:dyDescent="0.45">
      <c r="A184" s="4" t="s">
        <v>30</v>
      </c>
      <c r="B184" s="5">
        <v>1.1313220175511628E-2</v>
      </c>
      <c r="C184" s="5">
        <v>4.5863484235674698E-3</v>
      </c>
      <c r="D184" s="6">
        <v>0</v>
      </c>
      <c r="E184" s="6">
        <v>1</v>
      </c>
      <c r="F184" s="6">
        <v>382</v>
      </c>
      <c r="G184" s="5">
        <v>2.0486202112384482E-2</v>
      </c>
      <c r="H184" s="5">
        <v>6.8262274481481599E-3</v>
      </c>
      <c r="I184" s="6">
        <v>0</v>
      </c>
      <c r="J184" s="6">
        <v>1</v>
      </c>
      <c r="K184" s="6">
        <v>475</v>
      </c>
      <c r="L184" s="5">
        <v>6.588841932522696E-2</v>
      </c>
      <c r="M184" s="5">
        <v>1.1660063921128712E-2</v>
      </c>
      <c r="N184" s="6">
        <v>0</v>
      </c>
      <c r="O184" s="6">
        <v>1</v>
      </c>
      <c r="P184" s="6">
        <v>474</v>
      </c>
      <c r="Q184" s="5">
        <v>5.0630794411700999E-2</v>
      </c>
      <c r="R184" s="5">
        <v>1.0815749508243298E-2</v>
      </c>
      <c r="S184" s="6">
        <v>0</v>
      </c>
      <c r="T184" s="6">
        <v>1</v>
      </c>
      <c r="U184" s="6">
        <v>423</v>
      </c>
      <c r="V184" s="5">
        <v>1.5718253828212927E-2</v>
      </c>
      <c r="W184" s="5">
        <v>3.6241988561389379E-3</v>
      </c>
      <c r="X184" s="6">
        <v>0</v>
      </c>
      <c r="Y184" s="6">
        <v>1</v>
      </c>
      <c r="Z184" s="6">
        <v>1145</v>
      </c>
      <c r="AA184" s="5">
        <v>4.5027529676807447E-2</v>
      </c>
      <c r="AB184" s="5">
        <v>5.6918609078179345E-3</v>
      </c>
      <c r="AC184" s="6">
        <v>0</v>
      </c>
      <c r="AD184" s="6">
        <v>1</v>
      </c>
      <c r="AE184" s="6">
        <v>2899</v>
      </c>
      <c r="AF184">
        <f>(AA186/AA185)-AA184</f>
        <v>2.9067229803310876E-3</v>
      </c>
    </row>
    <row r="185" spans="1:32" ht="26.25" x14ac:dyDescent="0.45">
      <c r="A185" s="4" t="s">
        <v>24</v>
      </c>
      <c r="B185" s="5">
        <v>0.31036797432157132</v>
      </c>
      <c r="C185" s="5">
        <v>2.5728317926234395E-2</v>
      </c>
      <c r="D185" s="6">
        <v>0</v>
      </c>
      <c r="E185" s="6">
        <v>1</v>
      </c>
      <c r="F185" s="6">
        <v>382</v>
      </c>
      <c r="G185" s="5">
        <v>0.35788515033258406</v>
      </c>
      <c r="H185" s="5">
        <v>2.2745953295009329E-2</v>
      </c>
      <c r="I185" s="6">
        <v>0</v>
      </c>
      <c r="J185" s="6">
        <v>1</v>
      </c>
      <c r="K185" s="6">
        <v>475</v>
      </c>
      <c r="L185" s="5">
        <v>0.34114411132876798</v>
      </c>
      <c r="M185" s="5">
        <v>2.2373839656142282E-2</v>
      </c>
      <c r="N185" s="6">
        <v>0</v>
      </c>
      <c r="O185" s="6">
        <v>1</v>
      </c>
      <c r="P185" s="6">
        <v>474</v>
      </c>
      <c r="Q185" s="5">
        <v>0.74339061825172903</v>
      </c>
      <c r="R185" s="5">
        <v>2.1616709115009351E-2</v>
      </c>
      <c r="S185" s="6">
        <v>0</v>
      </c>
      <c r="T185" s="6">
        <v>1</v>
      </c>
      <c r="U185" s="6">
        <v>423</v>
      </c>
      <c r="V185" s="5">
        <v>0.44820179046503339</v>
      </c>
      <c r="W185" s="5">
        <v>2.0196250233777673E-2</v>
      </c>
      <c r="X185" s="6">
        <v>0</v>
      </c>
      <c r="Y185" s="6">
        <v>1</v>
      </c>
      <c r="Z185" s="6">
        <v>1145</v>
      </c>
      <c r="AA185" s="5">
        <v>0.43492332944629264</v>
      </c>
      <c r="AB185" s="5">
        <v>1.2839399235713171E-2</v>
      </c>
      <c r="AC185" s="6">
        <v>0</v>
      </c>
      <c r="AD185" s="6">
        <v>1</v>
      </c>
      <c r="AE185" s="6">
        <v>2899</v>
      </c>
      <c r="AF185">
        <f>(AA186/AA184)-AA185</f>
        <v>2.8076193507786507E-2</v>
      </c>
    </row>
    <row r="186" spans="1:32" x14ac:dyDescent="0.45">
      <c r="A186" s="4" t="s">
        <v>90</v>
      </c>
      <c r="B186" s="5">
        <v>0</v>
      </c>
      <c r="C186" s="5">
        <v>0</v>
      </c>
      <c r="D186" s="6">
        <v>0</v>
      </c>
      <c r="E186" s="6">
        <v>0</v>
      </c>
      <c r="F186" s="6">
        <v>382</v>
      </c>
      <c r="G186" s="5">
        <v>4.5681730586521335E-3</v>
      </c>
      <c r="H186" s="5">
        <v>3.2304547187024827E-3</v>
      </c>
      <c r="I186" s="6">
        <v>0</v>
      </c>
      <c r="J186" s="6">
        <v>1</v>
      </c>
      <c r="K186" s="6">
        <v>475</v>
      </c>
      <c r="L186" s="5">
        <v>2.1856224776757079E-2</v>
      </c>
      <c r="M186" s="5">
        <v>6.8455027225656816E-3</v>
      </c>
      <c r="N186" s="6">
        <v>0</v>
      </c>
      <c r="O186" s="6">
        <v>1</v>
      </c>
      <c r="P186" s="6">
        <v>474</v>
      </c>
      <c r="Q186" s="5">
        <v>4.822124953603775E-2</v>
      </c>
      <c r="R186" s="5">
        <v>1.0569823464898948E-2</v>
      </c>
      <c r="S186" s="6">
        <v>0</v>
      </c>
      <c r="T186" s="6">
        <v>1</v>
      </c>
      <c r="U186" s="6">
        <v>423</v>
      </c>
      <c r="V186" s="5">
        <v>3.0403635754755842E-3</v>
      </c>
      <c r="W186" s="5">
        <v>1.8948667317198232E-3</v>
      </c>
      <c r="X186" s="6">
        <v>0</v>
      </c>
      <c r="Y186" s="6">
        <v>1</v>
      </c>
      <c r="Z186" s="6">
        <v>1145</v>
      </c>
      <c r="AA186" s="5">
        <v>2.084772476016249E-2</v>
      </c>
      <c r="AB186" s="5">
        <v>3.7600875937295886E-3</v>
      </c>
      <c r="AC186" s="6">
        <v>0</v>
      </c>
      <c r="AD186" s="6">
        <v>1</v>
      </c>
      <c r="AE186" s="6">
        <v>2899</v>
      </c>
    </row>
    <row r="187" spans="1:32" x14ac:dyDescent="0.45">
      <c r="A187" s="4" t="s">
        <v>32</v>
      </c>
      <c r="B187" s="5">
        <v>0.25284608180999629</v>
      </c>
      <c r="C187" s="5">
        <v>2.3458591618637691E-2</v>
      </c>
      <c r="D187" s="6">
        <v>0</v>
      </c>
      <c r="E187" s="6">
        <v>1</v>
      </c>
      <c r="F187" s="6">
        <v>382</v>
      </c>
      <c r="G187" s="5">
        <v>0.15469967046312694</v>
      </c>
      <c r="H187" s="5">
        <v>1.7315436519360065E-2</v>
      </c>
      <c r="I187" s="6">
        <v>0</v>
      </c>
      <c r="J187" s="6">
        <v>1</v>
      </c>
      <c r="K187" s="6">
        <v>475</v>
      </c>
      <c r="L187" s="5">
        <v>0.15465246754968828</v>
      </c>
      <c r="M187" s="5">
        <v>1.7097482428135913E-2</v>
      </c>
      <c r="N187" s="6">
        <v>0</v>
      </c>
      <c r="O187" s="6">
        <v>1</v>
      </c>
      <c r="P187" s="6">
        <v>474</v>
      </c>
      <c r="Q187" s="5">
        <v>0.13416252742816348</v>
      </c>
      <c r="R187" s="5">
        <v>1.6834266849755707E-2</v>
      </c>
      <c r="S187" s="6">
        <v>0</v>
      </c>
      <c r="T187" s="6">
        <v>1</v>
      </c>
      <c r="U187" s="6">
        <v>423</v>
      </c>
      <c r="V187" s="5">
        <v>4.0946313488166033E-2</v>
      </c>
      <c r="W187" s="5">
        <v>6.5332388522454272E-3</v>
      </c>
      <c r="X187" s="6">
        <v>0</v>
      </c>
      <c r="Y187" s="6">
        <v>1</v>
      </c>
      <c r="Z187" s="6">
        <v>1145</v>
      </c>
      <c r="AA187" s="5">
        <v>0.15253747703133069</v>
      </c>
      <c r="AB187" s="5">
        <v>9.3370656631984964E-3</v>
      </c>
      <c r="AC187" s="6">
        <v>0</v>
      </c>
      <c r="AD187" s="6">
        <v>1</v>
      </c>
      <c r="AE187" s="6">
        <v>2899</v>
      </c>
      <c r="AF187">
        <f>(AA189/AA188)-AA187</f>
        <v>-1.7822621919055814E-3</v>
      </c>
    </row>
    <row r="188" spans="1:32" x14ac:dyDescent="0.45">
      <c r="A188" s="4" t="s">
        <v>36</v>
      </c>
      <c r="B188" s="5">
        <v>0.26636125194779031</v>
      </c>
      <c r="C188" s="5">
        <v>2.4189991287900472E-2</v>
      </c>
      <c r="D188" s="6">
        <v>0</v>
      </c>
      <c r="E188" s="6">
        <v>1</v>
      </c>
      <c r="F188" s="6">
        <v>377</v>
      </c>
      <c r="G188" s="5">
        <v>0.17672760534526755</v>
      </c>
      <c r="H188" s="5">
        <v>1.8127456261163202E-2</v>
      </c>
      <c r="I188" s="6">
        <v>0</v>
      </c>
      <c r="J188" s="6">
        <v>1</v>
      </c>
      <c r="K188" s="6">
        <v>467</v>
      </c>
      <c r="L188" s="5">
        <v>4.3890875888197518E-2</v>
      </c>
      <c r="M188" s="5">
        <v>9.6682460234033402E-3</v>
      </c>
      <c r="N188" s="6">
        <v>0</v>
      </c>
      <c r="O188" s="6">
        <v>1</v>
      </c>
      <c r="P188" s="6">
        <v>441</v>
      </c>
      <c r="Q188" s="5">
        <v>8.371081995835053E-2</v>
      </c>
      <c r="R188" s="5">
        <v>1.4050470479779449E-2</v>
      </c>
      <c r="S188" s="6">
        <v>0</v>
      </c>
      <c r="T188" s="6">
        <v>1</v>
      </c>
      <c r="U188" s="6">
        <v>422</v>
      </c>
      <c r="V188" s="5">
        <v>0.17670361522524197</v>
      </c>
      <c r="W188" s="5">
        <v>1.6865782603968957E-2</v>
      </c>
      <c r="X188" s="6">
        <v>0</v>
      </c>
      <c r="Y188" s="6">
        <v>1</v>
      </c>
      <c r="Z188" s="6">
        <v>1068</v>
      </c>
      <c r="AA188" s="5">
        <v>0.10901593418102137</v>
      </c>
      <c r="AB188" s="5">
        <v>7.4445039199197852E-3</v>
      </c>
      <c r="AC188" s="6">
        <v>0</v>
      </c>
      <c r="AD188" s="6">
        <v>1</v>
      </c>
      <c r="AE188" s="6">
        <v>2775</v>
      </c>
      <c r="AF188">
        <f>(AA189/AA187)-AA188</f>
        <v>-1.2737524022781305E-3</v>
      </c>
    </row>
    <row r="189" spans="1:32" x14ac:dyDescent="0.45">
      <c r="A189" s="4" t="s">
        <v>91</v>
      </c>
      <c r="B189" s="5">
        <v>7.4934433446147225E-2</v>
      </c>
      <c r="C189" s="5">
        <v>1.377111565525912E-2</v>
      </c>
      <c r="D189" s="6">
        <v>0</v>
      </c>
      <c r="E189" s="6">
        <v>1</v>
      </c>
      <c r="F189" s="6">
        <v>377</v>
      </c>
      <c r="G189" s="5">
        <v>2.0978510336175132E-2</v>
      </c>
      <c r="H189" s="5">
        <v>6.9345776730733765E-3</v>
      </c>
      <c r="I189" s="6">
        <v>0</v>
      </c>
      <c r="J189" s="6">
        <v>1</v>
      </c>
      <c r="K189" s="6">
        <v>467</v>
      </c>
      <c r="L189" s="5">
        <v>6.5227112677343759E-3</v>
      </c>
      <c r="M189" s="5">
        <v>3.7602204583106298E-3</v>
      </c>
      <c r="N189" s="6">
        <v>0</v>
      </c>
      <c r="O189" s="6">
        <v>1</v>
      </c>
      <c r="P189" s="6">
        <v>441</v>
      </c>
      <c r="Q189" s="5">
        <v>1.2487606848714089E-2</v>
      </c>
      <c r="R189" s="5">
        <v>5.5674436434390729E-3</v>
      </c>
      <c r="S189" s="6">
        <v>0</v>
      </c>
      <c r="T189" s="6">
        <v>1</v>
      </c>
      <c r="U189" s="6">
        <v>422</v>
      </c>
      <c r="V189" s="5">
        <v>5.8920217730951754E-3</v>
      </c>
      <c r="W189" s="5">
        <v>2.0374857521640076E-3</v>
      </c>
      <c r="X189" s="6">
        <v>0</v>
      </c>
      <c r="Y189" s="6">
        <v>1</v>
      </c>
      <c r="Z189" s="6">
        <v>1068</v>
      </c>
      <c r="AA189" s="5">
        <v>1.6434720578380503E-2</v>
      </c>
      <c r="AB189" s="5">
        <v>2.8955535774873552E-3</v>
      </c>
      <c r="AC189" s="6">
        <v>0</v>
      </c>
      <c r="AD189" s="6">
        <v>1</v>
      </c>
      <c r="AE189" s="6">
        <v>2775</v>
      </c>
    </row>
    <row r="190" spans="1:32" x14ac:dyDescent="0.45">
      <c r="A190" s="4" t="s">
        <v>32</v>
      </c>
      <c r="B190" s="5">
        <v>0.25284608180999629</v>
      </c>
      <c r="C190" s="5">
        <v>2.3458591618637691E-2</v>
      </c>
      <c r="D190" s="6">
        <v>0</v>
      </c>
      <c r="E190" s="6">
        <v>1</v>
      </c>
      <c r="F190" s="6">
        <v>382</v>
      </c>
      <c r="G190" s="5">
        <v>0.15469967046312694</v>
      </c>
      <c r="H190" s="5">
        <v>1.7315436519360065E-2</v>
      </c>
      <c r="I190" s="6">
        <v>0</v>
      </c>
      <c r="J190" s="6">
        <v>1</v>
      </c>
      <c r="K190" s="6">
        <v>475</v>
      </c>
      <c r="L190" s="5">
        <v>0.15465246754968828</v>
      </c>
      <c r="M190" s="5">
        <v>1.7097482428135913E-2</v>
      </c>
      <c r="N190" s="6">
        <v>0</v>
      </c>
      <c r="O190" s="6">
        <v>1</v>
      </c>
      <c r="P190" s="6">
        <v>474</v>
      </c>
      <c r="Q190" s="5">
        <v>0.13416252742816348</v>
      </c>
      <c r="R190" s="5">
        <v>1.6834266849755707E-2</v>
      </c>
      <c r="S190" s="6">
        <v>0</v>
      </c>
      <c r="T190" s="6">
        <v>1</v>
      </c>
      <c r="U190" s="6">
        <v>423</v>
      </c>
      <c r="V190" s="5">
        <v>4.0946313488166033E-2</v>
      </c>
      <c r="W190" s="5">
        <v>6.5332388522454272E-3</v>
      </c>
      <c r="X190" s="6">
        <v>0</v>
      </c>
      <c r="Y190" s="6">
        <v>1</v>
      </c>
      <c r="Z190" s="6">
        <v>1145</v>
      </c>
      <c r="AA190" s="5">
        <v>0.15253747703133069</v>
      </c>
      <c r="AB190" s="5">
        <v>9.3370656631984964E-3</v>
      </c>
      <c r="AC190" s="6">
        <v>0</v>
      </c>
      <c r="AD190" s="6">
        <v>1</v>
      </c>
      <c r="AE190" s="6">
        <v>2899</v>
      </c>
      <c r="AF190">
        <f>(AA192/AA191)-AA190</f>
        <v>4.1815959455904744E-2</v>
      </c>
    </row>
    <row r="191" spans="1:32" ht="26.25" x14ac:dyDescent="0.45">
      <c r="A191" s="4" t="s">
        <v>38</v>
      </c>
      <c r="B191" s="5">
        <v>0.4366780064058276</v>
      </c>
      <c r="C191" s="5">
        <v>2.805782617542071E-2</v>
      </c>
      <c r="D191" s="6">
        <v>0</v>
      </c>
      <c r="E191" s="6">
        <v>1</v>
      </c>
      <c r="F191" s="6">
        <v>382</v>
      </c>
      <c r="G191" s="5">
        <v>0.67637596318441151</v>
      </c>
      <c r="H191" s="5">
        <v>2.2183710228253588E-2</v>
      </c>
      <c r="I191" s="6">
        <v>0</v>
      </c>
      <c r="J191" s="6">
        <v>1</v>
      </c>
      <c r="K191" s="6">
        <v>475</v>
      </c>
      <c r="L191" s="5">
        <v>0.42140913195711371</v>
      </c>
      <c r="M191" s="5">
        <v>2.3440738415648886E-2</v>
      </c>
      <c r="N191" s="6">
        <v>0</v>
      </c>
      <c r="O191" s="6">
        <v>1</v>
      </c>
      <c r="P191" s="6">
        <v>474</v>
      </c>
      <c r="Q191" s="5">
        <v>0.50232647922994245</v>
      </c>
      <c r="R191" s="5">
        <v>2.4962894154274457E-2</v>
      </c>
      <c r="S191" s="6">
        <v>0</v>
      </c>
      <c r="T191" s="6">
        <v>1</v>
      </c>
      <c r="U191" s="6">
        <v>423</v>
      </c>
      <c r="V191" s="5">
        <v>0.19257168054166257</v>
      </c>
      <c r="W191" s="5">
        <v>1.5785783859687097E-2</v>
      </c>
      <c r="X191" s="6">
        <v>0</v>
      </c>
      <c r="Y191" s="6">
        <v>1</v>
      </c>
      <c r="Z191" s="6">
        <v>1145</v>
      </c>
      <c r="AA191" s="5">
        <v>0.50005721577724593</v>
      </c>
      <c r="AB191" s="5">
        <v>1.3039449215689536E-2</v>
      </c>
      <c r="AC191" s="6">
        <v>0</v>
      </c>
      <c r="AD191" s="6">
        <v>1</v>
      </c>
      <c r="AE191" s="6">
        <v>2899</v>
      </c>
      <c r="AF191">
        <f>(AA192/AA190)-AA191</f>
        <v>0.13708350673899639</v>
      </c>
    </row>
    <row r="192" spans="1:32" ht="26.25" x14ac:dyDescent="0.45">
      <c r="A192" s="4" t="s">
        <v>92</v>
      </c>
      <c r="B192" s="5">
        <v>0.14216133730968528</v>
      </c>
      <c r="C192" s="5">
        <v>1.8683067437434159E-2</v>
      </c>
      <c r="D192" s="6">
        <v>0</v>
      </c>
      <c r="E192" s="6">
        <v>1</v>
      </c>
      <c r="F192" s="6">
        <v>382</v>
      </c>
      <c r="G192" s="5">
        <v>0.12852368003940051</v>
      </c>
      <c r="H192" s="5">
        <v>1.5960143294509312E-2</v>
      </c>
      <c r="I192" s="6">
        <v>0</v>
      </c>
      <c r="J192" s="6">
        <v>1</v>
      </c>
      <c r="K192" s="6">
        <v>475</v>
      </c>
      <c r="L192" s="5">
        <v>8.9852533239135307E-2</v>
      </c>
      <c r="M192" s="5">
        <v>1.3522005928080732E-2</v>
      </c>
      <c r="N192" s="6">
        <v>0</v>
      </c>
      <c r="O192" s="6">
        <v>1</v>
      </c>
      <c r="P192" s="6">
        <v>474</v>
      </c>
      <c r="Q192" s="5">
        <v>7.3421273614676721E-2</v>
      </c>
      <c r="R192" s="5">
        <v>1.2848690669613935E-2</v>
      </c>
      <c r="S192" s="6">
        <v>0</v>
      </c>
      <c r="T192" s="6">
        <v>1</v>
      </c>
      <c r="U192" s="6">
        <v>423</v>
      </c>
      <c r="V192" s="5">
        <v>1.0075885474665088E-2</v>
      </c>
      <c r="W192" s="5">
        <v>3.9111913473151372E-3</v>
      </c>
      <c r="X192" s="6">
        <v>0</v>
      </c>
      <c r="Y192" s="6">
        <v>1</v>
      </c>
      <c r="Z192" s="6">
        <v>1145</v>
      </c>
      <c r="AA192" s="5">
        <v>9.718783832654676E-2</v>
      </c>
      <c r="AB192" s="5">
        <v>7.6811732073429183E-3</v>
      </c>
      <c r="AC192" s="6">
        <v>0</v>
      </c>
      <c r="AD192" s="6">
        <v>1</v>
      </c>
      <c r="AE192" s="6">
        <v>2899</v>
      </c>
    </row>
    <row r="193" spans="1:32" x14ac:dyDescent="0.45">
      <c r="A193" s="4" t="s">
        <v>32</v>
      </c>
      <c r="B193" s="5">
        <v>0.25284608180999629</v>
      </c>
      <c r="C193" s="5">
        <v>2.3458591618637691E-2</v>
      </c>
      <c r="D193" s="6">
        <v>0</v>
      </c>
      <c r="E193" s="6">
        <v>1</v>
      </c>
      <c r="F193" s="6">
        <v>382</v>
      </c>
      <c r="G193" s="5">
        <v>0.15469967046312694</v>
      </c>
      <c r="H193" s="5">
        <v>1.7315436519360065E-2</v>
      </c>
      <c r="I193" s="6">
        <v>0</v>
      </c>
      <c r="J193" s="6">
        <v>1</v>
      </c>
      <c r="K193" s="6">
        <v>475</v>
      </c>
      <c r="L193" s="5">
        <v>0.15465246754968828</v>
      </c>
      <c r="M193" s="5">
        <v>1.7097482428135913E-2</v>
      </c>
      <c r="N193" s="6">
        <v>0</v>
      </c>
      <c r="O193" s="6">
        <v>1</v>
      </c>
      <c r="P193" s="6">
        <v>474</v>
      </c>
      <c r="Q193" s="5">
        <v>0.13416252742816348</v>
      </c>
      <c r="R193" s="5">
        <v>1.6834266849755707E-2</v>
      </c>
      <c r="S193" s="6">
        <v>0</v>
      </c>
      <c r="T193" s="6">
        <v>1</v>
      </c>
      <c r="U193" s="6">
        <v>423</v>
      </c>
      <c r="V193" s="5">
        <v>4.0946313488166033E-2</v>
      </c>
      <c r="W193" s="5">
        <v>6.5332388522454272E-3</v>
      </c>
      <c r="X193" s="6">
        <v>0</v>
      </c>
      <c r="Y193" s="6">
        <v>1</v>
      </c>
      <c r="Z193" s="6">
        <v>1145</v>
      </c>
      <c r="AA193" s="5">
        <v>0.15253747703133069</v>
      </c>
      <c r="AB193" s="5">
        <v>9.3370656631984964E-3</v>
      </c>
      <c r="AC193" s="6">
        <v>0</v>
      </c>
      <c r="AD193" s="6">
        <v>1</v>
      </c>
      <c r="AE193" s="6">
        <v>2899</v>
      </c>
      <c r="AF193">
        <f>(AA195/AA194)-AA193</f>
        <v>-1.2611169289807711E-2</v>
      </c>
    </row>
    <row r="194" spans="1:32" x14ac:dyDescent="0.45">
      <c r="A194" s="4" t="s">
        <v>40</v>
      </c>
      <c r="B194" s="5">
        <v>0.24475289221599958</v>
      </c>
      <c r="C194" s="5">
        <v>2.3591602155120545E-2</v>
      </c>
      <c r="D194" s="6">
        <v>0</v>
      </c>
      <c r="E194" s="6">
        <v>1</v>
      </c>
      <c r="F194" s="6">
        <v>382</v>
      </c>
      <c r="G194" s="5">
        <v>0.31240436993335119</v>
      </c>
      <c r="H194" s="5">
        <v>2.1994479632135435E-2</v>
      </c>
      <c r="I194" s="6">
        <v>0</v>
      </c>
      <c r="J194" s="6">
        <v>1</v>
      </c>
      <c r="K194" s="6">
        <v>475</v>
      </c>
      <c r="L194" s="5">
        <v>0.31016209118028132</v>
      </c>
      <c r="M194" s="5">
        <v>2.1740010089836503E-2</v>
      </c>
      <c r="N194" s="6">
        <v>0</v>
      </c>
      <c r="O194" s="6">
        <v>1</v>
      </c>
      <c r="P194" s="6">
        <v>474</v>
      </c>
      <c r="Q194" s="5">
        <v>0.7144739729494628</v>
      </c>
      <c r="R194" s="5">
        <v>2.2433009195978806E-2</v>
      </c>
      <c r="S194" s="6">
        <v>0</v>
      </c>
      <c r="T194" s="6">
        <v>1</v>
      </c>
      <c r="U194" s="6">
        <v>423</v>
      </c>
      <c r="V194" s="5">
        <v>0.43483608765880821</v>
      </c>
      <c r="W194" s="5">
        <v>2.0083672578752446E-2</v>
      </c>
      <c r="X194" s="6">
        <v>0</v>
      </c>
      <c r="Y194" s="6">
        <v>1</v>
      </c>
      <c r="Z194" s="6">
        <v>1145</v>
      </c>
      <c r="AA194" s="5">
        <v>0.39887458467079651</v>
      </c>
      <c r="AB194" s="5">
        <v>1.2628190805574898E-2</v>
      </c>
      <c r="AC194" s="6">
        <v>0</v>
      </c>
      <c r="AD194" s="6">
        <v>1</v>
      </c>
      <c r="AE194" s="6">
        <v>2899</v>
      </c>
      <c r="AF194">
        <f>(AA195/AA193)-AA194</f>
        <v>-3.2977305056985817E-2</v>
      </c>
    </row>
    <row r="195" spans="1:32" ht="26.25" x14ac:dyDescent="0.45">
      <c r="A195" s="4" t="s">
        <v>93</v>
      </c>
      <c r="B195" s="5">
        <v>6.513833122550125E-2</v>
      </c>
      <c r="C195" s="5">
        <v>1.3105302263285969E-2</v>
      </c>
      <c r="D195" s="6">
        <v>0</v>
      </c>
      <c r="E195" s="6">
        <v>1</v>
      </c>
      <c r="F195" s="6">
        <v>382</v>
      </c>
      <c r="G195" s="5">
        <v>5.0155940739680362E-2</v>
      </c>
      <c r="H195" s="5">
        <v>1.0222250172696033E-2</v>
      </c>
      <c r="I195" s="6">
        <v>0</v>
      </c>
      <c r="J195" s="6">
        <v>1</v>
      </c>
      <c r="K195" s="6">
        <v>475</v>
      </c>
      <c r="L195" s="5">
        <v>3.6463864926178736E-2</v>
      </c>
      <c r="M195" s="5">
        <v>8.8004014227982263E-3</v>
      </c>
      <c r="N195" s="6">
        <v>0</v>
      </c>
      <c r="O195" s="6">
        <v>1</v>
      </c>
      <c r="P195" s="6">
        <v>474</v>
      </c>
      <c r="Q195" s="5">
        <v>0.10224275524104205</v>
      </c>
      <c r="R195" s="5">
        <v>1.5031603276709361E-2</v>
      </c>
      <c r="S195" s="6">
        <v>0</v>
      </c>
      <c r="T195" s="6">
        <v>1</v>
      </c>
      <c r="U195" s="6">
        <v>423</v>
      </c>
      <c r="V195" s="5">
        <v>2.270679375979575E-2</v>
      </c>
      <c r="W195" s="5">
        <v>5.2158869198656432E-3</v>
      </c>
      <c r="X195" s="6">
        <v>0</v>
      </c>
      <c r="Y195" s="6">
        <v>1</v>
      </c>
      <c r="Z195" s="6">
        <v>1145</v>
      </c>
      <c r="AA195" s="5">
        <v>5.5813047884918032E-2</v>
      </c>
      <c r="AB195" s="5">
        <v>5.7023477268692288E-3</v>
      </c>
      <c r="AC195" s="6">
        <v>0</v>
      </c>
      <c r="AD195" s="6">
        <v>1</v>
      </c>
      <c r="AE195" s="6">
        <v>2899</v>
      </c>
    </row>
    <row r="196" spans="1:32" x14ac:dyDescent="0.45">
      <c r="A196" s="4" t="s">
        <v>32</v>
      </c>
      <c r="B196" s="5">
        <v>0.25284608180999629</v>
      </c>
      <c r="C196" s="5">
        <v>2.3458591618637691E-2</v>
      </c>
      <c r="D196" s="6">
        <v>0</v>
      </c>
      <c r="E196" s="6">
        <v>1</v>
      </c>
      <c r="F196" s="6">
        <v>382</v>
      </c>
      <c r="G196" s="5">
        <v>0.15469967046312694</v>
      </c>
      <c r="H196" s="5">
        <v>1.7315436519360065E-2</v>
      </c>
      <c r="I196" s="6">
        <v>0</v>
      </c>
      <c r="J196" s="6">
        <v>1</v>
      </c>
      <c r="K196" s="6">
        <v>475</v>
      </c>
      <c r="L196" s="5">
        <v>0.15465246754968828</v>
      </c>
      <c r="M196" s="5">
        <v>1.7097482428135913E-2</v>
      </c>
      <c r="N196" s="6">
        <v>0</v>
      </c>
      <c r="O196" s="6">
        <v>1</v>
      </c>
      <c r="P196" s="6">
        <v>474</v>
      </c>
      <c r="Q196" s="5">
        <v>0.13416252742816348</v>
      </c>
      <c r="R196" s="5">
        <v>1.6834266849755707E-2</v>
      </c>
      <c r="S196" s="6">
        <v>0</v>
      </c>
      <c r="T196" s="6">
        <v>1</v>
      </c>
      <c r="U196" s="6">
        <v>423</v>
      </c>
      <c r="V196" s="5">
        <v>4.0946313488166033E-2</v>
      </c>
      <c r="W196" s="5">
        <v>6.5332388522454272E-3</v>
      </c>
      <c r="X196" s="6">
        <v>0</v>
      </c>
      <c r="Y196" s="6">
        <v>1</v>
      </c>
      <c r="Z196" s="6">
        <v>1145</v>
      </c>
      <c r="AA196" s="5">
        <v>0.15253747703133069</v>
      </c>
      <c r="AB196" s="5">
        <v>9.3370656631984964E-3</v>
      </c>
      <c r="AC196" s="6">
        <v>0</v>
      </c>
      <c r="AD196" s="6">
        <v>1</v>
      </c>
      <c r="AE196" s="6">
        <v>2899</v>
      </c>
      <c r="AF196">
        <f>(AA198/AA197)-AA196</f>
        <v>-3.8833587528290803E-3</v>
      </c>
    </row>
    <row r="197" spans="1:32" x14ac:dyDescent="0.45">
      <c r="A197" s="4" t="s">
        <v>42</v>
      </c>
      <c r="B197" s="5">
        <v>0.25089279775929785</v>
      </c>
      <c r="C197" s="5">
        <v>2.3633364656887722E-2</v>
      </c>
      <c r="D197" s="6">
        <v>0</v>
      </c>
      <c r="E197" s="6">
        <v>1</v>
      </c>
      <c r="F197" s="6">
        <v>382</v>
      </c>
      <c r="G197" s="5">
        <v>0.39009576358444259</v>
      </c>
      <c r="H197" s="5">
        <v>2.3181206138358921E-2</v>
      </c>
      <c r="I197" s="6">
        <v>0</v>
      </c>
      <c r="J197" s="6">
        <v>1</v>
      </c>
      <c r="K197" s="6">
        <v>475</v>
      </c>
      <c r="L197" s="5">
        <v>0.31115391050319358</v>
      </c>
      <c r="M197" s="5">
        <v>2.230646426075697E-2</v>
      </c>
      <c r="N197" s="6">
        <v>0</v>
      </c>
      <c r="O197" s="6">
        <v>1</v>
      </c>
      <c r="P197" s="6">
        <v>474</v>
      </c>
      <c r="Q197" s="5">
        <v>0.48120800183961793</v>
      </c>
      <c r="R197" s="5">
        <v>2.4961710177192679E-2</v>
      </c>
      <c r="S197" s="6">
        <v>0</v>
      </c>
      <c r="T197" s="6">
        <v>1</v>
      </c>
      <c r="U197" s="6">
        <v>423</v>
      </c>
      <c r="V197" s="5">
        <v>0.3457577606704838</v>
      </c>
      <c r="W197" s="5">
        <v>1.8801067085193666E-2</v>
      </c>
      <c r="X197" s="6">
        <v>0</v>
      </c>
      <c r="Y197" s="6">
        <v>1</v>
      </c>
      <c r="Z197" s="6">
        <v>1145</v>
      </c>
      <c r="AA197" s="5">
        <v>0.36657663781801664</v>
      </c>
      <c r="AB197" s="5">
        <v>1.2575722914207254E-2</v>
      </c>
      <c r="AC197" s="6">
        <v>0</v>
      </c>
      <c r="AD197" s="6">
        <v>1</v>
      </c>
      <c r="AE197" s="6">
        <v>2899</v>
      </c>
      <c r="AF197">
        <f>(AA198/AA196)-AA197</f>
        <v>-9.3324514260902935E-3</v>
      </c>
    </row>
    <row r="198" spans="1:32" ht="26.25" x14ac:dyDescent="0.45">
      <c r="A198" s="4" t="s">
        <v>94</v>
      </c>
      <c r="B198" s="5">
        <v>6.5283330228570718E-2</v>
      </c>
      <c r="C198" s="5">
        <v>1.324244061668902E-2</v>
      </c>
      <c r="D198" s="6">
        <v>0</v>
      </c>
      <c r="E198" s="6">
        <v>1</v>
      </c>
      <c r="F198" s="6">
        <v>382</v>
      </c>
      <c r="G198" s="5">
        <v>7.1172089353894505E-2</v>
      </c>
      <c r="H198" s="5">
        <v>1.2181154215298985E-2</v>
      </c>
      <c r="I198" s="6">
        <v>0</v>
      </c>
      <c r="J198" s="6">
        <v>1</v>
      </c>
      <c r="K198" s="6">
        <v>475</v>
      </c>
      <c r="L198" s="5">
        <v>3.902574008672155E-2</v>
      </c>
      <c r="M198" s="5">
        <v>9.4234128445778772E-3</v>
      </c>
      <c r="N198" s="6">
        <v>0</v>
      </c>
      <c r="O198" s="6">
        <v>1</v>
      </c>
      <c r="P198" s="6">
        <v>474</v>
      </c>
      <c r="Q198" s="5">
        <v>6.4066730676879569E-2</v>
      </c>
      <c r="R198" s="5">
        <v>1.2211532451306312E-2</v>
      </c>
      <c r="S198" s="6">
        <v>0</v>
      </c>
      <c r="T198" s="6">
        <v>1</v>
      </c>
      <c r="U198" s="6">
        <v>423</v>
      </c>
      <c r="V198" s="5">
        <v>3.0505766501310014E-2</v>
      </c>
      <c r="W198" s="5">
        <v>5.8153450895348166E-3</v>
      </c>
      <c r="X198" s="6">
        <v>0</v>
      </c>
      <c r="Y198" s="6">
        <v>1</v>
      </c>
      <c r="Z198" s="6">
        <v>1145</v>
      </c>
      <c r="AA198" s="5">
        <v>5.4493126876334889E-2</v>
      </c>
      <c r="AB198" s="5">
        <v>5.8063779468548442E-3</v>
      </c>
      <c r="AC198" s="6">
        <v>0</v>
      </c>
      <c r="AD198" s="6">
        <v>1</v>
      </c>
      <c r="AE198" s="6">
        <v>2899</v>
      </c>
    </row>
    <row r="199" spans="1:32" x14ac:dyDescent="0.45">
      <c r="A199" s="4" t="s">
        <v>32</v>
      </c>
      <c r="B199" s="5">
        <v>0.25284608180999629</v>
      </c>
      <c r="C199" s="5">
        <v>2.3458591618637691E-2</v>
      </c>
      <c r="D199" s="6">
        <v>0</v>
      </c>
      <c r="E199" s="6">
        <v>1</v>
      </c>
      <c r="F199" s="6">
        <v>382</v>
      </c>
      <c r="G199" s="5">
        <v>0.15469967046312694</v>
      </c>
      <c r="H199" s="5">
        <v>1.7315436519360065E-2</v>
      </c>
      <c r="I199" s="6">
        <v>0</v>
      </c>
      <c r="J199" s="6">
        <v>1</v>
      </c>
      <c r="K199" s="6">
        <v>475</v>
      </c>
      <c r="L199" s="5">
        <v>0.15465246754968828</v>
      </c>
      <c r="M199" s="5">
        <v>1.7097482428135913E-2</v>
      </c>
      <c r="N199" s="6">
        <v>0</v>
      </c>
      <c r="O199" s="6">
        <v>1</v>
      </c>
      <c r="P199" s="6">
        <v>474</v>
      </c>
      <c r="Q199" s="5">
        <v>0.13416252742816348</v>
      </c>
      <c r="R199" s="5">
        <v>1.6834266849755707E-2</v>
      </c>
      <c r="S199" s="6">
        <v>0</v>
      </c>
      <c r="T199" s="6">
        <v>1</v>
      </c>
      <c r="U199" s="6">
        <v>423</v>
      </c>
      <c r="V199" s="5">
        <v>4.0946313488166033E-2</v>
      </c>
      <c r="W199" s="5">
        <v>6.5332388522454272E-3</v>
      </c>
      <c r="X199" s="6">
        <v>0</v>
      </c>
      <c r="Y199" s="6">
        <v>1</v>
      </c>
      <c r="Z199" s="6">
        <v>1145</v>
      </c>
      <c r="AA199" s="5">
        <v>0.15253747703133069</v>
      </c>
      <c r="AB199" s="5">
        <v>9.3370656631984964E-3</v>
      </c>
      <c r="AC199" s="6">
        <v>0</v>
      </c>
      <c r="AD199" s="6">
        <v>1</v>
      </c>
      <c r="AE199" s="6">
        <v>2899</v>
      </c>
      <c r="AF199">
        <f>(AA201/AA200)-AA199</f>
        <v>2.9215775407643418E-2</v>
      </c>
    </row>
    <row r="200" spans="1:32" x14ac:dyDescent="0.45">
      <c r="A200" s="4" t="s">
        <v>44</v>
      </c>
      <c r="B200" s="5">
        <v>7.9771782857088899E-2</v>
      </c>
      <c r="C200" s="5">
        <v>1.4835173716237555E-2</v>
      </c>
      <c r="D200" s="6">
        <v>0</v>
      </c>
      <c r="E200" s="6">
        <v>1</v>
      </c>
      <c r="F200" s="6">
        <v>382</v>
      </c>
      <c r="G200" s="5">
        <v>9.1412983805042231E-2</v>
      </c>
      <c r="H200" s="5">
        <v>1.3542282503153303E-2</v>
      </c>
      <c r="I200" s="6">
        <v>0</v>
      </c>
      <c r="J200" s="6">
        <v>1</v>
      </c>
      <c r="K200" s="6">
        <v>475</v>
      </c>
      <c r="L200" s="5">
        <v>6.2522483872663487E-2</v>
      </c>
      <c r="M200" s="5">
        <v>1.2083621448993364E-2</v>
      </c>
      <c r="N200" s="6">
        <v>0</v>
      </c>
      <c r="O200" s="6">
        <v>1</v>
      </c>
      <c r="P200" s="6">
        <v>474</v>
      </c>
      <c r="Q200" s="5">
        <v>0.15234303743644023</v>
      </c>
      <c r="R200" s="5">
        <v>1.7921333577869139E-2</v>
      </c>
      <c r="S200" s="6">
        <v>0</v>
      </c>
      <c r="T200" s="6">
        <v>1</v>
      </c>
      <c r="U200" s="6">
        <v>423</v>
      </c>
      <c r="V200" s="5">
        <v>7.9695497124933817E-2</v>
      </c>
      <c r="W200" s="5">
        <v>8.4181414188695299E-3</v>
      </c>
      <c r="X200" s="6">
        <v>0</v>
      </c>
      <c r="Y200" s="6">
        <v>1</v>
      </c>
      <c r="Z200" s="6">
        <v>1145</v>
      </c>
      <c r="AA200" s="5">
        <v>9.1537468369046068E-2</v>
      </c>
      <c r="AB200" s="5">
        <v>7.4032918276990987E-3</v>
      </c>
      <c r="AC200" s="6">
        <v>0</v>
      </c>
      <c r="AD200" s="6">
        <v>1</v>
      </c>
      <c r="AE200" s="6">
        <v>2899</v>
      </c>
      <c r="AF200">
        <f>(AA201/AA199)-AA200</f>
        <v>1.7532334802581095E-2</v>
      </c>
    </row>
    <row r="201" spans="1:32" x14ac:dyDescent="0.45">
      <c r="A201" s="4" t="s">
        <v>95</v>
      </c>
      <c r="B201" s="5">
        <v>1.4134708841057197E-2</v>
      </c>
      <c r="C201" s="5">
        <v>6.4044662043548882E-3</v>
      </c>
      <c r="D201" s="6">
        <v>0</v>
      </c>
      <c r="E201" s="6">
        <v>1</v>
      </c>
      <c r="F201" s="6">
        <v>382</v>
      </c>
      <c r="G201" s="5">
        <v>2.2322058033236329E-2</v>
      </c>
      <c r="H201" s="5">
        <v>6.9974476422345489E-3</v>
      </c>
      <c r="I201" s="6">
        <v>0</v>
      </c>
      <c r="J201" s="6">
        <v>1</v>
      </c>
      <c r="K201" s="6">
        <v>475</v>
      </c>
      <c r="L201" s="5">
        <v>7.535007859320925E-3</v>
      </c>
      <c r="M201" s="5">
        <v>4.5480431997244105E-3</v>
      </c>
      <c r="N201" s="6">
        <v>0</v>
      </c>
      <c r="O201" s="6">
        <v>1</v>
      </c>
      <c r="P201" s="6">
        <v>474</v>
      </c>
      <c r="Q201" s="5">
        <v>2.9427197053456651E-2</v>
      </c>
      <c r="R201" s="5">
        <v>8.4216770221147031E-3</v>
      </c>
      <c r="S201" s="6">
        <v>0</v>
      </c>
      <c r="T201" s="6">
        <v>1</v>
      </c>
      <c r="U201" s="6">
        <v>423</v>
      </c>
      <c r="V201" s="5">
        <v>6.1311577452691206E-3</v>
      </c>
      <c r="W201" s="5">
        <v>1.7111434969577302E-3</v>
      </c>
      <c r="X201" s="6">
        <v>0</v>
      </c>
      <c r="Y201" s="6">
        <v>1</v>
      </c>
      <c r="Z201" s="6">
        <v>1145</v>
      </c>
      <c r="AA201" s="5">
        <v>1.6637232596103838E-2</v>
      </c>
      <c r="AB201" s="5">
        <v>3.2560950020219886E-3</v>
      </c>
      <c r="AC201" s="6">
        <v>0</v>
      </c>
      <c r="AD201" s="6">
        <v>1</v>
      </c>
      <c r="AE201" s="6">
        <v>2899</v>
      </c>
    </row>
    <row r="202" spans="1:32" x14ac:dyDescent="0.45">
      <c r="A202" s="4" t="s">
        <v>32</v>
      </c>
      <c r="B202" s="5">
        <v>0.25284608180999629</v>
      </c>
      <c r="C202" s="5">
        <v>2.3458591618637691E-2</v>
      </c>
      <c r="D202" s="6">
        <v>0</v>
      </c>
      <c r="E202" s="6">
        <v>1</v>
      </c>
      <c r="F202" s="6">
        <v>382</v>
      </c>
      <c r="G202" s="5">
        <v>0.15469967046312694</v>
      </c>
      <c r="H202" s="5">
        <v>1.7315436519360065E-2</v>
      </c>
      <c r="I202" s="6">
        <v>0</v>
      </c>
      <c r="J202" s="6">
        <v>1</v>
      </c>
      <c r="K202" s="6">
        <v>475</v>
      </c>
      <c r="L202" s="5">
        <v>0.15465246754968828</v>
      </c>
      <c r="M202" s="5">
        <v>1.7097482428135913E-2</v>
      </c>
      <c r="N202" s="6">
        <v>0</v>
      </c>
      <c r="O202" s="6">
        <v>1</v>
      </c>
      <c r="P202" s="6">
        <v>474</v>
      </c>
      <c r="Q202" s="5">
        <v>0.13416252742816348</v>
      </c>
      <c r="R202" s="5">
        <v>1.6834266849755707E-2</v>
      </c>
      <c r="S202" s="6">
        <v>0</v>
      </c>
      <c r="T202" s="6">
        <v>1</v>
      </c>
      <c r="U202" s="6">
        <v>423</v>
      </c>
      <c r="V202" s="5">
        <v>4.0946313488166033E-2</v>
      </c>
      <c r="W202" s="5">
        <v>6.5332388522454272E-3</v>
      </c>
      <c r="X202" s="6">
        <v>0</v>
      </c>
      <c r="Y202" s="6">
        <v>1</v>
      </c>
      <c r="Z202" s="6">
        <v>1145</v>
      </c>
      <c r="AA202" s="5">
        <v>0.15253747703133069</v>
      </c>
      <c r="AB202" s="5">
        <v>9.3370656631984964E-3</v>
      </c>
      <c r="AC202" s="6">
        <v>0</v>
      </c>
      <c r="AD202" s="6">
        <v>1</v>
      </c>
      <c r="AE202" s="6">
        <v>2899</v>
      </c>
      <c r="AF202">
        <f>(AA204/AA203)-AA202</f>
        <v>2.2655677068234487E-2</v>
      </c>
    </row>
    <row r="203" spans="1:32" ht="39.4" x14ac:dyDescent="0.45">
      <c r="A203" s="4" t="s">
        <v>16</v>
      </c>
      <c r="B203" s="5">
        <v>0.50556237093372625</v>
      </c>
      <c r="C203" s="5">
        <v>2.8806099607079916E-2</v>
      </c>
      <c r="D203" s="6">
        <v>0</v>
      </c>
      <c r="E203" s="6">
        <v>1</v>
      </c>
      <c r="F203" s="6">
        <v>382</v>
      </c>
      <c r="G203" s="5">
        <v>0.75127200876490052</v>
      </c>
      <c r="H203" s="5">
        <v>2.0440411467445026E-2</v>
      </c>
      <c r="I203" s="6">
        <v>0</v>
      </c>
      <c r="J203" s="6">
        <v>1</v>
      </c>
      <c r="K203" s="6">
        <v>475</v>
      </c>
      <c r="L203" s="5">
        <v>0.57082825926267877</v>
      </c>
      <c r="M203" s="5">
        <v>2.3540070455782523E-2</v>
      </c>
      <c r="N203" s="6">
        <v>0</v>
      </c>
      <c r="O203" s="6">
        <v>1</v>
      </c>
      <c r="P203" s="6">
        <v>474</v>
      </c>
      <c r="Q203" s="5">
        <v>0.83603306383602227</v>
      </c>
      <c r="R203" s="5">
        <v>1.8289048327108152E-2</v>
      </c>
      <c r="S203" s="6">
        <v>0</v>
      </c>
      <c r="T203" s="6">
        <v>1</v>
      </c>
      <c r="U203" s="6">
        <v>423</v>
      </c>
      <c r="V203" s="5">
        <v>0.4594408339654299</v>
      </c>
      <c r="W203" s="5">
        <v>2.0333889342993294E-2</v>
      </c>
      <c r="X203" s="6">
        <v>0</v>
      </c>
      <c r="Y203" s="6">
        <v>1</v>
      </c>
      <c r="Z203" s="6">
        <v>1145</v>
      </c>
      <c r="AA203" s="5">
        <v>0.6685391064616979</v>
      </c>
      <c r="AB203" s="5">
        <v>1.2404909142965445E-2</v>
      </c>
      <c r="AC203" s="6">
        <v>0</v>
      </c>
      <c r="AD203" s="6">
        <v>1</v>
      </c>
      <c r="AE203" s="6">
        <v>2899</v>
      </c>
      <c r="AF203">
        <f>(AA204/AA202)-AA203</f>
        <v>9.9294982441405333E-2</v>
      </c>
    </row>
    <row r="204" spans="1:32" x14ac:dyDescent="0.45">
      <c r="A204" s="4" t="s">
        <v>96</v>
      </c>
      <c r="B204" s="5">
        <v>0.15762427182377181</v>
      </c>
      <c r="C204" s="5">
        <v>1.9567002828140948E-2</v>
      </c>
      <c r="D204" s="6">
        <v>0</v>
      </c>
      <c r="E204" s="6">
        <v>1</v>
      </c>
      <c r="F204" s="6">
        <v>382</v>
      </c>
      <c r="G204" s="5">
        <v>0.13520554831861228</v>
      </c>
      <c r="H204" s="5">
        <v>1.6300625601150264E-2</v>
      </c>
      <c r="I204" s="6">
        <v>0</v>
      </c>
      <c r="J204" s="6">
        <v>1</v>
      </c>
      <c r="K204" s="6">
        <v>475</v>
      </c>
      <c r="L204" s="5">
        <v>0.10700754719683574</v>
      </c>
      <c r="M204" s="5">
        <v>1.4582696399342144E-2</v>
      </c>
      <c r="N204" s="6">
        <v>0</v>
      </c>
      <c r="O204" s="6">
        <v>1</v>
      </c>
      <c r="P204" s="6">
        <v>474</v>
      </c>
      <c r="Q204" s="5">
        <v>0.11710886326484002</v>
      </c>
      <c r="R204" s="5">
        <v>1.587194089138207E-2</v>
      </c>
      <c r="S204" s="6">
        <v>0</v>
      </c>
      <c r="T204" s="6">
        <v>1</v>
      </c>
      <c r="U204" s="6">
        <v>423</v>
      </c>
      <c r="V204" s="5">
        <v>2.5260928918528391E-2</v>
      </c>
      <c r="W204" s="5">
        <v>5.5292503734958379E-3</v>
      </c>
      <c r="X204" s="6">
        <v>0</v>
      </c>
      <c r="Y204" s="6">
        <v>1</v>
      </c>
      <c r="Z204" s="6">
        <v>1145</v>
      </c>
      <c r="AA204" s="5">
        <v>0.11712347469992984</v>
      </c>
      <c r="AB204" s="5">
        <v>8.3045064578101055E-3</v>
      </c>
      <c r="AC204" s="6">
        <v>0</v>
      </c>
      <c r="AD204" s="6">
        <v>1</v>
      </c>
      <c r="AE204" s="6">
        <v>2899</v>
      </c>
    </row>
    <row r="205" spans="1:32" x14ac:dyDescent="0.45">
      <c r="A205" s="4" t="s">
        <v>32</v>
      </c>
      <c r="B205" s="5">
        <v>0.25284608180999629</v>
      </c>
      <c r="C205" s="5">
        <v>2.3458591618637691E-2</v>
      </c>
      <c r="D205" s="6">
        <v>0</v>
      </c>
      <c r="E205" s="6">
        <v>1</v>
      </c>
      <c r="F205" s="6">
        <v>382</v>
      </c>
      <c r="G205" s="5">
        <v>0.15469967046312694</v>
      </c>
      <c r="H205" s="5">
        <v>1.7315436519360065E-2</v>
      </c>
      <c r="I205" s="6">
        <v>0</v>
      </c>
      <c r="J205" s="6">
        <v>1</v>
      </c>
      <c r="K205" s="6">
        <v>475</v>
      </c>
      <c r="L205" s="5">
        <v>0.15465246754968828</v>
      </c>
      <c r="M205" s="5">
        <v>1.7097482428135913E-2</v>
      </c>
      <c r="N205" s="6">
        <v>0</v>
      </c>
      <c r="O205" s="6">
        <v>1</v>
      </c>
      <c r="P205" s="6">
        <v>474</v>
      </c>
      <c r="Q205" s="5">
        <v>0.13416252742816348</v>
      </c>
      <c r="R205" s="5">
        <v>1.6834266849755707E-2</v>
      </c>
      <c r="S205" s="6">
        <v>0</v>
      </c>
      <c r="T205" s="6">
        <v>1</v>
      </c>
      <c r="U205" s="6">
        <v>423</v>
      </c>
      <c r="V205" s="5">
        <v>4.0946313488166033E-2</v>
      </c>
      <c r="W205" s="5">
        <v>6.5332388522454272E-3</v>
      </c>
      <c r="X205" s="6">
        <v>0</v>
      </c>
      <c r="Y205" s="6">
        <v>1</v>
      </c>
      <c r="Z205" s="6">
        <v>1145</v>
      </c>
      <c r="AA205" s="5">
        <v>0.15253747703133069</v>
      </c>
      <c r="AB205" s="5">
        <v>9.3370656631984964E-3</v>
      </c>
      <c r="AC205" s="6">
        <v>0</v>
      </c>
      <c r="AD205" s="6">
        <v>1</v>
      </c>
      <c r="AE205" s="6">
        <v>2899</v>
      </c>
      <c r="AF205">
        <f>(AA207/AA206)-AA205</f>
        <v>2.3719502766266526E-2</v>
      </c>
    </row>
    <row r="206" spans="1:32" ht="39.4" x14ac:dyDescent="0.45">
      <c r="A206" s="4" t="s">
        <v>18</v>
      </c>
      <c r="B206" s="5">
        <v>0.57072600859564226</v>
      </c>
      <c r="C206" s="5">
        <v>2.9131924939021201E-2</v>
      </c>
      <c r="D206" s="6">
        <v>0</v>
      </c>
      <c r="E206" s="6">
        <v>1</v>
      </c>
      <c r="F206" s="6">
        <v>382</v>
      </c>
      <c r="G206" s="5">
        <v>0.77458535334454726</v>
      </c>
      <c r="H206" s="5">
        <v>1.9819153022370115E-2</v>
      </c>
      <c r="I206" s="6">
        <v>0</v>
      </c>
      <c r="J206" s="6">
        <v>1</v>
      </c>
      <c r="K206" s="6">
        <v>475</v>
      </c>
      <c r="L206" s="5">
        <v>0.5654398229580665</v>
      </c>
      <c r="M206" s="5">
        <v>2.3474274957925739E-2</v>
      </c>
      <c r="N206" s="6">
        <v>0</v>
      </c>
      <c r="O206" s="6">
        <v>1</v>
      </c>
      <c r="P206" s="6">
        <v>474</v>
      </c>
      <c r="Q206" s="5">
        <v>0.74315598481496103</v>
      </c>
      <c r="R206" s="5">
        <v>2.153023882484394E-2</v>
      </c>
      <c r="S206" s="6">
        <v>0</v>
      </c>
      <c r="T206" s="6">
        <v>1</v>
      </c>
      <c r="U206" s="6">
        <v>423</v>
      </c>
      <c r="V206" s="5">
        <v>0.41997286525770899</v>
      </c>
      <c r="W206" s="5">
        <v>1.993996945027731E-2</v>
      </c>
      <c r="X206" s="6">
        <v>0</v>
      </c>
      <c r="Y206" s="6">
        <v>1</v>
      </c>
      <c r="Z206" s="6">
        <v>1145</v>
      </c>
      <c r="AA206" s="5">
        <v>0.65520854638593373</v>
      </c>
      <c r="AB206" s="5">
        <v>1.2427109701659765E-2</v>
      </c>
      <c r="AC206" s="6">
        <v>0</v>
      </c>
      <c r="AD206" s="6">
        <v>1</v>
      </c>
      <c r="AE206" s="6">
        <v>2899</v>
      </c>
      <c r="AF206">
        <f>(AA207/AA205)-AA206</f>
        <v>0.10188460718601311</v>
      </c>
    </row>
    <row r="207" spans="1:32" x14ac:dyDescent="0.45">
      <c r="A207" s="4" t="s">
        <v>97</v>
      </c>
      <c r="B207" s="5">
        <v>0.16520109677034683</v>
      </c>
      <c r="C207" s="5">
        <v>2.0057700289783459E-2</v>
      </c>
      <c r="D207" s="6">
        <v>0</v>
      </c>
      <c r="E207" s="6">
        <v>1</v>
      </c>
      <c r="F207" s="6">
        <v>382</v>
      </c>
      <c r="G207" s="5">
        <v>0.14179584132606374</v>
      </c>
      <c r="H207" s="5">
        <v>1.6619395304922978E-2</v>
      </c>
      <c r="I207" s="6">
        <v>0</v>
      </c>
      <c r="J207" s="6">
        <v>1</v>
      </c>
      <c r="K207" s="6">
        <v>475</v>
      </c>
      <c r="L207" s="5">
        <v>0.10461259526159408</v>
      </c>
      <c r="M207" s="5">
        <v>1.458298332433439E-2</v>
      </c>
      <c r="N207" s="6">
        <v>0</v>
      </c>
      <c r="O207" s="6">
        <v>1</v>
      </c>
      <c r="P207" s="6">
        <v>474</v>
      </c>
      <c r="Q207" s="5">
        <v>0.10280461793839853</v>
      </c>
      <c r="R207" s="5">
        <v>1.5001126499889441E-2</v>
      </c>
      <c r="S207" s="6">
        <v>0</v>
      </c>
      <c r="T207" s="6">
        <v>1</v>
      </c>
      <c r="U207" s="6">
        <v>423</v>
      </c>
      <c r="V207" s="5">
        <v>3.0794896451857352E-2</v>
      </c>
      <c r="W207" s="5">
        <v>5.8229875195529527E-3</v>
      </c>
      <c r="X207" s="6">
        <v>0</v>
      </c>
      <c r="Y207" s="6">
        <v>1</v>
      </c>
      <c r="Z207" s="6">
        <v>1145</v>
      </c>
      <c r="AA207" s="5">
        <v>0.11548507952355856</v>
      </c>
      <c r="AB207" s="5">
        <v>8.2834400817928186E-3</v>
      </c>
      <c r="AC207" s="6">
        <v>0</v>
      </c>
      <c r="AD207" s="6">
        <v>1</v>
      </c>
      <c r="AE207" s="6">
        <v>2899</v>
      </c>
    </row>
    <row r="208" spans="1:32" x14ac:dyDescent="0.45">
      <c r="A208" s="4" t="s">
        <v>32</v>
      </c>
      <c r="B208" s="5">
        <v>0.25284608180999629</v>
      </c>
      <c r="C208" s="5">
        <v>2.3458591618637691E-2</v>
      </c>
      <c r="D208" s="6">
        <v>0</v>
      </c>
      <c r="E208" s="6">
        <v>1</v>
      </c>
      <c r="F208" s="6">
        <v>382</v>
      </c>
      <c r="G208" s="5">
        <v>0.15469967046312694</v>
      </c>
      <c r="H208" s="5">
        <v>1.7315436519360065E-2</v>
      </c>
      <c r="I208" s="6">
        <v>0</v>
      </c>
      <c r="J208" s="6">
        <v>1</v>
      </c>
      <c r="K208" s="6">
        <v>475</v>
      </c>
      <c r="L208" s="5">
        <v>0.15465246754968828</v>
      </c>
      <c r="M208" s="5">
        <v>1.7097482428135913E-2</v>
      </c>
      <c r="N208" s="6">
        <v>0</v>
      </c>
      <c r="O208" s="6">
        <v>1</v>
      </c>
      <c r="P208" s="6">
        <v>474</v>
      </c>
      <c r="Q208" s="5">
        <v>0.13416252742816348</v>
      </c>
      <c r="R208" s="5">
        <v>1.6834266849755707E-2</v>
      </c>
      <c r="S208" s="6">
        <v>0</v>
      </c>
      <c r="T208" s="6">
        <v>1</v>
      </c>
      <c r="U208" s="6">
        <v>423</v>
      </c>
      <c r="V208" s="5">
        <v>4.0946313488166033E-2</v>
      </c>
      <c r="W208" s="5">
        <v>6.5332388522454272E-3</v>
      </c>
      <c r="X208" s="6">
        <v>0</v>
      </c>
      <c r="Y208" s="6">
        <v>1</v>
      </c>
      <c r="Z208" s="6">
        <v>1145</v>
      </c>
      <c r="AA208" s="5">
        <v>0.15253747703133069</v>
      </c>
      <c r="AB208" s="5">
        <v>9.3370656631984964E-3</v>
      </c>
      <c r="AC208" s="6">
        <v>0</v>
      </c>
      <c r="AD208" s="6">
        <v>1</v>
      </c>
      <c r="AE208" s="6">
        <v>2899</v>
      </c>
      <c r="AF208">
        <f>(AA210/AA209)-AA208</f>
        <v>3.7439684195732542E-2</v>
      </c>
    </row>
    <row r="209" spans="1:32" ht="39.4" x14ac:dyDescent="0.45">
      <c r="A209" s="4" t="s">
        <v>20</v>
      </c>
      <c r="B209" s="5">
        <v>0.49338798814146861</v>
      </c>
      <c r="C209" s="5">
        <v>2.8707903736097995E-2</v>
      </c>
      <c r="D209" s="6">
        <v>0</v>
      </c>
      <c r="E209" s="6">
        <v>1</v>
      </c>
      <c r="F209" s="6">
        <v>382</v>
      </c>
      <c r="G209" s="5">
        <v>0.69081776050351118</v>
      </c>
      <c r="H209" s="5">
        <v>2.1925596244174266E-2</v>
      </c>
      <c r="I209" s="6">
        <v>0</v>
      </c>
      <c r="J209" s="6">
        <v>1</v>
      </c>
      <c r="K209" s="6">
        <v>475</v>
      </c>
      <c r="L209" s="5">
        <v>0.46365152535875825</v>
      </c>
      <c r="M209" s="5">
        <v>2.3696802294859671E-2</v>
      </c>
      <c r="N209" s="6">
        <v>0</v>
      </c>
      <c r="O209" s="6">
        <v>1</v>
      </c>
      <c r="P209" s="6">
        <v>474</v>
      </c>
      <c r="Q209" s="5">
        <v>0.58710843859266493</v>
      </c>
      <c r="R209" s="5">
        <v>2.4491537195724417E-2</v>
      </c>
      <c r="S209" s="6">
        <v>0</v>
      </c>
      <c r="T209" s="6">
        <v>1</v>
      </c>
      <c r="U209" s="6">
        <v>423</v>
      </c>
      <c r="V209" s="5">
        <v>0.25029012683588503</v>
      </c>
      <c r="W209" s="5">
        <v>1.6687579347897857E-2</v>
      </c>
      <c r="X209" s="6">
        <v>0</v>
      </c>
      <c r="Y209" s="6">
        <v>1</v>
      </c>
      <c r="Z209" s="6">
        <v>1145</v>
      </c>
      <c r="AA209" s="5">
        <v>0.54560453381291008</v>
      </c>
      <c r="AB209" s="5">
        <v>1.2992144899166979E-2</v>
      </c>
      <c r="AC209" s="6">
        <v>0</v>
      </c>
      <c r="AD209" s="6">
        <v>1</v>
      </c>
      <c r="AE209" s="6">
        <v>2899</v>
      </c>
      <c r="AF209">
        <f>(AA210/AA208)-AA209</f>
        <v>0.13391634527637786</v>
      </c>
    </row>
    <row r="210" spans="1:32" x14ac:dyDescent="0.45">
      <c r="A210" s="4" t="s">
        <v>98</v>
      </c>
      <c r="B210" s="5">
        <v>0.15184526735662157</v>
      </c>
      <c r="C210" s="5">
        <v>1.9307930399316792E-2</v>
      </c>
      <c r="D210" s="6">
        <v>0</v>
      </c>
      <c r="E210" s="6">
        <v>1</v>
      </c>
      <c r="F210" s="6">
        <v>382</v>
      </c>
      <c r="G210" s="5">
        <v>0.1328066732781861</v>
      </c>
      <c r="H210" s="5">
        <v>1.6170913880003367E-2</v>
      </c>
      <c r="I210" s="6">
        <v>0</v>
      </c>
      <c r="J210" s="6">
        <v>1</v>
      </c>
      <c r="K210" s="6">
        <v>475</v>
      </c>
      <c r="L210" s="5">
        <v>9.2927190439128643E-2</v>
      </c>
      <c r="M210" s="5">
        <v>1.3805446045954526E-2</v>
      </c>
      <c r="N210" s="6">
        <v>0</v>
      </c>
      <c r="O210" s="6">
        <v>1</v>
      </c>
      <c r="P210" s="6">
        <v>474</v>
      </c>
      <c r="Q210" s="5">
        <v>8.8184781634602388E-2</v>
      </c>
      <c r="R210" s="5">
        <v>1.3998080658274729E-2</v>
      </c>
      <c r="S210" s="6">
        <v>0</v>
      </c>
      <c r="T210" s="6">
        <v>1</v>
      </c>
      <c r="U210" s="6">
        <v>423</v>
      </c>
      <c r="V210" s="5">
        <v>1.5715824066271648E-2</v>
      </c>
      <c r="W210" s="5">
        <v>4.2362839087935322E-3</v>
      </c>
      <c r="X210" s="6">
        <v>0</v>
      </c>
      <c r="Y210" s="6">
        <v>1</v>
      </c>
      <c r="Z210" s="6">
        <v>1145</v>
      </c>
      <c r="AA210" s="5">
        <v>0.10365240048639189</v>
      </c>
      <c r="AB210" s="5">
        <v>7.8943086510078649E-3</v>
      </c>
      <c r="AC210" s="6">
        <v>0</v>
      </c>
      <c r="AD210" s="6">
        <v>1</v>
      </c>
      <c r="AE210" s="6">
        <v>2899</v>
      </c>
    </row>
    <row r="211" spans="1:32" x14ac:dyDescent="0.45">
      <c r="A211" s="4" t="s">
        <v>32</v>
      </c>
      <c r="B211" s="5">
        <v>0.25284608180999629</v>
      </c>
      <c r="C211" s="5">
        <v>2.3458591618637691E-2</v>
      </c>
      <c r="D211" s="6">
        <v>0</v>
      </c>
      <c r="E211" s="6">
        <v>1</v>
      </c>
      <c r="F211" s="6">
        <v>382</v>
      </c>
      <c r="G211" s="5">
        <v>0.15469967046312694</v>
      </c>
      <c r="H211" s="5">
        <v>1.7315436519360065E-2</v>
      </c>
      <c r="I211" s="6">
        <v>0</v>
      </c>
      <c r="J211" s="6">
        <v>1</v>
      </c>
      <c r="K211" s="6">
        <v>475</v>
      </c>
      <c r="L211" s="5">
        <v>0.15465246754968828</v>
      </c>
      <c r="M211" s="5">
        <v>1.7097482428135913E-2</v>
      </c>
      <c r="N211" s="6">
        <v>0</v>
      </c>
      <c r="O211" s="6">
        <v>1</v>
      </c>
      <c r="P211" s="6">
        <v>474</v>
      </c>
      <c r="Q211" s="5">
        <v>0.13416252742816348</v>
      </c>
      <c r="R211" s="5">
        <v>1.6834266849755707E-2</v>
      </c>
      <c r="S211" s="6">
        <v>0</v>
      </c>
      <c r="T211" s="6">
        <v>1</v>
      </c>
      <c r="U211" s="6">
        <v>423</v>
      </c>
      <c r="V211" s="5">
        <v>4.0946313488166033E-2</v>
      </c>
      <c r="W211" s="5">
        <v>6.5332388522454272E-3</v>
      </c>
      <c r="X211" s="6">
        <v>0</v>
      </c>
      <c r="Y211" s="6">
        <v>1</v>
      </c>
      <c r="Z211" s="6">
        <v>1145</v>
      </c>
      <c r="AA211" s="5">
        <v>0.15253747703133069</v>
      </c>
      <c r="AB211" s="5">
        <v>9.3370656631984964E-3</v>
      </c>
      <c r="AC211" s="6">
        <v>0</v>
      </c>
      <c r="AD211" s="6">
        <v>1</v>
      </c>
      <c r="AE211" s="6">
        <v>2899</v>
      </c>
      <c r="AF211">
        <f>(AA213/AA212)-AA211</f>
        <v>-1.2530890729334193E-2</v>
      </c>
    </row>
    <row r="212" spans="1:32" ht="26.25" x14ac:dyDescent="0.45">
      <c r="A212" s="4" t="s">
        <v>22</v>
      </c>
      <c r="B212" s="5">
        <v>0.43781029932519605</v>
      </c>
      <c r="C212" s="5">
        <v>2.8093230494023593E-2</v>
      </c>
      <c r="D212" s="6">
        <v>0</v>
      </c>
      <c r="E212" s="6">
        <v>1</v>
      </c>
      <c r="F212" s="6">
        <v>382</v>
      </c>
      <c r="G212" s="5">
        <v>0.55219468727267385</v>
      </c>
      <c r="H212" s="5">
        <v>2.3637016925189443E-2</v>
      </c>
      <c r="I212" s="6">
        <v>0</v>
      </c>
      <c r="J212" s="6">
        <v>1</v>
      </c>
      <c r="K212" s="6">
        <v>475</v>
      </c>
      <c r="L212" s="5">
        <v>0.49668116027963227</v>
      </c>
      <c r="M212" s="5">
        <v>2.3742455291589224E-2</v>
      </c>
      <c r="N212" s="6">
        <v>0</v>
      </c>
      <c r="O212" s="6">
        <v>1</v>
      </c>
      <c r="P212" s="6">
        <v>474</v>
      </c>
      <c r="Q212" s="5">
        <v>0.81611123613737024</v>
      </c>
      <c r="R212" s="5">
        <v>1.9017745333524308E-2</v>
      </c>
      <c r="S212" s="6">
        <v>0</v>
      </c>
      <c r="T212" s="6">
        <v>1</v>
      </c>
      <c r="U212" s="6">
        <v>423</v>
      </c>
      <c r="V212" s="5">
        <v>0.5075346037063696</v>
      </c>
      <c r="W212" s="5">
        <v>2.0723299778355728E-2</v>
      </c>
      <c r="X212" s="6">
        <v>0</v>
      </c>
      <c r="Y212" s="6">
        <v>1</v>
      </c>
      <c r="Z212" s="6">
        <v>1145</v>
      </c>
      <c r="AA212" s="5">
        <v>0.57753648852202433</v>
      </c>
      <c r="AB212" s="5">
        <v>1.2930285821107954E-2</v>
      </c>
      <c r="AC212" s="6">
        <v>0</v>
      </c>
      <c r="AD212" s="6">
        <v>1</v>
      </c>
      <c r="AE212" s="6">
        <v>2899</v>
      </c>
      <c r="AF212">
        <f>(AA213/AA211)-AA212</f>
        <v>-4.7444383968579751E-2</v>
      </c>
    </row>
    <row r="213" spans="1:32" x14ac:dyDescent="0.45">
      <c r="A213" s="4" t="s">
        <v>99</v>
      </c>
      <c r="B213" s="5">
        <v>0.1113568198888184</v>
      </c>
      <c r="C213" s="5">
        <v>1.6970468779074661E-2</v>
      </c>
      <c r="D213" s="6">
        <v>0</v>
      </c>
      <c r="E213" s="6">
        <v>1</v>
      </c>
      <c r="F213" s="6">
        <v>382</v>
      </c>
      <c r="G213" s="5">
        <v>9.0941549160482346E-2</v>
      </c>
      <c r="H213" s="5">
        <v>1.3600987589222803E-2</v>
      </c>
      <c r="I213" s="6">
        <v>0</v>
      </c>
      <c r="J213" s="6">
        <v>1</v>
      </c>
      <c r="K213" s="6">
        <v>475</v>
      </c>
      <c r="L213" s="5">
        <v>5.5790122087582869E-2</v>
      </c>
      <c r="M213" s="5">
        <v>1.0985440346608644E-2</v>
      </c>
      <c r="N213" s="6">
        <v>0</v>
      </c>
      <c r="O213" s="6">
        <v>1</v>
      </c>
      <c r="P213" s="6">
        <v>474</v>
      </c>
      <c r="Q213" s="5">
        <v>0.11454385460538527</v>
      </c>
      <c r="R213" s="5">
        <v>1.5811318909352494E-2</v>
      </c>
      <c r="S213" s="6">
        <v>0</v>
      </c>
      <c r="T213" s="6">
        <v>1</v>
      </c>
      <c r="U213" s="6">
        <v>423</v>
      </c>
      <c r="V213" s="5">
        <v>3.4761536004130338E-2</v>
      </c>
      <c r="W213" s="5">
        <v>6.2781404723383678E-3</v>
      </c>
      <c r="X213" s="6">
        <v>0</v>
      </c>
      <c r="Y213" s="6">
        <v>1</v>
      </c>
      <c r="Z213" s="6">
        <v>1145</v>
      </c>
      <c r="AA213" s="5">
        <v>8.0858912222810803E-2</v>
      </c>
      <c r="AB213" s="5">
        <v>6.8745935335149354E-3</v>
      </c>
      <c r="AC213" s="6">
        <v>0</v>
      </c>
      <c r="AD213" s="6">
        <v>1</v>
      </c>
      <c r="AE213" s="6">
        <v>2899</v>
      </c>
    </row>
    <row r="214" spans="1:32" x14ac:dyDescent="0.45">
      <c r="A214" s="4" t="s">
        <v>32</v>
      </c>
      <c r="B214" s="5">
        <v>0.25284608180999629</v>
      </c>
      <c r="C214" s="5">
        <v>2.3458591618637691E-2</v>
      </c>
      <c r="D214" s="6">
        <v>0</v>
      </c>
      <c r="E214" s="6">
        <v>1</v>
      </c>
      <c r="F214" s="6">
        <v>382</v>
      </c>
      <c r="G214" s="5">
        <v>0.15469967046312694</v>
      </c>
      <c r="H214" s="5">
        <v>1.7315436519360065E-2</v>
      </c>
      <c r="I214" s="6">
        <v>0</v>
      </c>
      <c r="J214" s="6">
        <v>1</v>
      </c>
      <c r="K214" s="6">
        <v>475</v>
      </c>
      <c r="L214" s="5">
        <v>0.15465246754968828</v>
      </c>
      <c r="M214" s="5">
        <v>1.7097482428135913E-2</v>
      </c>
      <c r="N214" s="6">
        <v>0</v>
      </c>
      <c r="O214" s="6">
        <v>1</v>
      </c>
      <c r="P214" s="6">
        <v>474</v>
      </c>
      <c r="Q214" s="5">
        <v>0.13416252742816348</v>
      </c>
      <c r="R214" s="5">
        <v>1.6834266849755707E-2</v>
      </c>
      <c r="S214" s="6">
        <v>0</v>
      </c>
      <c r="T214" s="6">
        <v>1</v>
      </c>
      <c r="U214" s="6">
        <v>423</v>
      </c>
      <c r="V214" s="5">
        <v>4.0946313488166033E-2</v>
      </c>
      <c r="W214" s="5">
        <v>6.5332388522454272E-3</v>
      </c>
      <c r="X214" s="6">
        <v>0</v>
      </c>
      <c r="Y214" s="6">
        <v>1</v>
      </c>
      <c r="Z214" s="6">
        <v>1145</v>
      </c>
      <c r="AA214" s="5">
        <v>0.15253747703133069</v>
      </c>
      <c r="AB214" s="5">
        <v>9.3370656631984964E-3</v>
      </c>
      <c r="AC214" s="6">
        <v>0</v>
      </c>
      <c r="AD214" s="6">
        <v>1</v>
      </c>
      <c r="AE214" s="6">
        <v>2899</v>
      </c>
      <c r="AF214">
        <f>(AA216/AA215)-AA214</f>
        <v>-1.1235434975901959E-2</v>
      </c>
    </row>
    <row r="215" spans="1:32" ht="26.25" x14ac:dyDescent="0.45">
      <c r="A215" s="4" t="s">
        <v>24</v>
      </c>
      <c r="B215" s="5">
        <v>0.31036797432157132</v>
      </c>
      <c r="C215" s="5">
        <v>2.5728317926234395E-2</v>
      </c>
      <c r="D215" s="6">
        <v>0</v>
      </c>
      <c r="E215" s="6">
        <v>1</v>
      </c>
      <c r="F215" s="6">
        <v>382</v>
      </c>
      <c r="G215" s="5">
        <v>0.35788515033258406</v>
      </c>
      <c r="H215" s="5">
        <v>2.2745953295009329E-2</v>
      </c>
      <c r="I215" s="6">
        <v>0</v>
      </c>
      <c r="J215" s="6">
        <v>1</v>
      </c>
      <c r="K215" s="6">
        <v>475</v>
      </c>
      <c r="L215" s="5">
        <v>0.34114411132876798</v>
      </c>
      <c r="M215" s="5">
        <v>2.2373839656142282E-2</v>
      </c>
      <c r="N215" s="6">
        <v>0</v>
      </c>
      <c r="O215" s="6">
        <v>1</v>
      </c>
      <c r="P215" s="6">
        <v>474</v>
      </c>
      <c r="Q215" s="5">
        <v>0.74339061825172903</v>
      </c>
      <c r="R215" s="5">
        <v>2.1616709115009351E-2</v>
      </c>
      <c r="S215" s="6">
        <v>0</v>
      </c>
      <c r="T215" s="6">
        <v>1</v>
      </c>
      <c r="U215" s="6">
        <v>423</v>
      </c>
      <c r="V215" s="5">
        <v>0.44820179046503339</v>
      </c>
      <c r="W215" s="5">
        <v>2.0196250233777673E-2</v>
      </c>
      <c r="X215" s="6">
        <v>0</v>
      </c>
      <c r="Y215" s="6">
        <v>1</v>
      </c>
      <c r="Z215" s="6">
        <v>1145</v>
      </c>
      <c r="AA215" s="5">
        <v>0.43492332944629264</v>
      </c>
      <c r="AB215" s="5">
        <v>1.2839399235713171E-2</v>
      </c>
      <c r="AC215" s="6">
        <v>0</v>
      </c>
      <c r="AD215" s="6">
        <v>1</v>
      </c>
      <c r="AE215" s="6">
        <v>2899</v>
      </c>
      <c r="AF215">
        <f>(AA216/AA214)-AA215</f>
        <v>-3.2035096440548305E-2</v>
      </c>
    </row>
    <row r="216" spans="1:32" x14ac:dyDescent="0.45">
      <c r="A216" s="4" t="s">
        <v>100</v>
      </c>
      <c r="B216" s="5">
        <v>7.4822261272437574E-2</v>
      </c>
      <c r="C216" s="5">
        <v>1.4125637072243343E-2</v>
      </c>
      <c r="D216" s="6">
        <v>0</v>
      </c>
      <c r="E216" s="6">
        <v>1</v>
      </c>
      <c r="F216" s="6">
        <v>382</v>
      </c>
      <c r="G216" s="5">
        <v>5.9494170316187388E-2</v>
      </c>
      <c r="H216" s="5">
        <v>1.1138019255096771E-2</v>
      </c>
      <c r="I216" s="6">
        <v>0</v>
      </c>
      <c r="J216" s="6">
        <v>1</v>
      </c>
      <c r="K216" s="6">
        <v>475</v>
      </c>
      <c r="L216" s="5">
        <v>3.9538522126172079E-2</v>
      </c>
      <c r="M216" s="5">
        <v>9.2846373332131065E-3</v>
      </c>
      <c r="N216" s="6">
        <v>0</v>
      </c>
      <c r="O216" s="6">
        <v>1</v>
      </c>
      <c r="P216" s="6">
        <v>474</v>
      </c>
      <c r="Q216" s="5">
        <v>0.10753786580942679</v>
      </c>
      <c r="R216" s="5">
        <v>1.5399827814449046E-2</v>
      </c>
      <c r="S216" s="6">
        <v>0</v>
      </c>
      <c r="T216" s="6">
        <v>1</v>
      </c>
      <c r="U216" s="6">
        <v>423</v>
      </c>
      <c r="V216" s="5">
        <v>2.5075049690209499E-2</v>
      </c>
      <c r="W216" s="5">
        <v>5.3233362361216983E-3</v>
      </c>
      <c r="X216" s="6">
        <v>0</v>
      </c>
      <c r="Y216" s="6">
        <v>1</v>
      </c>
      <c r="Z216" s="6">
        <v>1145</v>
      </c>
      <c r="AA216" s="5">
        <v>6.1455554588307135E-2</v>
      </c>
      <c r="AB216" s="5">
        <v>6.0064682925526722E-3</v>
      </c>
      <c r="AC216" s="6">
        <v>0</v>
      </c>
      <c r="AD216" s="6">
        <v>1</v>
      </c>
      <c r="AE216" s="6">
        <v>2899</v>
      </c>
    </row>
    <row r="217" spans="1:32" x14ac:dyDescent="0.45">
      <c r="A217" s="4" t="s">
        <v>34</v>
      </c>
      <c r="B217" s="5">
        <v>2.234881186640706E-2</v>
      </c>
      <c r="C217" s="5">
        <v>7.2505456347755999E-3</v>
      </c>
      <c r="D217" s="6">
        <v>0</v>
      </c>
      <c r="E217" s="6">
        <v>1</v>
      </c>
      <c r="F217" s="6">
        <v>382</v>
      </c>
      <c r="G217" s="5">
        <v>5.804778638754593E-2</v>
      </c>
      <c r="H217" s="5">
        <v>1.1281809592535668E-2</v>
      </c>
      <c r="I217" s="6">
        <v>0</v>
      </c>
      <c r="J217" s="6">
        <v>1</v>
      </c>
      <c r="K217" s="6">
        <v>475</v>
      </c>
      <c r="L217" s="5">
        <v>7.7480419578348128E-2</v>
      </c>
      <c r="M217" s="5">
        <v>1.2659526579995721E-2</v>
      </c>
      <c r="N217" s="6">
        <v>0</v>
      </c>
      <c r="O217" s="6">
        <v>1</v>
      </c>
      <c r="P217" s="6">
        <v>474</v>
      </c>
      <c r="Q217" s="5">
        <v>5.2708548379860748E-2</v>
      </c>
      <c r="R217" s="5">
        <v>1.100803849809036E-2</v>
      </c>
      <c r="S217" s="6">
        <v>0</v>
      </c>
      <c r="T217" s="6">
        <v>1</v>
      </c>
      <c r="U217" s="6">
        <v>423</v>
      </c>
      <c r="V217" s="5">
        <v>5.6255696843250701E-3</v>
      </c>
      <c r="W217" s="5">
        <v>2.5449161715647033E-3</v>
      </c>
      <c r="X217" s="6">
        <v>0</v>
      </c>
      <c r="Y217" s="6">
        <v>1</v>
      </c>
      <c r="Z217" s="6">
        <v>1145</v>
      </c>
      <c r="AA217" s="5">
        <v>6.0690366495873303E-2</v>
      </c>
      <c r="AB217" s="5">
        <v>6.5213912070352298E-3</v>
      </c>
      <c r="AC217" s="6">
        <v>0</v>
      </c>
      <c r="AD217" s="6">
        <v>1</v>
      </c>
      <c r="AE217" s="6">
        <v>2899</v>
      </c>
      <c r="AF217">
        <f>(AA219/AA218)-AA217</f>
        <v>-1.9877332110046338E-2</v>
      </c>
    </row>
    <row r="218" spans="1:32" x14ac:dyDescent="0.45">
      <c r="A218" s="4" t="s">
        <v>36</v>
      </c>
      <c r="B218" s="5">
        <v>0.26636125194779031</v>
      </c>
      <c r="C218" s="5">
        <v>2.4189991287900472E-2</v>
      </c>
      <c r="D218" s="6">
        <v>0</v>
      </c>
      <c r="E218" s="6">
        <v>1</v>
      </c>
      <c r="F218" s="6">
        <v>377</v>
      </c>
      <c r="G218" s="5">
        <v>0.17672760534526755</v>
      </c>
      <c r="H218" s="5">
        <v>1.8127456261163202E-2</v>
      </c>
      <c r="I218" s="6">
        <v>0</v>
      </c>
      <c r="J218" s="6">
        <v>1</v>
      </c>
      <c r="K218" s="6">
        <v>467</v>
      </c>
      <c r="L218" s="5">
        <v>4.3890875888197518E-2</v>
      </c>
      <c r="M218" s="5">
        <v>9.6682460234033402E-3</v>
      </c>
      <c r="N218" s="6">
        <v>0</v>
      </c>
      <c r="O218" s="6">
        <v>1</v>
      </c>
      <c r="P218" s="6">
        <v>441</v>
      </c>
      <c r="Q218" s="5">
        <v>8.371081995835053E-2</v>
      </c>
      <c r="R218" s="5">
        <v>1.4050470479779449E-2</v>
      </c>
      <c r="S218" s="6">
        <v>0</v>
      </c>
      <c r="T218" s="6">
        <v>1</v>
      </c>
      <c r="U218" s="6">
        <v>422</v>
      </c>
      <c r="V218" s="5">
        <v>0.17670361522524197</v>
      </c>
      <c r="W218" s="5">
        <v>1.6865782603968957E-2</v>
      </c>
      <c r="X218" s="6">
        <v>0</v>
      </c>
      <c r="Y218" s="6">
        <v>1</v>
      </c>
      <c r="Z218" s="6">
        <v>1068</v>
      </c>
      <c r="AA218" s="5">
        <v>0.10901593418102137</v>
      </c>
      <c r="AB218" s="5">
        <v>7.4445039199197852E-3</v>
      </c>
      <c r="AC218" s="6">
        <v>0</v>
      </c>
      <c r="AD218" s="6">
        <v>1</v>
      </c>
      <c r="AE218" s="6">
        <v>2775</v>
      </c>
      <c r="AF218">
        <f>(AA219/AA217)-AA218</f>
        <v>-3.5704940571589031E-2</v>
      </c>
    </row>
    <row r="219" spans="1:32" ht="26.25" x14ac:dyDescent="0.45">
      <c r="A219" s="4" t="s">
        <v>101</v>
      </c>
      <c r="B219" s="5">
        <v>4.0880649490673557E-3</v>
      </c>
      <c r="C219" s="5">
        <v>2.8965367403375412E-3</v>
      </c>
      <c r="D219" s="6">
        <v>0</v>
      </c>
      <c r="E219" s="6">
        <v>1</v>
      </c>
      <c r="F219" s="6">
        <v>377</v>
      </c>
      <c r="G219" s="5">
        <v>1.2008423418893341E-2</v>
      </c>
      <c r="H219" s="5">
        <v>5.3476202932901838E-3</v>
      </c>
      <c r="I219" s="6">
        <v>0</v>
      </c>
      <c r="J219" s="6">
        <v>1</v>
      </c>
      <c r="K219" s="6">
        <v>467</v>
      </c>
      <c r="L219" s="5">
        <v>2.1394999406316758E-3</v>
      </c>
      <c r="M219" s="5">
        <v>2.1399424498196908E-3</v>
      </c>
      <c r="N219" s="6">
        <v>0</v>
      </c>
      <c r="O219" s="6">
        <v>1</v>
      </c>
      <c r="P219" s="6">
        <v>441</v>
      </c>
      <c r="Q219" s="5">
        <v>0</v>
      </c>
      <c r="R219" s="5">
        <v>0</v>
      </c>
      <c r="S219" s="6">
        <v>0</v>
      </c>
      <c r="T219" s="6">
        <v>0</v>
      </c>
      <c r="U219" s="6">
        <v>422</v>
      </c>
      <c r="V219" s="5">
        <v>4.7497862693721799E-4</v>
      </c>
      <c r="W219" s="5">
        <v>4.7542091073853591E-4</v>
      </c>
      <c r="X219" s="6">
        <v>0</v>
      </c>
      <c r="Y219" s="6">
        <v>1</v>
      </c>
      <c r="Z219" s="6">
        <v>1068</v>
      </c>
      <c r="AA219" s="5">
        <v>4.4492710703330747E-3</v>
      </c>
      <c r="AB219" s="5">
        <v>1.7152461044994821E-3</v>
      </c>
      <c r="AC219" s="6">
        <v>0</v>
      </c>
      <c r="AD219" s="6">
        <v>1</v>
      </c>
      <c r="AE219" s="6">
        <v>2775</v>
      </c>
    </row>
    <row r="220" spans="1:32" x14ac:dyDescent="0.45">
      <c r="A220" s="4" t="s">
        <v>34</v>
      </c>
      <c r="B220" s="5">
        <v>2.234881186640706E-2</v>
      </c>
      <c r="C220" s="5">
        <v>7.2505456347755999E-3</v>
      </c>
      <c r="D220" s="6">
        <v>0</v>
      </c>
      <c r="E220" s="6">
        <v>1</v>
      </c>
      <c r="F220" s="6">
        <v>382</v>
      </c>
      <c r="G220" s="5">
        <v>5.804778638754593E-2</v>
      </c>
      <c r="H220" s="5">
        <v>1.1281809592535668E-2</v>
      </c>
      <c r="I220" s="6">
        <v>0</v>
      </c>
      <c r="J220" s="6">
        <v>1</v>
      </c>
      <c r="K220" s="6">
        <v>475</v>
      </c>
      <c r="L220" s="5">
        <v>7.7480419578348128E-2</v>
      </c>
      <c r="M220" s="5">
        <v>1.2659526579995721E-2</v>
      </c>
      <c r="N220" s="6">
        <v>0</v>
      </c>
      <c r="O220" s="6">
        <v>1</v>
      </c>
      <c r="P220" s="6">
        <v>474</v>
      </c>
      <c r="Q220" s="5">
        <v>5.2708548379860748E-2</v>
      </c>
      <c r="R220" s="5">
        <v>1.100803849809036E-2</v>
      </c>
      <c r="S220" s="6">
        <v>0</v>
      </c>
      <c r="T220" s="6">
        <v>1</v>
      </c>
      <c r="U220" s="6">
        <v>423</v>
      </c>
      <c r="V220" s="5">
        <v>5.6255696843250701E-3</v>
      </c>
      <c r="W220" s="5">
        <v>2.5449161715647033E-3</v>
      </c>
      <c r="X220" s="6">
        <v>0</v>
      </c>
      <c r="Y220" s="6">
        <v>1</v>
      </c>
      <c r="Z220" s="6">
        <v>1145</v>
      </c>
      <c r="AA220" s="5">
        <v>6.0690366495873303E-2</v>
      </c>
      <c r="AB220" s="5">
        <v>6.5213912070352298E-3</v>
      </c>
      <c r="AC220" s="6">
        <v>0</v>
      </c>
      <c r="AD220" s="6">
        <v>1</v>
      </c>
      <c r="AE220" s="6">
        <v>2899</v>
      </c>
      <c r="AF220">
        <f>(AA222/AA221)-AA220</f>
        <v>2.7586179370238446E-2</v>
      </c>
    </row>
    <row r="221" spans="1:32" ht="26.25" x14ac:dyDescent="0.45">
      <c r="A221" s="4" t="s">
        <v>38</v>
      </c>
      <c r="B221" s="5">
        <v>0.4366780064058276</v>
      </c>
      <c r="C221" s="5">
        <v>2.805782617542071E-2</v>
      </c>
      <c r="D221" s="6">
        <v>0</v>
      </c>
      <c r="E221" s="6">
        <v>1</v>
      </c>
      <c r="F221" s="6">
        <v>382</v>
      </c>
      <c r="G221" s="5">
        <v>0.67637596318441151</v>
      </c>
      <c r="H221" s="5">
        <v>2.2183710228253588E-2</v>
      </c>
      <c r="I221" s="6">
        <v>0</v>
      </c>
      <c r="J221" s="6">
        <v>1</v>
      </c>
      <c r="K221" s="6">
        <v>475</v>
      </c>
      <c r="L221" s="5">
        <v>0.42140913195711371</v>
      </c>
      <c r="M221" s="5">
        <v>2.3440738415648886E-2</v>
      </c>
      <c r="N221" s="6">
        <v>0</v>
      </c>
      <c r="O221" s="6">
        <v>1</v>
      </c>
      <c r="P221" s="6">
        <v>474</v>
      </c>
      <c r="Q221" s="5">
        <v>0.50232647922994245</v>
      </c>
      <c r="R221" s="5">
        <v>2.4962894154274457E-2</v>
      </c>
      <c r="S221" s="6">
        <v>0</v>
      </c>
      <c r="T221" s="6">
        <v>1</v>
      </c>
      <c r="U221" s="6">
        <v>423</v>
      </c>
      <c r="V221" s="5">
        <v>0.19257168054166257</v>
      </c>
      <c r="W221" s="5">
        <v>1.5785783859687097E-2</v>
      </c>
      <c r="X221" s="6">
        <v>0</v>
      </c>
      <c r="Y221" s="6">
        <v>1</v>
      </c>
      <c r="Z221" s="6">
        <v>1145</v>
      </c>
      <c r="AA221" s="5">
        <v>0.50005721577724593</v>
      </c>
      <c r="AB221" s="5">
        <v>1.3039449215689536E-2</v>
      </c>
      <c r="AC221" s="6">
        <v>0</v>
      </c>
      <c r="AD221" s="6">
        <v>1</v>
      </c>
      <c r="AE221" s="6">
        <v>2899</v>
      </c>
      <c r="AF221">
        <f>(AA222/AA220)-AA221</f>
        <v>0.22729584357924604</v>
      </c>
    </row>
    <row r="222" spans="1:32" ht="39.4" x14ac:dyDescent="0.45">
      <c r="A222" s="4" t="s">
        <v>102</v>
      </c>
      <c r="B222" s="5">
        <v>1.3852119639021396E-2</v>
      </c>
      <c r="C222" s="5">
        <v>6.2120206380406329E-3</v>
      </c>
      <c r="D222" s="6">
        <v>0</v>
      </c>
      <c r="E222" s="6">
        <v>1</v>
      </c>
      <c r="F222" s="6">
        <v>382</v>
      </c>
      <c r="G222" s="5">
        <v>5.3545738246241488E-2</v>
      </c>
      <c r="H222" s="5">
        <v>1.0875368240332878E-2</v>
      </c>
      <c r="I222" s="6">
        <v>0</v>
      </c>
      <c r="J222" s="6">
        <v>1</v>
      </c>
      <c r="K222" s="6">
        <v>475</v>
      </c>
      <c r="L222" s="5">
        <v>5.3162842524626011E-2</v>
      </c>
      <c r="M222" s="5">
        <v>1.0631898231842357E-2</v>
      </c>
      <c r="N222" s="6">
        <v>0</v>
      </c>
      <c r="O222" s="6">
        <v>1</v>
      </c>
      <c r="P222" s="6">
        <v>474</v>
      </c>
      <c r="Q222" s="5">
        <v>3.1198531005465675E-2</v>
      </c>
      <c r="R222" s="5">
        <v>8.5916257740851435E-3</v>
      </c>
      <c r="S222" s="6">
        <v>0</v>
      </c>
      <c r="T222" s="6">
        <v>1</v>
      </c>
      <c r="U222" s="6">
        <v>423</v>
      </c>
      <c r="V222" s="5">
        <v>3.9445016288664385E-3</v>
      </c>
      <c r="W222" s="5">
        <v>2.4427325221668904E-3</v>
      </c>
      <c r="X222" s="6">
        <v>0</v>
      </c>
      <c r="Y222" s="6">
        <v>1</v>
      </c>
      <c r="Z222" s="6">
        <v>1145</v>
      </c>
      <c r="AA222" s="5">
        <v>4.4143323744240189E-2</v>
      </c>
      <c r="AB222" s="5">
        <v>5.6109895971906999E-3</v>
      </c>
      <c r="AC222" s="6">
        <v>0</v>
      </c>
      <c r="AD222" s="6">
        <v>1</v>
      </c>
      <c r="AE222" s="6">
        <v>2899</v>
      </c>
    </row>
    <row r="223" spans="1:32" x14ac:dyDescent="0.45">
      <c r="A223" s="4" t="s">
        <v>34</v>
      </c>
      <c r="B223" s="5">
        <v>2.234881186640706E-2</v>
      </c>
      <c r="C223" s="5">
        <v>7.2505456347755999E-3</v>
      </c>
      <c r="D223" s="6">
        <v>0</v>
      </c>
      <c r="E223" s="6">
        <v>1</v>
      </c>
      <c r="F223" s="6">
        <v>382</v>
      </c>
      <c r="G223" s="5">
        <v>5.804778638754593E-2</v>
      </c>
      <c r="H223" s="5">
        <v>1.1281809592535668E-2</v>
      </c>
      <c r="I223" s="6">
        <v>0</v>
      </c>
      <c r="J223" s="6">
        <v>1</v>
      </c>
      <c r="K223" s="6">
        <v>475</v>
      </c>
      <c r="L223" s="5">
        <v>7.7480419578348128E-2</v>
      </c>
      <c r="M223" s="5">
        <v>1.2659526579995721E-2</v>
      </c>
      <c r="N223" s="6">
        <v>0</v>
      </c>
      <c r="O223" s="6">
        <v>1</v>
      </c>
      <c r="P223" s="6">
        <v>474</v>
      </c>
      <c r="Q223" s="5">
        <v>5.2708548379860748E-2</v>
      </c>
      <c r="R223" s="5">
        <v>1.100803849809036E-2</v>
      </c>
      <c r="S223" s="6">
        <v>0</v>
      </c>
      <c r="T223" s="6">
        <v>1</v>
      </c>
      <c r="U223" s="6">
        <v>423</v>
      </c>
      <c r="V223" s="5">
        <v>5.6255696843250701E-3</v>
      </c>
      <c r="W223" s="5">
        <v>2.5449161715647033E-3</v>
      </c>
      <c r="X223" s="6">
        <v>0</v>
      </c>
      <c r="Y223" s="6">
        <v>1</v>
      </c>
      <c r="Z223" s="6">
        <v>1145</v>
      </c>
      <c r="AA223" s="5">
        <v>6.0690366495873303E-2</v>
      </c>
      <c r="AB223" s="5">
        <v>6.5213912070352298E-3</v>
      </c>
      <c r="AC223" s="6">
        <v>0</v>
      </c>
      <c r="AD223" s="6">
        <v>1</v>
      </c>
      <c r="AE223" s="6">
        <v>2899</v>
      </c>
      <c r="AF223">
        <f>(AA225/AA224)-AA223</f>
        <v>-2.3117131421588964E-2</v>
      </c>
    </row>
    <row r="224" spans="1:32" x14ac:dyDescent="0.45">
      <c r="A224" s="4" t="s">
        <v>40</v>
      </c>
      <c r="B224" s="5">
        <v>0.24475289221599958</v>
      </c>
      <c r="C224" s="5">
        <v>2.3591602155120545E-2</v>
      </c>
      <c r="D224" s="6">
        <v>0</v>
      </c>
      <c r="E224" s="6">
        <v>1</v>
      </c>
      <c r="F224" s="6">
        <v>382</v>
      </c>
      <c r="G224" s="5">
        <v>0.31240436993335119</v>
      </c>
      <c r="H224" s="5">
        <v>2.1994479632135435E-2</v>
      </c>
      <c r="I224" s="6">
        <v>0</v>
      </c>
      <c r="J224" s="6">
        <v>1</v>
      </c>
      <c r="K224" s="6">
        <v>475</v>
      </c>
      <c r="L224" s="5">
        <v>0.31016209118028132</v>
      </c>
      <c r="M224" s="5">
        <v>2.1740010089836503E-2</v>
      </c>
      <c r="N224" s="6">
        <v>0</v>
      </c>
      <c r="O224" s="6">
        <v>1</v>
      </c>
      <c r="P224" s="6">
        <v>474</v>
      </c>
      <c r="Q224" s="5">
        <v>0.7144739729494628</v>
      </c>
      <c r="R224" s="5">
        <v>2.2433009195978806E-2</v>
      </c>
      <c r="S224" s="6">
        <v>0</v>
      </c>
      <c r="T224" s="6">
        <v>1</v>
      </c>
      <c r="U224" s="6">
        <v>423</v>
      </c>
      <c r="V224" s="5">
        <v>0.43483608765880821</v>
      </c>
      <c r="W224" s="5">
        <v>2.0083672578752446E-2</v>
      </c>
      <c r="X224" s="6">
        <v>0</v>
      </c>
      <c r="Y224" s="6">
        <v>1</v>
      </c>
      <c r="Z224" s="6">
        <v>1145</v>
      </c>
      <c r="AA224" s="5">
        <v>0.39887458467079651</v>
      </c>
      <c r="AB224" s="5">
        <v>1.2628190805574898E-2</v>
      </c>
      <c r="AC224" s="6">
        <v>0</v>
      </c>
      <c r="AD224" s="6">
        <v>1</v>
      </c>
      <c r="AE224" s="6">
        <v>2899</v>
      </c>
      <c r="AF224">
        <f>(AA225/AA223)-AA224</f>
        <v>-0.15193245200115074</v>
      </c>
    </row>
    <row r="225" spans="1:32" ht="26.25" x14ac:dyDescent="0.45">
      <c r="A225" s="4" t="s">
        <v>103</v>
      </c>
      <c r="B225" s="5">
        <v>5.7878475790713773E-3</v>
      </c>
      <c r="C225" s="5">
        <v>3.6442096275133154E-3</v>
      </c>
      <c r="D225" s="6">
        <v>0</v>
      </c>
      <c r="E225" s="6">
        <v>1</v>
      </c>
      <c r="F225" s="6">
        <v>382</v>
      </c>
      <c r="G225" s="5">
        <v>1.1089188791825659E-2</v>
      </c>
      <c r="H225" s="5">
        <v>4.9415609689430554E-3</v>
      </c>
      <c r="I225" s="6">
        <v>0</v>
      </c>
      <c r="J225" s="6">
        <v>1</v>
      </c>
      <c r="K225" s="6">
        <v>475</v>
      </c>
      <c r="L225" s="5">
        <v>2.1653103676693374E-3</v>
      </c>
      <c r="M225" s="5">
        <v>2.1653418711528281E-3</v>
      </c>
      <c r="N225" s="6">
        <v>0</v>
      </c>
      <c r="O225" s="6">
        <v>1</v>
      </c>
      <c r="P225" s="6">
        <v>474</v>
      </c>
      <c r="Q225" s="5">
        <v>4.8620337534249936E-2</v>
      </c>
      <c r="R225" s="5">
        <v>1.0640280905320305E-2</v>
      </c>
      <c r="S225" s="6">
        <v>0</v>
      </c>
      <c r="T225" s="6">
        <v>1</v>
      </c>
      <c r="U225" s="6">
        <v>423</v>
      </c>
      <c r="V225" s="5">
        <v>4.786594380910043E-3</v>
      </c>
      <c r="W225" s="5">
        <v>2.5048523733940194E-3</v>
      </c>
      <c r="X225" s="6">
        <v>0</v>
      </c>
      <c r="Y225" s="6">
        <v>1</v>
      </c>
      <c r="Z225" s="6">
        <v>1145</v>
      </c>
      <c r="AA225" s="5">
        <v>1.498700853499337E-2</v>
      </c>
      <c r="AB225" s="5">
        <v>2.854444579773685E-3</v>
      </c>
      <c r="AC225" s="6">
        <v>0</v>
      </c>
      <c r="AD225" s="6">
        <v>1</v>
      </c>
      <c r="AE225" s="6">
        <v>2899</v>
      </c>
    </row>
    <row r="226" spans="1:32" x14ac:dyDescent="0.45">
      <c r="A226" s="4" t="s">
        <v>34</v>
      </c>
      <c r="B226" s="5">
        <v>2.234881186640706E-2</v>
      </c>
      <c r="C226" s="5">
        <v>7.2505456347755999E-3</v>
      </c>
      <c r="D226" s="6">
        <v>0</v>
      </c>
      <c r="E226" s="6">
        <v>1</v>
      </c>
      <c r="F226" s="6">
        <v>382</v>
      </c>
      <c r="G226" s="5">
        <v>5.804778638754593E-2</v>
      </c>
      <c r="H226" s="5">
        <v>1.1281809592535668E-2</v>
      </c>
      <c r="I226" s="6">
        <v>0</v>
      </c>
      <c r="J226" s="6">
        <v>1</v>
      </c>
      <c r="K226" s="6">
        <v>475</v>
      </c>
      <c r="L226" s="5">
        <v>7.7480419578348128E-2</v>
      </c>
      <c r="M226" s="5">
        <v>1.2659526579995721E-2</v>
      </c>
      <c r="N226" s="6">
        <v>0</v>
      </c>
      <c r="O226" s="6">
        <v>1</v>
      </c>
      <c r="P226" s="6">
        <v>474</v>
      </c>
      <c r="Q226" s="5">
        <v>5.2708548379860748E-2</v>
      </c>
      <c r="R226" s="5">
        <v>1.100803849809036E-2</v>
      </c>
      <c r="S226" s="6">
        <v>0</v>
      </c>
      <c r="T226" s="6">
        <v>1</v>
      </c>
      <c r="U226" s="6">
        <v>423</v>
      </c>
      <c r="V226" s="5">
        <v>5.6255696843250701E-3</v>
      </c>
      <c r="W226" s="5">
        <v>2.5449161715647033E-3</v>
      </c>
      <c r="X226" s="6">
        <v>0</v>
      </c>
      <c r="Y226" s="6">
        <v>1</v>
      </c>
      <c r="Z226" s="6">
        <v>1145</v>
      </c>
      <c r="AA226" s="5">
        <v>6.0690366495873303E-2</v>
      </c>
      <c r="AB226" s="5">
        <v>6.5213912070352298E-3</v>
      </c>
      <c r="AC226" s="6">
        <v>0</v>
      </c>
      <c r="AD226" s="6">
        <v>1</v>
      </c>
      <c r="AE226" s="6">
        <v>2899</v>
      </c>
      <c r="AF226">
        <f>(AA228/AA227)-AA226</f>
        <v>-2.0104139075166061E-3</v>
      </c>
    </row>
    <row r="227" spans="1:32" x14ac:dyDescent="0.45">
      <c r="A227" s="4" t="s">
        <v>42</v>
      </c>
      <c r="B227" s="5">
        <v>0.25089279775929785</v>
      </c>
      <c r="C227" s="5">
        <v>2.3633364656887722E-2</v>
      </c>
      <c r="D227" s="6">
        <v>0</v>
      </c>
      <c r="E227" s="6">
        <v>1</v>
      </c>
      <c r="F227" s="6">
        <v>382</v>
      </c>
      <c r="G227" s="5">
        <v>0.39009576358444259</v>
      </c>
      <c r="H227" s="5">
        <v>2.3181206138358921E-2</v>
      </c>
      <c r="I227" s="6">
        <v>0</v>
      </c>
      <c r="J227" s="6">
        <v>1</v>
      </c>
      <c r="K227" s="6">
        <v>475</v>
      </c>
      <c r="L227" s="5">
        <v>0.31115391050319358</v>
      </c>
      <c r="M227" s="5">
        <v>2.230646426075697E-2</v>
      </c>
      <c r="N227" s="6">
        <v>0</v>
      </c>
      <c r="O227" s="6">
        <v>1</v>
      </c>
      <c r="P227" s="6">
        <v>474</v>
      </c>
      <c r="Q227" s="5">
        <v>0.48120800183961793</v>
      </c>
      <c r="R227" s="5">
        <v>2.4961710177192679E-2</v>
      </c>
      <c r="S227" s="6">
        <v>0</v>
      </c>
      <c r="T227" s="6">
        <v>1</v>
      </c>
      <c r="U227" s="6">
        <v>423</v>
      </c>
      <c r="V227" s="5">
        <v>0.3457577606704838</v>
      </c>
      <c r="W227" s="5">
        <v>1.8801067085193666E-2</v>
      </c>
      <c r="X227" s="6">
        <v>0</v>
      </c>
      <c r="Y227" s="6">
        <v>1</v>
      </c>
      <c r="Z227" s="6">
        <v>1145</v>
      </c>
      <c r="AA227" s="5">
        <v>0.36657663781801664</v>
      </c>
      <c r="AB227" s="5">
        <v>1.2575722914207254E-2</v>
      </c>
      <c r="AC227" s="6">
        <v>0</v>
      </c>
      <c r="AD227" s="6">
        <v>1</v>
      </c>
      <c r="AE227" s="6">
        <v>2899</v>
      </c>
      <c r="AF227">
        <f>(AA228/AA226)-AA227</f>
        <v>-1.2143126057578335E-2</v>
      </c>
    </row>
    <row r="228" spans="1:32" ht="26.25" x14ac:dyDescent="0.45">
      <c r="A228" s="4" t="s">
        <v>104</v>
      </c>
      <c r="B228" s="5">
        <v>3.9115688558795702E-3</v>
      </c>
      <c r="C228" s="5">
        <v>3.2018729980227648E-3</v>
      </c>
      <c r="D228" s="6">
        <v>0</v>
      </c>
      <c r="E228" s="6">
        <v>1</v>
      </c>
      <c r="F228" s="6">
        <v>382</v>
      </c>
      <c r="G228" s="5">
        <v>3.9432602212898744E-2</v>
      </c>
      <c r="H228" s="5">
        <v>9.390597876685846E-3</v>
      </c>
      <c r="I228" s="6">
        <v>0</v>
      </c>
      <c r="J228" s="6">
        <v>1</v>
      </c>
      <c r="K228" s="6">
        <v>475</v>
      </c>
      <c r="L228" s="5">
        <v>1.1363928667946301E-2</v>
      </c>
      <c r="M228" s="5">
        <v>5.0862305079882675E-3</v>
      </c>
      <c r="N228" s="6">
        <v>0</v>
      </c>
      <c r="O228" s="6">
        <v>1</v>
      </c>
      <c r="P228" s="6">
        <v>474</v>
      </c>
      <c r="Q228" s="5">
        <v>2.6897306882600853E-2</v>
      </c>
      <c r="R228" s="5">
        <v>8.0308112758841876E-3</v>
      </c>
      <c r="S228" s="6">
        <v>0</v>
      </c>
      <c r="T228" s="6">
        <v>1</v>
      </c>
      <c r="U228" s="6">
        <v>423</v>
      </c>
      <c r="V228" s="5">
        <v>4.0891688676506074E-3</v>
      </c>
      <c r="W228" s="5">
        <v>2.4639428370380342E-3</v>
      </c>
      <c r="X228" s="6">
        <v>0</v>
      </c>
      <c r="Y228" s="6">
        <v>1</v>
      </c>
      <c r="Z228" s="6">
        <v>1145</v>
      </c>
      <c r="AA228" s="5">
        <v>2.151069972716042E-2</v>
      </c>
      <c r="AB228" s="5">
        <v>3.7317876461954039E-3</v>
      </c>
      <c r="AC228" s="6">
        <v>0</v>
      </c>
      <c r="AD228" s="6">
        <v>1</v>
      </c>
      <c r="AE228" s="6">
        <v>2899</v>
      </c>
    </row>
    <row r="229" spans="1:32" x14ac:dyDescent="0.45">
      <c r="A229" s="4" t="s">
        <v>34</v>
      </c>
      <c r="B229" s="5">
        <v>2.234881186640706E-2</v>
      </c>
      <c r="C229" s="5">
        <v>7.2505456347755999E-3</v>
      </c>
      <c r="D229" s="6">
        <v>0</v>
      </c>
      <c r="E229" s="6">
        <v>1</v>
      </c>
      <c r="F229" s="6">
        <v>382</v>
      </c>
      <c r="G229" s="5">
        <v>5.804778638754593E-2</v>
      </c>
      <c r="H229" s="5">
        <v>1.1281809592535668E-2</v>
      </c>
      <c r="I229" s="6">
        <v>0</v>
      </c>
      <c r="J229" s="6">
        <v>1</v>
      </c>
      <c r="K229" s="6">
        <v>475</v>
      </c>
      <c r="L229" s="5">
        <v>7.7480419578348128E-2</v>
      </c>
      <c r="M229" s="5">
        <v>1.2659526579995721E-2</v>
      </c>
      <c r="N229" s="6">
        <v>0</v>
      </c>
      <c r="O229" s="6">
        <v>1</v>
      </c>
      <c r="P229" s="6">
        <v>474</v>
      </c>
      <c r="Q229" s="5">
        <v>5.2708548379860748E-2</v>
      </c>
      <c r="R229" s="5">
        <v>1.100803849809036E-2</v>
      </c>
      <c r="S229" s="6">
        <v>0</v>
      </c>
      <c r="T229" s="6">
        <v>1</v>
      </c>
      <c r="U229" s="6">
        <v>423</v>
      </c>
      <c r="V229" s="5">
        <v>5.6255696843250701E-3</v>
      </c>
      <c r="W229" s="5">
        <v>2.5449161715647033E-3</v>
      </c>
      <c r="X229" s="6">
        <v>0</v>
      </c>
      <c r="Y229" s="6">
        <v>1</v>
      </c>
      <c r="Z229" s="6">
        <v>1145</v>
      </c>
      <c r="AA229" s="5">
        <v>6.0690366495873303E-2</v>
      </c>
      <c r="AB229" s="5">
        <v>6.5213912070352298E-3</v>
      </c>
      <c r="AC229" s="6">
        <v>0</v>
      </c>
      <c r="AD229" s="6">
        <v>1</v>
      </c>
      <c r="AE229" s="6">
        <v>2899</v>
      </c>
      <c r="AF229">
        <f>(AA231/AA230)-AA229</f>
        <v>-4.1944521711098498E-3</v>
      </c>
    </row>
    <row r="230" spans="1:32" x14ac:dyDescent="0.45">
      <c r="A230" s="4" t="s">
        <v>44</v>
      </c>
      <c r="B230" s="5">
        <v>7.9771782857088899E-2</v>
      </c>
      <c r="C230" s="5">
        <v>1.4835173716237555E-2</v>
      </c>
      <c r="D230" s="6">
        <v>0</v>
      </c>
      <c r="E230" s="6">
        <v>1</v>
      </c>
      <c r="F230" s="6">
        <v>382</v>
      </c>
      <c r="G230" s="5">
        <v>9.1412983805042231E-2</v>
      </c>
      <c r="H230" s="5">
        <v>1.3542282503153303E-2</v>
      </c>
      <c r="I230" s="6">
        <v>0</v>
      </c>
      <c r="J230" s="6">
        <v>1</v>
      </c>
      <c r="K230" s="6">
        <v>475</v>
      </c>
      <c r="L230" s="5">
        <v>6.2522483872663487E-2</v>
      </c>
      <c r="M230" s="5">
        <v>1.2083621448993364E-2</v>
      </c>
      <c r="N230" s="6">
        <v>0</v>
      </c>
      <c r="O230" s="6">
        <v>1</v>
      </c>
      <c r="P230" s="6">
        <v>474</v>
      </c>
      <c r="Q230" s="5">
        <v>0.15234303743644023</v>
      </c>
      <c r="R230" s="5">
        <v>1.7921333577869139E-2</v>
      </c>
      <c r="S230" s="6">
        <v>0</v>
      </c>
      <c r="T230" s="6">
        <v>1</v>
      </c>
      <c r="U230" s="6">
        <v>423</v>
      </c>
      <c r="V230" s="5">
        <v>7.9695497124933817E-2</v>
      </c>
      <c r="W230" s="5">
        <v>8.4181414188695299E-3</v>
      </c>
      <c r="X230" s="6">
        <v>0</v>
      </c>
      <c r="Y230" s="6">
        <v>1</v>
      </c>
      <c r="Z230" s="6">
        <v>1145</v>
      </c>
      <c r="AA230" s="5">
        <v>9.1537468369046068E-2</v>
      </c>
      <c r="AB230" s="5">
        <v>7.4032918276990987E-3</v>
      </c>
      <c r="AC230" s="6">
        <v>0</v>
      </c>
      <c r="AD230" s="6">
        <v>1</v>
      </c>
      <c r="AE230" s="6">
        <v>2899</v>
      </c>
      <c r="AF230">
        <f>(AA231/AA229)-AA230</f>
        <v>-6.326367018471557E-3</v>
      </c>
    </row>
    <row r="231" spans="1:32" ht="26.25" x14ac:dyDescent="0.45">
      <c r="A231" s="4" t="s">
        <v>105</v>
      </c>
      <c r="B231" s="5">
        <v>0</v>
      </c>
      <c r="C231" s="5">
        <v>0</v>
      </c>
      <c r="D231" s="6">
        <v>0</v>
      </c>
      <c r="E231" s="6">
        <v>0</v>
      </c>
      <c r="F231" s="6">
        <v>382</v>
      </c>
      <c r="G231" s="5">
        <v>1.1486280532479973E-2</v>
      </c>
      <c r="H231" s="5">
        <v>5.120328037259125E-3</v>
      </c>
      <c r="I231" s="6">
        <v>0</v>
      </c>
      <c r="J231" s="6">
        <v>1</v>
      </c>
      <c r="K231" s="6">
        <v>475</v>
      </c>
      <c r="L231" s="5">
        <v>0</v>
      </c>
      <c r="M231" s="5">
        <v>0</v>
      </c>
      <c r="N231" s="6">
        <v>0</v>
      </c>
      <c r="O231" s="6">
        <v>0</v>
      </c>
      <c r="P231" s="6">
        <v>474</v>
      </c>
      <c r="Q231" s="5">
        <v>9.6331020328316933E-3</v>
      </c>
      <c r="R231" s="5">
        <v>4.8282037345573296E-3</v>
      </c>
      <c r="S231" s="6">
        <v>0</v>
      </c>
      <c r="T231" s="6">
        <v>1</v>
      </c>
      <c r="U231" s="6">
        <v>423</v>
      </c>
      <c r="V231" s="5">
        <v>0</v>
      </c>
      <c r="W231" s="5">
        <v>0</v>
      </c>
      <c r="X231" s="6">
        <v>0</v>
      </c>
      <c r="Y231" s="6">
        <v>0</v>
      </c>
      <c r="Z231" s="6">
        <v>1145</v>
      </c>
      <c r="AA231" s="5">
        <v>5.1714929704833714E-3</v>
      </c>
      <c r="AB231" s="5">
        <v>1.7314205238782221E-3</v>
      </c>
      <c r="AC231" s="6">
        <v>0</v>
      </c>
      <c r="AD231" s="6">
        <v>1</v>
      </c>
      <c r="AE231" s="6">
        <v>2899</v>
      </c>
    </row>
    <row r="232" spans="1:32" x14ac:dyDescent="0.45">
      <c r="A232" s="4" t="s">
        <v>34</v>
      </c>
      <c r="B232" s="5">
        <v>2.234881186640706E-2</v>
      </c>
      <c r="C232" s="5">
        <v>7.2505456347755999E-3</v>
      </c>
      <c r="D232" s="6">
        <v>0</v>
      </c>
      <c r="E232" s="6">
        <v>1</v>
      </c>
      <c r="F232" s="6">
        <v>382</v>
      </c>
      <c r="G232" s="5">
        <v>5.804778638754593E-2</v>
      </c>
      <c r="H232" s="5">
        <v>1.1281809592535668E-2</v>
      </c>
      <c r="I232" s="6">
        <v>0</v>
      </c>
      <c r="J232" s="6">
        <v>1</v>
      </c>
      <c r="K232" s="6">
        <v>475</v>
      </c>
      <c r="L232" s="5">
        <v>7.7480419578348128E-2</v>
      </c>
      <c r="M232" s="5">
        <v>1.2659526579995721E-2</v>
      </c>
      <c r="N232" s="6">
        <v>0</v>
      </c>
      <c r="O232" s="6">
        <v>1</v>
      </c>
      <c r="P232" s="6">
        <v>474</v>
      </c>
      <c r="Q232" s="5">
        <v>5.2708548379860748E-2</v>
      </c>
      <c r="R232" s="5">
        <v>1.100803849809036E-2</v>
      </c>
      <c r="S232" s="6">
        <v>0</v>
      </c>
      <c r="T232" s="6">
        <v>1</v>
      </c>
      <c r="U232" s="6">
        <v>423</v>
      </c>
      <c r="V232" s="5">
        <v>5.6255696843250701E-3</v>
      </c>
      <c r="W232" s="5">
        <v>2.5449161715647033E-3</v>
      </c>
      <c r="X232" s="6">
        <v>0</v>
      </c>
      <c r="Y232" s="6">
        <v>1</v>
      </c>
      <c r="Z232" s="6">
        <v>1145</v>
      </c>
      <c r="AA232" s="5">
        <v>6.0690366495873303E-2</v>
      </c>
      <c r="AB232" s="5">
        <v>6.5213912070352298E-3</v>
      </c>
      <c r="AC232" s="6">
        <v>0</v>
      </c>
      <c r="AD232" s="6">
        <v>1</v>
      </c>
      <c r="AE232" s="6">
        <v>2899</v>
      </c>
      <c r="AF232">
        <f>(AA234/AA233)-AA232</f>
        <v>1.4671165414701863E-2</v>
      </c>
    </row>
    <row r="233" spans="1:32" ht="39.4" x14ac:dyDescent="0.45">
      <c r="A233" s="4" t="s">
        <v>16</v>
      </c>
      <c r="B233" s="5">
        <v>0.50556237093372625</v>
      </c>
      <c r="C233" s="5">
        <v>2.8806099607079916E-2</v>
      </c>
      <c r="D233" s="6">
        <v>0</v>
      </c>
      <c r="E233" s="6">
        <v>1</v>
      </c>
      <c r="F233" s="6">
        <v>382</v>
      </c>
      <c r="G233" s="5">
        <v>0.75127200876490052</v>
      </c>
      <c r="H233" s="5">
        <v>2.0440411467445026E-2</v>
      </c>
      <c r="I233" s="6">
        <v>0</v>
      </c>
      <c r="J233" s="6">
        <v>1</v>
      </c>
      <c r="K233" s="6">
        <v>475</v>
      </c>
      <c r="L233" s="5">
        <v>0.57082825926267877</v>
      </c>
      <c r="M233" s="5">
        <v>2.3540070455782523E-2</v>
      </c>
      <c r="N233" s="6">
        <v>0</v>
      </c>
      <c r="O233" s="6">
        <v>1</v>
      </c>
      <c r="P233" s="6">
        <v>474</v>
      </c>
      <c r="Q233" s="5">
        <v>0.83603306383602227</v>
      </c>
      <c r="R233" s="5">
        <v>1.8289048327108152E-2</v>
      </c>
      <c r="S233" s="6">
        <v>0</v>
      </c>
      <c r="T233" s="6">
        <v>1</v>
      </c>
      <c r="U233" s="6">
        <v>423</v>
      </c>
      <c r="V233" s="5">
        <v>0.4594408339654299</v>
      </c>
      <c r="W233" s="5">
        <v>2.0333889342993294E-2</v>
      </c>
      <c r="X233" s="6">
        <v>0</v>
      </c>
      <c r="Y233" s="6">
        <v>1</v>
      </c>
      <c r="Z233" s="6">
        <v>1145</v>
      </c>
      <c r="AA233" s="5">
        <v>0.6685391064616979</v>
      </c>
      <c r="AB233" s="5">
        <v>1.2404909142965445E-2</v>
      </c>
      <c r="AC233" s="6">
        <v>0</v>
      </c>
      <c r="AD233" s="6">
        <v>1</v>
      </c>
      <c r="AE233" s="6">
        <v>2899</v>
      </c>
      <c r="AF233">
        <f>(AA234/AA232)-AA233</f>
        <v>0.1616112800663918</v>
      </c>
    </row>
    <row r="234" spans="1:32" ht="26.25" x14ac:dyDescent="0.45">
      <c r="A234" s="4" t="s">
        <v>106</v>
      </c>
      <c r="B234" s="5">
        <v>1.466669901024256E-2</v>
      </c>
      <c r="C234" s="5">
        <v>6.2648415662988196E-3</v>
      </c>
      <c r="D234" s="6">
        <v>0</v>
      </c>
      <c r="E234" s="6">
        <v>1</v>
      </c>
      <c r="F234" s="6">
        <v>382</v>
      </c>
      <c r="G234" s="5">
        <v>5.5687234865634275E-2</v>
      </c>
      <c r="H234" s="5">
        <v>1.1061181968801596E-2</v>
      </c>
      <c r="I234" s="6">
        <v>0</v>
      </c>
      <c r="J234" s="6">
        <v>1</v>
      </c>
      <c r="K234" s="6">
        <v>475</v>
      </c>
      <c r="L234" s="5">
        <v>5.5328152892295347E-2</v>
      </c>
      <c r="M234" s="5">
        <v>1.0827216221232909E-2</v>
      </c>
      <c r="N234" s="6">
        <v>0</v>
      </c>
      <c r="O234" s="6">
        <v>1</v>
      </c>
      <c r="P234" s="6">
        <v>474</v>
      </c>
      <c r="Q234" s="5">
        <v>5.2708548379860748E-2</v>
      </c>
      <c r="R234" s="5">
        <v>1.100803849809036E-2</v>
      </c>
      <c r="S234" s="6">
        <v>0</v>
      </c>
      <c r="T234" s="6">
        <v>1</v>
      </c>
      <c r="U234" s="6">
        <v>423</v>
      </c>
      <c r="V234" s="5">
        <v>5.0757243314573774E-3</v>
      </c>
      <c r="W234" s="5">
        <v>2.521574088185337E-3</v>
      </c>
      <c r="X234" s="6">
        <v>0</v>
      </c>
      <c r="Y234" s="6">
        <v>1</v>
      </c>
      <c r="Z234" s="6">
        <v>1145</v>
      </c>
      <c r="AA234" s="5">
        <v>5.0382131205080651E-2</v>
      </c>
      <c r="AB234" s="5">
        <v>5.8888196186735091E-3</v>
      </c>
      <c r="AC234" s="6">
        <v>0</v>
      </c>
      <c r="AD234" s="6">
        <v>1</v>
      </c>
      <c r="AE234" s="6">
        <v>2899</v>
      </c>
    </row>
    <row r="235" spans="1:32" x14ac:dyDescent="0.45">
      <c r="A235" s="4" t="s">
        <v>34</v>
      </c>
      <c r="B235" s="5">
        <v>2.234881186640706E-2</v>
      </c>
      <c r="C235" s="5">
        <v>7.2505456347755999E-3</v>
      </c>
      <c r="D235" s="6">
        <v>0</v>
      </c>
      <c r="E235" s="6">
        <v>1</v>
      </c>
      <c r="F235" s="6">
        <v>382</v>
      </c>
      <c r="G235" s="5">
        <v>5.804778638754593E-2</v>
      </c>
      <c r="H235" s="5">
        <v>1.1281809592535668E-2</v>
      </c>
      <c r="I235" s="6">
        <v>0</v>
      </c>
      <c r="J235" s="6">
        <v>1</v>
      </c>
      <c r="K235" s="6">
        <v>475</v>
      </c>
      <c r="L235" s="5">
        <v>7.7480419578348128E-2</v>
      </c>
      <c r="M235" s="5">
        <v>1.2659526579995721E-2</v>
      </c>
      <c r="N235" s="6">
        <v>0</v>
      </c>
      <c r="O235" s="6">
        <v>1</v>
      </c>
      <c r="P235" s="6">
        <v>474</v>
      </c>
      <c r="Q235" s="5">
        <v>5.2708548379860748E-2</v>
      </c>
      <c r="R235" s="5">
        <v>1.100803849809036E-2</v>
      </c>
      <c r="S235" s="6">
        <v>0</v>
      </c>
      <c r="T235" s="6">
        <v>1</v>
      </c>
      <c r="U235" s="6">
        <v>423</v>
      </c>
      <c r="V235" s="5">
        <v>5.6255696843250701E-3</v>
      </c>
      <c r="W235" s="5">
        <v>2.5449161715647033E-3</v>
      </c>
      <c r="X235" s="6">
        <v>0</v>
      </c>
      <c r="Y235" s="6">
        <v>1</v>
      </c>
      <c r="Z235" s="6">
        <v>1145</v>
      </c>
      <c r="AA235" s="5">
        <v>6.0690366495873303E-2</v>
      </c>
      <c r="AB235" s="5">
        <v>6.5213912070352298E-3</v>
      </c>
      <c r="AC235" s="6">
        <v>0</v>
      </c>
      <c r="AD235" s="6">
        <v>1</v>
      </c>
      <c r="AE235" s="6">
        <v>2899</v>
      </c>
      <c r="AF235">
        <f>(AA237/AA236)-AA235</f>
        <v>1.5534826626262328E-2</v>
      </c>
    </row>
    <row r="236" spans="1:32" ht="39.4" x14ac:dyDescent="0.45">
      <c r="A236" s="4" t="s">
        <v>18</v>
      </c>
      <c r="B236" s="5">
        <v>0.57072600859564226</v>
      </c>
      <c r="C236" s="5">
        <v>2.9131924939021201E-2</v>
      </c>
      <c r="D236" s="6">
        <v>0</v>
      </c>
      <c r="E236" s="6">
        <v>1</v>
      </c>
      <c r="F236" s="6">
        <v>382</v>
      </c>
      <c r="G236" s="5">
        <v>0.77458535334454726</v>
      </c>
      <c r="H236" s="5">
        <v>1.9819153022370115E-2</v>
      </c>
      <c r="I236" s="6">
        <v>0</v>
      </c>
      <c r="J236" s="6">
        <v>1</v>
      </c>
      <c r="K236" s="6">
        <v>475</v>
      </c>
      <c r="L236" s="5">
        <v>0.5654398229580665</v>
      </c>
      <c r="M236" s="5">
        <v>2.3474274957925739E-2</v>
      </c>
      <c r="N236" s="6">
        <v>0</v>
      </c>
      <c r="O236" s="6">
        <v>1</v>
      </c>
      <c r="P236" s="6">
        <v>474</v>
      </c>
      <c r="Q236" s="5">
        <v>0.74315598481496103</v>
      </c>
      <c r="R236" s="5">
        <v>2.153023882484394E-2</v>
      </c>
      <c r="S236" s="6">
        <v>0</v>
      </c>
      <c r="T236" s="6">
        <v>1</v>
      </c>
      <c r="U236" s="6">
        <v>423</v>
      </c>
      <c r="V236" s="5">
        <v>0.41997286525770899</v>
      </c>
      <c r="W236" s="5">
        <v>1.993996945027731E-2</v>
      </c>
      <c r="X236" s="6">
        <v>0</v>
      </c>
      <c r="Y236" s="6">
        <v>1</v>
      </c>
      <c r="Z236" s="6">
        <v>1145</v>
      </c>
      <c r="AA236" s="5">
        <v>0.65520854638593373</v>
      </c>
      <c r="AB236" s="5">
        <v>1.2427109701659765E-2</v>
      </c>
      <c r="AC236" s="6">
        <v>0</v>
      </c>
      <c r="AD236" s="6">
        <v>1</v>
      </c>
      <c r="AE236" s="6">
        <v>2899</v>
      </c>
      <c r="AF236">
        <f>(AA237/AA235)-AA236</f>
        <v>0.16771279792556437</v>
      </c>
    </row>
    <row r="237" spans="1:32" ht="26.25" x14ac:dyDescent="0.45">
      <c r="A237" s="4" t="s">
        <v>107</v>
      </c>
      <c r="B237" s="5">
        <v>1.466669901024256E-2</v>
      </c>
      <c r="C237" s="5">
        <v>6.2648415662988196E-3</v>
      </c>
      <c r="D237" s="6">
        <v>0</v>
      </c>
      <c r="E237" s="6">
        <v>1</v>
      </c>
      <c r="F237" s="6">
        <v>382</v>
      </c>
      <c r="G237" s="5">
        <v>5.804778638754593E-2</v>
      </c>
      <c r="H237" s="5">
        <v>1.1281809592535668E-2</v>
      </c>
      <c r="I237" s="6">
        <v>0</v>
      </c>
      <c r="J237" s="6">
        <v>1</v>
      </c>
      <c r="K237" s="6">
        <v>475</v>
      </c>
      <c r="L237" s="5">
        <v>5.7795823959476966E-2</v>
      </c>
      <c r="M237" s="5">
        <v>1.107763237745195E-2</v>
      </c>
      <c r="N237" s="6">
        <v>0</v>
      </c>
      <c r="O237" s="6">
        <v>1</v>
      </c>
      <c r="P237" s="6">
        <v>474</v>
      </c>
      <c r="Q237" s="5">
        <v>4.3207054257171175E-2</v>
      </c>
      <c r="R237" s="5">
        <v>1.0032939258810764E-2</v>
      </c>
      <c r="S237" s="6">
        <v>0</v>
      </c>
      <c r="T237" s="6">
        <v>1</v>
      </c>
      <c r="U237" s="6">
        <v>423</v>
      </c>
      <c r="V237" s="5">
        <v>4.3782988181979418E-3</v>
      </c>
      <c r="W237" s="5">
        <v>2.4808486507316512E-3</v>
      </c>
      <c r="X237" s="6">
        <v>0</v>
      </c>
      <c r="Y237" s="6">
        <v>1</v>
      </c>
      <c r="Z237" s="6">
        <v>1145</v>
      </c>
      <c r="AA237" s="5">
        <v>4.9943397983541561E-2</v>
      </c>
      <c r="AB237" s="5">
        <v>5.918456079401003E-3</v>
      </c>
      <c r="AC237" s="6">
        <v>0</v>
      </c>
      <c r="AD237" s="6">
        <v>1</v>
      </c>
      <c r="AE237" s="6">
        <v>2899</v>
      </c>
    </row>
    <row r="238" spans="1:32" x14ac:dyDescent="0.45">
      <c r="A238" s="4" t="s">
        <v>34</v>
      </c>
      <c r="B238" s="5">
        <v>2.234881186640706E-2</v>
      </c>
      <c r="C238" s="5">
        <v>7.2505456347755999E-3</v>
      </c>
      <c r="D238" s="6">
        <v>0</v>
      </c>
      <c r="E238" s="6">
        <v>1</v>
      </c>
      <c r="F238" s="6">
        <v>382</v>
      </c>
      <c r="G238" s="5">
        <v>5.804778638754593E-2</v>
      </c>
      <c r="H238" s="5">
        <v>1.1281809592535668E-2</v>
      </c>
      <c r="I238" s="6">
        <v>0</v>
      </c>
      <c r="J238" s="6">
        <v>1</v>
      </c>
      <c r="K238" s="6">
        <v>475</v>
      </c>
      <c r="L238" s="5">
        <v>7.7480419578348128E-2</v>
      </c>
      <c r="M238" s="5">
        <v>1.2659526579995721E-2</v>
      </c>
      <c r="N238" s="6">
        <v>0</v>
      </c>
      <c r="O238" s="6">
        <v>1</v>
      </c>
      <c r="P238" s="6">
        <v>474</v>
      </c>
      <c r="Q238" s="5">
        <v>5.2708548379860748E-2</v>
      </c>
      <c r="R238" s="5">
        <v>1.100803849809036E-2</v>
      </c>
      <c r="S238" s="6">
        <v>0</v>
      </c>
      <c r="T238" s="6">
        <v>1</v>
      </c>
      <c r="U238" s="6">
        <v>423</v>
      </c>
      <c r="V238" s="5">
        <v>5.6255696843250701E-3</v>
      </c>
      <c r="W238" s="5">
        <v>2.5449161715647033E-3</v>
      </c>
      <c r="X238" s="6">
        <v>0</v>
      </c>
      <c r="Y238" s="6">
        <v>1</v>
      </c>
      <c r="Z238" s="6">
        <v>1145</v>
      </c>
      <c r="AA238" s="5">
        <v>6.0690366495873303E-2</v>
      </c>
      <c r="AB238" s="5">
        <v>6.5213912070352298E-3</v>
      </c>
      <c r="AC238" s="6">
        <v>0</v>
      </c>
      <c r="AD238" s="6">
        <v>1</v>
      </c>
      <c r="AE238" s="6">
        <v>2899</v>
      </c>
      <c r="AF238">
        <f>(AA240/AA239)-AA238</f>
        <v>2.113559849523302E-2</v>
      </c>
    </row>
    <row r="239" spans="1:32" ht="39.4" x14ac:dyDescent="0.45">
      <c r="A239" s="4" t="s">
        <v>20</v>
      </c>
      <c r="B239" s="5">
        <v>0.49338798814146861</v>
      </c>
      <c r="C239" s="5">
        <v>2.8707903736097995E-2</v>
      </c>
      <c r="D239" s="6">
        <v>0</v>
      </c>
      <c r="E239" s="6">
        <v>1</v>
      </c>
      <c r="F239" s="6">
        <v>382</v>
      </c>
      <c r="G239" s="5">
        <v>0.69081776050351118</v>
      </c>
      <c r="H239" s="5">
        <v>2.1925596244174266E-2</v>
      </c>
      <c r="I239" s="6">
        <v>0</v>
      </c>
      <c r="J239" s="6">
        <v>1</v>
      </c>
      <c r="K239" s="6">
        <v>475</v>
      </c>
      <c r="L239" s="5">
        <v>0.46365152535875825</v>
      </c>
      <c r="M239" s="5">
        <v>2.3696802294859671E-2</v>
      </c>
      <c r="N239" s="6">
        <v>0</v>
      </c>
      <c r="O239" s="6">
        <v>1</v>
      </c>
      <c r="P239" s="6">
        <v>474</v>
      </c>
      <c r="Q239" s="5">
        <v>0.58710843859266493</v>
      </c>
      <c r="R239" s="5">
        <v>2.4491537195724417E-2</v>
      </c>
      <c r="S239" s="6">
        <v>0</v>
      </c>
      <c r="T239" s="6">
        <v>1</v>
      </c>
      <c r="U239" s="6">
        <v>423</v>
      </c>
      <c r="V239" s="5">
        <v>0.25029012683588503</v>
      </c>
      <c r="W239" s="5">
        <v>1.6687579347897857E-2</v>
      </c>
      <c r="X239" s="6">
        <v>0</v>
      </c>
      <c r="Y239" s="6">
        <v>1</v>
      </c>
      <c r="Z239" s="6">
        <v>1145</v>
      </c>
      <c r="AA239" s="5">
        <v>0.54560453381291008</v>
      </c>
      <c r="AB239" s="5">
        <v>1.2992144899166979E-2</v>
      </c>
      <c r="AC239" s="6">
        <v>0</v>
      </c>
      <c r="AD239" s="6">
        <v>1</v>
      </c>
      <c r="AE239" s="6">
        <v>2899</v>
      </c>
      <c r="AF239">
        <f>(AA240/AA238)-AA239</f>
        <v>0.19000838237865247</v>
      </c>
    </row>
    <row r="240" spans="1:32" ht="26.25" x14ac:dyDescent="0.45">
      <c r="A240" s="4" t="s">
        <v>108</v>
      </c>
      <c r="B240" s="5">
        <v>1.3852119639021396E-2</v>
      </c>
      <c r="C240" s="5">
        <v>6.2120206380406329E-3</v>
      </c>
      <c r="D240" s="6">
        <v>0</v>
      </c>
      <c r="E240" s="6">
        <v>1</v>
      </c>
      <c r="F240" s="6">
        <v>382</v>
      </c>
      <c r="G240" s="5">
        <v>5.3545738246241488E-2</v>
      </c>
      <c r="H240" s="5">
        <v>1.0875368240332878E-2</v>
      </c>
      <c r="I240" s="6">
        <v>0</v>
      </c>
      <c r="J240" s="6">
        <v>1</v>
      </c>
      <c r="K240" s="6">
        <v>475</v>
      </c>
      <c r="L240" s="5">
        <v>5.3162842524626011E-2</v>
      </c>
      <c r="M240" s="5">
        <v>1.0631898231842357E-2</v>
      </c>
      <c r="N240" s="6">
        <v>0</v>
      </c>
      <c r="O240" s="6">
        <v>1</v>
      </c>
      <c r="P240" s="6">
        <v>474</v>
      </c>
      <c r="Q240" s="5">
        <v>3.3504381681687352E-2</v>
      </c>
      <c r="R240" s="5">
        <v>8.8774598231845005E-3</v>
      </c>
      <c r="S240" s="6">
        <v>0</v>
      </c>
      <c r="T240" s="6">
        <v>1</v>
      </c>
      <c r="U240" s="6">
        <v>423</v>
      </c>
      <c r="V240" s="5">
        <v>3.9445016288664385E-3</v>
      </c>
      <c r="W240" s="5">
        <v>2.4427325221668904E-3</v>
      </c>
      <c r="X240" s="6">
        <v>0</v>
      </c>
      <c r="Y240" s="6">
        <v>1</v>
      </c>
      <c r="Z240" s="6">
        <v>1145</v>
      </c>
      <c r="AA240" s="5">
        <v>4.4644617482764062E-2</v>
      </c>
      <c r="AB240" s="5">
        <v>5.6310964825910578E-3</v>
      </c>
      <c r="AC240" s="6">
        <v>0</v>
      </c>
      <c r="AD240" s="6">
        <v>1</v>
      </c>
      <c r="AE240" s="6">
        <v>2899</v>
      </c>
    </row>
    <row r="241" spans="1:32" x14ac:dyDescent="0.45">
      <c r="A241" s="4" t="s">
        <v>34</v>
      </c>
      <c r="B241" s="5">
        <v>2.234881186640706E-2</v>
      </c>
      <c r="C241" s="5">
        <v>7.2505456347755999E-3</v>
      </c>
      <c r="D241" s="6">
        <v>0</v>
      </c>
      <c r="E241" s="6">
        <v>1</v>
      </c>
      <c r="F241" s="6">
        <v>382</v>
      </c>
      <c r="G241" s="5">
        <v>5.804778638754593E-2</v>
      </c>
      <c r="H241" s="5">
        <v>1.1281809592535668E-2</v>
      </c>
      <c r="I241" s="6">
        <v>0</v>
      </c>
      <c r="J241" s="6">
        <v>1</v>
      </c>
      <c r="K241" s="6">
        <v>475</v>
      </c>
      <c r="L241" s="5">
        <v>7.7480419578348128E-2</v>
      </c>
      <c r="M241" s="5">
        <v>1.2659526579995721E-2</v>
      </c>
      <c r="N241" s="6">
        <v>0</v>
      </c>
      <c r="O241" s="6">
        <v>1</v>
      </c>
      <c r="P241" s="6">
        <v>474</v>
      </c>
      <c r="Q241" s="5">
        <v>5.2708548379860748E-2</v>
      </c>
      <c r="R241" s="5">
        <v>1.100803849809036E-2</v>
      </c>
      <c r="S241" s="6">
        <v>0</v>
      </c>
      <c r="T241" s="6">
        <v>1</v>
      </c>
      <c r="U241" s="6">
        <v>423</v>
      </c>
      <c r="V241" s="5">
        <v>5.6255696843250701E-3</v>
      </c>
      <c r="W241" s="5">
        <v>2.5449161715647033E-3</v>
      </c>
      <c r="X241" s="6">
        <v>0</v>
      </c>
      <c r="Y241" s="6">
        <v>1</v>
      </c>
      <c r="Z241" s="6">
        <v>1145</v>
      </c>
      <c r="AA241" s="5">
        <v>6.0690366495873303E-2</v>
      </c>
      <c r="AB241" s="5">
        <v>6.5213912070352298E-3</v>
      </c>
      <c r="AC241" s="6">
        <v>0</v>
      </c>
      <c r="AD241" s="6">
        <v>1</v>
      </c>
      <c r="AE241" s="6">
        <v>2899</v>
      </c>
      <c r="AF241">
        <f>(AA243/AA242)-AA241</f>
        <v>-1.1069468210888042E-2</v>
      </c>
    </row>
    <row r="242" spans="1:32" ht="26.25" x14ac:dyDescent="0.45">
      <c r="A242" s="4" t="s">
        <v>22</v>
      </c>
      <c r="B242" s="5">
        <v>0.43781029932519605</v>
      </c>
      <c r="C242" s="5">
        <v>2.8093230494023593E-2</v>
      </c>
      <c r="D242" s="6">
        <v>0</v>
      </c>
      <c r="E242" s="6">
        <v>1</v>
      </c>
      <c r="F242" s="6">
        <v>382</v>
      </c>
      <c r="G242" s="5">
        <v>0.55219468727267385</v>
      </c>
      <c r="H242" s="5">
        <v>2.3637016925189443E-2</v>
      </c>
      <c r="I242" s="6">
        <v>0</v>
      </c>
      <c r="J242" s="6">
        <v>1</v>
      </c>
      <c r="K242" s="6">
        <v>475</v>
      </c>
      <c r="L242" s="5">
        <v>0.49668116027963227</v>
      </c>
      <c r="M242" s="5">
        <v>2.3742455291589224E-2</v>
      </c>
      <c r="N242" s="6">
        <v>0</v>
      </c>
      <c r="O242" s="6">
        <v>1</v>
      </c>
      <c r="P242" s="6">
        <v>474</v>
      </c>
      <c r="Q242" s="5">
        <v>0.81611123613737024</v>
      </c>
      <c r="R242" s="5">
        <v>1.9017745333524308E-2</v>
      </c>
      <c r="S242" s="6">
        <v>0</v>
      </c>
      <c r="T242" s="6">
        <v>1</v>
      </c>
      <c r="U242" s="6">
        <v>423</v>
      </c>
      <c r="V242" s="5">
        <v>0.5075346037063696</v>
      </c>
      <c r="W242" s="5">
        <v>2.0723299778355728E-2</v>
      </c>
      <c r="X242" s="6">
        <v>0</v>
      </c>
      <c r="Y242" s="6">
        <v>1</v>
      </c>
      <c r="Z242" s="6">
        <v>1145</v>
      </c>
      <c r="AA242" s="5">
        <v>0.57753648852202433</v>
      </c>
      <c r="AB242" s="5">
        <v>1.2930285821107954E-2</v>
      </c>
      <c r="AC242" s="6">
        <v>0</v>
      </c>
      <c r="AD242" s="6">
        <v>1</v>
      </c>
      <c r="AE242" s="6">
        <v>2899</v>
      </c>
      <c r="AF242">
        <f>(AA243/AA241)-AA242</f>
        <v>-0.10533832911945185</v>
      </c>
    </row>
    <row r="243" spans="1:32" ht="26.25" x14ac:dyDescent="0.45">
      <c r="A243" s="4" t="s">
        <v>109</v>
      </c>
      <c r="B243" s="5">
        <v>8.8848370637297815E-3</v>
      </c>
      <c r="C243" s="5">
        <v>4.7742783274510011E-3</v>
      </c>
      <c r="D243" s="6">
        <v>0</v>
      </c>
      <c r="E243" s="6">
        <v>1</v>
      </c>
      <c r="F243" s="6">
        <v>382</v>
      </c>
      <c r="G243" s="5">
        <v>4.1789025584295141E-2</v>
      </c>
      <c r="H243" s="5">
        <v>9.6582573502788042E-3</v>
      </c>
      <c r="I243" s="6">
        <v>0</v>
      </c>
      <c r="J243" s="6">
        <v>1</v>
      </c>
      <c r="K243" s="6">
        <v>475</v>
      </c>
      <c r="L243" s="5">
        <v>1.3529239035615637E-2</v>
      </c>
      <c r="M243" s="5">
        <v>5.5180860178350609E-3</v>
      </c>
      <c r="N243" s="6">
        <v>0</v>
      </c>
      <c r="O243" s="6">
        <v>1</v>
      </c>
      <c r="P243" s="6">
        <v>474</v>
      </c>
      <c r="Q243" s="5">
        <v>5.114084829234504E-2</v>
      </c>
      <c r="R243" s="5">
        <v>1.090687409854697E-2</v>
      </c>
      <c r="S243" s="6">
        <v>0</v>
      </c>
      <c r="T243" s="6">
        <v>1</v>
      </c>
      <c r="U243" s="6">
        <v>423</v>
      </c>
      <c r="V243" s="5">
        <v>4.786594380910043E-3</v>
      </c>
      <c r="W243" s="5">
        <v>2.5048523733940194E-3</v>
      </c>
      <c r="X243" s="6">
        <v>0</v>
      </c>
      <c r="Y243" s="6">
        <v>1</v>
      </c>
      <c r="Z243" s="6">
        <v>1145</v>
      </c>
      <c r="AA243" s="5">
        <v>2.8657879352818928E-2</v>
      </c>
      <c r="AB243" s="5">
        <v>4.2156751808195636E-3</v>
      </c>
      <c r="AC243" s="6">
        <v>0</v>
      </c>
      <c r="AD243" s="6">
        <v>1</v>
      </c>
      <c r="AE243" s="6">
        <v>2899</v>
      </c>
    </row>
    <row r="244" spans="1:32" x14ac:dyDescent="0.45">
      <c r="A244" s="4" t="s">
        <v>34</v>
      </c>
      <c r="B244" s="5">
        <v>2.234881186640706E-2</v>
      </c>
      <c r="C244" s="5">
        <v>7.2505456347755999E-3</v>
      </c>
      <c r="D244" s="6">
        <v>0</v>
      </c>
      <c r="E244" s="6">
        <v>1</v>
      </c>
      <c r="F244" s="6">
        <v>382</v>
      </c>
      <c r="G244" s="5">
        <v>5.804778638754593E-2</v>
      </c>
      <c r="H244" s="5">
        <v>1.1281809592535668E-2</v>
      </c>
      <c r="I244" s="6">
        <v>0</v>
      </c>
      <c r="J244" s="6">
        <v>1</v>
      </c>
      <c r="K244" s="6">
        <v>475</v>
      </c>
      <c r="L244" s="5">
        <v>7.7480419578348128E-2</v>
      </c>
      <c r="M244" s="5">
        <v>1.2659526579995721E-2</v>
      </c>
      <c r="N244" s="6">
        <v>0</v>
      </c>
      <c r="O244" s="6">
        <v>1</v>
      </c>
      <c r="P244" s="6">
        <v>474</v>
      </c>
      <c r="Q244" s="5">
        <v>5.2708548379860748E-2</v>
      </c>
      <c r="R244" s="5">
        <v>1.100803849809036E-2</v>
      </c>
      <c r="S244" s="6">
        <v>0</v>
      </c>
      <c r="T244" s="6">
        <v>1</v>
      </c>
      <c r="U244" s="6">
        <v>423</v>
      </c>
      <c r="V244" s="5">
        <v>5.6255696843250701E-3</v>
      </c>
      <c r="W244" s="5">
        <v>2.5449161715647033E-3</v>
      </c>
      <c r="X244" s="6">
        <v>0</v>
      </c>
      <c r="Y244" s="6">
        <v>1</v>
      </c>
      <c r="Z244" s="6">
        <v>1145</v>
      </c>
      <c r="AA244" s="5">
        <v>6.0690366495873303E-2</v>
      </c>
      <c r="AB244" s="5">
        <v>6.5213912070352298E-3</v>
      </c>
      <c r="AC244" s="6">
        <v>0</v>
      </c>
      <c r="AD244" s="6">
        <v>1</v>
      </c>
      <c r="AE244" s="6">
        <v>2899</v>
      </c>
      <c r="AF244">
        <f>(AA246/AA245)-AA244</f>
        <v>-2.1798316261189117E-2</v>
      </c>
    </row>
    <row r="245" spans="1:32" ht="26.25" x14ac:dyDescent="0.45">
      <c r="A245" s="4" t="s">
        <v>24</v>
      </c>
      <c r="B245" s="5">
        <v>0.31036797432157132</v>
      </c>
      <c r="C245" s="5">
        <v>2.5728317926234395E-2</v>
      </c>
      <c r="D245" s="6">
        <v>0</v>
      </c>
      <c r="E245" s="6">
        <v>1</v>
      </c>
      <c r="F245" s="6">
        <v>382</v>
      </c>
      <c r="G245" s="5">
        <v>0.35788515033258406</v>
      </c>
      <c r="H245" s="5">
        <v>2.2745953295009329E-2</v>
      </c>
      <c r="I245" s="6">
        <v>0</v>
      </c>
      <c r="J245" s="6">
        <v>1</v>
      </c>
      <c r="K245" s="6">
        <v>475</v>
      </c>
      <c r="L245" s="5">
        <v>0.34114411132876798</v>
      </c>
      <c r="M245" s="5">
        <v>2.2373839656142282E-2</v>
      </c>
      <c r="N245" s="6">
        <v>0</v>
      </c>
      <c r="O245" s="6">
        <v>1</v>
      </c>
      <c r="P245" s="6">
        <v>474</v>
      </c>
      <c r="Q245" s="5">
        <v>0.74339061825172903</v>
      </c>
      <c r="R245" s="5">
        <v>2.1616709115009351E-2</v>
      </c>
      <c r="S245" s="6">
        <v>0</v>
      </c>
      <c r="T245" s="6">
        <v>1</v>
      </c>
      <c r="U245" s="6">
        <v>423</v>
      </c>
      <c r="V245" s="5">
        <v>0.44820179046503339</v>
      </c>
      <c r="W245" s="5">
        <v>2.0196250233777673E-2</v>
      </c>
      <c r="X245" s="6">
        <v>0</v>
      </c>
      <c r="Y245" s="6">
        <v>1</v>
      </c>
      <c r="Z245" s="6">
        <v>1145</v>
      </c>
      <c r="AA245" s="5">
        <v>0.43492332944629264</v>
      </c>
      <c r="AB245" s="5">
        <v>1.2839399235713171E-2</v>
      </c>
      <c r="AC245" s="6">
        <v>0</v>
      </c>
      <c r="AD245" s="6">
        <v>1</v>
      </c>
      <c r="AE245" s="6">
        <v>2899</v>
      </c>
      <c r="AF245">
        <f>(AA246/AA244)-AA245</f>
        <v>-0.15621253968344834</v>
      </c>
    </row>
    <row r="246" spans="1:32" ht="26.25" x14ac:dyDescent="0.45">
      <c r="A246" s="4" t="s">
        <v>110</v>
      </c>
      <c r="B246" s="5">
        <v>5.7878475790713773E-3</v>
      </c>
      <c r="C246" s="5">
        <v>3.6442096275133154E-3</v>
      </c>
      <c r="D246" s="6">
        <v>0</v>
      </c>
      <c r="E246" s="6">
        <v>1</v>
      </c>
      <c r="F246" s="6">
        <v>382</v>
      </c>
      <c r="G246" s="5">
        <v>1.828592174893991E-2</v>
      </c>
      <c r="H246" s="5">
        <v>6.4201137007713202E-3</v>
      </c>
      <c r="I246" s="6">
        <v>0</v>
      </c>
      <c r="J246" s="6">
        <v>1</v>
      </c>
      <c r="K246" s="6">
        <v>475</v>
      </c>
      <c r="L246" s="5">
        <v>2.1653103676693374E-3</v>
      </c>
      <c r="M246" s="5">
        <v>2.1653418711528281E-3</v>
      </c>
      <c r="N246" s="6">
        <v>0</v>
      </c>
      <c r="O246" s="6">
        <v>1</v>
      </c>
      <c r="P246" s="6">
        <v>474</v>
      </c>
      <c r="Q246" s="5">
        <v>4.8620337534249936E-2</v>
      </c>
      <c r="R246" s="5">
        <v>1.0640280905320305E-2</v>
      </c>
      <c r="S246" s="6">
        <v>0</v>
      </c>
      <c r="T246" s="6">
        <v>1</v>
      </c>
      <c r="U246" s="6">
        <v>423</v>
      </c>
      <c r="V246" s="5">
        <v>4.786594380910043E-3</v>
      </c>
      <c r="W246" s="5">
        <v>2.5048523733940194E-3</v>
      </c>
      <c r="X246" s="6">
        <v>0</v>
      </c>
      <c r="Y246" s="6">
        <v>1</v>
      </c>
      <c r="Z246" s="6">
        <v>1145</v>
      </c>
      <c r="AA246" s="5">
        <v>1.6915059977061313E-2</v>
      </c>
      <c r="AB246" s="5">
        <v>3.0587803328300718E-3</v>
      </c>
      <c r="AC246" s="6">
        <v>0</v>
      </c>
      <c r="AD246" s="6">
        <v>1</v>
      </c>
      <c r="AE246" s="6">
        <v>2899</v>
      </c>
    </row>
    <row r="247" spans="1:32" x14ac:dyDescent="0.45">
      <c r="A247" s="4" t="s">
        <v>36</v>
      </c>
      <c r="B247" s="5">
        <v>0.26636125194779031</v>
      </c>
      <c r="C247" s="5">
        <v>2.4189991287900472E-2</v>
      </c>
      <c r="D247" s="6">
        <v>0</v>
      </c>
      <c r="E247" s="6">
        <v>1</v>
      </c>
      <c r="F247" s="6">
        <v>377</v>
      </c>
      <c r="G247" s="5">
        <v>0.17672760534526755</v>
      </c>
      <c r="H247" s="5">
        <v>1.8127456261163202E-2</v>
      </c>
      <c r="I247" s="6">
        <v>0</v>
      </c>
      <c r="J247" s="6">
        <v>1</v>
      </c>
      <c r="K247" s="6">
        <v>467</v>
      </c>
      <c r="L247" s="5">
        <v>4.3890875888197518E-2</v>
      </c>
      <c r="M247" s="5">
        <v>9.6682460234033402E-3</v>
      </c>
      <c r="N247" s="6">
        <v>0</v>
      </c>
      <c r="O247" s="6">
        <v>1</v>
      </c>
      <c r="P247" s="6">
        <v>441</v>
      </c>
      <c r="Q247" s="5">
        <v>8.371081995835053E-2</v>
      </c>
      <c r="R247" s="5">
        <v>1.4050470479779449E-2</v>
      </c>
      <c r="S247" s="6">
        <v>0</v>
      </c>
      <c r="T247" s="6">
        <v>1</v>
      </c>
      <c r="U247" s="6">
        <v>422</v>
      </c>
      <c r="V247" s="5">
        <v>0.17670361522524197</v>
      </c>
      <c r="W247" s="5">
        <v>1.6865782603968957E-2</v>
      </c>
      <c r="X247" s="6">
        <v>0</v>
      </c>
      <c r="Y247" s="6">
        <v>1</v>
      </c>
      <c r="Z247" s="6">
        <v>1068</v>
      </c>
      <c r="AA247" s="5">
        <v>0.10901593418102137</v>
      </c>
      <c r="AB247" s="5">
        <v>7.4445039199197852E-3</v>
      </c>
      <c r="AC247" s="6">
        <v>0</v>
      </c>
      <c r="AD247" s="6">
        <v>1</v>
      </c>
      <c r="AE247" s="6">
        <v>2775</v>
      </c>
      <c r="AF247">
        <f>(AA249/AA248)-AA247</f>
        <v>3.2895511609874972E-2</v>
      </c>
    </row>
    <row r="248" spans="1:32" ht="26.25" x14ac:dyDescent="0.45">
      <c r="A248" s="4" t="s">
        <v>38</v>
      </c>
      <c r="B248" s="5">
        <v>0.4366780064058276</v>
      </c>
      <c r="C248" s="5">
        <v>2.805782617542071E-2</v>
      </c>
      <c r="D248" s="6">
        <v>0</v>
      </c>
      <c r="E248" s="6">
        <v>1</v>
      </c>
      <c r="F248" s="6">
        <v>382</v>
      </c>
      <c r="G248" s="5">
        <v>0.67637596318441151</v>
      </c>
      <c r="H248" s="5">
        <v>2.2183710228253588E-2</v>
      </c>
      <c r="I248" s="6">
        <v>0</v>
      </c>
      <c r="J248" s="6">
        <v>1</v>
      </c>
      <c r="K248" s="6">
        <v>475</v>
      </c>
      <c r="L248" s="5">
        <v>0.42140913195711371</v>
      </c>
      <c r="M248" s="5">
        <v>2.3440738415648886E-2</v>
      </c>
      <c r="N248" s="6">
        <v>0</v>
      </c>
      <c r="O248" s="6">
        <v>1</v>
      </c>
      <c r="P248" s="6">
        <v>474</v>
      </c>
      <c r="Q248" s="5">
        <v>0.50232647922994245</v>
      </c>
      <c r="R248" s="5">
        <v>2.4962894154274457E-2</v>
      </c>
      <c r="S248" s="6">
        <v>0</v>
      </c>
      <c r="T248" s="6">
        <v>1</v>
      </c>
      <c r="U248" s="6">
        <v>423</v>
      </c>
      <c r="V248" s="5">
        <v>0.19257168054166257</v>
      </c>
      <c r="W248" s="5">
        <v>1.5785783859687097E-2</v>
      </c>
      <c r="X248" s="6">
        <v>0</v>
      </c>
      <c r="Y248" s="6">
        <v>1</v>
      </c>
      <c r="Z248" s="6">
        <v>1145</v>
      </c>
      <c r="AA248" s="5">
        <v>0.50005721577724593</v>
      </c>
      <c r="AB248" s="5">
        <v>1.3039449215689536E-2</v>
      </c>
      <c r="AC248" s="6">
        <v>0</v>
      </c>
      <c r="AD248" s="6">
        <v>1</v>
      </c>
      <c r="AE248" s="6">
        <v>2899</v>
      </c>
      <c r="AF248">
        <f>(AA249/AA247)-AA248</f>
        <v>0.15089205143064188</v>
      </c>
    </row>
    <row r="249" spans="1:32" ht="26.25" x14ac:dyDescent="0.45">
      <c r="A249" s="4" t="s">
        <v>111</v>
      </c>
      <c r="B249" s="5">
        <v>0.12567463666391968</v>
      </c>
      <c r="C249" s="5">
        <v>1.7974384627446088E-2</v>
      </c>
      <c r="D249" s="6">
        <v>0</v>
      </c>
      <c r="E249" s="6">
        <v>1</v>
      </c>
      <c r="F249" s="6">
        <v>377</v>
      </c>
      <c r="G249" s="5">
        <v>0.14028569962523768</v>
      </c>
      <c r="H249" s="5">
        <v>1.6698087129149736E-2</v>
      </c>
      <c r="I249" s="6">
        <v>0</v>
      </c>
      <c r="J249" s="6">
        <v>1</v>
      </c>
      <c r="K249" s="6">
        <v>467</v>
      </c>
      <c r="L249" s="5">
        <v>3.1921476068048529E-2</v>
      </c>
      <c r="M249" s="5">
        <v>8.2045760488913353E-3</v>
      </c>
      <c r="N249" s="6">
        <v>0</v>
      </c>
      <c r="O249" s="6">
        <v>1</v>
      </c>
      <c r="P249" s="6">
        <v>441</v>
      </c>
      <c r="Q249" s="5">
        <v>4.7433618524039017E-2</v>
      </c>
      <c r="R249" s="5">
        <v>1.0954354042747735E-2</v>
      </c>
      <c r="S249" s="6">
        <v>0</v>
      </c>
      <c r="T249" s="6">
        <v>1</v>
      </c>
      <c r="U249" s="6">
        <v>422</v>
      </c>
      <c r="V249" s="5">
        <v>1.3435276539700053E-2</v>
      </c>
      <c r="W249" s="5">
        <v>3.9582720931674031E-3</v>
      </c>
      <c r="X249" s="6">
        <v>0</v>
      </c>
      <c r="Y249" s="6">
        <v>1</v>
      </c>
      <c r="Z249" s="6">
        <v>1068</v>
      </c>
      <c r="AA249" s="5">
        <v>7.0963842469119187E-2</v>
      </c>
      <c r="AB249" s="5">
        <v>6.3989430379929827E-3</v>
      </c>
      <c r="AC249" s="6">
        <v>0</v>
      </c>
      <c r="AD249" s="6">
        <v>1</v>
      </c>
      <c r="AE249" s="6">
        <v>2775</v>
      </c>
    </row>
    <row r="250" spans="1:32" x14ac:dyDescent="0.45">
      <c r="A250" s="4" t="s">
        <v>36</v>
      </c>
      <c r="B250" s="5">
        <v>0.26636125194779031</v>
      </c>
      <c r="C250" s="5">
        <v>2.4189991287900472E-2</v>
      </c>
      <c r="D250" s="6">
        <v>0</v>
      </c>
      <c r="E250" s="6">
        <v>1</v>
      </c>
      <c r="F250" s="6">
        <v>377</v>
      </c>
      <c r="G250" s="5">
        <v>0.17672760534526755</v>
      </c>
      <c r="H250" s="5">
        <v>1.8127456261163202E-2</v>
      </c>
      <c r="I250" s="6">
        <v>0</v>
      </c>
      <c r="J250" s="6">
        <v>1</v>
      </c>
      <c r="K250" s="6">
        <v>467</v>
      </c>
      <c r="L250" s="5">
        <v>4.3890875888197518E-2</v>
      </c>
      <c r="M250" s="5">
        <v>9.6682460234033402E-3</v>
      </c>
      <c r="N250" s="6">
        <v>0</v>
      </c>
      <c r="O250" s="6">
        <v>1</v>
      </c>
      <c r="P250" s="6">
        <v>441</v>
      </c>
      <c r="Q250" s="5">
        <v>8.371081995835053E-2</v>
      </c>
      <c r="R250" s="5">
        <v>1.4050470479779449E-2</v>
      </c>
      <c r="S250" s="6">
        <v>0</v>
      </c>
      <c r="T250" s="6">
        <v>1</v>
      </c>
      <c r="U250" s="6">
        <v>422</v>
      </c>
      <c r="V250" s="5">
        <v>0.17670361522524197</v>
      </c>
      <c r="W250" s="5">
        <v>1.6865782603968957E-2</v>
      </c>
      <c r="X250" s="6">
        <v>0</v>
      </c>
      <c r="Y250" s="6">
        <v>1</v>
      </c>
      <c r="Z250" s="6">
        <v>1068</v>
      </c>
      <c r="AA250" s="5">
        <v>0.10901593418102137</v>
      </c>
      <c r="AB250" s="5">
        <v>7.4445039199197852E-3</v>
      </c>
      <c r="AC250" s="6">
        <v>0</v>
      </c>
      <c r="AD250" s="6">
        <v>1</v>
      </c>
      <c r="AE250" s="6">
        <v>2775</v>
      </c>
      <c r="AF250">
        <f>(AA252/AA251)-AA250</f>
        <v>2.1141345528247063E-3</v>
      </c>
    </row>
    <row r="251" spans="1:32" x14ac:dyDescent="0.45">
      <c r="A251" s="4" t="s">
        <v>40</v>
      </c>
      <c r="B251" s="5">
        <v>0.24475289221599958</v>
      </c>
      <c r="C251" s="5">
        <v>2.3591602155120545E-2</v>
      </c>
      <c r="D251" s="6">
        <v>0</v>
      </c>
      <c r="E251" s="6">
        <v>1</v>
      </c>
      <c r="F251" s="6">
        <v>382</v>
      </c>
      <c r="G251" s="5">
        <v>0.31240436993335119</v>
      </c>
      <c r="H251" s="5">
        <v>2.1994479632135435E-2</v>
      </c>
      <c r="I251" s="6">
        <v>0</v>
      </c>
      <c r="J251" s="6">
        <v>1</v>
      </c>
      <c r="K251" s="6">
        <v>475</v>
      </c>
      <c r="L251" s="5">
        <v>0.31016209118028132</v>
      </c>
      <c r="M251" s="5">
        <v>2.1740010089836503E-2</v>
      </c>
      <c r="N251" s="6">
        <v>0</v>
      </c>
      <c r="O251" s="6">
        <v>1</v>
      </c>
      <c r="P251" s="6">
        <v>474</v>
      </c>
      <c r="Q251" s="5">
        <v>0.7144739729494628</v>
      </c>
      <c r="R251" s="5">
        <v>2.2433009195978806E-2</v>
      </c>
      <c r="S251" s="6">
        <v>0</v>
      </c>
      <c r="T251" s="6">
        <v>1</v>
      </c>
      <c r="U251" s="6">
        <v>423</v>
      </c>
      <c r="V251" s="5">
        <v>0.43483608765880821</v>
      </c>
      <c r="W251" s="5">
        <v>2.0083672578752446E-2</v>
      </c>
      <c r="X251" s="6">
        <v>0</v>
      </c>
      <c r="Y251" s="6">
        <v>1</v>
      </c>
      <c r="Z251" s="6">
        <v>1145</v>
      </c>
      <c r="AA251" s="5">
        <v>0.39887458467079651</v>
      </c>
      <c r="AB251" s="5">
        <v>1.2628190805574898E-2</v>
      </c>
      <c r="AC251" s="6">
        <v>0</v>
      </c>
      <c r="AD251" s="6">
        <v>1</v>
      </c>
      <c r="AE251" s="6">
        <v>2899</v>
      </c>
      <c r="AF251">
        <f>(AA252/AA250)-AA251</f>
        <v>7.7353328945095057E-3</v>
      </c>
    </row>
    <row r="252" spans="1:32" ht="26.25" x14ac:dyDescent="0.45">
      <c r="A252" s="4" t="s">
        <v>112</v>
      </c>
      <c r="B252" s="5">
        <v>7.1439505184170415E-2</v>
      </c>
      <c r="C252" s="5">
        <v>1.3805960000027659E-2</v>
      </c>
      <c r="D252" s="6">
        <v>0</v>
      </c>
      <c r="E252" s="6">
        <v>1</v>
      </c>
      <c r="F252" s="6">
        <v>377</v>
      </c>
      <c r="G252" s="5">
        <v>7.3941517446173124E-2</v>
      </c>
      <c r="H252" s="5">
        <v>1.2608402816975032E-2</v>
      </c>
      <c r="I252" s="6">
        <v>0</v>
      </c>
      <c r="J252" s="6">
        <v>1</v>
      </c>
      <c r="K252" s="6">
        <v>467</v>
      </c>
      <c r="L252" s="5">
        <v>1.2724540879863714E-2</v>
      </c>
      <c r="M252" s="5">
        <v>5.2889526766948707E-3</v>
      </c>
      <c r="N252" s="6">
        <v>0</v>
      </c>
      <c r="O252" s="6">
        <v>1</v>
      </c>
      <c r="P252" s="6">
        <v>441</v>
      </c>
      <c r="Q252" s="5">
        <v>5.6176206604507756E-2</v>
      </c>
      <c r="R252" s="5">
        <v>1.1706959201374842E-2</v>
      </c>
      <c r="S252" s="6">
        <v>0</v>
      </c>
      <c r="T252" s="6">
        <v>1</v>
      </c>
      <c r="U252" s="6">
        <v>422</v>
      </c>
      <c r="V252" s="5">
        <v>4.0650401394474747E-2</v>
      </c>
      <c r="W252" s="5">
        <v>8.7923833334778781E-3</v>
      </c>
      <c r="X252" s="6">
        <v>0</v>
      </c>
      <c r="Y252" s="6">
        <v>1</v>
      </c>
      <c r="Z252" s="6">
        <v>1068</v>
      </c>
      <c r="AA252" s="5">
        <v>4.4326960010649924E-2</v>
      </c>
      <c r="AB252" s="5">
        <v>4.9989819205984286E-3</v>
      </c>
      <c r="AC252" s="6">
        <v>0</v>
      </c>
      <c r="AD252" s="6">
        <v>1</v>
      </c>
      <c r="AE252" s="6">
        <v>2775</v>
      </c>
    </row>
    <row r="253" spans="1:32" x14ac:dyDescent="0.45">
      <c r="A253" s="4" t="s">
        <v>36</v>
      </c>
      <c r="B253" s="5">
        <v>0.26636125194779031</v>
      </c>
      <c r="C253" s="5">
        <v>2.4189991287900472E-2</v>
      </c>
      <c r="D253" s="6">
        <v>0</v>
      </c>
      <c r="E253" s="6">
        <v>1</v>
      </c>
      <c r="F253" s="6">
        <v>377</v>
      </c>
      <c r="G253" s="5">
        <v>0.17672760534526755</v>
      </c>
      <c r="H253" s="5">
        <v>1.8127456261163202E-2</v>
      </c>
      <c r="I253" s="6">
        <v>0</v>
      </c>
      <c r="J253" s="6">
        <v>1</v>
      </c>
      <c r="K253" s="6">
        <v>467</v>
      </c>
      <c r="L253" s="5">
        <v>4.3890875888197518E-2</v>
      </c>
      <c r="M253" s="5">
        <v>9.6682460234033402E-3</v>
      </c>
      <c r="N253" s="6">
        <v>0</v>
      </c>
      <c r="O253" s="6">
        <v>1</v>
      </c>
      <c r="P253" s="6">
        <v>441</v>
      </c>
      <c r="Q253" s="5">
        <v>8.371081995835053E-2</v>
      </c>
      <c r="R253" s="5">
        <v>1.4050470479779449E-2</v>
      </c>
      <c r="S253" s="6">
        <v>0</v>
      </c>
      <c r="T253" s="6">
        <v>1</v>
      </c>
      <c r="U253" s="6">
        <v>422</v>
      </c>
      <c r="V253" s="5">
        <v>0.17670361522524197</v>
      </c>
      <c r="W253" s="5">
        <v>1.6865782603968957E-2</v>
      </c>
      <c r="X253" s="6">
        <v>0</v>
      </c>
      <c r="Y253" s="6">
        <v>1</v>
      </c>
      <c r="Z253" s="6">
        <v>1068</v>
      </c>
      <c r="AA253" s="5">
        <v>0.10901593418102137</v>
      </c>
      <c r="AB253" s="5">
        <v>7.4445039199197852E-3</v>
      </c>
      <c r="AC253" s="6">
        <v>0</v>
      </c>
      <c r="AD253" s="6">
        <v>1</v>
      </c>
      <c r="AE253" s="6">
        <v>2775</v>
      </c>
      <c r="AF253">
        <f>(AA255/AA254)-AA253</f>
        <v>-1.508319452471088E-2</v>
      </c>
    </row>
    <row r="254" spans="1:32" x14ac:dyDescent="0.45">
      <c r="A254" s="4" t="s">
        <v>42</v>
      </c>
      <c r="B254" s="5">
        <v>0.25089279775929785</v>
      </c>
      <c r="C254" s="5">
        <v>2.3633364656887722E-2</v>
      </c>
      <c r="D254" s="6">
        <v>0</v>
      </c>
      <c r="E254" s="6">
        <v>1</v>
      </c>
      <c r="F254" s="6">
        <v>382</v>
      </c>
      <c r="G254" s="5">
        <v>0.39009576358444259</v>
      </c>
      <c r="H254" s="5">
        <v>2.3181206138358921E-2</v>
      </c>
      <c r="I254" s="6">
        <v>0</v>
      </c>
      <c r="J254" s="6">
        <v>1</v>
      </c>
      <c r="K254" s="6">
        <v>475</v>
      </c>
      <c r="L254" s="5">
        <v>0.31115391050319358</v>
      </c>
      <c r="M254" s="5">
        <v>2.230646426075697E-2</v>
      </c>
      <c r="N254" s="6">
        <v>0</v>
      </c>
      <c r="O254" s="6">
        <v>1</v>
      </c>
      <c r="P254" s="6">
        <v>474</v>
      </c>
      <c r="Q254" s="5">
        <v>0.48120800183961793</v>
      </c>
      <c r="R254" s="5">
        <v>2.4961710177192679E-2</v>
      </c>
      <c r="S254" s="6">
        <v>0</v>
      </c>
      <c r="T254" s="6">
        <v>1</v>
      </c>
      <c r="U254" s="6">
        <v>423</v>
      </c>
      <c r="V254" s="5">
        <v>0.3457577606704838</v>
      </c>
      <c r="W254" s="5">
        <v>1.8801067085193666E-2</v>
      </c>
      <c r="X254" s="6">
        <v>0</v>
      </c>
      <c r="Y254" s="6">
        <v>1</v>
      </c>
      <c r="Z254" s="6">
        <v>1145</v>
      </c>
      <c r="AA254" s="5">
        <v>0.36657663781801664</v>
      </c>
      <c r="AB254" s="5">
        <v>1.2575722914207254E-2</v>
      </c>
      <c r="AC254" s="6">
        <v>0</v>
      </c>
      <c r="AD254" s="6">
        <v>1</v>
      </c>
      <c r="AE254" s="6">
        <v>2899</v>
      </c>
      <c r="AF254">
        <f>(AA255/AA253)-AA254</f>
        <v>-5.0718702526939441E-2</v>
      </c>
    </row>
    <row r="255" spans="1:32" x14ac:dyDescent="0.45">
      <c r="A255" s="4" t="s">
        <v>113</v>
      </c>
      <c r="B255" s="5">
        <v>5.5450039259846401E-2</v>
      </c>
      <c r="C255" s="5">
        <v>1.2259307980106169E-2</v>
      </c>
      <c r="D255" s="6">
        <v>0</v>
      </c>
      <c r="E255" s="6">
        <v>1</v>
      </c>
      <c r="F255" s="6">
        <v>377</v>
      </c>
      <c r="G255" s="5">
        <v>6.099075054782585E-2</v>
      </c>
      <c r="H255" s="5">
        <v>1.1615706843895715E-2</v>
      </c>
      <c r="I255" s="6">
        <v>0</v>
      </c>
      <c r="J255" s="6">
        <v>1</v>
      </c>
      <c r="K255" s="6">
        <v>467</v>
      </c>
      <c r="L255" s="5">
        <v>1.4164214196648916E-2</v>
      </c>
      <c r="M255" s="5">
        <v>5.8292984811251841E-3</v>
      </c>
      <c r="N255" s="6">
        <v>0</v>
      </c>
      <c r="O255" s="6">
        <v>1</v>
      </c>
      <c r="P255" s="6">
        <v>441</v>
      </c>
      <c r="Q255" s="5">
        <v>3.0026858473947773E-2</v>
      </c>
      <c r="R255" s="5">
        <v>8.5658903286112802E-3</v>
      </c>
      <c r="S255" s="6">
        <v>0</v>
      </c>
      <c r="T255" s="6">
        <v>1</v>
      </c>
      <c r="U255" s="6">
        <v>422</v>
      </c>
      <c r="V255" s="5">
        <v>4.3378228919128466E-2</v>
      </c>
      <c r="W255" s="5">
        <v>9.5543481182063916E-3</v>
      </c>
      <c r="X255" s="6">
        <v>0</v>
      </c>
      <c r="Y255" s="6">
        <v>1</v>
      </c>
      <c r="Z255" s="6">
        <v>1068</v>
      </c>
      <c r="AA255" s="5">
        <v>3.443354788424538E-2</v>
      </c>
      <c r="AB255" s="5">
        <v>4.5163775576519604E-3</v>
      </c>
      <c r="AC255" s="6">
        <v>0</v>
      </c>
      <c r="AD255" s="6">
        <v>1</v>
      </c>
      <c r="AE255" s="6">
        <v>2775</v>
      </c>
    </row>
    <row r="256" spans="1:32" x14ac:dyDescent="0.45">
      <c r="A256" s="4" t="s">
        <v>36</v>
      </c>
      <c r="B256" s="5">
        <v>0.26636125194779031</v>
      </c>
      <c r="C256" s="5">
        <v>2.4189991287900472E-2</v>
      </c>
      <c r="D256" s="6">
        <v>0</v>
      </c>
      <c r="E256" s="6">
        <v>1</v>
      </c>
      <c r="F256" s="6">
        <v>377</v>
      </c>
      <c r="G256" s="5">
        <v>0.17672760534526755</v>
      </c>
      <c r="H256" s="5">
        <v>1.8127456261163202E-2</v>
      </c>
      <c r="I256" s="6">
        <v>0</v>
      </c>
      <c r="J256" s="6">
        <v>1</v>
      </c>
      <c r="K256" s="6">
        <v>467</v>
      </c>
      <c r="L256" s="5">
        <v>4.3890875888197518E-2</v>
      </c>
      <c r="M256" s="5">
        <v>9.6682460234033402E-3</v>
      </c>
      <c r="N256" s="6">
        <v>0</v>
      </c>
      <c r="O256" s="6">
        <v>1</v>
      </c>
      <c r="P256" s="6">
        <v>441</v>
      </c>
      <c r="Q256" s="5">
        <v>8.371081995835053E-2</v>
      </c>
      <c r="R256" s="5">
        <v>1.4050470479779449E-2</v>
      </c>
      <c r="S256" s="6">
        <v>0</v>
      </c>
      <c r="T256" s="6">
        <v>1</v>
      </c>
      <c r="U256" s="6">
        <v>422</v>
      </c>
      <c r="V256" s="5">
        <v>0.17670361522524197</v>
      </c>
      <c r="W256" s="5">
        <v>1.6865782603968957E-2</v>
      </c>
      <c r="X256" s="6">
        <v>0</v>
      </c>
      <c r="Y256" s="6">
        <v>1</v>
      </c>
      <c r="Z256" s="6">
        <v>1068</v>
      </c>
      <c r="AA256" s="5">
        <v>0.10901593418102137</v>
      </c>
      <c r="AB256" s="5">
        <v>7.4445039199197852E-3</v>
      </c>
      <c r="AC256" s="6">
        <v>0</v>
      </c>
      <c r="AD256" s="6">
        <v>1</v>
      </c>
      <c r="AE256" s="6">
        <v>2775</v>
      </c>
      <c r="AF256">
        <f>(AA258/AA257)-AA256</f>
        <v>-3.1269878417714128E-2</v>
      </c>
    </row>
    <row r="257" spans="1:32" x14ac:dyDescent="0.45">
      <c r="A257" s="4" t="s">
        <v>44</v>
      </c>
      <c r="B257" s="5">
        <v>7.9771782857088899E-2</v>
      </c>
      <c r="C257" s="5">
        <v>1.4835173716237555E-2</v>
      </c>
      <c r="D257" s="6">
        <v>0</v>
      </c>
      <c r="E257" s="6">
        <v>1</v>
      </c>
      <c r="F257" s="6">
        <v>382</v>
      </c>
      <c r="G257" s="5">
        <v>9.1412983805042231E-2</v>
      </c>
      <c r="H257" s="5">
        <v>1.3542282503153303E-2</v>
      </c>
      <c r="I257" s="6">
        <v>0</v>
      </c>
      <c r="J257" s="6">
        <v>1</v>
      </c>
      <c r="K257" s="6">
        <v>475</v>
      </c>
      <c r="L257" s="5">
        <v>6.2522483872663487E-2</v>
      </c>
      <c r="M257" s="5">
        <v>1.2083621448993364E-2</v>
      </c>
      <c r="N257" s="6">
        <v>0</v>
      </c>
      <c r="O257" s="6">
        <v>1</v>
      </c>
      <c r="P257" s="6">
        <v>474</v>
      </c>
      <c r="Q257" s="5">
        <v>0.15234303743644023</v>
      </c>
      <c r="R257" s="5">
        <v>1.7921333577869139E-2</v>
      </c>
      <c r="S257" s="6">
        <v>0</v>
      </c>
      <c r="T257" s="6">
        <v>1</v>
      </c>
      <c r="U257" s="6">
        <v>423</v>
      </c>
      <c r="V257" s="5">
        <v>7.9695497124933817E-2</v>
      </c>
      <c r="W257" s="5">
        <v>8.4181414188695299E-3</v>
      </c>
      <c r="X257" s="6">
        <v>0</v>
      </c>
      <c r="Y257" s="6">
        <v>1</v>
      </c>
      <c r="Z257" s="6">
        <v>1145</v>
      </c>
      <c r="AA257" s="5">
        <v>9.1537468369046068E-2</v>
      </c>
      <c r="AB257" s="5">
        <v>7.4032918276990987E-3</v>
      </c>
      <c r="AC257" s="6">
        <v>0</v>
      </c>
      <c r="AD257" s="6">
        <v>1</v>
      </c>
      <c r="AE257" s="6">
        <v>2899</v>
      </c>
      <c r="AF257">
        <f>(AA258/AA256)-AA257</f>
        <v>-2.6256395710121186E-2</v>
      </c>
    </row>
    <row r="258" spans="1:32" x14ac:dyDescent="0.45">
      <c r="A258" s="4" t="s">
        <v>114</v>
      </c>
      <c r="B258" s="5">
        <v>2.6881831974814113E-2</v>
      </c>
      <c r="C258" s="5">
        <v>8.5564811261163286E-3</v>
      </c>
      <c r="D258" s="6">
        <v>0</v>
      </c>
      <c r="E258" s="6">
        <v>1</v>
      </c>
      <c r="F258" s="6">
        <v>377</v>
      </c>
      <c r="G258" s="5">
        <v>1.3645499532345548E-2</v>
      </c>
      <c r="H258" s="5">
        <v>5.5408504713199344E-3</v>
      </c>
      <c r="I258" s="6">
        <v>0</v>
      </c>
      <c r="J258" s="6">
        <v>1</v>
      </c>
      <c r="K258" s="6">
        <v>467</v>
      </c>
      <c r="L258" s="5">
        <v>2.1394999406316758E-3</v>
      </c>
      <c r="M258" s="5">
        <v>2.1399424498196908E-3</v>
      </c>
      <c r="N258" s="6">
        <v>0</v>
      </c>
      <c r="O258" s="6">
        <v>1</v>
      </c>
      <c r="P258" s="6">
        <v>441</v>
      </c>
      <c r="Q258" s="5">
        <v>2.3068860467356849E-3</v>
      </c>
      <c r="R258" s="5">
        <v>2.3071695754940452E-3</v>
      </c>
      <c r="S258" s="6">
        <v>0</v>
      </c>
      <c r="T258" s="6">
        <v>1</v>
      </c>
      <c r="U258" s="6">
        <v>422</v>
      </c>
      <c r="V258" s="5">
        <v>5.1901797010347949E-3</v>
      </c>
      <c r="W258" s="5">
        <v>2.2094654037413388E-3</v>
      </c>
      <c r="X258" s="6">
        <v>0</v>
      </c>
      <c r="Y258" s="6">
        <v>1</v>
      </c>
      <c r="Z258" s="6">
        <v>1068</v>
      </c>
      <c r="AA258" s="5">
        <v>7.1166771202518285E-3</v>
      </c>
      <c r="AB258" s="5">
        <v>1.9179874954817233E-3</v>
      </c>
      <c r="AC258" s="6">
        <v>0</v>
      </c>
      <c r="AD258" s="6">
        <v>1</v>
      </c>
      <c r="AE258" s="6">
        <v>2775</v>
      </c>
    </row>
    <row r="259" spans="1:32" x14ac:dyDescent="0.45">
      <c r="A259" s="4" t="s">
        <v>36</v>
      </c>
      <c r="B259" s="5">
        <v>0.26636125194779031</v>
      </c>
      <c r="C259" s="5">
        <v>2.4189991287900472E-2</v>
      </c>
      <c r="D259" s="6">
        <v>0</v>
      </c>
      <c r="E259" s="6">
        <v>1</v>
      </c>
      <c r="F259" s="6">
        <v>377</v>
      </c>
      <c r="G259" s="5">
        <v>0.17672760534526755</v>
      </c>
      <c r="H259" s="5">
        <v>1.8127456261163202E-2</v>
      </c>
      <c r="I259" s="6">
        <v>0</v>
      </c>
      <c r="J259" s="6">
        <v>1</v>
      </c>
      <c r="K259" s="6">
        <v>467</v>
      </c>
      <c r="L259" s="5">
        <v>4.3890875888197518E-2</v>
      </c>
      <c r="M259" s="5">
        <v>9.6682460234033402E-3</v>
      </c>
      <c r="N259" s="6">
        <v>0</v>
      </c>
      <c r="O259" s="6">
        <v>1</v>
      </c>
      <c r="P259" s="6">
        <v>441</v>
      </c>
      <c r="Q259" s="5">
        <v>8.371081995835053E-2</v>
      </c>
      <c r="R259" s="5">
        <v>1.4050470479779449E-2</v>
      </c>
      <c r="S259" s="6">
        <v>0</v>
      </c>
      <c r="T259" s="6">
        <v>1</v>
      </c>
      <c r="U259" s="6">
        <v>422</v>
      </c>
      <c r="V259" s="5">
        <v>0.17670361522524197</v>
      </c>
      <c r="W259" s="5">
        <v>1.6865782603968957E-2</v>
      </c>
      <c r="X259" s="6">
        <v>0</v>
      </c>
      <c r="Y259" s="6">
        <v>1</v>
      </c>
      <c r="Z259" s="6">
        <v>1068</v>
      </c>
      <c r="AA259" s="5">
        <v>0.10901593418102137</v>
      </c>
      <c r="AB259" s="5">
        <v>7.4445039199197852E-3</v>
      </c>
      <c r="AC259" s="6">
        <v>0</v>
      </c>
      <c r="AD259" s="6">
        <v>1</v>
      </c>
      <c r="AE259" s="6">
        <v>2775</v>
      </c>
      <c r="AF259">
        <f>(AA261/AA260)-AA259</f>
        <v>1.4047964874340776E-2</v>
      </c>
    </row>
    <row r="260" spans="1:32" ht="39.4" x14ac:dyDescent="0.45">
      <c r="A260" s="4" t="s">
        <v>16</v>
      </c>
      <c r="B260" s="5">
        <v>0.50556237093372625</v>
      </c>
      <c r="C260" s="5">
        <v>2.8806099607079916E-2</v>
      </c>
      <c r="D260" s="6">
        <v>0</v>
      </c>
      <c r="E260" s="6">
        <v>1</v>
      </c>
      <c r="F260" s="6">
        <v>382</v>
      </c>
      <c r="G260" s="5">
        <v>0.75127200876490052</v>
      </c>
      <c r="H260" s="5">
        <v>2.0440411467445026E-2</v>
      </c>
      <c r="I260" s="6">
        <v>0</v>
      </c>
      <c r="J260" s="6">
        <v>1</v>
      </c>
      <c r="K260" s="6">
        <v>475</v>
      </c>
      <c r="L260" s="5">
        <v>0.57082825926267877</v>
      </c>
      <c r="M260" s="5">
        <v>2.3540070455782523E-2</v>
      </c>
      <c r="N260" s="6">
        <v>0</v>
      </c>
      <c r="O260" s="6">
        <v>1</v>
      </c>
      <c r="P260" s="6">
        <v>474</v>
      </c>
      <c r="Q260" s="5">
        <v>0.83603306383602227</v>
      </c>
      <c r="R260" s="5">
        <v>1.8289048327108152E-2</v>
      </c>
      <c r="S260" s="6">
        <v>0</v>
      </c>
      <c r="T260" s="6">
        <v>1</v>
      </c>
      <c r="U260" s="6">
        <v>423</v>
      </c>
      <c r="V260" s="5">
        <v>0.4594408339654299</v>
      </c>
      <c r="W260" s="5">
        <v>2.0333889342993294E-2</v>
      </c>
      <c r="X260" s="6">
        <v>0</v>
      </c>
      <c r="Y260" s="6">
        <v>1</v>
      </c>
      <c r="Z260" s="6">
        <v>1145</v>
      </c>
      <c r="AA260" s="5">
        <v>0.6685391064616979</v>
      </c>
      <c r="AB260" s="5">
        <v>1.2404909142965445E-2</v>
      </c>
      <c r="AC260" s="6">
        <v>0</v>
      </c>
      <c r="AD260" s="6">
        <v>1</v>
      </c>
      <c r="AE260" s="6">
        <v>2899</v>
      </c>
      <c r="AF260">
        <f>(AA261/AA259)-AA260</f>
        <v>8.6149001567993655E-2</v>
      </c>
    </row>
    <row r="261" spans="1:32" x14ac:dyDescent="0.45">
      <c r="A261" s="4" t="s">
        <v>115</v>
      </c>
      <c r="B261" s="5">
        <v>0.14011819334554476</v>
      </c>
      <c r="C261" s="5">
        <v>1.8890735723847051E-2</v>
      </c>
      <c r="D261" s="6">
        <v>0</v>
      </c>
      <c r="E261" s="6">
        <v>1</v>
      </c>
      <c r="F261" s="6">
        <v>377</v>
      </c>
      <c r="G261" s="5">
        <v>0.15177575191141493</v>
      </c>
      <c r="H261" s="5">
        <v>1.7249692850469719E-2</v>
      </c>
      <c r="I261" s="6">
        <v>0</v>
      </c>
      <c r="J261" s="6">
        <v>1</v>
      </c>
      <c r="K261" s="6">
        <v>467</v>
      </c>
      <c r="L261" s="5">
        <v>3.6974490486786561E-2</v>
      </c>
      <c r="M261" s="5">
        <v>8.9251652859731571E-3</v>
      </c>
      <c r="N261" s="6">
        <v>0</v>
      </c>
      <c r="O261" s="6">
        <v>1</v>
      </c>
      <c r="P261" s="6">
        <v>441</v>
      </c>
      <c r="Q261" s="5">
        <v>6.6155573023005704E-2</v>
      </c>
      <c r="R261" s="5">
        <v>1.2618024990787747E-2</v>
      </c>
      <c r="S261" s="6">
        <v>0</v>
      </c>
      <c r="T261" s="6">
        <v>1</v>
      </c>
      <c r="U261" s="6">
        <v>422</v>
      </c>
      <c r="V261" s="5">
        <v>4.0650401394474747E-2</v>
      </c>
      <c r="W261" s="5">
        <v>8.7923833334778781E-3</v>
      </c>
      <c r="X261" s="6">
        <v>0</v>
      </c>
      <c r="Y261" s="6">
        <v>1</v>
      </c>
      <c r="Z261" s="6">
        <v>1068</v>
      </c>
      <c r="AA261" s="5">
        <v>8.22730291121644E-2</v>
      </c>
      <c r="AB261" s="5">
        <v>6.8346386635140107E-3</v>
      </c>
      <c r="AC261" s="6">
        <v>0</v>
      </c>
      <c r="AD261" s="6">
        <v>1</v>
      </c>
      <c r="AE261" s="6">
        <v>2775</v>
      </c>
    </row>
    <row r="262" spans="1:32" x14ac:dyDescent="0.45">
      <c r="A262" s="4" t="s">
        <v>36</v>
      </c>
      <c r="B262" s="5">
        <v>0.26636125194779031</v>
      </c>
      <c r="C262" s="5">
        <v>2.4189991287900472E-2</v>
      </c>
      <c r="D262" s="6">
        <v>0</v>
      </c>
      <c r="E262" s="6">
        <v>1</v>
      </c>
      <c r="F262" s="6">
        <v>377</v>
      </c>
      <c r="G262" s="5">
        <v>0.17672760534526755</v>
      </c>
      <c r="H262" s="5">
        <v>1.8127456261163202E-2</v>
      </c>
      <c r="I262" s="6">
        <v>0</v>
      </c>
      <c r="J262" s="6">
        <v>1</v>
      </c>
      <c r="K262" s="6">
        <v>467</v>
      </c>
      <c r="L262" s="5">
        <v>4.3890875888197518E-2</v>
      </c>
      <c r="M262" s="5">
        <v>9.6682460234033402E-3</v>
      </c>
      <c r="N262" s="6">
        <v>0</v>
      </c>
      <c r="O262" s="6">
        <v>1</v>
      </c>
      <c r="P262" s="6">
        <v>441</v>
      </c>
      <c r="Q262" s="5">
        <v>8.371081995835053E-2</v>
      </c>
      <c r="R262" s="5">
        <v>1.4050470479779449E-2</v>
      </c>
      <c r="S262" s="6">
        <v>0</v>
      </c>
      <c r="T262" s="6">
        <v>1</v>
      </c>
      <c r="U262" s="6">
        <v>422</v>
      </c>
      <c r="V262" s="5">
        <v>0.17670361522524197</v>
      </c>
      <c r="W262" s="5">
        <v>1.6865782603968957E-2</v>
      </c>
      <c r="X262" s="6">
        <v>0</v>
      </c>
      <c r="Y262" s="6">
        <v>1</v>
      </c>
      <c r="Z262" s="6">
        <v>1068</v>
      </c>
      <c r="AA262" s="5">
        <v>0.10901593418102137</v>
      </c>
      <c r="AB262" s="5">
        <v>7.4445039199197852E-3</v>
      </c>
      <c r="AC262" s="6">
        <v>0</v>
      </c>
      <c r="AD262" s="6">
        <v>1</v>
      </c>
      <c r="AE262" s="6">
        <v>2775</v>
      </c>
      <c r="AF262">
        <f>(AA264/AA263)-AA262</f>
        <v>1.2626307640929021E-2</v>
      </c>
    </row>
    <row r="263" spans="1:32" ht="39.4" x14ac:dyDescent="0.45">
      <c r="A263" s="4" t="s">
        <v>18</v>
      </c>
      <c r="B263" s="5">
        <v>0.57072600859564226</v>
      </c>
      <c r="C263" s="5">
        <v>2.9131924939021201E-2</v>
      </c>
      <c r="D263" s="6">
        <v>0</v>
      </c>
      <c r="E263" s="6">
        <v>1</v>
      </c>
      <c r="F263" s="6">
        <v>382</v>
      </c>
      <c r="G263" s="5">
        <v>0.77458535334454726</v>
      </c>
      <c r="H263" s="5">
        <v>1.9819153022370115E-2</v>
      </c>
      <c r="I263" s="6">
        <v>0</v>
      </c>
      <c r="J263" s="6">
        <v>1</v>
      </c>
      <c r="K263" s="6">
        <v>475</v>
      </c>
      <c r="L263" s="5">
        <v>0.5654398229580665</v>
      </c>
      <c r="M263" s="5">
        <v>2.3474274957925739E-2</v>
      </c>
      <c r="N263" s="6">
        <v>0</v>
      </c>
      <c r="O263" s="6">
        <v>1</v>
      </c>
      <c r="P263" s="6">
        <v>474</v>
      </c>
      <c r="Q263" s="5">
        <v>0.74315598481496103</v>
      </c>
      <c r="R263" s="5">
        <v>2.153023882484394E-2</v>
      </c>
      <c r="S263" s="6">
        <v>0</v>
      </c>
      <c r="T263" s="6">
        <v>1</v>
      </c>
      <c r="U263" s="6">
        <v>423</v>
      </c>
      <c r="V263" s="5">
        <v>0.41997286525770899</v>
      </c>
      <c r="W263" s="5">
        <v>1.993996945027731E-2</v>
      </c>
      <c r="X263" s="6">
        <v>0</v>
      </c>
      <c r="Y263" s="6">
        <v>1</v>
      </c>
      <c r="Z263" s="6">
        <v>1145</v>
      </c>
      <c r="AA263" s="5">
        <v>0.65520854638593373</v>
      </c>
      <c r="AB263" s="5">
        <v>1.2427109701659765E-2</v>
      </c>
      <c r="AC263" s="6">
        <v>0</v>
      </c>
      <c r="AD263" s="6">
        <v>1</v>
      </c>
      <c r="AE263" s="6">
        <v>2899</v>
      </c>
      <c r="AF263">
        <f>(AA264/AA262)-AA263</f>
        <v>7.5886747545524824E-2</v>
      </c>
    </row>
    <row r="264" spans="1:32" x14ac:dyDescent="0.45">
      <c r="A264" s="4" t="s">
        <v>116</v>
      </c>
      <c r="B264" s="5">
        <v>0.14190117461838764</v>
      </c>
      <c r="C264" s="5">
        <v>1.8939161480732325E-2</v>
      </c>
      <c r="D264" s="6">
        <v>0</v>
      </c>
      <c r="E264" s="6">
        <v>1</v>
      </c>
      <c r="F264" s="6">
        <v>377</v>
      </c>
      <c r="G264" s="5">
        <v>0.14732605814696081</v>
      </c>
      <c r="H264" s="5">
        <v>1.7047880588319578E-2</v>
      </c>
      <c r="I264" s="6">
        <v>0</v>
      </c>
      <c r="J264" s="6">
        <v>1</v>
      </c>
      <c r="K264" s="6">
        <v>467</v>
      </c>
      <c r="L264" s="5">
        <v>3.4881163193243352E-2</v>
      </c>
      <c r="M264" s="5">
        <v>8.6921021811789175E-3</v>
      </c>
      <c r="N264" s="6">
        <v>0</v>
      </c>
      <c r="O264" s="6">
        <v>1</v>
      </c>
      <c r="P264" s="6">
        <v>441</v>
      </c>
      <c r="Q264" s="5">
        <v>6.2467562479865658E-2</v>
      </c>
      <c r="R264" s="5">
        <v>1.2384791104877368E-2</v>
      </c>
      <c r="S264" s="6">
        <v>0</v>
      </c>
      <c r="T264" s="6">
        <v>1</v>
      </c>
      <c r="U264" s="6">
        <v>422</v>
      </c>
      <c r="V264" s="5">
        <v>4.6454922049310961E-2</v>
      </c>
      <c r="W264" s="5">
        <v>9.718228198940736E-3</v>
      </c>
      <c r="X264" s="6">
        <v>0</v>
      </c>
      <c r="Y264" s="6">
        <v>1</v>
      </c>
      <c r="Z264" s="6">
        <v>1068</v>
      </c>
      <c r="AA264" s="5">
        <v>7.9701036443286355E-2</v>
      </c>
      <c r="AB264" s="5">
        <v>6.723377619509462E-3</v>
      </c>
      <c r="AC264" s="6">
        <v>0</v>
      </c>
      <c r="AD264" s="6">
        <v>1</v>
      </c>
      <c r="AE264" s="6">
        <v>2775</v>
      </c>
    </row>
    <row r="265" spans="1:32" x14ac:dyDescent="0.45">
      <c r="A265" s="4" t="s">
        <v>36</v>
      </c>
      <c r="B265" s="5">
        <v>0.26636125194779031</v>
      </c>
      <c r="C265" s="5">
        <v>2.4189991287900472E-2</v>
      </c>
      <c r="D265" s="6">
        <v>0</v>
      </c>
      <c r="E265" s="6">
        <v>1</v>
      </c>
      <c r="F265" s="6">
        <v>377</v>
      </c>
      <c r="G265" s="5">
        <v>0.17672760534526755</v>
      </c>
      <c r="H265" s="5">
        <v>1.8127456261163202E-2</v>
      </c>
      <c r="I265" s="6">
        <v>0</v>
      </c>
      <c r="J265" s="6">
        <v>1</v>
      </c>
      <c r="K265" s="6">
        <v>467</v>
      </c>
      <c r="L265" s="5">
        <v>4.3890875888197518E-2</v>
      </c>
      <c r="M265" s="5">
        <v>9.6682460234033402E-3</v>
      </c>
      <c r="N265" s="6">
        <v>0</v>
      </c>
      <c r="O265" s="6">
        <v>1</v>
      </c>
      <c r="P265" s="6">
        <v>441</v>
      </c>
      <c r="Q265" s="5">
        <v>8.371081995835053E-2</v>
      </c>
      <c r="R265" s="5">
        <v>1.4050470479779449E-2</v>
      </c>
      <c r="S265" s="6">
        <v>0</v>
      </c>
      <c r="T265" s="6">
        <v>1</v>
      </c>
      <c r="U265" s="6">
        <v>422</v>
      </c>
      <c r="V265" s="5">
        <v>0.17670361522524197</v>
      </c>
      <c r="W265" s="5">
        <v>1.6865782603968957E-2</v>
      </c>
      <c r="X265" s="6">
        <v>0</v>
      </c>
      <c r="Y265" s="6">
        <v>1</v>
      </c>
      <c r="Z265" s="6">
        <v>1068</v>
      </c>
      <c r="AA265" s="5">
        <v>0.10901593418102137</v>
      </c>
      <c r="AB265" s="5">
        <v>7.4445039199197852E-3</v>
      </c>
      <c r="AC265" s="6">
        <v>0</v>
      </c>
      <c r="AD265" s="6">
        <v>1</v>
      </c>
      <c r="AE265" s="6">
        <v>2775</v>
      </c>
      <c r="AF265">
        <f>(AA267/AA266)-AA265</f>
        <v>2.423683206411606E-2</v>
      </c>
    </row>
    <row r="266" spans="1:32" ht="39.4" x14ac:dyDescent="0.45">
      <c r="A266" s="4" t="s">
        <v>20</v>
      </c>
      <c r="B266" s="5">
        <v>0.49338798814146861</v>
      </c>
      <c r="C266" s="5">
        <v>2.8707903736097995E-2</v>
      </c>
      <c r="D266" s="6">
        <v>0</v>
      </c>
      <c r="E266" s="6">
        <v>1</v>
      </c>
      <c r="F266" s="6">
        <v>382</v>
      </c>
      <c r="G266" s="5">
        <v>0.69081776050351118</v>
      </c>
      <c r="H266" s="5">
        <v>2.1925596244174266E-2</v>
      </c>
      <c r="I266" s="6">
        <v>0</v>
      </c>
      <c r="J266" s="6">
        <v>1</v>
      </c>
      <c r="K266" s="6">
        <v>475</v>
      </c>
      <c r="L266" s="5">
        <v>0.46365152535875825</v>
      </c>
      <c r="M266" s="5">
        <v>2.3696802294859671E-2</v>
      </c>
      <c r="N266" s="6">
        <v>0</v>
      </c>
      <c r="O266" s="6">
        <v>1</v>
      </c>
      <c r="P266" s="6">
        <v>474</v>
      </c>
      <c r="Q266" s="5">
        <v>0.58710843859266493</v>
      </c>
      <c r="R266" s="5">
        <v>2.4491537195724417E-2</v>
      </c>
      <c r="S266" s="6">
        <v>0</v>
      </c>
      <c r="T266" s="6">
        <v>1</v>
      </c>
      <c r="U266" s="6">
        <v>423</v>
      </c>
      <c r="V266" s="5">
        <v>0.25029012683588503</v>
      </c>
      <c r="W266" s="5">
        <v>1.6687579347897857E-2</v>
      </c>
      <c r="X266" s="6">
        <v>0</v>
      </c>
      <c r="Y266" s="6">
        <v>1</v>
      </c>
      <c r="Z266" s="6">
        <v>1145</v>
      </c>
      <c r="AA266" s="5">
        <v>0.54560453381291008</v>
      </c>
      <c r="AB266" s="5">
        <v>1.2992144899166979E-2</v>
      </c>
      <c r="AC266" s="6">
        <v>0</v>
      </c>
      <c r="AD266" s="6">
        <v>1</v>
      </c>
      <c r="AE266" s="6">
        <v>2899</v>
      </c>
      <c r="AF266">
        <f>(AA267/AA265)-AA266</f>
        <v>0.12130084981417288</v>
      </c>
    </row>
    <row r="267" spans="1:32" x14ac:dyDescent="0.45">
      <c r="A267" s="4" t="s">
        <v>117</v>
      </c>
      <c r="B267" s="5">
        <v>0.14190117461838764</v>
      </c>
      <c r="C267" s="5">
        <v>1.8939161480732325E-2</v>
      </c>
      <c r="D267" s="6">
        <v>0</v>
      </c>
      <c r="E267" s="6">
        <v>1</v>
      </c>
      <c r="F267" s="6">
        <v>377</v>
      </c>
      <c r="G267" s="5">
        <v>0.14257707189717989</v>
      </c>
      <c r="H267" s="5">
        <v>1.6810184299082605E-2</v>
      </c>
      <c r="I267" s="6">
        <v>0</v>
      </c>
      <c r="J267" s="6">
        <v>1</v>
      </c>
      <c r="K267" s="6">
        <v>467</v>
      </c>
      <c r="L267" s="5">
        <v>3.1921476068048529E-2</v>
      </c>
      <c r="M267" s="5">
        <v>8.2045760488913353E-3</v>
      </c>
      <c r="N267" s="6">
        <v>0</v>
      </c>
      <c r="O267" s="6">
        <v>1</v>
      </c>
      <c r="P267" s="6">
        <v>441</v>
      </c>
      <c r="Q267" s="5">
        <v>4.7433618524039017E-2</v>
      </c>
      <c r="R267" s="5">
        <v>1.0954354042747735E-2</v>
      </c>
      <c r="S267" s="6">
        <v>0</v>
      </c>
      <c r="T267" s="6">
        <v>1</v>
      </c>
      <c r="U267" s="6">
        <v>422</v>
      </c>
      <c r="V267" s="5">
        <v>1.3923308582991994E-2</v>
      </c>
      <c r="W267" s="5">
        <v>3.9886541345161399E-3</v>
      </c>
      <c r="X267" s="6">
        <v>0</v>
      </c>
      <c r="Y267" s="6">
        <v>1</v>
      </c>
      <c r="Z267" s="6">
        <v>1068</v>
      </c>
      <c r="AA267" s="5">
        <v>7.2703313406458886E-2</v>
      </c>
      <c r="AB267" s="5">
        <v>6.4410682518953981E-3</v>
      </c>
      <c r="AC267" s="6">
        <v>0</v>
      </c>
      <c r="AD267" s="6">
        <v>1</v>
      </c>
      <c r="AE267" s="6">
        <v>2775</v>
      </c>
    </row>
    <row r="268" spans="1:32" x14ac:dyDescent="0.45">
      <c r="A268" s="4" t="s">
        <v>36</v>
      </c>
      <c r="B268" s="5">
        <v>0.26636125194779031</v>
      </c>
      <c r="C268" s="5">
        <v>2.4189991287900472E-2</v>
      </c>
      <c r="D268" s="6">
        <v>0</v>
      </c>
      <c r="E268" s="6">
        <v>1</v>
      </c>
      <c r="F268" s="6">
        <v>377</v>
      </c>
      <c r="G268" s="5">
        <v>0.17672760534526755</v>
      </c>
      <c r="H268" s="5">
        <v>1.8127456261163202E-2</v>
      </c>
      <c r="I268" s="6">
        <v>0</v>
      </c>
      <c r="J268" s="6">
        <v>1</v>
      </c>
      <c r="K268" s="6">
        <v>467</v>
      </c>
      <c r="L268" s="5">
        <v>4.3890875888197518E-2</v>
      </c>
      <c r="M268" s="5">
        <v>9.6682460234033402E-3</v>
      </c>
      <c r="N268" s="6">
        <v>0</v>
      </c>
      <c r="O268" s="6">
        <v>1</v>
      </c>
      <c r="P268" s="6">
        <v>441</v>
      </c>
      <c r="Q268" s="5">
        <v>8.371081995835053E-2</v>
      </c>
      <c r="R268" s="5">
        <v>1.4050470479779449E-2</v>
      </c>
      <c r="S268" s="6">
        <v>0</v>
      </c>
      <c r="T268" s="6">
        <v>1</v>
      </c>
      <c r="U268" s="6">
        <v>422</v>
      </c>
      <c r="V268" s="5">
        <v>0.17670361522524197</v>
      </c>
      <c r="W268" s="5">
        <v>1.6865782603968957E-2</v>
      </c>
      <c r="X268" s="6">
        <v>0</v>
      </c>
      <c r="Y268" s="6">
        <v>1</v>
      </c>
      <c r="Z268" s="6">
        <v>1068</v>
      </c>
      <c r="AA268" s="5">
        <v>0.10901593418102137</v>
      </c>
      <c r="AB268" s="5">
        <v>7.4445039199197852E-3</v>
      </c>
      <c r="AC268" s="6">
        <v>0</v>
      </c>
      <c r="AD268" s="6">
        <v>1</v>
      </c>
      <c r="AE268" s="6">
        <v>2775</v>
      </c>
      <c r="AF268">
        <f>(AA270/AA269)-AA268</f>
        <v>-5.3915589861644464E-4</v>
      </c>
    </row>
    <row r="269" spans="1:32" ht="26.25" x14ac:dyDescent="0.45">
      <c r="A269" s="4" t="s">
        <v>22</v>
      </c>
      <c r="B269" s="5">
        <v>0.43781029932519605</v>
      </c>
      <c r="C269" s="5">
        <v>2.8093230494023593E-2</v>
      </c>
      <c r="D269" s="6">
        <v>0</v>
      </c>
      <c r="E269" s="6">
        <v>1</v>
      </c>
      <c r="F269" s="6">
        <v>382</v>
      </c>
      <c r="G269" s="5">
        <v>0.55219468727267385</v>
      </c>
      <c r="H269" s="5">
        <v>2.3637016925189443E-2</v>
      </c>
      <c r="I269" s="6">
        <v>0</v>
      </c>
      <c r="J269" s="6">
        <v>1</v>
      </c>
      <c r="K269" s="6">
        <v>475</v>
      </c>
      <c r="L269" s="5">
        <v>0.49668116027963227</v>
      </c>
      <c r="M269" s="5">
        <v>2.3742455291589224E-2</v>
      </c>
      <c r="N269" s="6">
        <v>0</v>
      </c>
      <c r="O269" s="6">
        <v>1</v>
      </c>
      <c r="P269" s="6">
        <v>474</v>
      </c>
      <c r="Q269" s="5">
        <v>0.81611123613737024</v>
      </c>
      <c r="R269" s="5">
        <v>1.9017745333524308E-2</v>
      </c>
      <c r="S269" s="6">
        <v>0</v>
      </c>
      <c r="T269" s="6">
        <v>1</v>
      </c>
      <c r="U269" s="6">
        <v>423</v>
      </c>
      <c r="V269" s="5">
        <v>0.5075346037063696</v>
      </c>
      <c r="W269" s="5">
        <v>2.0723299778355728E-2</v>
      </c>
      <c r="X269" s="6">
        <v>0</v>
      </c>
      <c r="Y269" s="6">
        <v>1</v>
      </c>
      <c r="Z269" s="6">
        <v>1145</v>
      </c>
      <c r="AA269" s="5">
        <v>0.57753648852202433</v>
      </c>
      <c r="AB269" s="5">
        <v>1.2930285821107954E-2</v>
      </c>
      <c r="AC269" s="6">
        <v>0</v>
      </c>
      <c r="AD269" s="6">
        <v>1</v>
      </c>
      <c r="AE269" s="6">
        <v>2899</v>
      </c>
      <c r="AF269">
        <f>(AA270/AA268)-AA269</f>
        <v>-2.8562999234206243E-3</v>
      </c>
    </row>
    <row r="270" spans="1:32" x14ac:dyDescent="0.45">
      <c r="A270" s="4" t="s">
        <v>118</v>
      </c>
      <c r="B270" s="5">
        <v>0.11430846013187675</v>
      </c>
      <c r="C270" s="5">
        <v>1.7224451078593592E-2</v>
      </c>
      <c r="D270" s="6">
        <v>0</v>
      </c>
      <c r="E270" s="6">
        <v>1</v>
      </c>
      <c r="F270" s="6">
        <v>377</v>
      </c>
      <c r="G270" s="5">
        <v>0.10906450239219741</v>
      </c>
      <c r="H270" s="5">
        <v>1.5043880124013252E-2</v>
      </c>
      <c r="I270" s="6">
        <v>0</v>
      </c>
      <c r="J270" s="6">
        <v>1</v>
      </c>
      <c r="K270" s="6">
        <v>467</v>
      </c>
      <c r="L270" s="5">
        <v>2.2189325928899405E-2</v>
      </c>
      <c r="M270" s="5">
        <v>7.0633738176584283E-3</v>
      </c>
      <c r="N270" s="6">
        <v>0</v>
      </c>
      <c r="O270" s="6">
        <v>1</v>
      </c>
      <c r="P270" s="6">
        <v>441</v>
      </c>
      <c r="Q270" s="5">
        <v>6.3136344741973813E-2</v>
      </c>
      <c r="R270" s="5">
        <v>1.229927428700775E-2</v>
      </c>
      <c r="S270" s="6">
        <v>0</v>
      </c>
      <c r="T270" s="6">
        <v>1</v>
      </c>
      <c r="U270" s="6">
        <v>422</v>
      </c>
      <c r="V270" s="5">
        <v>5.322844970044377E-2</v>
      </c>
      <c r="W270" s="5">
        <v>9.958301045082836E-3</v>
      </c>
      <c r="X270" s="6">
        <v>0</v>
      </c>
      <c r="Y270" s="6">
        <v>1</v>
      </c>
      <c r="Z270" s="6">
        <v>1068</v>
      </c>
      <c r="AA270" s="5">
        <v>6.2649297615402333E-2</v>
      </c>
      <c r="AB270" s="5">
        <v>5.9377930834920911E-3</v>
      </c>
      <c r="AC270" s="6">
        <v>0</v>
      </c>
      <c r="AD270" s="6">
        <v>1</v>
      </c>
      <c r="AE270" s="6">
        <v>2775</v>
      </c>
    </row>
    <row r="271" spans="1:32" x14ac:dyDescent="0.45">
      <c r="A271" s="4" t="s">
        <v>36</v>
      </c>
      <c r="B271" s="5">
        <v>0.26636125194779031</v>
      </c>
      <c r="C271" s="5">
        <v>2.4189991287900472E-2</v>
      </c>
      <c r="D271" s="6">
        <v>0</v>
      </c>
      <c r="E271" s="6">
        <v>1</v>
      </c>
      <c r="F271" s="6">
        <v>377</v>
      </c>
      <c r="G271" s="5">
        <v>0.17672760534526755</v>
      </c>
      <c r="H271" s="5">
        <v>1.8127456261163202E-2</v>
      </c>
      <c r="I271" s="6">
        <v>0</v>
      </c>
      <c r="J271" s="6">
        <v>1</v>
      </c>
      <c r="K271" s="6">
        <v>467</v>
      </c>
      <c r="L271" s="5">
        <v>4.3890875888197518E-2</v>
      </c>
      <c r="M271" s="5">
        <v>9.6682460234033402E-3</v>
      </c>
      <c r="N271" s="6">
        <v>0</v>
      </c>
      <c r="O271" s="6">
        <v>1</v>
      </c>
      <c r="P271" s="6">
        <v>441</v>
      </c>
      <c r="Q271" s="5">
        <v>8.371081995835053E-2</v>
      </c>
      <c r="R271" s="5">
        <v>1.4050470479779449E-2</v>
      </c>
      <c r="S271" s="6">
        <v>0</v>
      </c>
      <c r="T271" s="6">
        <v>1</v>
      </c>
      <c r="U271" s="6">
        <v>422</v>
      </c>
      <c r="V271" s="5">
        <v>0.17670361522524197</v>
      </c>
      <c r="W271" s="5">
        <v>1.6865782603968957E-2</v>
      </c>
      <c r="X271" s="6">
        <v>0</v>
      </c>
      <c r="Y271" s="6">
        <v>1</v>
      </c>
      <c r="Z271" s="6">
        <v>1068</v>
      </c>
      <c r="AA271" s="5">
        <v>0.10901593418102137</v>
      </c>
      <c r="AB271" s="5">
        <v>7.4445039199197852E-3</v>
      </c>
      <c r="AC271" s="6">
        <v>0</v>
      </c>
      <c r="AD271" s="6">
        <v>1</v>
      </c>
      <c r="AE271" s="6">
        <v>2775</v>
      </c>
      <c r="AF271">
        <f>(AA273/AA272)-AA271</f>
        <v>1.2394684042632831E-3</v>
      </c>
    </row>
    <row r="272" spans="1:32" ht="26.25" x14ac:dyDescent="0.45">
      <c r="A272" s="4" t="s">
        <v>24</v>
      </c>
      <c r="B272" s="5">
        <v>0.31036797432157132</v>
      </c>
      <c r="C272" s="5">
        <v>2.5728317926234395E-2</v>
      </c>
      <c r="D272" s="6">
        <v>0</v>
      </c>
      <c r="E272" s="6">
        <v>1</v>
      </c>
      <c r="F272" s="6">
        <v>382</v>
      </c>
      <c r="G272" s="5">
        <v>0.35788515033258406</v>
      </c>
      <c r="H272" s="5">
        <v>2.2745953295009329E-2</v>
      </c>
      <c r="I272" s="6">
        <v>0</v>
      </c>
      <c r="J272" s="6">
        <v>1</v>
      </c>
      <c r="K272" s="6">
        <v>475</v>
      </c>
      <c r="L272" s="5">
        <v>0.34114411132876798</v>
      </c>
      <c r="M272" s="5">
        <v>2.2373839656142282E-2</v>
      </c>
      <c r="N272" s="6">
        <v>0</v>
      </c>
      <c r="O272" s="6">
        <v>1</v>
      </c>
      <c r="P272" s="6">
        <v>474</v>
      </c>
      <c r="Q272" s="5">
        <v>0.74339061825172903</v>
      </c>
      <c r="R272" s="5">
        <v>2.1616709115009351E-2</v>
      </c>
      <c r="S272" s="6">
        <v>0</v>
      </c>
      <c r="T272" s="6">
        <v>1</v>
      </c>
      <c r="U272" s="6">
        <v>423</v>
      </c>
      <c r="V272" s="5">
        <v>0.44820179046503339</v>
      </c>
      <c r="W272" s="5">
        <v>2.0196250233777673E-2</v>
      </c>
      <c r="X272" s="6">
        <v>0</v>
      </c>
      <c r="Y272" s="6">
        <v>1</v>
      </c>
      <c r="Z272" s="6">
        <v>1145</v>
      </c>
      <c r="AA272" s="5">
        <v>0.43492332944629264</v>
      </c>
      <c r="AB272" s="5">
        <v>1.2839399235713171E-2</v>
      </c>
      <c r="AC272" s="6">
        <v>0</v>
      </c>
      <c r="AD272" s="6">
        <v>1</v>
      </c>
      <c r="AE272" s="6">
        <v>2899</v>
      </c>
      <c r="AF272">
        <f>(AA273/AA271)-AA272</f>
        <v>4.9449076336908204E-3</v>
      </c>
    </row>
    <row r="273" spans="1:32" x14ac:dyDescent="0.45">
      <c r="A273" s="4" t="s">
        <v>119</v>
      </c>
      <c r="B273" s="5">
        <v>9.3594745309244678E-2</v>
      </c>
      <c r="C273" s="5">
        <v>1.5666460092510246E-2</v>
      </c>
      <c r="D273" s="6">
        <v>0</v>
      </c>
      <c r="E273" s="6">
        <v>1</v>
      </c>
      <c r="F273" s="6">
        <v>377</v>
      </c>
      <c r="G273" s="5">
        <v>7.8611066815772401E-2</v>
      </c>
      <c r="H273" s="5">
        <v>1.2969600542247849E-2</v>
      </c>
      <c r="I273" s="6">
        <v>0</v>
      </c>
      <c r="J273" s="6">
        <v>1</v>
      </c>
      <c r="K273" s="6">
        <v>467</v>
      </c>
      <c r="L273" s="5">
        <v>1.4864040820495389E-2</v>
      </c>
      <c r="M273" s="5">
        <v>5.6962105957647615E-3</v>
      </c>
      <c r="N273" s="6">
        <v>0</v>
      </c>
      <c r="O273" s="6">
        <v>1</v>
      </c>
      <c r="P273" s="6">
        <v>441</v>
      </c>
      <c r="Q273" s="5">
        <v>5.6176206604507756E-2</v>
      </c>
      <c r="R273" s="5">
        <v>1.1706959201374842E-2</v>
      </c>
      <c r="S273" s="6">
        <v>0</v>
      </c>
      <c r="T273" s="6">
        <v>1</v>
      </c>
      <c r="U273" s="6">
        <v>422</v>
      </c>
      <c r="V273" s="5">
        <v>4.0650401394474747E-2</v>
      </c>
      <c r="W273" s="5">
        <v>8.7923833334778781E-3</v>
      </c>
      <c r="X273" s="6">
        <v>0</v>
      </c>
      <c r="Y273" s="6">
        <v>1</v>
      </c>
      <c r="Z273" s="6">
        <v>1068</v>
      </c>
      <c r="AA273" s="5">
        <v>4.7952646781833384E-2</v>
      </c>
      <c r="AB273" s="5">
        <v>5.1667991701690617E-3</v>
      </c>
      <c r="AC273" s="6">
        <v>0</v>
      </c>
      <c r="AD273" s="6">
        <v>1</v>
      </c>
      <c r="AE273" s="6">
        <v>2775</v>
      </c>
    </row>
    <row r="274" spans="1:32" ht="26.25" x14ac:dyDescent="0.45">
      <c r="A274" s="4" t="s">
        <v>38</v>
      </c>
      <c r="B274" s="5">
        <v>0.4366780064058276</v>
      </c>
      <c r="C274" s="5">
        <v>2.805782617542071E-2</v>
      </c>
      <c r="D274" s="6">
        <v>0</v>
      </c>
      <c r="E274" s="6">
        <v>1</v>
      </c>
      <c r="F274" s="6">
        <v>382</v>
      </c>
      <c r="G274" s="5">
        <v>0.67637596318441151</v>
      </c>
      <c r="H274" s="5">
        <v>2.2183710228253588E-2</v>
      </c>
      <c r="I274" s="6">
        <v>0</v>
      </c>
      <c r="J274" s="6">
        <v>1</v>
      </c>
      <c r="K274" s="6">
        <v>475</v>
      </c>
      <c r="L274" s="5">
        <v>0.42140913195711371</v>
      </c>
      <c r="M274" s="5">
        <v>2.3440738415648886E-2</v>
      </c>
      <c r="N274" s="6">
        <v>0</v>
      </c>
      <c r="O274" s="6">
        <v>1</v>
      </c>
      <c r="P274" s="6">
        <v>474</v>
      </c>
      <c r="Q274" s="5">
        <v>0.50232647922994245</v>
      </c>
      <c r="R274" s="5">
        <v>2.4962894154274457E-2</v>
      </c>
      <c r="S274" s="6">
        <v>0</v>
      </c>
      <c r="T274" s="6">
        <v>1</v>
      </c>
      <c r="U274" s="6">
        <v>423</v>
      </c>
      <c r="V274" s="5">
        <v>0.19257168054166257</v>
      </c>
      <c r="W274" s="5">
        <v>1.5785783859687097E-2</v>
      </c>
      <c r="X274" s="6">
        <v>0</v>
      </c>
      <c r="Y274" s="6">
        <v>1</v>
      </c>
      <c r="Z274" s="6">
        <v>1145</v>
      </c>
      <c r="AA274" s="5">
        <v>0.50005721577724593</v>
      </c>
      <c r="AB274" s="5">
        <v>1.3039449215689536E-2</v>
      </c>
      <c r="AC274" s="6">
        <v>0</v>
      </c>
      <c r="AD274" s="6">
        <v>1</v>
      </c>
      <c r="AE274" s="6">
        <v>2899</v>
      </c>
      <c r="AF274">
        <f>(AA276/AA275)-AA274</f>
        <v>7.7549638207932148E-2</v>
      </c>
    </row>
    <row r="275" spans="1:32" x14ac:dyDescent="0.45">
      <c r="A275" s="4" t="s">
        <v>40</v>
      </c>
      <c r="B275" s="5">
        <v>0.24475289221599958</v>
      </c>
      <c r="C275" s="5">
        <v>2.3591602155120545E-2</v>
      </c>
      <c r="D275" s="6">
        <v>0</v>
      </c>
      <c r="E275" s="6">
        <v>1</v>
      </c>
      <c r="F275" s="6">
        <v>382</v>
      </c>
      <c r="G275" s="5">
        <v>0.31240436993335119</v>
      </c>
      <c r="H275" s="5">
        <v>2.1994479632135435E-2</v>
      </c>
      <c r="I275" s="6">
        <v>0</v>
      </c>
      <c r="J275" s="6">
        <v>1</v>
      </c>
      <c r="K275" s="6">
        <v>475</v>
      </c>
      <c r="L275" s="5">
        <v>0.31016209118028132</v>
      </c>
      <c r="M275" s="5">
        <v>2.1740010089836503E-2</v>
      </c>
      <c r="N275" s="6">
        <v>0</v>
      </c>
      <c r="O275" s="6">
        <v>1</v>
      </c>
      <c r="P275" s="6">
        <v>474</v>
      </c>
      <c r="Q275" s="5">
        <v>0.7144739729494628</v>
      </c>
      <c r="R275" s="5">
        <v>2.2433009195978806E-2</v>
      </c>
      <c r="S275" s="6">
        <v>0</v>
      </c>
      <c r="T275" s="6">
        <v>1</v>
      </c>
      <c r="U275" s="6">
        <v>423</v>
      </c>
      <c r="V275" s="5">
        <v>0.43483608765880821</v>
      </c>
      <c r="W275" s="5">
        <v>2.0083672578752446E-2</v>
      </c>
      <c r="X275" s="6">
        <v>0</v>
      </c>
      <c r="Y275" s="6">
        <v>1</v>
      </c>
      <c r="Z275" s="6">
        <v>1145</v>
      </c>
      <c r="AA275" s="5">
        <v>0.39887458467079651</v>
      </c>
      <c r="AB275" s="5">
        <v>1.2628190805574898E-2</v>
      </c>
      <c r="AC275" s="6">
        <v>0</v>
      </c>
      <c r="AD275" s="6">
        <v>1</v>
      </c>
      <c r="AE275" s="6">
        <v>2899</v>
      </c>
      <c r="AF275">
        <f>(AA276/AA274)-AA275</f>
        <v>6.1858080946758265E-2</v>
      </c>
    </row>
    <row r="276" spans="1:32" ht="39.4" x14ac:dyDescent="0.45">
      <c r="A276" s="4" t="s">
        <v>120</v>
      </c>
      <c r="B276" s="5">
        <v>0.17586852768810077</v>
      </c>
      <c r="C276" s="5">
        <v>2.069524692581123E-2</v>
      </c>
      <c r="D276" s="6">
        <v>0</v>
      </c>
      <c r="E276" s="6">
        <v>1</v>
      </c>
      <c r="F276" s="6">
        <v>382</v>
      </c>
      <c r="G276" s="5">
        <v>0.23750832435286151</v>
      </c>
      <c r="H276" s="5">
        <v>2.0149964463255683E-2</v>
      </c>
      <c r="I276" s="6">
        <v>0</v>
      </c>
      <c r="J276" s="6">
        <v>1</v>
      </c>
      <c r="K276" s="6">
        <v>475</v>
      </c>
      <c r="L276" s="5">
        <v>0.16074296387471432</v>
      </c>
      <c r="M276" s="5">
        <v>1.7144051952766203E-2</v>
      </c>
      <c r="N276" s="6">
        <v>0</v>
      </c>
      <c r="O276" s="6">
        <v>1</v>
      </c>
      <c r="P276" s="6">
        <v>474</v>
      </c>
      <c r="Q276" s="5">
        <v>0.38076738834338175</v>
      </c>
      <c r="R276" s="5">
        <v>2.4404325555140955E-2</v>
      </c>
      <c r="S276" s="6">
        <v>0</v>
      </c>
      <c r="T276" s="6">
        <v>1</v>
      </c>
      <c r="U276" s="6">
        <v>423</v>
      </c>
      <c r="V276" s="5">
        <v>0.16796693423504097</v>
      </c>
      <c r="W276" s="5">
        <v>1.5014580623058698E-2</v>
      </c>
      <c r="X276" s="6">
        <v>0</v>
      </c>
      <c r="Y276" s="6">
        <v>1</v>
      </c>
      <c r="Z276" s="6">
        <v>1145</v>
      </c>
      <c r="AA276" s="5">
        <v>0.23039269398634329</v>
      </c>
      <c r="AB276" s="5">
        <v>1.0715951609165634E-2</v>
      </c>
      <c r="AC276" s="6">
        <v>0</v>
      </c>
      <c r="AD276" s="6">
        <v>1</v>
      </c>
      <c r="AE276" s="6">
        <v>2899</v>
      </c>
    </row>
    <row r="277" spans="1:32" ht="26.25" x14ac:dyDescent="0.45">
      <c r="A277" s="4" t="s">
        <v>38</v>
      </c>
      <c r="B277" s="5">
        <v>0.4366780064058276</v>
      </c>
      <c r="C277" s="5">
        <v>2.805782617542071E-2</v>
      </c>
      <c r="D277" s="6">
        <v>0</v>
      </c>
      <c r="E277" s="6">
        <v>1</v>
      </c>
      <c r="F277" s="6">
        <v>382</v>
      </c>
      <c r="G277" s="5">
        <v>0.67637596318441151</v>
      </c>
      <c r="H277" s="5">
        <v>2.2183710228253588E-2</v>
      </c>
      <c r="I277" s="6">
        <v>0</v>
      </c>
      <c r="J277" s="6">
        <v>1</v>
      </c>
      <c r="K277" s="6">
        <v>475</v>
      </c>
      <c r="L277" s="5">
        <v>0.42140913195711371</v>
      </c>
      <c r="M277" s="5">
        <v>2.3440738415648886E-2</v>
      </c>
      <c r="N277" s="6">
        <v>0</v>
      </c>
      <c r="O277" s="6">
        <v>1</v>
      </c>
      <c r="P277" s="6">
        <v>474</v>
      </c>
      <c r="Q277" s="5">
        <v>0.50232647922994245</v>
      </c>
      <c r="R277" s="5">
        <v>2.4962894154274457E-2</v>
      </c>
      <c r="S277" s="6">
        <v>0</v>
      </c>
      <c r="T277" s="6">
        <v>1</v>
      </c>
      <c r="U277" s="6">
        <v>423</v>
      </c>
      <c r="V277" s="5">
        <v>0.19257168054166257</v>
      </c>
      <c r="W277" s="5">
        <v>1.5785783859687097E-2</v>
      </c>
      <c r="X277" s="6">
        <v>0</v>
      </c>
      <c r="Y277" s="6">
        <v>1</v>
      </c>
      <c r="Z277" s="6">
        <v>1145</v>
      </c>
      <c r="AA277" s="5">
        <v>0.50005721577724593</v>
      </c>
      <c r="AB277" s="5">
        <v>1.3039449215689536E-2</v>
      </c>
      <c r="AC277" s="6">
        <v>0</v>
      </c>
      <c r="AD277" s="6">
        <v>1</v>
      </c>
      <c r="AE277" s="6">
        <v>2899</v>
      </c>
      <c r="AF277">
        <f>(AA279/AA278)-AA277</f>
        <v>7.6698871211278052E-2</v>
      </c>
    </row>
    <row r="278" spans="1:32" x14ac:dyDescent="0.45">
      <c r="A278" s="4" t="s">
        <v>42</v>
      </c>
      <c r="B278" s="5">
        <v>0.25089279775929785</v>
      </c>
      <c r="C278" s="5">
        <v>2.3633364656887722E-2</v>
      </c>
      <c r="D278" s="6">
        <v>0</v>
      </c>
      <c r="E278" s="6">
        <v>1</v>
      </c>
      <c r="F278" s="6">
        <v>382</v>
      </c>
      <c r="G278" s="5">
        <v>0.39009576358444259</v>
      </c>
      <c r="H278" s="5">
        <v>2.3181206138358921E-2</v>
      </c>
      <c r="I278" s="6">
        <v>0</v>
      </c>
      <c r="J278" s="6">
        <v>1</v>
      </c>
      <c r="K278" s="6">
        <v>475</v>
      </c>
      <c r="L278" s="5">
        <v>0.31115391050319358</v>
      </c>
      <c r="M278" s="5">
        <v>2.230646426075697E-2</v>
      </c>
      <c r="N278" s="6">
        <v>0</v>
      </c>
      <c r="O278" s="6">
        <v>1</v>
      </c>
      <c r="P278" s="6">
        <v>474</v>
      </c>
      <c r="Q278" s="5">
        <v>0.48120800183961793</v>
      </c>
      <c r="R278" s="5">
        <v>2.4961710177192679E-2</v>
      </c>
      <c r="S278" s="6">
        <v>0</v>
      </c>
      <c r="T278" s="6">
        <v>1</v>
      </c>
      <c r="U278" s="6">
        <v>423</v>
      </c>
      <c r="V278" s="5">
        <v>0.3457577606704838</v>
      </c>
      <c r="W278" s="5">
        <v>1.8801067085193666E-2</v>
      </c>
      <c r="X278" s="6">
        <v>0</v>
      </c>
      <c r="Y278" s="6">
        <v>1</v>
      </c>
      <c r="Z278" s="6">
        <v>1145</v>
      </c>
      <c r="AA278" s="5">
        <v>0.36657663781801664</v>
      </c>
      <c r="AB278" s="5">
        <v>1.2575722914207254E-2</v>
      </c>
      <c r="AC278" s="6">
        <v>0</v>
      </c>
      <c r="AD278" s="6">
        <v>1</v>
      </c>
      <c r="AE278" s="6">
        <v>2899</v>
      </c>
      <c r="AF278">
        <f>(AA279/AA277)-AA278</f>
        <v>5.62255946839329E-2</v>
      </c>
    </row>
    <row r="279" spans="1:32" ht="39.4" x14ac:dyDescent="0.45">
      <c r="A279" s="4" t="s">
        <v>121</v>
      </c>
      <c r="B279" s="5">
        <v>0.1168447955694831</v>
      </c>
      <c r="C279" s="5">
        <v>1.6975479434090241E-2</v>
      </c>
      <c r="D279" s="6">
        <v>0</v>
      </c>
      <c r="E279" s="6">
        <v>1</v>
      </c>
      <c r="F279" s="6">
        <v>382</v>
      </c>
      <c r="G279" s="5">
        <v>0.29188637342430646</v>
      </c>
      <c r="H279" s="5">
        <v>2.1638697307651829E-2</v>
      </c>
      <c r="I279" s="6">
        <v>0</v>
      </c>
      <c r="J279" s="6">
        <v>1</v>
      </c>
      <c r="K279" s="6">
        <v>475</v>
      </c>
      <c r="L279" s="5">
        <v>0.16712321950223968</v>
      </c>
      <c r="M279" s="5">
        <v>1.7963990592385584E-2</v>
      </c>
      <c r="N279" s="6">
        <v>0</v>
      </c>
      <c r="O279" s="6">
        <v>1</v>
      </c>
      <c r="P279" s="6">
        <v>474</v>
      </c>
      <c r="Q279" s="5">
        <v>0.24037849625459801</v>
      </c>
      <c r="R279" s="5">
        <v>2.1614360240715402E-2</v>
      </c>
      <c r="S279" s="6">
        <v>0</v>
      </c>
      <c r="T279" s="6">
        <v>1</v>
      </c>
      <c r="U279" s="6">
        <v>423</v>
      </c>
      <c r="V279" s="5">
        <v>0.11835657595443708</v>
      </c>
      <c r="W279" s="5">
        <v>1.2832427184600311E-2</v>
      </c>
      <c r="X279" s="6">
        <v>0</v>
      </c>
      <c r="Y279" s="6">
        <v>1</v>
      </c>
      <c r="Z279" s="6">
        <v>1145</v>
      </c>
      <c r="AA279" s="5">
        <v>0.21142530720932867</v>
      </c>
      <c r="AB279" s="5">
        <v>1.0678520957435015E-2</v>
      </c>
      <c r="AC279" s="6">
        <v>0</v>
      </c>
      <c r="AD279" s="6">
        <v>1</v>
      </c>
      <c r="AE279" s="6">
        <v>2899</v>
      </c>
    </row>
    <row r="280" spans="1:32" ht="26.25" x14ac:dyDescent="0.45">
      <c r="A280" s="4" t="s">
        <v>38</v>
      </c>
      <c r="B280" s="5">
        <v>0.4366780064058276</v>
      </c>
      <c r="C280" s="5">
        <v>2.805782617542071E-2</v>
      </c>
      <c r="D280" s="6">
        <v>0</v>
      </c>
      <c r="E280" s="6">
        <v>1</v>
      </c>
      <c r="F280" s="6">
        <v>382</v>
      </c>
      <c r="G280" s="5">
        <v>0.67637596318441151</v>
      </c>
      <c r="H280" s="5">
        <v>2.2183710228253588E-2</v>
      </c>
      <c r="I280" s="6">
        <v>0</v>
      </c>
      <c r="J280" s="6">
        <v>1</v>
      </c>
      <c r="K280" s="6">
        <v>475</v>
      </c>
      <c r="L280" s="5">
        <v>0.42140913195711371</v>
      </c>
      <c r="M280" s="5">
        <v>2.3440738415648886E-2</v>
      </c>
      <c r="N280" s="6">
        <v>0</v>
      </c>
      <c r="O280" s="6">
        <v>1</v>
      </c>
      <c r="P280" s="6">
        <v>474</v>
      </c>
      <c r="Q280" s="5">
        <v>0.50232647922994245</v>
      </c>
      <c r="R280" s="5">
        <v>2.4962894154274457E-2</v>
      </c>
      <c r="S280" s="6">
        <v>0</v>
      </c>
      <c r="T280" s="6">
        <v>1</v>
      </c>
      <c r="U280" s="6">
        <v>423</v>
      </c>
      <c r="V280" s="5">
        <v>0.19257168054166257</v>
      </c>
      <c r="W280" s="5">
        <v>1.5785783859687097E-2</v>
      </c>
      <c r="X280" s="6">
        <v>0</v>
      </c>
      <c r="Y280" s="6">
        <v>1</v>
      </c>
      <c r="Z280" s="6">
        <v>1145</v>
      </c>
      <c r="AA280" s="5">
        <v>0.50005721577724593</v>
      </c>
      <c r="AB280" s="5">
        <v>1.3039449215689536E-2</v>
      </c>
      <c r="AC280" s="6">
        <v>0</v>
      </c>
      <c r="AD280" s="6">
        <v>1</v>
      </c>
      <c r="AE280" s="6">
        <v>2899</v>
      </c>
      <c r="AF280">
        <f>(AA282/AA281)-AA280</f>
        <v>2.3616423450453228E-3</v>
      </c>
    </row>
    <row r="281" spans="1:32" x14ac:dyDescent="0.45">
      <c r="A281" s="4" t="s">
        <v>44</v>
      </c>
      <c r="B281" s="5">
        <v>7.9771782857088899E-2</v>
      </c>
      <c r="C281" s="5">
        <v>1.4835173716237555E-2</v>
      </c>
      <c r="D281" s="6">
        <v>0</v>
      </c>
      <c r="E281" s="6">
        <v>1</v>
      </c>
      <c r="F281" s="6">
        <v>382</v>
      </c>
      <c r="G281" s="5">
        <v>9.1412983805042231E-2</v>
      </c>
      <c r="H281" s="5">
        <v>1.3542282503153303E-2</v>
      </c>
      <c r="I281" s="6">
        <v>0</v>
      </c>
      <c r="J281" s="6">
        <v>1</v>
      </c>
      <c r="K281" s="6">
        <v>475</v>
      </c>
      <c r="L281" s="5">
        <v>6.2522483872663487E-2</v>
      </c>
      <c r="M281" s="5">
        <v>1.2083621448993364E-2</v>
      </c>
      <c r="N281" s="6">
        <v>0</v>
      </c>
      <c r="O281" s="6">
        <v>1</v>
      </c>
      <c r="P281" s="6">
        <v>474</v>
      </c>
      <c r="Q281" s="5">
        <v>0.15234303743644023</v>
      </c>
      <c r="R281" s="5">
        <v>1.7921333577869139E-2</v>
      </c>
      <c r="S281" s="6">
        <v>0</v>
      </c>
      <c r="T281" s="6">
        <v>1</v>
      </c>
      <c r="U281" s="6">
        <v>423</v>
      </c>
      <c r="V281" s="5">
        <v>7.9695497124933817E-2</v>
      </c>
      <c r="W281" s="5">
        <v>8.4181414188695299E-3</v>
      </c>
      <c r="X281" s="6">
        <v>0</v>
      </c>
      <c r="Y281" s="6">
        <v>1</v>
      </c>
      <c r="Z281" s="6">
        <v>1145</v>
      </c>
      <c r="AA281" s="5">
        <v>9.1537468369046068E-2</v>
      </c>
      <c r="AB281" s="5">
        <v>7.4032918276990987E-3</v>
      </c>
      <c r="AC281" s="6">
        <v>0</v>
      </c>
      <c r="AD281" s="6">
        <v>1</v>
      </c>
      <c r="AE281" s="6">
        <v>2899</v>
      </c>
      <c r="AF281">
        <f>(AA282/AA280)-AA281</f>
        <v>4.3230805323461741E-4</v>
      </c>
    </row>
    <row r="282" spans="1:32" ht="26.25" x14ac:dyDescent="0.45">
      <c r="A282" s="4" t="s">
        <v>122</v>
      </c>
      <c r="B282" s="5">
        <v>2.3061801121447914E-2</v>
      </c>
      <c r="C282" s="5">
        <v>7.704721533771876E-3</v>
      </c>
      <c r="D282" s="6">
        <v>0</v>
      </c>
      <c r="E282" s="6">
        <v>1</v>
      </c>
      <c r="F282" s="6">
        <v>382</v>
      </c>
      <c r="G282" s="5">
        <v>7.6971186485942603E-2</v>
      </c>
      <c r="H282" s="5">
        <v>1.256472671169576E-2</v>
      </c>
      <c r="I282" s="6">
        <v>0</v>
      </c>
      <c r="J282" s="6">
        <v>1</v>
      </c>
      <c r="K282" s="6">
        <v>475</v>
      </c>
      <c r="L282" s="5">
        <v>2.0280090471018506E-2</v>
      </c>
      <c r="M282" s="5">
        <v>6.8689164855695517E-3</v>
      </c>
      <c r="N282" s="6">
        <v>0</v>
      </c>
      <c r="O282" s="6">
        <v>1</v>
      </c>
      <c r="P282" s="6">
        <v>474</v>
      </c>
      <c r="Q282" s="5">
        <v>6.7561078073718403E-2</v>
      </c>
      <c r="R282" s="5">
        <v>1.2649645341313595E-2</v>
      </c>
      <c r="S282" s="6">
        <v>0</v>
      </c>
      <c r="T282" s="6">
        <v>1</v>
      </c>
      <c r="U282" s="6">
        <v>423</v>
      </c>
      <c r="V282" s="5">
        <v>2.1977050830711525E-2</v>
      </c>
      <c r="W282" s="5">
        <v>5.460569512162004E-3</v>
      </c>
      <c r="X282" s="6">
        <v>0</v>
      </c>
      <c r="Y282" s="6">
        <v>1</v>
      </c>
      <c r="Z282" s="6">
        <v>1145</v>
      </c>
      <c r="AA282" s="5">
        <v>4.5990150333381476E-2</v>
      </c>
      <c r="AB282" s="5">
        <v>5.2573695528531387E-3</v>
      </c>
      <c r="AC282" s="6">
        <v>0</v>
      </c>
      <c r="AD282" s="6">
        <v>1</v>
      </c>
      <c r="AE282" s="6">
        <v>2899</v>
      </c>
    </row>
    <row r="283" spans="1:32" x14ac:dyDescent="0.45">
      <c r="A283" s="4" t="s">
        <v>40</v>
      </c>
      <c r="B283" s="5">
        <v>0.24475289221599958</v>
      </c>
      <c r="C283" s="5">
        <v>2.3591602155120545E-2</v>
      </c>
      <c r="D283" s="6">
        <v>0</v>
      </c>
      <c r="E283" s="6">
        <v>1</v>
      </c>
      <c r="F283" s="6">
        <v>382</v>
      </c>
      <c r="G283" s="5">
        <v>0.31240436993335119</v>
      </c>
      <c r="H283" s="5">
        <v>2.1994479632135435E-2</v>
      </c>
      <c r="I283" s="6">
        <v>0</v>
      </c>
      <c r="J283" s="6">
        <v>1</v>
      </c>
      <c r="K283" s="6">
        <v>475</v>
      </c>
      <c r="L283" s="5">
        <v>0.31016209118028132</v>
      </c>
      <c r="M283" s="5">
        <v>2.1740010089836503E-2</v>
      </c>
      <c r="N283" s="6">
        <v>0</v>
      </c>
      <c r="O283" s="6">
        <v>1</v>
      </c>
      <c r="P283" s="6">
        <v>474</v>
      </c>
      <c r="Q283" s="5">
        <v>0.7144739729494628</v>
      </c>
      <c r="R283" s="5">
        <v>2.2433009195978806E-2</v>
      </c>
      <c r="S283" s="6">
        <v>0</v>
      </c>
      <c r="T283" s="6">
        <v>1</v>
      </c>
      <c r="U283" s="6">
        <v>423</v>
      </c>
      <c r="V283" s="5">
        <v>0.43483608765880821</v>
      </c>
      <c r="W283" s="5">
        <v>2.0083672578752446E-2</v>
      </c>
      <c r="X283" s="6">
        <v>0</v>
      </c>
      <c r="Y283" s="6">
        <v>1</v>
      </c>
      <c r="Z283" s="6">
        <v>1145</v>
      </c>
      <c r="AA283" s="5">
        <v>0.39887458467079651</v>
      </c>
      <c r="AB283" s="5">
        <v>1.2628190805574898E-2</v>
      </c>
      <c r="AC283" s="6">
        <v>0</v>
      </c>
      <c r="AD283" s="6">
        <v>1</v>
      </c>
      <c r="AE283" s="6">
        <v>2899</v>
      </c>
      <c r="AF283">
        <f>(AA285/AA284)-AA283</f>
        <v>0.11374600971655702</v>
      </c>
    </row>
    <row r="284" spans="1:32" x14ac:dyDescent="0.45">
      <c r="A284" s="4" t="s">
        <v>42</v>
      </c>
      <c r="B284" s="5">
        <v>0.25089279775929785</v>
      </c>
      <c r="C284" s="5">
        <v>2.3633364656887722E-2</v>
      </c>
      <c r="D284" s="6">
        <v>0</v>
      </c>
      <c r="E284" s="6">
        <v>1</v>
      </c>
      <c r="F284" s="6">
        <v>382</v>
      </c>
      <c r="G284" s="5">
        <v>0.39009576358444259</v>
      </c>
      <c r="H284" s="5">
        <v>2.3181206138358921E-2</v>
      </c>
      <c r="I284" s="6">
        <v>0</v>
      </c>
      <c r="J284" s="6">
        <v>1</v>
      </c>
      <c r="K284" s="6">
        <v>475</v>
      </c>
      <c r="L284" s="5">
        <v>0.31115391050319358</v>
      </c>
      <c r="M284" s="5">
        <v>2.230646426075697E-2</v>
      </c>
      <c r="N284" s="6">
        <v>0</v>
      </c>
      <c r="O284" s="6">
        <v>1</v>
      </c>
      <c r="P284" s="6">
        <v>474</v>
      </c>
      <c r="Q284" s="5">
        <v>0.48120800183961793</v>
      </c>
      <c r="R284" s="5">
        <v>2.4961710177192679E-2</v>
      </c>
      <c r="S284" s="6">
        <v>0</v>
      </c>
      <c r="T284" s="6">
        <v>1</v>
      </c>
      <c r="U284" s="6">
        <v>423</v>
      </c>
      <c r="V284" s="5">
        <v>0.3457577606704838</v>
      </c>
      <c r="W284" s="5">
        <v>1.8801067085193666E-2</v>
      </c>
      <c r="X284" s="6">
        <v>0</v>
      </c>
      <c r="Y284" s="6">
        <v>1</v>
      </c>
      <c r="Z284" s="6">
        <v>1145</v>
      </c>
      <c r="AA284" s="5">
        <v>0.36657663781801664</v>
      </c>
      <c r="AB284" s="5">
        <v>1.2575722914207254E-2</v>
      </c>
      <c r="AC284" s="6">
        <v>0</v>
      </c>
      <c r="AD284" s="6">
        <v>1</v>
      </c>
      <c r="AE284" s="6">
        <v>2899</v>
      </c>
      <c r="AF284">
        <f>(AA285/AA283)-AA284</f>
        <v>0.1045356896868333</v>
      </c>
    </row>
    <row r="285" spans="1:32" ht="26.25" x14ac:dyDescent="0.45">
      <c r="A285" s="4" t="s">
        <v>123</v>
      </c>
      <c r="B285" s="5">
        <v>5.7835390650102167E-2</v>
      </c>
      <c r="C285" s="5">
        <v>1.231213078773824E-2</v>
      </c>
      <c r="D285" s="6">
        <v>0</v>
      </c>
      <c r="E285" s="6">
        <v>1</v>
      </c>
      <c r="F285" s="6">
        <v>382</v>
      </c>
      <c r="G285" s="5">
        <v>0.15030544624512021</v>
      </c>
      <c r="H285" s="5">
        <v>1.6886476732660843E-2</v>
      </c>
      <c r="I285" s="6">
        <v>0</v>
      </c>
      <c r="J285" s="6">
        <v>1</v>
      </c>
      <c r="K285" s="6">
        <v>475</v>
      </c>
      <c r="L285" s="5">
        <v>0.12463484140384137</v>
      </c>
      <c r="M285" s="5">
        <v>1.578751031114646E-2</v>
      </c>
      <c r="N285" s="6">
        <v>0</v>
      </c>
      <c r="O285" s="6">
        <v>1</v>
      </c>
      <c r="P285" s="6">
        <v>474</v>
      </c>
      <c r="Q285" s="5">
        <v>0.37957073865170893</v>
      </c>
      <c r="R285" s="5">
        <v>2.4283051611127208E-2</v>
      </c>
      <c r="S285" s="6">
        <v>0</v>
      </c>
      <c r="T285" s="6">
        <v>1</v>
      </c>
      <c r="U285" s="6">
        <v>423</v>
      </c>
      <c r="V285" s="5">
        <v>0.27305924462292258</v>
      </c>
      <c r="W285" s="5">
        <v>1.7562096118762974E-2</v>
      </c>
      <c r="X285" s="6">
        <v>0</v>
      </c>
      <c r="Y285" s="6">
        <v>1</v>
      </c>
      <c r="Z285" s="6">
        <v>1145</v>
      </c>
      <c r="AA285" s="5">
        <v>0.18791473396678929</v>
      </c>
      <c r="AB285" s="5">
        <v>9.9124767815853727E-3</v>
      </c>
      <c r="AC285" s="6">
        <v>0</v>
      </c>
      <c r="AD285" s="6">
        <v>1</v>
      </c>
      <c r="AE285" s="6">
        <v>2899</v>
      </c>
    </row>
    <row r="286" spans="1:32" x14ac:dyDescent="0.45">
      <c r="A286" s="4" t="s">
        <v>40</v>
      </c>
      <c r="B286" s="5">
        <v>0.24475289221599958</v>
      </c>
      <c r="C286" s="5">
        <v>2.3591602155120545E-2</v>
      </c>
      <c r="D286" s="6">
        <v>0</v>
      </c>
      <c r="E286" s="6">
        <v>1</v>
      </c>
      <c r="F286" s="6">
        <v>382</v>
      </c>
      <c r="G286" s="5">
        <v>0.31240436993335119</v>
      </c>
      <c r="H286" s="5">
        <v>2.1994479632135435E-2</v>
      </c>
      <c r="I286" s="6">
        <v>0</v>
      </c>
      <c r="J286" s="6">
        <v>1</v>
      </c>
      <c r="K286" s="6">
        <v>475</v>
      </c>
      <c r="L286" s="5">
        <v>0.31016209118028132</v>
      </c>
      <c r="M286" s="5">
        <v>2.1740010089836503E-2</v>
      </c>
      <c r="N286" s="6">
        <v>0</v>
      </c>
      <c r="O286" s="6">
        <v>1</v>
      </c>
      <c r="P286" s="6">
        <v>474</v>
      </c>
      <c r="Q286" s="5">
        <v>0.7144739729494628</v>
      </c>
      <c r="R286" s="5">
        <v>2.2433009195978806E-2</v>
      </c>
      <c r="S286" s="6">
        <v>0</v>
      </c>
      <c r="T286" s="6">
        <v>1</v>
      </c>
      <c r="U286" s="6">
        <v>423</v>
      </c>
      <c r="V286" s="5">
        <v>0.43483608765880821</v>
      </c>
      <c r="W286" s="5">
        <v>2.0083672578752446E-2</v>
      </c>
      <c r="X286" s="6">
        <v>0</v>
      </c>
      <c r="Y286" s="6">
        <v>1</v>
      </c>
      <c r="Z286" s="6">
        <v>1145</v>
      </c>
      <c r="AA286" s="5">
        <v>0.39887458467079651</v>
      </c>
      <c r="AB286" s="5">
        <v>1.2628190805574898E-2</v>
      </c>
      <c r="AC286" s="6">
        <v>0</v>
      </c>
      <c r="AD286" s="6">
        <v>1</v>
      </c>
      <c r="AE286" s="6">
        <v>2899</v>
      </c>
      <c r="AF286">
        <f>(AA288/AA287)-AA286</f>
        <v>0.20731132566964094</v>
      </c>
    </row>
    <row r="287" spans="1:32" x14ac:dyDescent="0.45">
      <c r="A287" s="4" t="s">
        <v>44</v>
      </c>
      <c r="B287" s="5">
        <v>7.9771782857088899E-2</v>
      </c>
      <c r="C287" s="5">
        <v>1.4835173716237555E-2</v>
      </c>
      <c r="D287" s="6">
        <v>0</v>
      </c>
      <c r="E287" s="6">
        <v>1</v>
      </c>
      <c r="F287" s="6">
        <v>382</v>
      </c>
      <c r="G287" s="5">
        <v>9.1412983805042231E-2</v>
      </c>
      <c r="H287" s="5">
        <v>1.3542282503153303E-2</v>
      </c>
      <c r="I287" s="6">
        <v>0</v>
      </c>
      <c r="J287" s="6">
        <v>1</v>
      </c>
      <c r="K287" s="6">
        <v>475</v>
      </c>
      <c r="L287" s="5">
        <v>6.2522483872663487E-2</v>
      </c>
      <c r="M287" s="5">
        <v>1.2083621448993364E-2</v>
      </c>
      <c r="N287" s="6">
        <v>0</v>
      </c>
      <c r="O287" s="6">
        <v>1</v>
      </c>
      <c r="P287" s="6">
        <v>474</v>
      </c>
      <c r="Q287" s="5">
        <v>0.15234303743644023</v>
      </c>
      <c r="R287" s="5">
        <v>1.7921333577869139E-2</v>
      </c>
      <c r="S287" s="6">
        <v>0</v>
      </c>
      <c r="T287" s="6">
        <v>1</v>
      </c>
      <c r="U287" s="6">
        <v>423</v>
      </c>
      <c r="V287" s="5">
        <v>7.9695497124933817E-2</v>
      </c>
      <c r="W287" s="5">
        <v>8.4181414188695299E-3</v>
      </c>
      <c r="X287" s="6">
        <v>0</v>
      </c>
      <c r="Y287" s="6">
        <v>1</v>
      </c>
      <c r="Z287" s="6">
        <v>1145</v>
      </c>
      <c r="AA287" s="5">
        <v>9.1537468369046068E-2</v>
      </c>
      <c r="AB287" s="5">
        <v>7.4032918276990987E-3</v>
      </c>
      <c r="AC287" s="6">
        <v>0</v>
      </c>
      <c r="AD287" s="6">
        <v>1</v>
      </c>
      <c r="AE287" s="6">
        <v>2899</v>
      </c>
      <c r="AF287">
        <f>(AA288/AA286)-AA287</f>
        <v>4.7575740960512355E-2</v>
      </c>
    </row>
    <row r="288" spans="1:32" ht="26.25" x14ac:dyDescent="0.45">
      <c r="A288" s="4" t="s">
        <v>124</v>
      </c>
      <c r="B288" s="5">
        <v>1.415670075151748E-2</v>
      </c>
      <c r="C288" s="5">
        <v>5.7921663990878258E-3</v>
      </c>
      <c r="D288" s="6">
        <v>0</v>
      </c>
      <c r="E288" s="6">
        <v>1</v>
      </c>
      <c r="F288" s="6">
        <v>382</v>
      </c>
      <c r="G288" s="5">
        <v>4.5932203405809884E-2</v>
      </c>
      <c r="H288" s="5">
        <v>9.8144038532116343E-3</v>
      </c>
      <c r="I288" s="6">
        <v>0</v>
      </c>
      <c r="J288" s="6">
        <v>1</v>
      </c>
      <c r="K288" s="6">
        <v>475</v>
      </c>
      <c r="L288" s="5">
        <v>3.1540463724176786E-2</v>
      </c>
      <c r="M288" s="5">
        <v>8.8204484983607778E-3</v>
      </c>
      <c r="N288" s="6">
        <v>0</v>
      </c>
      <c r="O288" s="6">
        <v>1</v>
      </c>
      <c r="P288" s="6">
        <v>474</v>
      </c>
      <c r="Q288" s="5">
        <v>0.1234263921341732</v>
      </c>
      <c r="R288" s="5">
        <v>1.6292817652525125E-2</v>
      </c>
      <c r="S288" s="6">
        <v>0</v>
      </c>
      <c r="T288" s="6">
        <v>1</v>
      </c>
      <c r="U288" s="6">
        <v>423</v>
      </c>
      <c r="V288" s="5">
        <v>6.6329794318708252E-2</v>
      </c>
      <c r="W288" s="5">
        <v>7.8917416525829433E-3</v>
      </c>
      <c r="X288" s="6">
        <v>0</v>
      </c>
      <c r="Y288" s="6">
        <v>1</v>
      </c>
      <c r="Z288" s="6">
        <v>1145</v>
      </c>
      <c r="AA288" s="5">
        <v>5.5488723593549193E-2</v>
      </c>
      <c r="AB288" s="5">
        <v>5.7966644853485478E-3</v>
      </c>
      <c r="AC288" s="6">
        <v>0</v>
      </c>
      <c r="AD288" s="6">
        <v>1</v>
      </c>
      <c r="AE288" s="6">
        <v>2899</v>
      </c>
    </row>
    <row r="289" spans="1:31" ht="26.65" thickBot="1" x14ac:dyDescent="0.5">
      <c r="A289" s="7" t="s">
        <v>125</v>
      </c>
      <c r="B289" s="8">
        <v>382</v>
      </c>
      <c r="C289" s="8" t="s">
        <v>126</v>
      </c>
      <c r="D289" s="9" t="s">
        <v>126</v>
      </c>
      <c r="E289" s="9" t="s">
        <v>126</v>
      </c>
      <c r="F289" s="9" t="s">
        <v>126</v>
      </c>
      <c r="G289" s="8">
        <v>475</v>
      </c>
      <c r="H289" s="8" t="s">
        <v>126</v>
      </c>
      <c r="I289" s="9" t="s">
        <v>126</v>
      </c>
      <c r="J289" s="9" t="s">
        <v>126</v>
      </c>
      <c r="K289" s="9" t="s">
        <v>126</v>
      </c>
      <c r="L289" s="8">
        <v>474</v>
      </c>
      <c r="M289" s="8" t="s">
        <v>126</v>
      </c>
      <c r="N289" s="9" t="s">
        <v>126</v>
      </c>
      <c r="O289" s="9" t="s">
        <v>126</v>
      </c>
      <c r="P289" s="9" t="s">
        <v>126</v>
      </c>
      <c r="Q289" s="8">
        <v>423</v>
      </c>
      <c r="R289" s="8" t="s">
        <v>126</v>
      </c>
      <c r="S289" s="9" t="s">
        <v>126</v>
      </c>
      <c r="T289" s="9" t="s">
        <v>126</v>
      </c>
      <c r="U289" s="9" t="s">
        <v>126</v>
      </c>
      <c r="V289" s="8">
        <v>1145</v>
      </c>
      <c r="W289" s="8" t="s">
        <v>126</v>
      </c>
      <c r="X289" s="9" t="s">
        <v>126</v>
      </c>
      <c r="Y289" s="9" t="s">
        <v>126</v>
      </c>
      <c r="Z289" s="9" t="s">
        <v>126</v>
      </c>
      <c r="AA289" s="8">
        <v>2899</v>
      </c>
      <c r="AB289" s="8" t="s">
        <v>126</v>
      </c>
      <c r="AC289" s="9" t="s">
        <v>126</v>
      </c>
      <c r="AD289" s="9" t="s">
        <v>126</v>
      </c>
      <c r="AE289" s="9" t="s">
        <v>126</v>
      </c>
    </row>
    <row r="290" spans="1:31" ht="14.65" thickTop="1" x14ac:dyDescent="0.45">
      <c r="A290" s="10" t="s">
        <v>127</v>
      </c>
    </row>
    <row r="291" spans="1:31" x14ac:dyDescent="0.45">
      <c r="A291" s="10" t="s">
        <v>128</v>
      </c>
    </row>
    <row r="292" spans="1:31" x14ac:dyDescent="0.45">
      <c r="A292" s="10" t="s">
        <v>129</v>
      </c>
    </row>
    <row r="293" spans="1:31" x14ac:dyDescent="0.45">
      <c r="A293" s="10" t="s">
        <v>22</v>
      </c>
    </row>
    <row r="294" spans="1:31" x14ac:dyDescent="0.45">
      <c r="A294" s="10" t="s">
        <v>130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1_ea_ess4</vt:lpstr>
      <vt:lpstr>Table 1_ea_oth regions</vt:lpstr>
      <vt:lpstr>Table 2_hh_ess4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dc:description>created using xml_tab</dc:description>
  <cp:lastModifiedBy>Paola Mallia</cp:lastModifiedBy>
  <dcterms:created xsi:type="dcterms:W3CDTF">2020-07-03T11:33:02Z</dcterms:created>
  <dcterms:modified xsi:type="dcterms:W3CDTF">2020-09-03T15:31:23Z</dcterms:modified>
</cp:coreProperties>
</file>