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ropbox (Personal)\SPIA\2_Country work\2_Ethiopia\ESS\4_table\July\"/>
    </mc:Choice>
  </mc:AlternateContent>
  <xr:revisionPtr revIDLastSave="0" documentId="8_{EEF5F3CF-4145-47AF-B6B8-667727BE42E2}" xr6:coauthVersionLast="45" xr6:coauthVersionMax="45" xr10:uidLastSave="{00000000-0000-0000-0000-000000000000}"/>
  <bookViews>
    <workbookView xWindow="4050" yWindow="-16320" windowWidth="29040" windowHeight="15990" activeTab="2"/>
  </bookViews>
  <sheets>
    <sheet name="Table 1_ea_ess4" sheetId="1" r:id="rId1"/>
    <sheet name="Table 1_ea_oth regions" sheetId="2" r:id="rId2"/>
    <sheet name="Table 2_hh_ess4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287" i="3" l="1"/>
  <c r="AF286" i="3"/>
  <c r="AF284" i="3"/>
  <c r="AF283" i="3"/>
  <c r="AF281" i="3"/>
  <c r="AF280" i="3"/>
  <c r="AF278" i="3"/>
  <c r="AF277" i="3"/>
  <c r="AF275" i="3"/>
  <c r="AF274" i="3"/>
  <c r="AF272" i="3"/>
  <c r="AF271" i="3"/>
  <c r="AF269" i="3"/>
  <c r="AF268" i="3"/>
  <c r="AF266" i="3"/>
  <c r="AF265" i="3"/>
  <c r="AF263" i="3"/>
  <c r="AF262" i="3"/>
  <c r="AF260" i="3"/>
  <c r="AF259" i="3"/>
  <c r="AF257" i="3"/>
  <c r="AF256" i="3"/>
  <c r="AF254" i="3"/>
  <c r="AF253" i="3"/>
  <c r="AF251" i="3"/>
  <c r="AF250" i="3"/>
  <c r="AF248" i="3"/>
  <c r="AF247" i="3"/>
  <c r="AF245" i="3"/>
  <c r="AF244" i="3"/>
  <c r="AF242" i="3"/>
  <c r="AF241" i="3"/>
  <c r="AF239" i="3"/>
  <c r="AF238" i="3"/>
  <c r="AF236" i="3"/>
  <c r="AF235" i="3"/>
  <c r="AF233" i="3"/>
  <c r="AF232" i="3"/>
  <c r="AF230" i="3"/>
  <c r="AF229" i="3"/>
  <c r="AF227" i="3"/>
  <c r="AF226" i="3"/>
  <c r="AF224" i="3"/>
  <c r="AF223" i="3"/>
  <c r="AF221" i="3"/>
  <c r="AF220" i="3"/>
  <c r="AF218" i="3"/>
  <c r="AF217" i="3"/>
  <c r="AF215" i="3"/>
  <c r="AF214" i="3"/>
  <c r="AF212" i="3"/>
  <c r="AF211" i="3"/>
  <c r="AF209" i="3"/>
  <c r="AF208" i="3"/>
  <c r="AF206" i="3"/>
  <c r="AF205" i="3"/>
  <c r="AF203" i="3"/>
  <c r="AF202" i="3"/>
  <c r="AF200" i="3"/>
  <c r="AF199" i="3"/>
  <c r="AF197" i="3"/>
  <c r="AF196" i="3"/>
  <c r="AF194" i="3"/>
  <c r="AF193" i="3"/>
  <c r="AF191" i="3"/>
  <c r="AF190" i="3"/>
  <c r="AF188" i="3"/>
  <c r="AF187" i="3"/>
  <c r="AF185" i="3"/>
  <c r="AF184" i="3"/>
  <c r="AF182" i="3"/>
  <c r="AF181" i="3"/>
  <c r="AF179" i="3"/>
  <c r="AF178" i="3"/>
  <c r="AF176" i="3"/>
  <c r="AF175" i="3"/>
  <c r="AF173" i="3"/>
  <c r="AF172" i="3"/>
  <c r="AF170" i="3"/>
  <c r="AF169" i="3"/>
  <c r="AF167" i="3"/>
  <c r="AF166" i="3"/>
  <c r="AF164" i="3"/>
  <c r="AF163" i="3"/>
  <c r="AF161" i="3"/>
  <c r="AF160" i="3"/>
  <c r="AF158" i="3"/>
  <c r="AF157" i="3"/>
  <c r="AF155" i="3"/>
  <c r="AF154" i="3"/>
  <c r="AF152" i="3"/>
  <c r="AF151" i="3"/>
  <c r="AF149" i="3"/>
  <c r="AF148" i="3"/>
  <c r="AF146" i="3"/>
  <c r="AF145" i="3"/>
  <c r="AF143" i="3"/>
  <c r="AF142" i="3"/>
  <c r="AF140" i="3"/>
  <c r="AF139" i="3"/>
  <c r="AF137" i="3"/>
  <c r="AF136" i="3"/>
  <c r="AF134" i="3"/>
  <c r="AF133" i="3"/>
  <c r="AF131" i="3"/>
  <c r="AF130" i="3"/>
  <c r="AF128" i="3"/>
  <c r="AF127" i="3"/>
  <c r="AF125" i="3"/>
  <c r="AF124" i="3"/>
  <c r="AF122" i="3"/>
  <c r="AF121" i="3"/>
  <c r="AF119" i="3"/>
  <c r="AF118" i="3"/>
  <c r="AF116" i="3"/>
  <c r="AF115" i="3"/>
  <c r="AF113" i="3"/>
  <c r="AF112" i="3"/>
  <c r="AF110" i="3"/>
  <c r="AF109" i="3"/>
  <c r="AF107" i="3"/>
  <c r="AF106" i="3"/>
  <c r="AF104" i="3"/>
  <c r="AF103" i="3"/>
  <c r="AF101" i="3"/>
  <c r="AF100" i="3"/>
  <c r="AF98" i="3"/>
  <c r="AF97" i="3"/>
  <c r="AF95" i="3"/>
  <c r="AF94" i="3"/>
  <c r="AF92" i="3"/>
  <c r="AF91" i="3"/>
  <c r="AF89" i="3"/>
  <c r="AF88" i="3"/>
  <c r="AF86" i="3"/>
  <c r="AF85" i="3"/>
  <c r="AF83" i="3"/>
  <c r="AF82" i="3"/>
  <c r="AF80" i="3"/>
  <c r="AF79" i="3"/>
  <c r="AF77" i="3"/>
  <c r="AF76" i="3"/>
  <c r="AF74" i="3"/>
  <c r="AF73" i="3"/>
  <c r="AF71" i="3"/>
  <c r="AF70" i="3"/>
  <c r="AF68" i="3"/>
  <c r="AF67" i="3"/>
  <c r="AF65" i="3"/>
  <c r="AF64" i="3"/>
  <c r="AF62" i="3"/>
  <c r="AF61" i="3"/>
  <c r="AF59" i="3"/>
  <c r="AF58" i="3"/>
  <c r="AF56" i="3"/>
  <c r="AF55" i="3"/>
  <c r="AF53" i="3"/>
  <c r="AF52" i="3"/>
  <c r="AF50" i="3"/>
  <c r="AF49" i="3"/>
  <c r="AF47" i="3"/>
  <c r="AF46" i="3"/>
  <c r="AF44" i="3"/>
  <c r="AF43" i="3"/>
  <c r="AF41" i="3"/>
  <c r="AF40" i="3"/>
  <c r="AF38" i="3"/>
  <c r="AF37" i="3"/>
  <c r="AF35" i="3"/>
  <c r="AF34" i="3"/>
  <c r="AF32" i="3"/>
  <c r="AF31" i="3"/>
  <c r="AF29" i="3"/>
  <c r="AF28" i="3"/>
  <c r="AF26" i="3"/>
  <c r="AF25" i="3"/>
  <c r="AF23" i="3"/>
  <c r="AF22" i="3"/>
  <c r="AF20" i="3"/>
  <c r="AF19" i="3"/>
  <c r="AF17" i="3"/>
  <c r="AF16" i="3"/>
  <c r="AF14" i="3"/>
  <c r="AF13" i="3"/>
  <c r="AF11" i="3"/>
  <c r="AF10" i="3"/>
  <c r="AF8" i="3"/>
  <c r="AF7" i="3"/>
  <c r="AF5" i="3"/>
  <c r="AF4" i="3"/>
  <c r="AK287" i="2"/>
  <c r="AK286" i="2"/>
  <c r="AK284" i="2"/>
  <c r="AK283" i="2"/>
  <c r="AK281" i="2"/>
  <c r="AK280" i="2"/>
  <c r="AK278" i="2"/>
  <c r="AK277" i="2"/>
  <c r="AK275" i="2"/>
  <c r="AK274" i="2"/>
  <c r="AK272" i="2"/>
  <c r="AK271" i="2"/>
  <c r="AK269" i="2"/>
  <c r="AK268" i="2"/>
  <c r="AK266" i="2"/>
  <c r="AK265" i="2"/>
  <c r="AK263" i="2"/>
  <c r="AK262" i="2"/>
  <c r="AK260" i="2"/>
  <c r="AK259" i="2"/>
  <c r="AK257" i="2"/>
  <c r="AK256" i="2"/>
  <c r="AK254" i="2"/>
  <c r="AK253" i="2"/>
  <c r="AK251" i="2"/>
  <c r="AK250" i="2"/>
  <c r="AK248" i="2"/>
  <c r="AK247" i="2"/>
  <c r="AK245" i="2"/>
  <c r="AK244" i="2"/>
  <c r="AK242" i="2"/>
  <c r="AK241" i="2"/>
  <c r="AK239" i="2"/>
  <c r="AK238" i="2"/>
  <c r="AK236" i="2"/>
  <c r="AK235" i="2"/>
  <c r="AK233" i="2"/>
  <c r="AK232" i="2"/>
  <c r="AK230" i="2"/>
  <c r="AK229" i="2"/>
  <c r="AK227" i="2"/>
  <c r="AK226" i="2"/>
  <c r="AK224" i="2"/>
  <c r="AK223" i="2"/>
  <c r="AK221" i="2"/>
  <c r="AK220" i="2"/>
  <c r="AK218" i="2"/>
  <c r="AK217" i="2"/>
  <c r="AK215" i="2"/>
  <c r="AK214" i="2"/>
  <c r="AK212" i="2"/>
  <c r="AK211" i="2"/>
  <c r="AK209" i="2"/>
  <c r="AK208" i="2"/>
  <c r="AK206" i="2"/>
  <c r="AK205" i="2"/>
  <c r="AK203" i="2"/>
  <c r="AK202" i="2"/>
  <c r="AK200" i="2"/>
  <c r="AK199" i="2"/>
  <c r="AK197" i="2"/>
  <c r="AK196" i="2"/>
  <c r="AK194" i="2"/>
  <c r="AK193" i="2"/>
  <c r="AK191" i="2"/>
  <c r="AK190" i="2"/>
  <c r="AK188" i="2"/>
  <c r="AK187" i="2"/>
  <c r="AK185" i="2"/>
  <c r="AK184" i="2"/>
  <c r="AK182" i="2"/>
  <c r="AK181" i="2"/>
  <c r="AK179" i="2"/>
  <c r="AK178" i="2"/>
  <c r="AK176" i="2"/>
  <c r="AK175" i="2"/>
  <c r="AK173" i="2"/>
  <c r="AK172" i="2"/>
  <c r="AK170" i="2"/>
  <c r="AK169" i="2"/>
  <c r="AK167" i="2"/>
  <c r="AK166" i="2"/>
  <c r="AK164" i="2"/>
  <c r="AK163" i="2"/>
  <c r="AK161" i="2"/>
  <c r="AK160" i="2"/>
  <c r="AK158" i="2"/>
  <c r="AK157" i="2"/>
  <c r="AK155" i="2"/>
  <c r="AK154" i="2"/>
  <c r="AK152" i="2"/>
  <c r="AK151" i="2"/>
  <c r="AK149" i="2"/>
  <c r="AK148" i="2"/>
  <c r="AK146" i="2"/>
  <c r="AK145" i="2"/>
  <c r="AK143" i="2"/>
  <c r="AK142" i="2"/>
  <c r="AK140" i="2"/>
  <c r="AK139" i="2"/>
  <c r="AK137" i="2"/>
  <c r="AK136" i="2"/>
  <c r="AK134" i="2"/>
  <c r="AK133" i="2"/>
  <c r="AK131" i="2"/>
  <c r="AK130" i="2"/>
  <c r="AK128" i="2"/>
  <c r="AK127" i="2"/>
  <c r="AK125" i="2"/>
  <c r="AK124" i="2"/>
  <c r="AK122" i="2"/>
  <c r="AK121" i="2"/>
  <c r="AK119" i="2"/>
  <c r="AK118" i="2"/>
  <c r="AK116" i="2"/>
  <c r="AK115" i="2"/>
  <c r="AK113" i="2"/>
  <c r="AK112" i="2"/>
  <c r="AK110" i="2"/>
  <c r="AK109" i="2"/>
  <c r="AK107" i="2"/>
  <c r="AK106" i="2"/>
  <c r="AK104" i="2"/>
  <c r="AK103" i="2"/>
  <c r="AK101" i="2"/>
  <c r="AK100" i="2"/>
  <c r="AK98" i="2"/>
  <c r="AK97" i="2"/>
  <c r="AK95" i="2"/>
  <c r="AK94" i="2"/>
  <c r="AK92" i="2"/>
  <c r="AK91" i="2"/>
  <c r="AK89" i="2"/>
  <c r="AK88" i="2"/>
  <c r="AK86" i="2"/>
  <c r="AK85" i="2"/>
  <c r="AK83" i="2"/>
  <c r="AK82" i="2"/>
  <c r="AK80" i="2"/>
  <c r="AK79" i="2"/>
  <c r="AK77" i="2"/>
  <c r="AK76" i="2"/>
  <c r="AK74" i="2"/>
  <c r="AK73" i="2"/>
  <c r="AK71" i="2"/>
  <c r="AK70" i="2"/>
  <c r="AK68" i="2"/>
  <c r="AK67" i="2"/>
  <c r="AK65" i="2"/>
  <c r="AK64" i="2"/>
  <c r="AK62" i="2"/>
  <c r="AK61" i="2"/>
  <c r="AK59" i="2"/>
  <c r="AK58" i="2"/>
  <c r="AK56" i="2"/>
  <c r="AK55" i="2"/>
  <c r="AK53" i="2"/>
  <c r="AK52" i="2"/>
  <c r="AK50" i="2"/>
  <c r="AK49" i="2"/>
  <c r="AK47" i="2"/>
  <c r="AK46" i="2"/>
  <c r="AK44" i="2"/>
  <c r="AK43" i="2"/>
  <c r="AK41" i="2"/>
  <c r="AK40" i="2"/>
  <c r="AK38" i="2"/>
  <c r="AK37" i="2"/>
  <c r="AK35" i="2"/>
  <c r="AK34" i="2"/>
  <c r="AK32" i="2"/>
  <c r="AK31" i="2"/>
  <c r="AK29" i="2"/>
  <c r="AK28" i="2"/>
  <c r="AK26" i="2"/>
  <c r="AK25" i="2"/>
  <c r="AK23" i="2"/>
  <c r="AK22" i="2"/>
  <c r="AK20" i="2"/>
  <c r="AK19" i="2"/>
  <c r="AK17" i="2"/>
  <c r="AK16" i="2"/>
  <c r="AK14" i="2"/>
  <c r="AK13" i="2"/>
  <c r="AK11" i="2"/>
  <c r="AK10" i="2"/>
  <c r="AK8" i="2"/>
  <c r="AK7" i="2"/>
  <c r="AK5" i="2"/>
  <c r="AK4" i="2"/>
  <c r="AF287" i="1"/>
  <c r="AF286" i="1"/>
  <c r="AF284" i="1"/>
  <c r="AF283" i="1"/>
  <c r="AF281" i="1"/>
  <c r="AF280" i="1"/>
  <c r="AF278" i="1"/>
  <c r="AF277" i="1"/>
  <c r="AF275" i="1"/>
  <c r="AF274" i="1"/>
  <c r="AF272" i="1"/>
  <c r="AF271" i="1"/>
  <c r="AF269" i="1"/>
  <c r="AF268" i="1"/>
  <c r="AF266" i="1"/>
  <c r="AF265" i="1"/>
  <c r="AF263" i="1"/>
  <c r="AF262" i="1"/>
  <c r="AF260" i="1"/>
  <c r="AF259" i="1"/>
  <c r="AF257" i="1"/>
  <c r="AF256" i="1"/>
  <c r="AF254" i="1"/>
  <c r="AF253" i="1"/>
  <c r="AF251" i="1"/>
  <c r="AF250" i="1"/>
  <c r="AF248" i="1"/>
  <c r="AF247" i="1"/>
  <c r="AF245" i="1"/>
  <c r="AF244" i="1"/>
  <c r="AF242" i="1"/>
  <c r="AF241" i="1"/>
  <c r="AF239" i="1"/>
  <c r="AF238" i="1"/>
  <c r="AF236" i="1"/>
  <c r="AF235" i="1"/>
  <c r="AF233" i="1"/>
  <c r="AF232" i="1"/>
  <c r="AF230" i="1"/>
  <c r="AF229" i="1"/>
  <c r="AF227" i="1"/>
  <c r="AF226" i="1"/>
  <c r="AF224" i="1"/>
  <c r="AF223" i="1"/>
  <c r="AF221" i="1"/>
  <c r="AF220" i="1"/>
  <c r="AF218" i="1"/>
  <c r="AF217" i="1"/>
  <c r="AF215" i="1"/>
  <c r="AF214" i="1"/>
  <c r="AF212" i="1"/>
  <c r="AF211" i="1"/>
  <c r="AF209" i="1"/>
  <c r="AF208" i="1"/>
  <c r="AF206" i="1"/>
  <c r="AF205" i="1"/>
  <c r="AF203" i="1"/>
  <c r="AF202" i="1"/>
  <c r="AF200" i="1"/>
  <c r="AF199" i="1"/>
  <c r="AF197" i="1"/>
  <c r="AF196" i="1"/>
  <c r="AF194" i="1"/>
  <c r="AF193" i="1"/>
  <c r="AF191" i="1"/>
  <c r="AF190" i="1"/>
  <c r="AF188" i="1"/>
  <c r="AF187" i="1"/>
  <c r="AF185" i="1"/>
  <c r="AF184" i="1"/>
  <c r="AF182" i="1"/>
  <c r="AF181" i="1"/>
  <c r="AF179" i="1"/>
  <c r="AF178" i="1"/>
  <c r="AF176" i="1"/>
  <c r="AF175" i="1"/>
  <c r="AF173" i="1"/>
  <c r="AF172" i="1"/>
  <c r="AF170" i="1"/>
  <c r="AF169" i="1"/>
  <c r="AF167" i="1"/>
  <c r="AF166" i="1"/>
  <c r="AF164" i="1"/>
  <c r="AF163" i="1"/>
  <c r="AF161" i="1"/>
  <c r="AF160" i="1"/>
  <c r="AF158" i="1"/>
  <c r="AF157" i="1"/>
  <c r="AF155" i="1"/>
  <c r="AF154" i="1"/>
  <c r="AF152" i="1"/>
  <c r="AF151" i="1"/>
  <c r="AF149" i="1"/>
  <c r="AF148" i="1"/>
  <c r="AF146" i="1"/>
  <c r="AF145" i="1"/>
  <c r="AF143" i="1"/>
  <c r="AF142" i="1"/>
  <c r="AF140" i="1"/>
  <c r="AF139" i="1"/>
  <c r="AF137" i="1"/>
  <c r="AF136" i="1"/>
  <c r="AF134" i="1"/>
  <c r="AF133" i="1"/>
  <c r="AF131" i="1"/>
  <c r="AF130" i="1"/>
  <c r="AF128" i="1"/>
  <c r="AF127" i="1"/>
  <c r="AF125" i="1"/>
  <c r="AF124" i="1"/>
  <c r="AF122" i="1"/>
  <c r="AF121" i="1"/>
  <c r="AF119" i="1"/>
  <c r="AF118" i="1"/>
  <c r="AF116" i="1"/>
  <c r="AF115" i="1"/>
  <c r="AF113" i="1"/>
  <c r="AF112" i="1"/>
  <c r="AF110" i="1"/>
  <c r="AF109" i="1"/>
  <c r="AF107" i="1"/>
  <c r="AF106" i="1"/>
  <c r="AF104" i="1"/>
  <c r="AF103" i="1"/>
  <c r="AF101" i="1"/>
  <c r="AF100" i="1"/>
  <c r="AF98" i="1"/>
  <c r="AF97" i="1"/>
  <c r="AF95" i="1"/>
  <c r="AF94" i="1"/>
  <c r="AF92" i="1"/>
  <c r="AF91" i="1"/>
  <c r="AF89" i="1"/>
  <c r="AF88" i="1"/>
  <c r="AF86" i="1"/>
  <c r="AF85" i="1"/>
  <c r="AF83" i="1"/>
  <c r="AF82" i="1"/>
  <c r="AF80" i="1"/>
  <c r="AF79" i="1"/>
  <c r="AF77" i="1"/>
  <c r="AF76" i="1"/>
  <c r="AF74" i="1"/>
  <c r="AF73" i="1"/>
  <c r="AF71" i="1"/>
  <c r="AF70" i="1"/>
  <c r="AF68" i="1"/>
  <c r="AF67" i="1"/>
  <c r="AF65" i="1"/>
  <c r="AF64" i="1"/>
  <c r="AF62" i="1"/>
  <c r="AF61" i="1"/>
  <c r="AF59" i="1"/>
  <c r="AF58" i="1"/>
  <c r="AF56" i="1"/>
  <c r="AF55" i="1"/>
  <c r="AF53" i="1"/>
  <c r="AF52" i="1"/>
  <c r="AF50" i="1"/>
  <c r="AF49" i="1"/>
  <c r="AF47" i="1"/>
  <c r="AF46" i="1"/>
  <c r="AF44" i="1"/>
  <c r="AF43" i="1"/>
  <c r="AF41" i="1"/>
  <c r="AF40" i="1"/>
  <c r="AF38" i="1"/>
  <c r="AF37" i="1"/>
  <c r="AF35" i="1"/>
  <c r="AF34" i="1"/>
  <c r="AF32" i="1"/>
  <c r="AF31" i="1"/>
  <c r="AF29" i="1"/>
  <c r="AF28" i="1"/>
  <c r="AF26" i="1"/>
  <c r="AF25" i="1"/>
  <c r="AF23" i="1"/>
  <c r="AF22" i="1"/>
  <c r="AF20" i="1"/>
  <c r="AF19" i="1"/>
  <c r="AF16" i="1"/>
  <c r="AF10" i="1"/>
  <c r="AF17" i="1"/>
  <c r="AF14" i="1"/>
  <c r="AF13" i="1"/>
  <c r="AF11" i="1"/>
  <c r="AF7" i="1"/>
  <c r="AF8" i="1"/>
  <c r="AF5" i="1"/>
  <c r="AF4" i="1"/>
</calcChain>
</file>

<file path=xl/sharedStrings.xml><?xml version="1.0" encoding="utf-8"?>
<sst xmlns="http://schemas.openxmlformats.org/spreadsheetml/2006/main" count="1073" uniqueCount="140">
  <si>
    <t>Table 1: ESS4 - EA LEVEL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</si>
  <si>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</si>
  <si>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</si>
  <si>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</si>
  <si>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</si>
  <si>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</si>
  <si>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</si>
  <si>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</si>
  <si>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</si>
  <si>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</si>
  <si>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</si>
  <si>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</si>
  <si>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</si>
  <si>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NRM</t>
  </si>
  <si>
    <t>CA</t>
  </si>
  <si>
    <t>NRM - CA</t>
  </si>
  <si>
    <t>CA1 = Crop rotation with legume - Crop residue cover</t>
  </si>
  <si>
    <t>NRM &amp; CA1</t>
  </si>
  <si>
    <t xml:space="preserve">CA2 = Crop rotation with legume -Minimum tillage </t>
  </si>
  <si>
    <t>NRM &amp; CA2</t>
  </si>
  <si>
    <t>CA3 = Crop rotation with legume - Zero tillage</t>
  </si>
  <si>
    <t>NRM &amp; CA3</t>
  </si>
  <si>
    <t>CA4 = Crop residue cover - Minimum tillage</t>
  </si>
  <si>
    <t>NRM &amp; CA4</t>
  </si>
  <si>
    <t>CA5 = Crop residue cover - Zero tillage</t>
  </si>
  <si>
    <t>NRM &amp; CA5</t>
  </si>
  <si>
    <t>Crop varieties</t>
  </si>
  <si>
    <t>NRM &amp; Crop varieties</t>
  </si>
  <si>
    <t>Trees</t>
  </si>
  <si>
    <t>NRM &amp; Trees</t>
  </si>
  <si>
    <t>Feed and Forages</t>
  </si>
  <si>
    <t>NRM &amp; Feed and Forages</t>
  </si>
  <si>
    <t>Breeding</t>
  </si>
  <si>
    <t>NRM &amp; Breeding</t>
  </si>
  <si>
    <t>Breeding (excl. poultry)</t>
  </si>
  <si>
    <t>NRM &amp; Breeding (excl. poultry)</t>
  </si>
  <si>
    <t>PSNP</t>
  </si>
  <si>
    <t>NRM &amp; PSNP</t>
  </si>
  <si>
    <t>Crop rotation with legume</t>
  </si>
  <si>
    <t>NRM &amp; Crop rotation with legume</t>
  </si>
  <si>
    <t>Crop residue cover</t>
  </si>
  <si>
    <t>NRM &amp; Crop residue cover</t>
  </si>
  <si>
    <t>Minimum tillage</t>
  </si>
  <si>
    <t>NRM &amp; Minimum tillage</t>
  </si>
  <si>
    <t>Zero tillage</t>
  </si>
  <si>
    <t>NRM &amp; Zero tillage</t>
  </si>
  <si>
    <t>CA &amp; Crop varieties</t>
  </si>
  <si>
    <t>CA &amp; Trees</t>
  </si>
  <si>
    <t>CA &amp; Feed and Forages</t>
  </si>
  <si>
    <t>CA &amp; Breeding</t>
  </si>
  <si>
    <t>CA &amp; Breeding (excl. poultry)</t>
  </si>
  <si>
    <t>CA &amp; PSNP</t>
  </si>
  <si>
    <t>Crop varieties &amp; Trees</t>
  </si>
  <si>
    <t>Crop varieties &amp; Feed and Forages</t>
  </si>
  <si>
    <t>Crop varieties &amp; Breeding</t>
  </si>
  <si>
    <t>Crop varieties &amp; Breeding (excl. poultry)</t>
  </si>
  <si>
    <t>Crop varieties &amp; PSNP</t>
  </si>
  <si>
    <t>Crop varieties &amp; Crop rotation with legume</t>
  </si>
  <si>
    <t>Crop varieties &amp; Crop residue cover</t>
  </si>
  <si>
    <t>Crop varieties &amp; Minimum tillage</t>
  </si>
  <si>
    <t>Crop varieties &amp; Zero tillage</t>
  </si>
  <si>
    <t>Crop varieties &amp; CA1</t>
  </si>
  <si>
    <t>Crop varieties &amp; CA2</t>
  </si>
  <si>
    <t>Crop varieties &amp; CA3</t>
  </si>
  <si>
    <t>Crop varieties &amp; CA4</t>
  </si>
  <si>
    <t>Crop varieties &amp; CA5</t>
  </si>
  <si>
    <t>Trees &amp; Feed and Forages</t>
  </si>
  <si>
    <t>Trees &amp; Breeding</t>
  </si>
  <si>
    <t>Trees &amp; Breeding (excl. poultry)</t>
  </si>
  <si>
    <t>Trees &amp; PSNP</t>
  </si>
  <si>
    <t>Trees &amp; Crop rotation with legume</t>
  </si>
  <si>
    <t>Trees &amp; Crop residue cover</t>
  </si>
  <si>
    <t>Trees &amp; Minimum tillage</t>
  </si>
  <si>
    <t>Trees &amp; Zero tillage</t>
  </si>
  <si>
    <t>Trees &amp; CA1</t>
  </si>
  <si>
    <t>Trees &amp; CA2</t>
  </si>
  <si>
    <t>Trees &amp; CA3</t>
  </si>
  <si>
    <t>Trees &amp; CA4</t>
  </si>
  <si>
    <t>Trees &amp; CA5</t>
  </si>
  <si>
    <t>Feed and Forages &amp; Breeding</t>
  </si>
  <si>
    <t>Feed and Forages &amp; Breeding (excl. poultry)</t>
  </si>
  <si>
    <t>Feed and Forages &amp;  PSNP</t>
  </si>
  <si>
    <t>Feed and Forages &amp; Crop rotation with legume</t>
  </si>
  <si>
    <t>Feed and Forages &amp; Crop residue cover</t>
  </si>
  <si>
    <t>Feed and Forages &amp; Minimum tillage</t>
  </si>
  <si>
    <t>Feed and Forages &amp; Zero tillage</t>
  </si>
  <si>
    <t>Feed and Forages &amp; CA1</t>
  </si>
  <si>
    <t>Feed and Forages &amp; CA2</t>
  </si>
  <si>
    <t>Feed and Forages &amp; CA3</t>
  </si>
  <si>
    <t>Feed and Forages &amp; CA4</t>
  </si>
  <si>
    <t>Feed and Forages &amp; CA5</t>
  </si>
  <si>
    <t>Breeding &amp;  PSNP</t>
  </si>
  <si>
    <t>Breeding &amp; Crop rotation with legume</t>
  </si>
  <si>
    <t>Breeding &amp; Crop residue cover</t>
  </si>
  <si>
    <t>Breeding &amp; Minimum tillage</t>
  </si>
  <si>
    <t>Breeding &amp; Zero tillage</t>
  </si>
  <si>
    <t>Breeding &amp; CA1</t>
  </si>
  <si>
    <t>Breeding &amp; CA2</t>
  </si>
  <si>
    <t>Breeding &amp; CA3</t>
  </si>
  <si>
    <t>Breeding &amp; CA4</t>
  </si>
  <si>
    <t>Breeding &amp; CA5</t>
  </si>
  <si>
    <t>Breeding (excl. poultry) &amp;  PSNP</t>
  </si>
  <si>
    <t>Breeding (excl. poultry) &amp; Crop rotation with legume</t>
  </si>
  <si>
    <t>Breeding (excl. poultry) &amp; Crop residue cover</t>
  </si>
  <si>
    <t>Breeding (excl. poultry) &amp; Minimum tillage</t>
  </si>
  <si>
    <t>Breeding (excl. poultry) &amp; Zero tillage</t>
  </si>
  <si>
    <t>Breeding excl. poultry &amp; CA1</t>
  </si>
  <si>
    <t>Breeding excl. poultry &amp; CA2</t>
  </si>
  <si>
    <t>Breeding excl. poultry &amp; CA3</t>
  </si>
  <si>
    <t>Breeding excl. poultry &amp; CA4</t>
  </si>
  <si>
    <t>Breeding excl. poultry &amp; CA5</t>
  </si>
  <si>
    <t>PSNP &amp; Crop rotation with legume</t>
  </si>
  <si>
    <t>PSNP &amp; Crop residue cover</t>
  </si>
  <si>
    <t>PSNP &amp; Minimum tillage</t>
  </si>
  <si>
    <t>PSNP &amp; Zero tillage</t>
  </si>
  <si>
    <t>PSNP &amp; CA1</t>
  </si>
  <si>
    <t>PSNP &amp; CA2</t>
  </si>
  <si>
    <t>PSNP &amp; CA3</t>
  </si>
  <si>
    <t>PSNP &amp; CA4</t>
  </si>
  <si>
    <t>PSNP &amp; CA5</t>
  </si>
  <si>
    <t>Crop rotation with legume &amp; Crop residue cover</t>
  </si>
  <si>
    <t>Crop rotation with legume &amp; Minimum tillage</t>
  </si>
  <si>
    <t>Crop rotation with legume &amp; Zero tillage</t>
  </si>
  <si>
    <t>Crop residue cover &amp; Minimum tillage</t>
  </si>
  <si>
    <t>Crop residue cover &amp; Zero tillage</t>
  </si>
  <si>
    <t>Total No. of obs. per region</t>
  </si>
  <si>
    <t>.</t>
  </si>
  <si>
    <t>Point estimates are weighted sample means. CA1 = Crop rotation with legume - Crop residue cover</t>
  </si>
  <si>
    <t>CA2 = Crop rotation with legume -Minimum tillage</t>
  </si>
  <si>
    <t>CA3 = Crop rotation with legume - Zero  tillage</t>
  </si>
  <si>
    <t>CA5 = Crop residue cover - Zero tillage.</t>
  </si>
  <si>
    <t>Table 1_b: ESS4 - EA - Other regions</t>
  </si>
  <si>
    <t>Afar</t>
  </si>
  <si>
    <t>Somali</t>
  </si>
  <si>
    <t>Benshangul Gumuz</t>
  </si>
  <si>
    <t>Gambela</t>
  </si>
  <si>
    <t>Harar</t>
  </si>
  <si>
    <t>Dire Dawa</t>
  </si>
  <si>
    <t>Table 2: ESS4 - HH LEVEL</t>
  </si>
  <si>
    <t>Positive means synergy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</si>
</sst>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&quot;&quot;;\-#,##0&quot;&quot;"/>
    <numFmt numFmtId="169" formatCode="#,##0.000&quot;&quot;;\-#,##0.000&quot;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</font>
    <font>
      <sz val="10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  <xf numFmtId="169" fontId="20" fillId="0" borderId="0" xfId="0" applyNumberFormat="1" applyFont="1" applyFill="1" applyBorder="1" applyAlignment="1" applyProtection="1">
      <alignment horizontal="center"/>
    </xf>
    <xf numFmtId="169" fontId="20" fillId="0" borderId="11" xfId="0" applyNumberFormat="1" applyFont="1" applyFill="1" applyBorder="1" applyAlignment="1" applyProtection="1">
      <alignment horizontal="center"/>
    </xf>
    <xf numFmtId="168" fontId="21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4"/>
  <sheetViews>
    <sheetView workbookViewId="0">
      <pane xSplit="1" ySplit="3" topLeftCell="X283" activePane="bottomRight" state="frozen"/>
      <selection pane="topRight" activeCell="B1" sqref="B1"/>
      <selection pane="bottomLeft" activeCell="A4" sqref="A4"/>
      <selection pane="bottomRight" activeCell="A295" sqref="A295"/>
    </sheetView>
  </sheetViews>
  <sheetFormatPr defaultRowHeight="14.25" x14ac:dyDescent="0.45"/>
  <cols>
    <col min="1" max="1" width="73.59765625" bestFit="1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  <col min="32" max="32" width="18.06640625" bestFit="1" customWidth="1"/>
  </cols>
  <sheetData>
    <row r="1" spans="1:32" ht="12.7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x14ac:dyDescent="0.45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2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15" t="s">
        <v>139</v>
      </c>
    </row>
    <row r="4" spans="1:32" x14ac:dyDescent="0.45">
      <c r="A4" s="6" t="s">
        <v>13</v>
      </c>
      <c r="B4" s="7">
        <v>0.96325561164598017</v>
      </c>
      <c r="C4" s="7">
        <v>3.6529384722979195E-2</v>
      </c>
      <c r="D4" s="8">
        <v>0</v>
      </c>
      <c r="E4" s="8">
        <v>1</v>
      </c>
      <c r="F4" s="8">
        <v>34</v>
      </c>
      <c r="G4" s="7">
        <v>1</v>
      </c>
      <c r="H4" s="7">
        <v>0</v>
      </c>
      <c r="I4" s="8">
        <v>1</v>
      </c>
      <c r="J4" s="8">
        <v>1</v>
      </c>
      <c r="K4" s="8">
        <v>42</v>
      </c>
      <c r="L4" s="7">
        <v>0.86522097663368402</v>
      </c>
      <c r="M4" s="7">
        <v>5.3672109624523678E-2</v>
      </c>
      <c r="N4" s="8">
        <v>0</v>
      </c>
      <c r="O4" s="8">
        <v>1</v>
      </c>
      <c r="P4" s="8">
        <v>42</v>
      </c>
      <c r="Q4" s="7">
        <v>0.82965387968364745</v>
      </c>
      <c r="R4" s="7">
        <v>6.0325554878020847E-2</v>
      </c>
      <c r="S4" s="8">
        <v>0</v>
      </c>
      <c r="T4" s="8">
        <v>1</v>
      </c>
      <c r="U4" s="8">
        <v>40</v>
      </c>
      <c r="V4" s="7">
        <v>0.58404564746449028</v>
      </c>
      <c r="W4" s="7">
        <v>6.9636386003461587E-2</v>
      </c>
      <c r="X4" s="8">
        <v>0</v>
      </c>
      <c r="Y4" s="8">
        <v>1</v>
      </c>
      <c r="Z4" s="8">
        <v>100</v>
      </c>
      <c r="AA4" s="13">
        <v>0.89082439752452569</v>
      </c>
      <c r="AB4" s="7">
        <v>2.6211607512557113E-2</v>
      </c>
      <c r="AC4" s="8">
        <v>0</v>
      </c>
      <c r="AD4" s="8">
        <v>1</v>
      </c>
      <c r="AE4" s="8">
        <v>258</v>
      </c>
      <c r="AF4">
        <f>(AA6/AA5)-AA4</f>
        <v>3.6461773501406225E-2</v>
      </c>
    </row>
    <row r="5" spans="1:32" x14ac:dyDescent="0.45">
      <c r="A5" s="6" t="s">
        <v>14</v>
      </c>
      <c r="B5" s="7">
        <v>0.14125871494262252</v>
      </c>
      <c r="C5" s="7">
        <v>6.5074565286824301E-2</v>
      </c>
      <c r="D5" s="8">
        <v>0</v>
      </c>
      <c r="E5" s="8">
        <v>1</v>
      </c>
      <c r="F5" s="8">
        <v>34</v>
      </c>
      <c r="G5" s="7">
        <v>0.16404585106896458</v>
      </c>
      <c r="H5" s="7">
        <v>5.7710190044605751E-2</v>
      </c>
      <c r="I5" s="8">
        <v>0</v>
      </c>
      <c r="J5" s="8">
        <v>1</v>
      </c>
      <c r="K5" s="8">
        <v>42</v>
      </c>
      <c r="L5" s="7">
        <v>0.17073251826969982</v>
      </c>
      <c r="M5" s="7">
        <v>6.0962846590829012E-2</v>
      </c>
      <c r="N5" s="8">
        <v>0</v>
      </c>
      <c r="O5" s="8">
        <v>1</v>
      </c>
      <c r="P5" s="8">
        <v>42</v>
      </c>
      <c r="Q5" s="7">
        <v>0.16962493166829462</v>
      </c>
      <c r="R5" s="7">
        <v>6.2751547279342637E-2</v>
      </c>
      <c r="S5" s="8">
        <v>0</v>
      </c>
      <c r="T5" s="8">
        <v>1</v>
      </c>
      <c r="U5" s="8">
        <v>40</v>
      </c>
      <c r="V5" s="7">
        <v>0.1974768254828736</v>
      </c>
      <c r="W5" s="7">
        <v>5.4071909528840917E-2</v>
      </c>
      <c r="X5" s="8">
        <v>0</v>
      </c>
      <c r="Y5" s="8">
        <v>1</v>
      </c>
      <c r="Z5" s="8">
        <v>100</v>
      </c>
      <c r="AA5" s="13">
        <v>0.16775499141984804</v>
      </c>
      <c r="AB5" s="7">
        <v>3.2582084360901285E-2</v>
      </c>
      <c r="AC5" s="8">
        <v>0</v>
      </c>
      <c r="AD5" s="8">
        <v>1</v>
      </c>
      <c r="AE5" s="8">
        <v>258</v>
      </c>
      <c r="AF5">
        <f>(AA6/AA4)-AA5</f>
        <v>6.8662741140432804E-3</v>
      </c>
    </row>
    <row r="6" spans="1:32" x14ac:dyDescent="0.45">
      <c r="A6" s="6" t="s">
        <v>15</v>
      </c>
      <c r="B6" s="7">
        <v>0.14125871494262252</v>
      </c>
      <c r="C6" s="7">
        <v>6.5074565286824301E-2</v>
      </c>
      <c r="D6" s="8">
        <v>0</v>
      </c>
      <c r="E6" s="8">
        <v>1</v>
      </c>
      <c r="F6" s="8">
        <v>34</v>
      </c>
      <c r="G6" s="7">
        <v>0.16404585106896458</v>
      </c>
      <c r="H6" s="7">
        <v>5.7710190044605751E-2</v>
      </c>
      <c r="I6" s="8">
        <v>0</v>
      </c>
      <c r="J6" s="8">
        <v>1</v>
      </c>
      <c r="K6" s="8">
        <v>42</v>
      </c>
      <c r="L6" s="7">
        <v>0.14435645778730105</v>
      </c>
      <c r="M6" s="7">
        <v>5.6860650572213331E-2</v>
      </c>
      <c r="N6" s="8">
        <v>0</v>
      </c>
      <c r="O6" s="8">
        <v>1</v>
      </c>
      <c r="P6" s="8">
        <v>42</v>
      </c>
      <c r="Q6" s="7">
        <v>0.16962493166829462</v>
      </c>
      <c r="R6" s="7">
        <v>6.2751547279342637E-2</v>
      </c>
      <c r="S6" s="8">
        <v>0</v>
      </c>
      <c r="T6" s="8">
        <v>1</v>
      </c>
      <c r="U6" s="8">
        <v>40</v>
      </c>
      <c r="V6" s="7">
        <v>0.15113306324917961</v>
      </c>
      <c r="W6" s="7">
        <v>4.8790602577456051E-2</v>
      </c>
      <c r="X6" s="8">
        <v>0</v>
      </c>
      <c r="Y6" s="8">
        <v>1</v>
      </c>
      <c r="Z6" s="8">
        <v>100</v>
      </c>
      <c r="AA6" s="13">
        <v>0.15555688366419895</v>
      </c>
      <c r="AB6" s="7">
        <v>3.1364145611746642E-2</v>
      </c>
      <c r="AC6" s="8">
        <v>0</v>
      </c>
      <c r="AD6" s="8">
        <v>1</v>
      </c>
      <c r="AE6" s="8">
        <v>258</v>
      </c>
    </row>
    <row r="7" spans="1:32" x14ac:dyDescent="0.45">
      <c r="A7" s="6" t="s">
        <v>13</v>
      </c>
      <c r="B7" s="7">
        <v>0.96325561164598017</v>
      </c>
      <c r="C7" s="7">
        <v>3.6529384722979195E-2</v>
      </c>
      <c r="D7" s="8">
        <v>0</v>
      </c>
      <c r="E7" s="8">
        <v>1</v>
      </c>
      <c r="F7" s="8">
        <v>34</v>
      </c>
      <c r="G7" s="7">
        <v>1</v>
      </c>
      <c r="H7" s="7">
        <v>0</v>
      </c>
      <c r="I7" s="8">
        <v>1</v>
      </c>
      <c r="J7" s="8">
        <v>1</v>
      </c>
      <c r="K7" s="8">
        <v>42</v>
      </c>
      <c r="L7" s="7">
        <v>0.86522097663368402</v>
      </c>
      <c r="M7" s="7">
        <v>5.3672109624523678E-2</v>
      </c>
      <c r="N7" s="8">
        <v>0</v>
      </c>
      <c r="O7" s="8">
        <v>1</v>
      </c>
      <c r="P7" s="8">
        <v>42</v>
      </c>
      <c r="Q7" s="7">
        <v>0.82965387968364745</v>
      </c>
      <c r="R7" s="7">
        <v>6.0325554878020847E-2</v>
      </c>
      <c r="S7" s="8">
        <v>0</v>
      </c>
      <c r="T7" s="8">
        <v>1</v>
      </c>
      <c r="U7" s="8">
        <v>40</v>
      </c>
      <c r="V7" s="7">
        <v>0.58404564746449028</v>
      </c>
      <c r="W7" s="7">
        <v>6.9636386003461587E-2</v>
      </c>
      <c r="X7" s="8">
        <v>0</v>
      </c>
      <c r="Y7" s="8">
        <v>1</v>
      </c>
      <c r="Z7" s="8">
        <v>100</v>
      </c>
      <c r="AA7" s="13">
        <v>0.89082439752452569</v>
      </c>
      <c r="AB7" s="7">
        <v>2.6211607512557113E-2</v>
      </c>
      <c r="AC7" s="8">
        <v>0</v>
      </c>
      <c r="AD7" s="8">
        <v>1</v>
      </c>
      <c r="AE7" s="8">
        <v>258</v>
      </c>
      <c r="AF7">
        <f>(AA9/AA8)-AA7</f>
        <v>1.8677920360471667E-2</v>
      </c>
    </row>
    <row r="8" spans="1:32" ht="39.4" x14ac:dyDescent="0.45">
      <c r="A8" s="6" t="s">
        <v>16</v>
      </c>
      <c r="B8" s="7">
        <v>0.95226292316662886</v>
      </c>
      <c r="C8" s="7">
        <v>3.3757095360377097E-2</v>
      </c>
      <c r="D8" s="8">
        <v>0</v>
      </c>
      <c r="E8" s="8">
        <v>1</v>
      </c>
      <c r="F8" s="8">
        <v>34</v>
      </c>
      <c r="G8" s="7">
        <v>0.96979725445447418</v>
      </c>
      <c r="H8" s="7">
        <v>3.0016012175185333E-2</v>
      </c>
      <c r="I8" s="8">
        <v>0</v>
      </c>
      <c r="J8" s="8">
        <v>1</v>
      </c>
      <c r="K8" s="8">
        <v>42</v>
      </c>
      <c r="L8" s="7">
        <v>0.8651891068027362</v>
      </c>
      <c r="M8" s="7">
        <v>5.335387479096497E-2</v>
      </c>
      <c r="N8" s="8">
        <v>0</v>
      </c>
      <c r="O8" s="8">
        <v>1</v>
      </c>
      <c r="P8" s="8">
        <v>42</v>
      </c>
      <c r="Q8" s="7">
        <v>0.94904190046407078</v>
      </c>
      <c r="R8" s="7">
        <v>3.5591246809232757E-2</v>
      </c>
      <c r="S8" s="8">
        <v>0</v>
      </c>
      <c r="T8" s="8">
        <v>1</v>
      </c>
      <c r="U8" s="8">
        <v>40</v>
      </c>
      <c r="V8" s="7">
        <v>0.63213682862253961</v>
      </c>
      <c r="W8" s="7">
        <v>6.9040852741309167E-2</v>
      </c>
      <c r="X8" s="8">
        <v>0</v>
      </c>
      <c r="Y8" s="8">
        <v>1</v>
      </c>
      <c r="Z8" s="8">
        <v>100</v>
      </c>
      <c r="AA8" s="13">
        <v>0.91060279847159487</v>
      </c>
      <c r="AB8" s="7">
        <v>2.4747957456819576E-2</v>
      </c>
      <c r="AC8" s="8">
        <v>0</v>
      </c>
      <c r="AD8" s="8">
        <v>1</v>
      </c>
      <c r="AE8" s="8">
        <v>258</v>
      </c>
      <c r="AF8">
        <f>(AA9/AA7)-AA8</f>
        <v>1.9092614208971237E-2</v>
      </c>
    </row>
    <row r="9" spans="1:32" x14ac:dyDescent="0.45">
      <c r="A9" s="6" t="s">
        <v>17</v>
      </c>
      <c r="B9" s="7">
        <v>0.91551853481260903</v>
      </c>
      <c r="C9" s="7">
        <v>4.8715204488338028E-2</v>
      </c>
      <c r="D9" s="8">
        <v>0</v>
      </c>
      <c r="E9" s="8">
        <v>1</v>
      </c>
      <c r="F9" s="8">
        <v>34</v>
      </c>
      <c r="G9" s="7">
        <v>0.96979725445447418</v>
      </c>
      <c r="H9" s="7">
        <v>3.0016012175185333E-2</v>
      </c>
      <c r="I9" s="8">
        <v>0</v>
      </c>
      <c r="J9" s="8">
        <v>1</v>
      </c>
      <c r="K9" s="8">
        <v>42</v>
      </c>
      <c r="L9" s="7">
        <v>0.75602604414998209</v>
      </c>
      <c r="M9" s="7">
        <v>6.7436477087873703E-2</v>
      </c>
      <c r="N9" s="8">
        <v>0</v>
      </c>
      <c r="O9" s="8">
        <v>1</v>
      </c>
      <c r="P9" s="8">
        <v>42</v>
      </c>
      <c r="Q9" s="7">
        <v>0.80372755728885703</v>
      </c>
      <c r="R9" s="7">
        <v>6.3964434930692413E-2</v>
      </c>
      <c r="S9" s="8">
        <v>0</v>
      </c>
      <c r="T9" s="8">
        <v>1</v>
      </c>
      <c r="U9" s="8">
        <v>40</v>
      </c>
      <c r="V9" s="7">
        <v>0.54262238303373489</v>
      </c>
      <c r="W9" s="7">
        <v>6.957386769964409E-2</v>
      </c>
      <c r="X9" s="8">
        <v>0</v>
      </c>
      <c r="Y9" s="8">
        <v>1</v>
      </c>
      <c r="Z9" s="8">
        <v>100</v>
      </c>
      <c r="AA9" s="13">
        <v>0.82819535588248061</v>
      </c>
      <c r="AB9" s="7">
        <v>3.2669931029941368E-2</v>
      </c>
      <c r="AC9" s="8">
        <v>0</v>
      </c>
      <c r="AD9" s="8">
        <v>1</v>
      </c>
      <c r="AE9" s="8">
        <v>258</v>
      </c>
    </row>
    <row r="10" spans="1:32" x14ac:dyDescent="0.45">
      <c r="A10" s="6" t="s">
        <v>13</v>
      </c>
      <c r="B10" s="7">
        <v>0.96325561164598017</v>
      </c>
      <c r="C10" s="7">
        <v>3.6529384722979195E-2</v>
      </c>
      <c r="D10" s="8">
        <v>0</v>
      </c>
      <c r="E10" s="8">
        <v>1</v>
      </c>
      <c r="F10" s="8">
        <v>34</v>
      </c>
      <c r="G10" s="7">
        <v>1</v>
      </c>
      <c r="H10" s="7">
        <v>0</v>
      </c>
      <c r="I10" s="8">
        <v>1</v>
      </c>
      <c r="J10" s="8">
        <v>1</v>
      </c>
      <c r="K10" s="8">
        <v>42</v>
      </c>
      <c r="L10" s="7">
        <v>0.86522097663368402</v>
      </c>
      <c r="M10" s="7">
        <v>5.3672109624523678E-2</v>
      </c>
      <c r="N10" s="8">
        <v>0</v>
      </c>
      <c r="O10" s="8">
        <v>1</v>
      </c>
      <c r="P10" s="8">
        <v>42</v>
      </c>
      <c r="Q10" s="7">
        <v>0.82965387968364745</v>
      </c>
      <c r="R10" s="7">
        <v>6.0325554878020847E-2</v>
      </c>
      <c r="S10" s="8">
        <v>0</v>
      </c>
      <c r="T10" s="8">
        <v>1</v>
      </c>
      <c r="U10" s="8">
        <v>40</v>
      </c>
      <c r="V10" s="7">
        <v>0.58404564746449028</v>
      </c>
      <c r="W10" s="7">
        <v>6.9636386003461587E-2</v>
      </c>
      <c r="X10" s="8">
        <v>0</v>
      </c>
      <c r="Y10" s="8">
        <v>1</v>
      </c>
      <c r="Z10" s="8">
        <v>100</v>
      </c>
      <c r="AA10" s="13">
        <v>0.89082439752452569</v>
      </c>
      <c r="AB10" s="7">
        <v>2.6211607512557113E-2</v>
      </c>
      <c r="AC10" s="8">
        <v>0</v>
      </c>
      <c r="AD10" s="8">
        <v>1</v>
      </c>
      <c r="AE10" s="8">
        <v>258</v>
      </c>
      <c r="AF10">
        <f>(AA12/AA11)-AA10</f>
        <v>1.9266811749528823E-2</v>
      </c>
    </row>
    <row r="11" spans="1:32" ht="39.4" x14ac:dyDescent="0.45">
      <c r="A11" s="6" t="s">
        <v>18</v>
      </c>
      <c r="B11" s="7">
        <v>0.95343656614872163</v>
      </c>
      <c r="C11" s="7">
        <v>3.2998861160736311E-2</v>
      </c>
      <c r="D11" s="8">
        <v>0</v>
      </c>
      <c r="E11" s="8">
        <v>1</v>
      </c>
      <c r="F11" s="8">
        <v>34</v>
      </c>
      <c r="G11" s="7">
        <v>0.96979725445447418</v>
      </c>
      <c r="H11" s="7">
        <v>3.0016012175185333E-2</v>
      </c>
      <c r="I11" s="8">
        <v>0</v>
      </c>
      <c r="J11" s="8">
        <v>1</v>
      </c>
      <c r="K11" s="8">
        <v>42</v>
      </c>
      <c r="L11" s="7">
        <v>0.8699809970787199</v>
      </c>
      <c r="M11" s="7">
        <v>5.4941364171145674E-2</v>
      </c>
      <c r="N11" s="8">
        <v>0</v>
      </c>
      <c r="O11" s="8">
        <v>1</v>
      </c>
      <c r="P11" s="8">
        <v>42</v>
      </c>
      <c r="Q11" s="7">
        <v>0.9749682228588612</v>
      </c>
      <c r="R11" s="7">
        <v>2.5049499255806983E-2</v>
      </c>
      <c r="S11" s="8">
        <v>0</v>
      </c>
      <c r="T11" s="8">
        <v>1</v>
      </c>
      <c r="U11" s="8">
        <v>40</v>
      </c>
      <c r="V11" s="7">
        <v>0.63023599596706159</v>
      </c>
      <c r="W11" s="7">
        <v>6.9774465060460464E-2</v>
      </c>
      <c r="X11" s="8">
        <v>0</v>
      </c>
      <c r="Y11" s="8">
        <v>1</v>
      </c>
      <c r="Z11" s="8">
        <v>100</v>
      </c>
      <c r="AA11" s="13">
        <v>0.91845222109286739</v>
      </c>
      <c r="AB11" s="7">
        <v>2.4806962700400701E-2</v>
      </c>
      <c r="AC11" s="8">
        <v>0</v>
      </c>
      <c r="AD11" s="8">
        <v>1</v>
      </c>
      <c r="AE11" s="8">
        <v>258</v>
      </c>
      <c r="AF11">
        <f>(AA12/AA10)-AA11</f>
        <v>1.9864348230590134E-2</v>
      </c>
    </row>
    <row r="12" spans="1:32" x14ac:dyDescent="0.45">
      <c r="A12" s="6" t="s">
        <v>19</v>
      </c>
      <c r="B12" s="7">
        <v>0.9166921777947018</v>
      </c>
      <c r="C12" s="7">
        <v>4.8238282084524159E-2</v>
      </c>
      <c r="D12" s="8">
        <v>0</v>
      </c>
      <c r="E12" s="8">
        <v>1</v>
      </c>
      <c r="F12" s="8">
        <v>34</v>
      </c>
      <c r="G12" s="7">
        <v>0.96979725445447418</v>
      </c>
      <c r="H12" s="7">
        <v>3.0016012175185333E-2</v>
      </c>
      <c r="I12" s="8">
        <v>0</v>
      </c>
      <c r="J12" s="8">
        <v>1</v>
      </c>
      <c r="K12" s="8">
        <v>42</v>
      </c>
      <c r="L12" s="7">
        <v>0.76081793442596568</v>
      </c>
      <c r="M12" s="7">
        <v>6.8313365673341161E-2</v>
      </c>
      <c r="N12" s="8">
        <v>0</v>
      </c>
      <c r="O12" s="8">
        <v>1</v>
      </c>
      <c r="P12" s="8">
        <v>42</v>
      </c>
      <c r="Q12" s="7">
        <v>0.82965387968364745</v>
      </c>
      <c r="R12" s="7">
        <v>6.0325554878020847E-2</v>
      </c>
      <c r="S12" s="8">
        <v>0</v>
      </c>
      <c r="T12" s="8">
        <v>1</v>
      </c>
      <c r="U12" s="8">
        <v>40</v>
      </c>
      <c r="V12" s="7">
        <v>0.53555031946298337</v>
      </c>
      <c r="W12" s="7">
        <v>6.9770945916823313E-2</v>
      </c>
      <c r="X12" s="8">
        <v>0</v>
      </c>
      <c r="Y12" s="8">
        <v>1</v>
      </c>
      <c r="Z12" s="8">
        <v>100</v>
      </c>
      <c r="AA12" s="13">
        <v>0.83587529255484894</v>
      </c>
      <c r="AB12" s="7">
        <v>3.2706392049499822E-2</v>
      </c>
      <c r="AC12" s="8">
        <v>0</v>
      </c>
      <c r="AD12" s="8">
        <v>1</v>
      </c>
      <c r="AE12" s="8">
        <v>258</v>
      </c>
    </row>
    <row r="13" spans="1:32" x14ac:dyDescent="0.45">
      <c r="A13" s="6" t="s">
        <v>13</v>
      </c>
      <c r="B13" s="7">
        <v>0.96325561164598017</v>
      </c>
      <c r="C13" s="7">
        <v>3.6529384722979195E-2</v>
      </c>
      <c r="D13" s="8">
        <v>0</v>
      </c>
      <c r="E13" s="8">
        <v>1</v>
      </c>
      <c r="F13" s="8">
        <v>34</v>
      </c>
      <c r="G13" s="7">
        <v>1</v>
      </c>
      <c r="H13" s="7">
        <v>0</v>
      </c>
      <c r="I13" s="8">
        <v>1</v>
      </c>
      <c r="J13" s="8">
        <v>1</v>
      </c>
      <c r="K13" s="8">
        <v>42</v>
      </c>
      <c r="L13" s="7">
        <v>0.86522097663368402</v>
      </c>
      <c r="M13" s="7">
        <v>5.3672109624523678E-2</v>
      </c>
      <c r="N13" s="8">
        <v>0</v>
      </c>
      <c r="O13" s="8">
        <v>1</v>
      </c>
      <c r="P13" s="8">
        <v>42</v>
      </c>
      <c r="Q13" s="7">
        <v>0.82965387968364745</v>
      </c>
      <c r="R13" s="7">
        <v>6.0325554878020847E-2</v>
      </c>
      <c r="S13" s="8">
        <v>0</v>
      </c>
      <c r="T13" s="8">
        <v>1</v>
      </c>
      <c r="U13" s="8">
        <v>40</v>
      </c>
      <c r="V13" s="7">
        <v>0.58404564746449028</v>
      </c>
      <c r="W13" s="7">
        <v>6.9636386003461587E-2</v>
      </c>
      <c r="X13" s="8">
        <v>0</v>
      </c>
      <c r="Y13" s="8">
        <v>1</v>
      </c>
      <c r="Z13" s="8">
        <v>100</v>
      </c>
      <c r="AA13" s="13">
        <v>0.89082439752452569</v>
      </c>
      <c r="AB13" s="7">
        <v>2.6211607512557113E-2</v>
      </c>
      <c r="AC13" s="8">
        <v>0</v>
      </c>
      <c r="AD13" s="8">
        <v>1</v>
      </c>
      <c r="AE13" s="8">
        <v>258</v>
      </c>
      <c r="AF13">
        <f>(AA15/AA14)-AA13</f>
        <v>2.4592233963920407E-2</v>
      </c>
    </row>
    <row r="14" spans="1:32" ht="39.4" x14ac:dyDescent="0.45">
      <c r="A14" s="6" t="s">
        <v>20</v>
      </c>
      <c r="B14" s="7">
        <v>0.90678716876013998</v>
      </c>
      <c r="C14" s="7">
        <v>4.9177473357267902E-2</v>
      </c>
      <c r="D14" s="8">
        <v>0</v>
      </c>
      <c r="E14" s="8">
        <v>1</v>
      </c>
      <c r="F14" s="8">
        <v>34</v>
      </c>
      <c r="G14" s="7">
        <v>0.89891076629469935</v>
      </c>
      <c r="H14" s="7">
        <v>4.8893744591203998E-2</v>
      </c>
      <c r="I14" s="8">
        <v>0</v>
      </c>
      <c r="J14" s="8">
        <v>1</v>
      </c>
      <c r="K14" s="8">
        <v>42</v>
      </c>
      <c r="L14" s="7">
        <v>0.83274552255977152</v>
      </c>
      <c r="M14" s="7">
        <v>5.9834974582738454E-2</v>
      </c>
      <c r="N14" s="8">
        <v>0</v>
      </c>
      <c r="O14" s="8">
        <v>1</v>
      </c>
      <c r="P14" s="8">
        <v>42</v>
      </c>
      <c r="Q14" s="7">
        <v>0.94871856326789294</v>
      </c>
      <c r="R14" s="7">
        <v>3.5809222533905935E-2</v>
      </c>
      <c r="S14" s="8">
        <v>0</v>
      </c>
      <c r="T14" s="8">
        <v>1</v>
      </c>
      <c r="U14" s="8">
        <v>40</v>
      </c>
      <c r="V14" s="7">
        <v>0.46705017304122987</v>
      </c>
      <c r="W14" s="7">
        <v>6.8874379217115159E-2</v>
      </c>
      <c r="X14" s="8">
        <v>0</v>
      </c>
      <c r="Y14" s="8">
        <v>1</v>
      </c>
      <c r="Z14" s="8">
        <v>100</v>
      </c>
      <c r="AA14" s="13">
        <v>0.86977609404131639</v>
      </c>
      <c r="AB14" s="7">
        <v>2.9171246830362617E-2</v>
      </c>
      <c r="AC14" s="8">
        <v>0</v>
      </c>
      <c r="AD14" s="8">
        <v>1</v>
      </c>
      <c r="AE14" s="8">
        <v>258</v>
      </c>
      <c r="AF14">
        <f>(AA15/AA13)-AA14</f>
        <v>2.4011171292937061E-2</v>
      </c>
    </row>
    <row r="15" spans="1:32" x14ac:dyDescent="0.45">
      <c r="A15" s="6" t="s">
        <v>21</v>
      </c>
      <c r="B15" s="7">
        <v>0.90678716876013998</v>
      </c>
      <c r="C15" s="7">
        <v>4.9177473357267902E-2</v>
      </c>
      <c r="D15" s="8">
        <v>0</v>
      </c>
      <c r="E15" s="8">
        <v>1</v>
      </c>
      <c r="F15" s="8">
        <v>34</v>
      </c>
      <c r="G15" s="7">
        <v>0.89891076629469935</v>
      </c>
      <c r="H15" s="7">
        <v>4.8893744591203998E-2</v>
      </c>
      <c r="I15" s="8">
        <v>0</v>
      </c>
      <c r="J15" s="8">
        <v>1</v>
      </c>
      <c r="K15" s="8">
        <v>42</v>
      </c>
      <c r="L15" s="7">
        <v>0.72358245990701731</v>
      </c>
      <c r="M15" s="7">
        <v>7.1173931704002338E-2</v>
      </c>
      <c r="N15" s="8">
        <v>0</v>
      </c>
      <c r="O15" s="8">
        <v>1</v>
      </c>
      <c r="P15" s="8">
        <v>42</v>
      </c>
      <c r="Q15" s="7">
        <v>0.82965387968364745</v>
      </c>
      <c r="R15" s="7">
        <v>6.0325554878020847E-2</v>
      </c>
      <c r="S15" s="8">
        <v>0</v>
      </c>
      <c r="T15" s="8">
        <v>1</v>
      </c>
      <c r="U15" s="8">
        <v>40</v>
      </c>
      <c r="V15" s="7">
        <v>0.39782062722360928</v>
      </c>
      <c r="W15" s="7">
        <v>6.6835106175611073E-2</v>
      </c>
      <c r="X15" s="8">
        <v>0</v>
      </c>
      <c r="Y15" s="8">
        <v>1</v>
      </c>
      <c r="Z15" s="8">
        <v>100</v>
      </c>
      <c r="AA15" s="13">
        <v>0.79620750215647973</v>
      </c>
      <c r="AB15" s="7">
        <v>3.5100881462310544E-2</v>
      </c>
      <c r="AC15" s="8">
        <v>0</v>
      </c>
      <c r="AD15" s="8">
        <v>1</v>
      </c>
      <c r="AE15" s="8">
        <v>258</v>
      </c>
    </row>
    <row r="16" spans="1:32" x14ac:dyDescent="0.45">
      <c r="A16" s="6" t="s">
        <v>13</v>
      </c>
      <c r="B16" s="7">
        <v>0.96325561164598017</v>
      </c>
      <c r="C16" s="7">
        <v>3.6529384722979195E-2</v>
      </c>
      <c r="D16" s="8">
        <v>0</v>
      </c>
      <c r="E16" s="8">
        <v>1</v>
      </c>
      <c r="F16" s="8">
        <v>34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0.86522097663368402</v>
      </c>
      <c r="M16" s="7">
        <v>5.3672109624523678E-2</v>
      </c>
      <c r="N16" s="8">
        <v>0</v>
      </c>
      <c r="O16" s="8">
        <v>1</v>
      </c>
      <c r="P16" s="8">
        <v>42</v>
      </c>
      <c r="Q16" s="7">
        <v>0.82965387968364745</v>
      </c>
      <c r="R16" s="7">
        <v>6.0325554878020847E-2</v>
      </c>
      <c r="S16" s="8">
        <v>0</v>
      </c>
      <c r="T16" s="8">
        <v>1</v>
      </c>
      <c r="U16" s="8">
        <v>40</v>
      </c>
      <c r="V16" s="7">
        <v>0.58404564746449028</v>
      </c>
      <c r="W16" s="7">
        <v>6.9636386003461587E-2</v>
      </c>
      <c r="X16" s="8">
        <v>0</v>
      </c>
      <c r="Y16" s="8">
        <v>1</v>
      </c>
      <c r="Z16" s="8">
        <v>100</v>
      </c>
      <c r="AA16" s="13">
        <v>0.89082439752452569</v>
      </c>
      <c r="AB16" s="7">
        <v>2.6211607512557113E-2</v>
      </c>
      <c r="AC16" s="8">
        <v>0</v>
      </c>
      <c r="AD16" s="8">
        <v>1</v>
      </c>
      <c r="AE16" s="8">
        <v>258</v>
      </c>
      <c r="AF16">
        <f>(AA18/AA17)-AA16</f>
        <v>1.827495102223764E-2</v>
      </c>
    </row>
    <row r="17" spans="1:32" ht="26.25" x14ac:dyDescent="0.45">
      <c r="A17" s="6" t="s">
        <v>22</v>
      </c>
      <c r="B17" s="7">
        <v>0.84952162550522947</v>
      </c>
      <c r="C17" s="7">
        <v>6.1545774275045921E-2</v>
      </c>
      <c r="D17" s="8">
        <v>0</v>
      </c>
      <c r="E17" s="8">
        <v>1</v>
      </c>
      <c r="F17" s="8">
        <v>34</v>
      </c>
      <c r="G17" s="7">
        <v>0.96979725445447418</v>
      </c>
      <c r="H17" s="7">
        <v>3.0016012175185333E-2</v>
      </c>
      <c r="I17" s="8">
        <v>0</v>
      </c>
      <c r="J17" s="8">
        <v>1</v>
      </c>
      <c r="K17" s="8">
        <v>42</v>
      </c>
      <c r="L17" s="7">
        <v>0.8581968674576721</v>
      </c>
      <c r="M17" s="7">
        <v>5.4732643111864598E-2</v>
      </c>
      <c r="N17" s="8">
        <v>0</v>
      </c>
      <c r="O17" s="8">
        <v>1</v>
      </c>
      <c r="P17" s="8">
        <v>42</v>
      </c>
      <c r="Q17" s="7">
        <v>0.9749682228588612</v>
      </c>
      <c r="R17" s="7">
        <v>2.5049499255806983E-2</v>
      </c>
      <c r="S17" s="8">
        <v>0</v>
      </c>
      <c r="T17" s="8">
        <v>1</v>
      </c>
      <c r="U17" s="8">
        <v>40</v>
      </c>
      <c r="V17" s="7">
        <v>0.65979065777482815</v>
      </c>
      <c r="W17" s="7">
        <v>6.9173406705135554E-2</v>
      </c>
      <c r="X17" s="8">
        <v>0</v>
      </c>
      <c r="Y17" s="8">
        <v>1</v>
      </c>
      <c r="Z17" s="8">
        <v>100</v>
      </c>
      <c r="AA17" s="13">
        <v>0.90843054717269422</v>
      </c>
      <c r="AB17" s="7">
        <v>2.4885705943311916E-2</v>
      </c>
      <c r="AC17" s="8">
        <v>0</v>
      </c>
      <c r="AD17" s="8">
        <v>1</v>
      </c>
      <c r="AE17" s="8">
        <v>258</v>
      </c>
      <c r="AF17">
        <f>(AA18/AA16)-AA17</f>
        <v>1.8636135025958955E-2</v>
      </c>
    </row>
    <row r="18" spans="1:32" x14ac:dyDescent="0.45">
      <c r="A18" s="6" t="s">
        <v>23</v>
      </c>
      <c r="B18" s="7">
        <v>0.81277723715120975</v>
      </c>
      <c r="C18" s="7">
        <v>6.8984814083315901E-2</v>
      </c>
      <c r="D18" s="8">
        <v>0</v>
      </c>
      <c r="E18" s="8">
        <v>1</v>
      </c>
      <c r="F18" s="8">
        <v>34</v>
      </c>
      <c r="G18" s="7">
        <v>0.96979725445447418</v>
      </c>
      <c r="H18" s="7">
        <v>3.0016012175185333E-2</v>
      </c>
      <c r="I18" s="8">
        <v>0</v>
      </c>
      <c r="J18" s="8">
        <v>1</v>
      </c>
      <c r="K18" s="8">
        <v>42</v>
      </c>
      <c r="L18" s="7">
        <v>0.74903380480491788</v>
      </c>
      <c r="M18" s="7">
        <v>6.8228299432245149E-2</v>
      </c>
      <c r="N18" s="8">
        <v>0</v>
      </c>
      <c r="O18" s="8">
        <v>1</v>
      </c>
      <c r="P18" s="8">
        <v>42</v>
      </c>
      <c r="Q18" s="7">
        <v>0.82965387968364745</v>
      </c>
      <c r="R18" s="7">
        <v>6.0325554878020847E-2</v>
      </c>
      <c r="S18" s="8">
        <v>0</v>
      </c>
      <c r="T18" s="8">
        <v>1</v>
      </c>
      <c r="U18" s="8">
        <v>40</v>
      </c>
      <c r="V18" s="7">
        <v>0.56510498127074993</v>
      </c>
      <c r="W18" s="7">
        <v>6.9619719713580594E-2</v>
      </c>
      <c r="X18" s="8">
        <v>0</v>
      </c>
      <c r="Y18" s="8">
        <v>1</v>
      </c>
      <c r="Z18" s="8">
        <v>100</v>
      </c>
      <c r="AA18" s="13">
        <v>0.8258536186346761</v>
      </c>
      <c r="AB18" s="7">
        <v>3.2754036934323917E-2</v>
      </c>
      <c r="AC18" s="8">
        <v>0</v>
      </c>
      <c r="AD18" s="8">
        <v>1</v>
      </c>
      <c r="AE18" s="8">
        <v>258</v>
      </c>
    </row>
    <row r="19" spans="1:32" x14ac:dyDescent="0.45">
      <c r="A19" s="6" t="s">
        <v>13</v>
      </c>
      <c r="B19" s="7">
        <v>0.96325561164598017</v>
      </c>
      <c r="C19" s="7">
        <v>3.6529384722979195E-2</v>
      </c>
      <c r="D19" s="8">
        <v>0</v>
      </c>
      <c r="E19" s="8">
        <v>1</v>
      </c>
      <c r="F19" s="8">
        <v>34</v>
      </c>
      <c r="G19" s="7">
        <v>1</v>
      </c>
      <c r="H19" s="7">
        <v>0</v>
      </c>
      <c r="I19" s="8">
        <v>1</v>
      </c>
      <c r="J19" s="8">
        <v>1</v>
      </c>
      <c r="K19" s="8">
        <v>42</v>
      </c>
      <c r="L19" s="7">
        <v>0.86522097663368402</v>
      </c>
      <c r="M19" s="7">
        <v>5.3672109624523678E-2</v>
      </c>
      <c r="N19" s="8">
        <v>0</v>
      </c>
      <c r="O19" s="8">
        <v>1</v>
      </c>
      <c r="P19" s="8">
        <v>42</v>
      </c>
      <c r="Q19" s="7">
        <v>0.82965387968364745</v>
      </c>
      <c r="R19" s="7">
        <v>6.0325554878020847E-2</v>
      </c>
      <c r="S19" s="8">
        <v>0</v>
      </c>
      <c r="T19" s="8">
        <v>1</v>
      </c>
      <c r="U19" s="8">
        <v>40</v>
      </c>
      <c r="V19" s="7">
        <v>0.58404564746449028</v>
      </c>
      <c r="W19" s="7">
        <v>6.9636386003461587E-2</v>
      </c>
      <c r="X19" s="8">
        <v>0</v>
      </c>
      <c r="Y19" s="8">
        <v>1</v>
      </c>
      <c r="Z19" s="8">
        <v>100</v>
      </c>
      <c r="AA19" s="13">
        <v>0.89082439752452569</v>
      </c>
      <c r="AB19" s="7">
        <v>2.6211607512557113E-2</v>
      </c>
      <c r="AC19" s="8">
        <v>0</v>
      </c>
      <c r="AD19" s="8">
        <v>1</v>
      </c>
      <c r="AE19" s="8">
        <v>258</v>
      </c>
      <c r="AF19">
        <f>(AA21/AA20)-AA19</f>
        <v>1.228602496608544E-2</v>
      </c>
    </row>
    <row r="20" spans="1:32" ht="26.25" x14ac:dyDescent="0.45">
      <c r="A20" s="6" t="s">
        <v>24</v>
      </c>
      <c r="B20" s="7">
        <v>0.59113064078982813</v>
      </c>
      <c r="C20" s="7">
        <v>8.9609791547363538E-2</v>
      </c>
      <c r="D20" s="8">
        <v>0</v>
      </c>
      <c r="E20" s="8">
        <v>1</v>
      </c>
      <c r="F20" s="8">
        <v>34</v>
      </c>
      <c r="G20" s="7">
        <v>0.71909384928754405</v>
      </c>
      <c r="H20" s="7">
        <v>7.2403474018022274E-2</v>
      </c>
      <c r="I20" s="8">
        <v>0</v>
      </c>
      <c r="J20" s="8">
        <v>1</v>
      </c>
      <c r="K20" s="8">
        <v>42</v>
      </c>
      <c r="L20" s="7">
        <v>0.68288377049228632</v>
      </c>
      <c r="M20" s="7">
        <v>7.4547087275515955E-2</v>
      </c>
      <c r="N20" s="8">
        <v>0</v>
      </c>
      <c r="O20" s="8">
        <v>1</v>
      </c>
      <c r="P20" s="8">
        <v>42</v>
      </c>
      <c r="Q20" s="7">
        <v>0.9233668457535289</v>
      </c>
      <c r="R20" s="7">
        <v>4.3202567197263397E-2</v>
      </c>
      <c r="S20" s="8">
        <v>0</v>
      </c>
      <c r="T20" s="8">
        <v>1</v>
      </c>
      <c r="U20" s="8">
        <v>40</v>
      </c>
      <c r="V20" s="7">
        <v>0.63320079073355351</v>
      </c>
      <c r="W20" s="7">
        <v>6.9028775174729731E-2</v>
      </c>
      <c r="X20" s="8">
        <v>0</v>
      </c>
      <c r="Y20" s="8">
        <v>1</v>
      </c>
      <c r="Z20" s="8">
        <v>100</v>
      </c>
      <c r="AA20" s="13">
        <v>0.74045598075499264</v>
      </c>
      <c r="AB20" s="7">
        <v>3.837948723925233E-2</v>
      </c>
      <c r="AC20" s="8">
        <v>0</v>
      </c>
      <c r="AD20" s="8">
        <v>1</v>
      </c>
      <c r="AE20" s="8">
        <v>258</v>
      </c>
      <c r="AF20">
        <f>(AA21/AA19)-AA20</f>
        <v>1.0212181762335182E-2</v>
      </c>
    </row>
    <row r="21" spans="1:32" x14ac:dyDescent="0.45">
      <c r="A21" s="6" t="s">
        <v>25</v>
      </c>
      <c r="B21" s="7">
        <v>0.5543862524358083</v>
      </c>
      <c r="C21" s="7">
        <v>9.0981049454066432E-2</v>
      </c>
      <c r="D21" s="8">
        <v>0</v>
      </c>
      <c r="E21" s="8">
        <v>1</v>
      </c>
      <c r="F21" s="8">
        <v>34</v>
      </c>
      <c r="G21" s="7">
        <v>0.71909384928754405</v>
      </c>
      <c r="H21" s="7">
        <v>7.2403474018022274E-2</v>
      </c>
      <c r="I21" s="8">
        <v>0</v>
      </c>
      <c r="J21" s="8">
        <v>1</v>
      </c>
      <c r="K21" s="8">
        <v>42</v>
      </c>
      <c r="L21" s="7">
        <v>0.60048023822780661</v>
      </c>
      <c r="M21" s="7">
        <v>7.8243655818424893E-2</v>
      </c>
      <c r="N21" s="8">
        <v>0</v>
      </c>
      <c r="O21" s="8">
        <v>1</v>
      </c>
      <c r="P21" s="8">
        <v>42</v>
      </c>
      <c r="Q21" s="7">
        <v>0.77805250257831504</v>
      </c>
      <c r="R21" s="7">
        <v>6.7123734829869899E-2</v>
      </c>
      <c r="S21" s="8">
        <v>0</v>
      </c>
      <c r="T21" s="8">
        <v>1</v>
      </c>
      <c r="U21" s="8">
        <v>40</v>
      </c>
      <c r="V21" s="7">
        <v>0.53851511422947529</v>
      </c>
      <c r="W21" s="7">
        <v>6.9565826035088457E-2</v>
      </c>
      <c r="X21" s="8">
        <v>0</v>
      </c>
      <c r="Y21" s="8">
        <v>1</v>
      </c>
      <c r="Z21" s="8">
        <v>100</v>
      </c>
      <c r="AA21" s="13">
        <v>0.66871351361534126</v>
      </c>
      <c r="AB21" s="7">
        <v>4.087711520845503E-2</v>
      </c>
      <c r="AC21" s="8">
        <v>0</v>
      </c>
      <c r="AD21" s="8">
        <v>1</v>
      </c>
      <c r="AE21" s="8">
        <v>258</v>
      </c>
    </row>
    <row r="22" spans="1:32" x14ac:dyDescent="0.45">
      <c r="A22" s="6" t="s">
        <v>13</v>
      </c>
      <c r="B22" s="7">
        <v>0.96325561164598017</v>
      </c>
      <c r="C22" s="7">
        <v>3.6529384722979195E-2</v>
      </c>
      <c r="D22" s="8">
        <v>0</v>
      </c>
      <c r="E22" s="8">
        <v>1</v>
      </c>
      <c r="F22" s="8">
        <v>34</v>
      </c>
      <c r="G22" s="7">
        <v>1</v>
      </c>
      <c r="H22" s="7">
        <v>0</v>
      </c>
      <c r="I22" s="8">
        <v>1</v>
      </c>
      <c r="J22" s="8">
        <v>1</v>
      </c>
      <c r="K22" s="8">
        <v>42</v>
      </c>
      <c r="L22" s="7">
        <v>0.86522097663368402</v>
      </c>
      <c r="M22" s="7">
        <v>5.3672109624523678E-2</v>
      </c>
      <c r="N22" s="8">
        <v>0</v>
      </c>
      <c r="O22" s="8">
        <v>1</v>
      </c>
      <c r="P22" s="8">
        <v>42</v>
      </c>
      <c r="Q22" s="7">
        <v>0.82965387968364745</v>
      </c>
      <c r="R22" s="7">
        <v>6.0325554878020847E-2</v>
      </c>
      <c r="S22" s="8">
        <v>0</v>
      </c>
      <c r="T22" s="8">
        <v>1</v>
      </c>
      <c r="U22" s="8">
        <v>40</v>
      </c>
      <c r="V22" s="7">
        <v>0.58404564746449028</v>
      </c>
      <c r="W22" s="7">
        <v>6.9636386003461587E-2</v>
      </c>
      <c r="X22" s="8">
        <v>0</v>
      </c>
      <c r="Y22" s="8">
        <v>1</v>
      </c>
      <c r="Z22" s="8">
        <v>100</v>
      </c>
      <c r="AA22" s="13">
        <v>0.89082439752452569</v>
      </c>
      <c r="AB22" s="7">
        <v>2.6211607512557113E-2</v>
      </c>
      <c r="AC22" s="8">
        <v>0</v>
      </c>
      <c r="AD22" s="8">
        <v>1</v>
      </c>
      <c r="AE22" s="8">
        <v>258</v>
      </c>
      <c r="AF22">
        <f>(AA24/AA23)-AA22</f>
        <v>3.1155945164385468E-2</v>
      </c>
    </row>
    <row r="23" spans="1:32" x14ac:dyDescent="0.45">
      <c r="A23" s="6" t="s">
        <v>26</v>
      </c>
      <c r="B23" s="7">
        <v>0.24902179290487914</v>
      </c>
      <c r="C23" s="7">
        <v>7.8614835918954476E-2</v>
      </c>
      <c r="D23" s="8">
        <v>0</v>
      </c>
      <c r="E23" s="8">
        <v>1</v>
      </c>
      <c r="F23" s="8">
        <v>34</v>
      </c>
      <c r="G23" s="7">
        <v>0.52007076896689197</v>
      </c>
      <c r="H23" s="7">
        <v>7.9207874917171434E-2</v>
      </c>
      <c r="I23" s="8">
        <v>0</v>
      </c>
      <c r="J23" s="8">
        <v>1</v>
      </c>
      <c r="K23" s="8">
        <v>42</v>
      </c>
      <c r="L23" s="7">
        <v>0.3991898102231235</v>
      </c>
      <c r="M23" s="7">
        <v>7.8974550833973395E-2</v>
      </c>
      <c r="N23" s="8">
        <v>0</v>
      </c>
      <c r="O23" s="8">
        <v>1</v>
      </c>
      <c r="P23" s="8">
        <v>42</v>
      </c>
      <c r="Q23" s="7">
        <v>0.56237744430379144</v>
      </c>
      <c r="R23" s="7">
        <v>8.1477344007092639E-2</v>
      </c>
      <c r="S23" s="8">
        <v>0</v>
      </c>
      <c r="T23" s="8">
        <v>1</v>
      </c>
      <c r="U23" s="8">
        <v>40</v>
      </c>
      <c r="V23" s="7">
        <v>0.3070650065631072</v>
      </c>
      <c r="W23" s="7">
        <v>6.1930006435609156E-2</v>
      </c>
      <c r="X23" s="8">
        <v>0</v>
      </c>
      <c r="Y23" s="8">
        <v>1</v>
      </c>
      <c r="Z23" s="8">
        <v>100</v>
      </c>
      <c r="AA23" s="13">
        <v>0.45755497144841928</v>
      </c>
      <c r="AB23" s="7">
        <v>4.3248432113583909E-2</v>
      </c>
      <c r="AC23" s="8">
        <v>0</v>
      </c>
      <c r="AD23" s="8">
        <v>1</v>
      </c>
      <c r="AE23" s="8">
        <v>258</v>
      </c>
      <c r="AF23">
        <f>(AA24/AA22)-AA23</f>
        <v>1.6002657358457018E-2</v>
      </c>
    </row>
    <row r="24" spans="1:32" x14ac:dyDescent="0.45">
      <c r="A24" s="6" t="s">
        <v>27</v>
      </c>
      <c r="B24" s="7">
        <v>0.24902179290487914</v>
      </c>
      <c r="C24" s="7">
        <v>7.8614835918954476E-2</v>
      </c>
      <c r="D24" s="8">
        <v>0</v>
      </c>
      <c r="E24" s="8">
        <v>1</v>
      </c>
      <c r="F24" s="8">
        <v>34</v>
      </c>
      <c r="G24" s="7">
        <v>0.52007076896689197</v>
      </c>
      <c r="H24" s="7">
        <v>7.9207874917171434E-2</v>
      </c>
      <c r="I24" s="8">
        <v>0</v>
      </c>
      <c r="J24" s="8">
        <v>1</v>
      </c>
      <c r="K24" s="8">
        <v>42</v>
      </c>
      <c r="L24" s="7">
        <v>0.33870360760999235</v>
      </c>
      <c r="M24" s="7">
        <v>7.6905174775180607E-2</v>
      </c>
      <c r="N24" s="8">
        <v>0</v>
      </c>
      <c r="O24" s="8">
        <v>1</v>
      </c>
      <c r="P24" s="8">
        <v>42</v>
      </c>
      <c r="Q24" s="7">
        <v>0.51879779522541969</v>
      </c>
      <c r="R24" s="7">
        <v>8.2184413141018417E-2</v>
      </c>
      <c r="S24" s="8">
        <v>0</v>
      </c>
      <c r="T24" s="8">
        <v>1</v>
      </c>
      <c r="U24" s="8">
        <v>40</v>
      </c>
      <c r="V24" s="7">
        <v>0.26773841912520913</v>
      </c>
      <c r="W24" s="7">
        <v>6.0803854871950481E-2</v>
      </c>
      <c r="X24" s="8">
        <v>0</v>
      </c>
      <c r="Y24" s="8">
        <v>1</v>
      </c>
      <c r="Z24" s="8">
        <v>100</v>
      </c>
      <c r="AA24" s="13">
        <v>0.42185668937502857</v>
      </c>
      <c r="AB24" s="7">
        <v>4.2908835026009291E-2</v>
      </c>
      <c r="AC24" s="8">
        <v>0</v>
      </c>
      <c r="AD24" s="8">
        <v>1</v>
      </c>
      <c r="AE24" s="8">
        <v>258</v>
      </c>
    </row>
    <row r="25" spans="1:32" x14ac:dyDescent="0.45">
      <c r="A25" s="6" t="s">
        <v>13</v>
      </c>
      <c r="B25" s="7">
        <v>0.96325561164598017</v>
      </c>
      <c r="C25" s="7">
        <v>3.6529384722979195E-2</v>
      </c>
      <c r="D25" s="8">
        <v>0</v>
      </c>
      <c r="E25" s="8">
        <v>1</v>
      </c>
      <c r="F25" s="8">
        <v>34</v>
      </c>
      <c r="G25" s="7">
        <v>1</v>
      </c>
      <c r="H25" s="7">
        <v>0</v>
      </c>
      <c r="I25" s="8">
        <v>1</v>
      </c>
      <c r="J25" s="8">
        <v>1</v>
      </c>
      <c r="K25" s="8">
        <v>42</v>
      </c>
      <c r="L25" s="7">
        <v>0.86522097663368402</v>
      </c>
      <c r="M25" s="7">
        <v>5.3672109624523678E-2</v>
      </c>
      <c r="N25" s="8">
        <v>0</v>
      </c>
      <c r="O25" s="8">
        <v>1</v>
      </c>
      <c r="P25" s="8">
        <v>42</v>
      </c>
      <c r="Q25" s="7">
        <v>0.82965387968364745</v>
      </c>
      <c r="R25" s="7">
        <v>6.0325554878020847E-2</v>
      </c>
      <c r="S25" s="8">
        <v>0</v>
      </c>
      <c r="T25" s="8">
        <v>1</v>
      </c>
      <c r="U25" s="8">
        <v>40</v>
      </c>
      <c r="V25" s="7">
        <v>0.58404564746449028</v>
      </c>
      <c r="W25" s="7">
        <v>6.9636386003461587E-2</v>
      </c>
      <c r="X25" s="8">
        <v>0</v>
      </c>
      <c r="Y25" s="8">
        <v>1</v>
      </c>
      <c r="Z25" s="8">
        <v>100</v>
      </c>
      <c r="AA25" s="13">
        <v>0.89082439752452569</v>
      </c>
      <c r="AB25" s="7">
        <v>2.6211607512557113E-2</v>
      </c>
      <c r="AC25" s="8">
        <v>0</v>
      </c>
      <c r="AD25" s="8">
        <v>1</v>
      </c>
      <c r="AE25" s="8">
        <v>258</v>
      </c>
      <c r="AF25">
        <f>(AA27/AA26)-AA25</f>
        <v>2.9557403643439839E-3</v>
      </c>
    </row>
    <row r="26" spans="1:32" x14ac:dyDescent="0.45">
      <c r="A26" s="6" t="s">
        <v>28</v>
      </c>
      <c r="B26" s="7">
        <v>0.16060683353603622</v>
      </c>
      <c r="C26" s="7">
        <v>6.3104178008598577E-2</v>
      </c>
      <c r="D26" s="8">
        <v>0</v>
      </c>
      <c r="E26" s="8">
        <v>1</v>
      </c>
      <c r="F26" s="8">
        <v>34</v>
      </c>
      <c r="G26" s="7">
        <v>0.18650001607317804</v>
      </c>
      <c r="H26" s="7">
        <v>6.08550634427708E-2</v>
      </c>
      <c r="I26" s="8">
        <v>0</v>
      </c>
      <c r="J26" s="8">
        <v>1</v>
      </c>
      <c r="K26" s="8">
        <v>42</v>
      </c>
      <c r="L26" s="7">
        <v>0.39436733839662452</v>
      </c>
      <c r="M26" s="7">
        <v>7.7850298089584935E-2</v>
      </c>
      <c r="N26" s="8">
        <v>0</v>
      </c>
      <c r="O26" s="8">
        <v>1</v>
      </c>
      <c r="P26" s="8">
        <v>42</v>
      </c>
      <c r="Q26" s="7">
        <v>0.69537622401646959</v>
      </c>
      <c r="R26" s="7">
        <v>7.7013327808946444E-2</v>
      </c>
      <c r="S26" s="8">
        <v>0</v>
      </c>
      <c r="T26" s="8">
        <v>1</v>
      </c>
      <c r="U26" s="8">
        <v>40</v>
      </c>
      <c r="V26" s="7">
        <v>0.38609576035540805</v>
      </c>
      <c r="W26" s="7">
        <v>6.5209352136426937E-2</v>
      </c>
      <c r="X26" s="8">
        <v>0</v>
      </c>
      <c r="Y26" s="8">
        <v>1</v>
      </c>
      <c r="Z26" s="8">
        <v>100</v>
      </c>
      <c r="AA26" s="13">
        <v>0.39148388036045784</v>
      </c>
      <c r="AB26" s="7">
        <v>4.207767278054346E-2</v>
      </c>
      <c r="AC26" s="8">
        <v>0</v>
      </c>
      <c r="AD26" s="8">
        <v>1</v>
      </c>
      <c r="AE26" s="8">
        <v>258</v>
      </c>
      <c r="AF26">
        <f>(AA27/AA25)-AA26</f>
        <v>1.2989369289693187E-3</v>
      </c>
    </row>
    <row r="27" spans="1:32" x14ac:dyDescent="0.45">
      <c r="A27" s="6" t="s">
        <v>29</v>
      </c>
      <c r="B27" s="7">
        <v>0.16060683353603622</v>
      </c>
      <c r="C27" s="7">
        <v>6.3104178008598577E-2</v>
      </c>
      <c r="D27" s="8">
        <v>0</v>
      </c>
      <c r="E27" s="8">
        <v>1</v>
      </c>
      <c r="F27" s="8">
        <v>34</v>
      </c>
      <c r="G27" s="7">
        <v>0.18650001607317804</v>
      </c>
      <c r="H27" s="7">
        <v>6.08550634427708E-2</v>
      </c>
      <c r="I27" s="8">
        <v>0</v>
      </c>
      <c r="J27" s="8">
        <v>1</v>
      </c>
      <c r="K27" s="8">
        <v>42</v>
      </c>
      <c r="L27" s="7">
        <v>0.33589871942387906</v>
      </c>
      <c r="M27" s="7">
        <v>7.5292055129292337E-2</v>
      </c>
      <c r="N27" s="8">
        <v>0</v>
      </c>
      <c r="O27" s="8">
        <v>1</v>
      </c>
      <c r="P27" s="8">
        <v>42</v>
      </c>
      <c r="Q27" s="7">
        <v>0.62777982602299687</v>
      </c>
      <c r="R27" s="7">
        <v>8.0024200331440865E-2</v>
      </c>
      <c r="S27" s="8">
        <v>0</v>
      </c>
      <c r="T27" s="8">
        <v>1</v>
      </c>
      <c r="U27" s="8">
        <v>40</v>
      </c>
      <c r="V27" s="7">
        <v>0.30907885856326578</v>
      </c>
      <c r="W27" s="7">
        <v>6.1244479140423552E-2</v>
      </c>
      <c r="X27" s="8">
        <v>0</v>
      </c>
      <c r="Y27" s="8">
        <v>1</v>
      </c>
      <c r="Z27" s="8">
        <v>100</v>
      </c>
      <c r="AA27" s="13">
        <v>0.34990051656983978</v>
      </c>
      <c r="AB27" s="7">
        <v>4.1084418867602238E-2</v>
      </c>
      <c r="AC27" s="8">
        <v>0</v>
      </c>
      <c r="AD27" s="8">
        <v>1</v>
      </c>
      <c r="AE27" s="8">
        <v>258</v>
      </c>
    </row>
    <row r="28" spans="1:32" x14ac:dyDescent="0.45">
      <c r="A28" s="6" t="s">
        <v>13</v>
      </c>
      <c r="B28" s="7">
        <v>0.96325561164598017</v>
      </c>
      <c r="C28" s="7">
        <v>3.6529384722979195E-2</v>
      </c>
      <c r="D28" s="8">
        <v>0</v>
      </c>
      <c r="E28" s="8">
        <v>1</v>
      </c>
      <c r="F28" s="8">
        <v>34</v>
      </c>
      <c r="G28" s="7">
        <v>1</v>
      </c>
      <c r="H28" s="7">
        <v>0</v>
      </c>
      <c r="I28" s="8">
        <v>1</v>
      </c>
      <c r="J28" s="8">
        <v>1</v>
      </c>
      <c r="K28" s="8">
        <v>42</v>
      </c>
      <c r="L28" s="7">
        <v>0.86522097663368402</v>
      </c>
      <c r="M28" s="7">
        <v>5.3672109624523678E-2</v>
      </c>
      <c r="N28" s="8">
        <v>0</v>
      </c>
      <c r="O28" s="8">
        <v>1</v>
      </c>
      <c r="P28" s="8">
        <v>42</v>
      </c>
      <c r="Q28" s="7">
        <v>0.82965387968364745</v>
      </c>
      <c r="R28" s="7">
        <v>6.0325554878020847E-2</v>
      </c>
      <c r="S28" s="8">
        <v>0</v>
      </c>
      <c r="T28" s="8">
        <v>1</v>
      </c>
      <c r="U28" s="8">
        <v>40</v>
      </c>
      <c r="V28" s="7">
        <v>0.58404564746449028</v>
      </c>
      <c r="W28" s="7">
        <v>6.9636386003461587E-2</v>
      </c>
      <c r="X28" s="8">
        <v>0</v>
      </c>
      <c r="Y28" s="8">
        <v>1</v>
      </c>
      <c r="Z28" s="8">
        <v>100</v>
      </c>
      <c r="AA28" s="13">
        <v>0.89082439752452569</v>
      </c>
      <c r="AB28" s="7">
        <v>2.6211607512557113E-2</v>
      </c>
      <c r="AC28" s="8">
        <v>0</v>
      </c>
      <c r="AD28" s="8">
        <v>1</v>
      </c>
      <c r="AE28" s="8">
        <v>258</v>
      </c>
      <c r="AF28">
        <f>(AA30/AA29)-AA28</f>
        <v>0.10540954699929161</v>
      </c>
    </row>
    <row r="29" spans="1:32" x14ac:dyDescent="0.45">
      <c r="A29" s="6" t="s">
        <v>30</v>
      </c>
      <c r="B29" s="7">
        <v>9.7944886332647418E-2</v>
      </c>
      <c r="C29" s="7">
        <v>5.0745074390485048E-2</v>
      </c>
      <c r="D29" s="8">
        <v>0</v>
      </c>
      <c r="E29" s="8">
        <v>1</v>
      </c>
      <c r="F29" s="8">
        <v>34</v>
      </c>
      <c r="G29" s="7">
        <v>0.19686198014165318</v>
      </c>
      <c r="H29" s="7">
        <v>6.361507673733699E-2</v>
      </c>
      <c r="I29" s="8">
        <v>0</v>
      </c>
      <c r="J29" s="8">
        <v>1</v>
      </c>
      <c r="K29" s="8">
        <v>42</v>
      </c>
      <c r="L29" s="7">
        <v>0.19333329674758543</v>
      </c>
      <c r="M29" s="7">
        <v>6.2618824990208738E-2</v>
      </c>
      <c r="N29" s="8">
        <v>0</v>
      </c>
      <c r="O29" s="8">
        <v>1</v>
      </c>
      <c r="P29" s="8">
        <v>42</v>
      </c>
      <c r="Q29" s="7">
        <v>0.12570203484365922</v>
      </c>
      <c r="R29" s="7">
        <v>5.3202553266984524E-2</v>
      </c>
      <c r="S29" s="8">
        <v>0</v>
      </c>
      <c r="T29" s="8">
        <v>1</v>
      </c>
      <c r="U29" s="8">
        <v>40</v>
      </c>
      <c r="V29" s="7">
        <v>7.5898831644268056E-2</v>
      </c>
      <c r="W29" s="7">
        <v>2.9028505479072871E-2</v>
      </c>
      <c r="X29" s="8">
        <v>0</v>
      </c>
      <c r="Y29" s="8">
        <v>1</v>
      </c>
      <c r="Z29" s="8">
        <v>100</v>
      </c>
      <c r="AA29" s="13">
        <v>0.16935134322954545</v>
      </c>
      <c r="AB29" s="7">
        <v>3.3026123553095636E-2</v>
      </c>
      <c r="AC29" s="8">
        <v>0</v>
      </c>
      <c r="AD29" s="8">
        <v>1</v>
      </c>
      <c r="AE29" s="8">
        <v>258</v>
      </c>
      <c r="AF29">
        <f>(AA30/AA28)-AA29</f>
        <v>2.0039020510836947E-2</v>
      </c>
    </row>
    <row r="30" spans="1:32" ht="26.25" x14ac:dyDescent="0.45">
      <c r="A30" s="6" t="s">
        <v>31</v>
      </c>
      <c r="B30" s="7">
        <v>9.7944886332647418E-2</v>
      </c>
      <c r="C30" s="7">
        <v>5.0745074390485048E-2</v>
      </c>
      <c r="D30" s="8">
        <v>0</v>
      </c>
      <c r="E30" s="8">
        <v>1</v>
      </c>
      <c r="F30" s="8">
        <v>34</v>
      </c>
      <c r="G30" s="7">
        <v>0.19686198014165318</v>
      </c>
      <c r="H30" s="7">
        <v>6.361507673733699E-2</v>
      </c>
      <c r="I30" s="8">
        <v>0</v>
      </c>
      <c r="J30" s="8">
        <v>1</v>
      </c>
      <c r="K30" s="8">
        <v>42</v>
      </c>
      <c r="L30" s="7">
        <v>0.19333329674758543</v>
      </c>
      <c r="M30" s="7">
        <v>6.2618824990208738E-2</v>
      </c>
      <c r="N30" s="8">
        <v>0</v>
      </c>
      <c r="O30" s="8">
        <v>1</v>
      </c>
      <c r="P30" s="8">
        <v>42</v>
      </c>
      <c r="Q30" s="7">
        <v>0.12570203484365922</v>
      </c>
      <c r="R30" s="7">
        <v>5.3202553266984524E-2</v>
      </c>
      <c r="S30" s="8">
        <v>0</v>
      </c>
      <c r="T30" s="8">
        <v>1</v>
      </c>
      <c r="U30" s="8">
        <v>40</v>
      </c>
      <c r="V30" s="7">
        <v>5.6439156287763761E-2</v>
      </c>
      <c r="W30" s="7">
        <v>2.5964086565883636E-2</v>
      </c>
      <c r="X30" s="8">
        <v>0</v>
      </c>
      <c r="Y30" s="8">
        <v>1</v>
      </c>
      <c r="Z30" s="8">
        <v>100</v>
      </c>
      <c r="AA30" s="13">
        <v>0.16871355667597693</v>
      </c>
      <c r="AB30" s="7">
        <v>3.3025319460163502E-2</v>
      </c>
      <c r="AC30" s="8">
        <v>0</v>
      </c>
      <c r="AD30" s="8">
        <v>1</v>
      </c>
      <c r="AE30" s="8">
        <v>258</v>
      </c>
    </row>
    <row r="31" spans="1:32" x14ac:dyDescent="0.45">
      <c r="A31" s="6" t="s">
        <v>13</v>
      </c>
      <c r="B31" s="7">
        <v>0.96325561164598017</v>
      </c>
      <c r="C31" s="7">
        <v>3.6529384722979195E-2</v>
      </c>
      <c r="D31" s="8">
        <v>0</v>
      </c>
      <c r="E31" s="8">
        <v>1</v>
      </c>
      <c r="F31" s="8">
        <v>34</v>
      </c>
      <c r="G31" s="7">
        <v>1</v>
      </c>
      <c r="H31" s="7">
        <v>0</v>
      </c>
      <c r="I31" s="8">
        <v>1</v>
      </c>
      <c r="J31" s="8">
        <v>1</v>
      </c>
      <c r="K31" s="8">
        <v>42</v>
      </c>
      <c r="L31" s="7">
        <v>0.86522097663368402</v>
      </c>
      <c r="M31" s="7">
        <v>5.3672109624523678E-2</v>
      </c>
      <c r="N31" s="8">
        <v>0</v>
      </c>
      <c r="O31" s="8">
        <v>1</v>
      </c>
      <c r="P31" s="8">
        <v>42</v>
      </c>
      <c r="Q31" s="7">
        <v>0.82965387968364745</v>
      </c>
      <c r="R31" s="7">
        <v>6.0325554878020847E-2</v>
      </c>
      <c r="S31" s="8">
        <v>0</v>
      </c>
      <c r="T31" s="8">
        <v>1</v>
      </c>
      <c r="U31" s="8">
        <v>40</v>
      </c>
      <c r="V31" s="7">
        <v>0.58404564746449028</v>
      </c>
      <c r="W31" s="7">
        <v>6.9636386003461587E-2</v>
      </c>
      <c r="X31" s="8">
        <v>0</v>
      </c>
      <c r="Y31" s="8">
        <v>1</v>
      </c>
      <c r="Z31" s="8">
        <v>100</v>
      </c>
      <c r="AA31" s="13">
        <v>0.89082439752452569</v>
      </c>
      <c r="AB31" s="7">
        <v>2.6211607512557113E-2</v>
      </c>
      <c r="AC31" s="8">
        <v>0</v>
      </c>
      <c r="AD31" s="8">
        <v>1</v>
      </c>
      <c r="AE31" s="8">
        <v>258</v>
      </c>
      <c r="AF31">
        <f>(AA33/AA32)-AA31</f>
        <v>2.9229910671212944E-2</v>
      </c>
    </row>
    <row r="32" spans="1:32" x14ac:dyDescent="0.45">
      <c r="A32" s="6" t="s">
        <v>32</v>
      </c>
      <c r="B32" s="7">
        <v>0.88886175204661999</v>
      </c>
      <c r="C32" s="7">
        <v>6.1457033964244352E-2</v>
      </c>
      <c r="D32" s="8">
        <v>0</v>
      </c>
      <c r="E32" s="8">
        <v>1</v>
      </c>
      <c r="F32" s="8">
        <v>34</v>
      </c>
      <c r="G32" s="7">
        <v>0.60873909731901421</v>
      </c>
      <c r="H32" s="7">
        <v>7.7439164761967633E-2</v>
      </c>
      <c r="I32" s="8">
        <v>0</v>
      </c>
      <c r="J32" s="8">
        <v>1</v>
      </c>
      <c r="K32" s="8">
        <v>42</v>
      </c>
      <c r="L32" s="7">
        <v>0.46210236619269668</v>
      </c>
      <c r="M32" s="7">
        <v>7.9990935927138157E-2</v>
      </c>
      <c r="N32" s="8">
        <v>0</v>
      </c>
      <c r="O32" s="8">
        <v>1</v>
      </c>
      <c r="P32" s="8">
        <v>42</v>
      </c>
      <c r="Q32" s="7">
        <v>0.64300167798766439</v>
      </c>
      <c r="R32" s="7">
        <v>7.9764129090886995E-2</v>
      </c>
      <c r="S32" s="8">
        <v>0</v>
      </c>
      <c r="T32" s="8">
        <v>1</v>
      </c>
      <c r="U32" s="8">
        <v>40</v>
      </c>
      <c r="V32" s="7">
        <v>0.19224039367404611</v>
      </c>
      <c r="W32" s="7">
        <v>4.6779770209863396E-2</v>
      </c>
      <c r="X32" s="8">
        <v>0</v>
      </c>
      <c r="Y32" s="8">
        <v>1</v>
      </c>
      <c r="Z32" s="8">
        <v>100</v>
      </c>
      <c r="AA32" s="13">
        <v>0.56028151574267626</v>
      </c>
      <c r="AB32" s="7">
        <v>4.331019237972477E-2</v>
      </c>
      <c r="AC32" s="8">
        <v>0</v>
      </c>
      <c r="AD32" s="8">
        <v>1</v>
      </c>
      <c r="AE32" s="8">
        <v>258</v>
      </c>
      <c r="AF32">
        <f>(AA33/AA31)-AA32</f>
        <v>1.838407064444969E-2</v>
      </c>
    </row>
    <row r="33" spans="1:32" x14ac:dyDescent="0.45">
      <c r="A33" s="6" t="s">
        <v>33</v>
      </c>
      <c r="B33" s="7">
        <v>0.85211736369260016</v>
      </c>
      <c r="C33" s="7">
        <v>6.8994608141228625E-2</v>
      </c>
      <c r="D33" s="8">
        <v>0</v>
      </c>
      <c r="E33" s="8">
        <v>1</v>
      </c>
      <c r="F33" s="8">
        <v>34</v>
      </c>
      <c r="G33" s="7">
        <v>0.60873909731901421</v>
      </c>
      <c r="H33" s="7">
        <v>7.7439164761967633E-2</v>
      </c>
      <c r="I33" s="8">
        <v>0</v>
      </c>
      <c r="J33" s="8">
        <v>1</v>
      </c>
      <c r="K33" s="8">
        <v>42</v>
      </c>
      <c r="L33" s="7">
        <v>0.41342550615307372</v>
      </c>
      <c r="M33" s="7">
        <v>7.9023400091109919E-2</v>
      </c>
      <c r="N33" s="8">
        <v>0</v>
      </c>
      <c r="O33" s="8">
        <v>1</v>
      </c>
      <c r="P33" s="8">
        <v>42</v>
      </c>
      <c r="Q33" s="7">
        <v>0.54756916641354703</v>
      </c>
      <c r="R33" s="7">
        <v>8.2142514345284787E-2</v>
      </c>
      <c r="S33" s="8">
        <v>0</v>
      </c>
      <c r="T33" s="8">
        <v>1</v>
      </c>
      <c r="U33" s="8">
        <v>40</v>
      </c>
      <c r="V33" s="7">
        <v>0.15677633208622557</v>
      </c>
      <c r="W33" s="7">
        <v>4.4206195385476293E-2</v>
      </c>
      <c r="X33" s="8">
        <v>0</v>
      </c>
      <c r="Y33" s="8">
        <v>1</v>
      </c>
      <c r="Z33" s="8">
        <v>100</v>
      </c>
      <c r="AA33" s="13">
        <v>0.51548942236148787</v>
      </c>
      <c r="AB33" s="7">
        <v>4.3388739259315384E-2</v>
      </c>
      <c r="AC33" s="8">
        <v>0</v>
      </c>
      <c r="AD33" s="8">
        <v>1</v>
      </c>
      <c r="AE33" s="8">
        <v>258</v>
      </c>
    </row>
    <row r="34" spans="1:32" x14ac:dyDescent="0.45">
      <c r="A34" s="6" t="s">
        <v>13</v>
      </c>
      <c r="B34" s="7">
        <v>0.96325561164598017</v>
      </c>
      <c r="C34" s="7">
        <v>3.6529384722979195E-2</v>
      </c>
      <c r="D34" s="8">
        <v>0</v>
      </c>
      <c r="E34" s="8">
        <v>1</v>
      </c>
      <c r="F34" s="8">
        <v>34</v>
      </c>
      <c r="G34" s="7">
        <v>1</v>
      </c>
      <c r="H34" s="7">
        <v>0</v>
      </c>
      <c r="I34" s="8">
        <v>1</v>
      </c>
      <c r="J34" s="8">
        <v>1</v>
      </c>
      <c r="K34" s="8">
        <v>42</v>
      </c>
      <c r="L34" s="7">
        <v>0.86522097663368402</v>
      </c>
      <c r="M34" s="7">
        <v>5.3672109624523678E-2</v>
      </c>
      <c r="N34" s="8">
        <v>0</v>
      </c>
      <c r="O34" s="8">
        <v>1</v>
      </c>
      <c r="P34" s="8">
        <v>42</v>
      </c>
      <c r="Q34" s="7">
        <v>0.82965387968364745</v>
      </c>
      <c r="R34" s="7">
        <v>6.0325554878020847E-2</v>
      </c>
      <c r="S34" s="8">
        <v>0</v>
      </c>
      <c r="T34" s="8">
        <v>1</v>
      </c>
      <c r="U34" s="8">
        <v>40</v>
      </c>
      <c r="V34" s="7">
        <v>0.58404564746449028</v>
      </c>
      <c r="W34" s="7">
        <v>6.9636386003461587E-2</v>
      </c>
      <c r="X34" s="8">
        <v>0</v>
      </c>
      <c r="Y34" s="8">
        <v>1</v>
      </c>
      <c r="Z34" s="8">
        <v>100</v>
      </c>
      <c r="AA34" s="13">
        <v>0.89082439752452569</v>
      </c>
      <c r="AB34" s="7">
        <v>2.6211607512557113E-2</v>
      </c>
      <c r="AC34" s="8">
        <v>0</v>
      </c>
      <c r="AD34" s="8">
        <v>1</v>
      </c>
      <c r="AE34" s="8">
        <v>258</v>
      </c>
      <c r="AF34">
        <f>(AA36/AA35)-AA34</f>
        <v>6.3693960333041089E-2</v>
      </c>
    </row>
    <row r="35" spans="1:32" x14ac:dyDescent="0.45">
      <c r="A35" s="6" t="s">
        <v>34</v>
      </c>
      <c r="B35" s="7">
        <v>0.19862121171774996</v>
      </c>
      <c r="C35" s="7">
        <v>7.0449908333518482E-2</v>
      </c>
      <c r="D35" s="8">
        <v>0</v>
      </c>
      <c r="E35" s="8">
        <v>1</v>
      </c>
      <c r="F35" s="8">
        <v>34</v>
      </c>
      <c r="G35" s="7">
        <v>0.27373543444507736</v>
      </c>
      <c r="H35" s="7">
        <v>7.1059953576424029E-2</v>
      </c>
      <c r="I35" s="8">
        <v>0</v>
      </c>
      <c r="J35" s="8">
        <v>1</v>
      </c>
      <c r="K35" s="8">
        <v>42</v>
      </c>
      <c r="L35" s="7">
        <v>0.16792280545098798</v>
      </c>
      <c r="M35" s="7">
        <v>5.8618243579727093E-2</v>
      </c>
      <c r="N35" s="8">
        <v>0</v>
      </c>
      <c r="O35" s="8">
        <v>1</v>
      </c>
      <c r="P35" s="8">
        <v>42</v>
      </c>
      <c r="Q35" s="7">
        <v>0.27853232036598929</v>
      </c>
      <c r="R35" s="7">
        <v>7.2602815976202259E-2</v>
      </c>
      <c r="S35" s="8">
        <v>0</v>
      </c>
      <c r="T35" s="8">
        <v>1</v>
      </c>
      <c r="U35" s="8">
        <v>40</v>
      </c>
      <c r="V35" s="7">
        <v>3.9845505914107161E-2</v>
      </c>
      <c r="W35" s="7">
        <v>2.1780217848510454E-2</v>
      </c>
      <c r="X35" s="8">
        <v>0</v>
      </c>
      <c r="Y35" s="8">
        <v>1</v>
      </c>
      <c r="Z35" s="8">
        <v>100</v>
      </c>
      <c r="AA35" s="13">
        <v>0.21982448140548122</v>
      </c>
      <c r="AB35" s="7">
        <v>3.5153365318010749E-2</v>
      </c>
      <c r="AC35" s="8">
        <v>0</v>
      </c>
      <c r="AD35" s="8">
        <v>1</v>
      </c>
      <c r="AE35" s="8">
        <v>258</v>
      </c>
      <c r="AF35">
        <f>(AA36/AA34)-AA35</f>
        <v>1.5717454346535875E-2</v>
      </c>
    </row>
    <row r="36" spans="1:32" ht="26.25" x14ac:dyDescent="0.45">
      <c r="A36" s="6" t="s">
        <v>35</v>
      </c>
      <c r="B36" s="7">
        <v>0.19862121171774996</v>
      </c>
      <c r="C36" s="7">
        <v>7.0449908333518482E-2</v>
      </c>
      <c r="D36" s="8">
        <v>0</v>
      </c>
      <c r="E36" s="8">
        <v>1</v>
      </c>
      <c r="F36" s="8">
        <v>34</v>
      </c>
      <c r="G36" s="7">
        <v>0.27373543444507736</v>
      </c>
      <c r="H36" s="7">
        <v>7.1059953576424029E-2</v>
      </c>
      <c r="I36" s="8">
        <v>0</v>
      </c>
      <c r="J36" s="8">
        <v>1</v>
      </c>
      <c r="K36" s="8">
        <v>42</v>
      </c>
      <c r="L36" s="7">
        <v>0.16792280545098798</v>
      </c>
      <c r="M36" s="7">
        <v>5.8618243579727093E-2</v>
      </c>
      <c r="N36" s="8">
        <v>0</v>
      </c>
      <c r="O36" s="8">
        <v>1</v>
      </c>
      <c r="P36" s="8">
        <v>42</v>
      </c>
      <c r="Q36" s="7">
        <v>0.23495267128761757</v>
      </c>
      <c r="R36" s="7">
        <v>6.8865192311415871E-2</v>
      </c>
      <c r="S36" s="8">
        <v>0</v>
      </c>
      <c r="T36" s="8">
        <v>1</v>
      </c>
      <c r="U36" s="8">
        <v>40</v>
      </c>
      <c r="V36" s="7">
        <v>3.7453055224034838E-2</v>
      </c>
      <c r="W36" s="7">
        <v>2.1687461321267837E-2</v>
      </c>
      <c r="X36" s="8">
        <v>0</v>
      </c>
      <c r="Y36" s="8">
        <v>1</v>
      </c>
      <c r="Z36" s="8">
        <v>100</v>
      </c>
      <c r="AA36" s="13">
        <v>0.20982650300805117</v>
      </c>
      <c r="AB36" s="7">
        <v>3.4703942282460369E-2</v>
      </c>
      <c r="AC36" s="8">
        <v>0</v>
      </c>
      <c r="AD36" s="8">
        <v>1</v>
      </c>
      <c r="AE36" s="8">
        <v>258</v>
      </c>
    </row>
    <row r="37" spans="1:32" x14ac:dyDescent="0.45">
      <c r="A37" s="6" t="s">
        <v>13</v>
      </c>
      <c r="B37" s="7">
        <v>0.96325561164598017</v>
      </c>
      <c r="C37" s="7">
        <v>3.6529384722979195E-2</v>
      </c>
      <c r="D37" s="8">
        <v>0</v>
      </c>
      <c r="E37" s="8">
        <v>1</v>
      </c>
      <c r="F37" s="8">
        <v>34</v>
      </c>
      <c r="G37" s="7">
        <v>1</v>
      </c>
      <c r="H37" s="7">
        <v>0</v>
      </c>
      <c r="I37" s="8">
        <v>1</v>
      </c>
      <c r="J37" s="8">
        <v>1</v>
      </c>
      <c r="K37" s="8">
        <v>42</v>
      </c>
      <c r="L37" s="7">
        <v>0.86522097663368402</v>
      </c>
      <c r="M37" s="7">
        <v>5.3672109624523678E-2</v>
      </c>
      <c r="N37" s="8">
        <v>0</v>
      </c>
      <c r="O37" s="8">
        <v>1</v>
      </c>
      <c r="P37" s="8">
        <v>42</v>
      </c>
      <c r="Q37" s="7">
        <v>0.82965387968364745</v>
      </c>
      <c r="R37" s="7">
        <v>6.0325554878020847E-2</v>
      </c>
      <c r="S37" s="8">
        <v>0</v>
      </c>
      <c r="T37" s="8">
        <v>1</v>
      </c>
      <c r="U37" s="8">
        <v>40</v>
      </c>
      <c r="V37" s="7">
        <v>0.58404564746449028</v>
      </c>
      <c r="W37" s="7">
        <v>6.9636386003461587E-2</v>
      </c>
      <c r="X37" s="8">
        <v>0</v>
      </c>
      <c r="Y37" s="8">
        <v>1</v>
      </c>
      <c r="Z37" s="8">
        <v>100</v>
      </c>
      <c r="AA37" s="13">
        <v>0.89082439752452569</v>
      </c>
      <c r="AB37" s="7">
        <v>2.6211607512557113E-2</v>
      </c>
      <c r="AC37" s="8">
        <v>0</v>
      </c>
      <c r="AD37" s="8">
        <v>1</v>
      </c>
      <c r="AE37" s="8">
        <v>258</v>
      </c>
      <c r="AF37">
        <f>(AA39/AA38)-AA37</f>
        <v>1.0872764075953167E-2</v>
      </c>
    </row>
    <row r="38" spans="1:32" x14ac:dyDescent="0.45">
      <c r="A38" s="6" t="s">
        <v>36</v>
      </c>
      <c r="B38" s="7">
        <v>0.76064468833586119</v>
      </c>
      <c r="C38" s="7">
        <v>7.7815769808775942E-2</v>
      </c>
      <c r="D38" s="8">
        <v>0</v>
      </c>
      <c r="E38" s="8">
        <v>1</v>
      </c>
      <c r="F38" s="8">
        <v>34</v>
      </c>
      <c r="G38" s="7">
        <v>0.47021854293445042</v>
      </c>
      <c r="H38" s="7">
        <v>7.9243117363754292E-2</v>
      </c>
      <c r="I38" s="8">
        <v>0</v>
      </c>
      <c r="J38" s="8">
        <v>1</v>
      </c>
      <c r="K38" s="8">
        <v>42</v>
      </c>
      <c r="L38" s="7">
        <v>0.2445206682606792</v>
      </c>
      <c r="M38" s="7">
        <v>6.7154542896761538E-2</v>
      </c>
      <c r="N38" s="8">
        <v>0</v>
      </c>
      <c r="O38" s="8">
        <v>1</v>
      </c>
      <c r="P38" s="8">
        <v>42</v>
      </c>
      <c r="Q38" s="7">
        <v>0.35160809189742964</v>
      </c>
      <c r="R38" s="7">
        <v>7.902438279457083E-2</v>
      </c>
      <c r="S38" s="8">
        <v>0</v>
      </c>
      <c r="T38" s="8">
        <v>1</v>
      </c>
      <c r="U38" s="8">
        <v>40</v>
      </c>
      <c r="V38" s="7">
        <v>0.42925514319553509</v>
      </c>
      <c r="W38" s="7">
        <v>6.917480911456024E-2</v>
      </c>
      <c r="X38" s="8">
        <v>0</v>
      </c>
      <c r="Y38" s="8">
        <v>1</v>
      </c>
      <c r="Z38" s="8">
        <v>100</v>
      </c>
      <c r="AA38" s="13">
        <v>0.36787839094902408</v>
      </c>
      <c r="AB38" s="7">
        <v>4.0690017630809268E-2</v>
      </c>
      <c r="AC38" s="8">
        <v>0</v>
      </c>
      <c r="AD38" s="8">
        <v>1</v>
      </c>
      <c r="AE38" s="8">
        <v>258</v>
      </c>
      <c r="AF38">
        <f>(AA39/AA37)-AA38</f>
        <v>4.4900599540661501E-3</v>
      </c>
    </row>
    <row r="39" spans="1:32" x14ac:dyDescent="0.45">
      <c r="A39" s="6" t="s">
        <v>37</v>
      </c>
      <c r="B39" s="7">
        <v>0.76064468833586119</v>
      </c>
      <c r="C39" s="7">
        <v>7.7815769808775942E-2</v>
      </c>
      <c r="D39" s="8">
        <v>0</v>
      </c>
      <c r="E39" s="8">
        <v>1</v>
      </c>
      <c r="F39" s="8">
        <v>34</v>
      </c>
      <c r="G39" s="7">
        <v>0.47021854293445042</v>
      </c>
      <c r="H39" s="7">
        <v>7.9243117363754292E-2</v>
      </c>
      <c r="I39" s="8">
        <v>0</v>
      </c>
      <c r="J39" s="8">
        <v>1</v>
      </c>
      <c r="K39" s="8">
        <v>42</v>
      </c>
      <c r="L39" s="7">
        <v>0.18681214905677074</v>
      </c>
      <c r="M39" s="7">
        <v>6.1187907838058692E-2</v>
      </c>
      <c r="N39" s="8">
        <v>0</v>
      </c>
      <c r="O39" s="8">
        <v>1</v>
      </c>
      <c r="P39" s="8">
        <v>42</v>
      </c>
      <c r="Q39" s="7">
        <v>0.32535843230646144</v>
      </c>
      <c r="R39" s="7">
        <v>7.7637397329492389E-2</v>
      </c>
      <c r="S39" s="8">
        <v>0</v>
      </c>
      <c r="T39" s="8">
        <v>1</v>
      </c>
      <c r="U39" s="8">
        <v>40</v>
      </c>
      <c r="V39" s="7">
        <v>0.22106450634553909</v>
      </c>
      <c r="W39" s="7">
        <v>5.8070871316351469E-2</v>
      </c>
      <c r="X39" s="8">
        <v>0</v>
      </c>
      <c r="Y39" s="8">
        <v>1</v>
      </c>
      <c r="Z39" s="8">
        <v>100</v>
      </c>
      <c r="AA39" s="13">
        <v>0.3317149009328863</v>
      </c>
      <c r="AB39" s="7">
        <v>3.947366603067571E-2</v>
      </c>
      <c r="AC39" s="8">
        <v>0</v>
      </c>
      <c r="AD39" s="8">
        <v>1</v>
      </c>
      <c r="AE39" s="8">
        <v>258</v>
      </c>
    </row>
    <row r="40" spans="1:32" x14ac:dyDescent="0.45">
      <c r="A40" s="6" t="s">
        <v>13</v>
      </c>
      <c r="B40" s="7">
        <v>0.96325561164598017</v>
      </c>
      <c r="C40" s="7">
        <v>3.6529384722979195E-2</v>
      </c>
      <c r="D40" s="8">
        <v>0</v>
      </c>
      <c r="E40" s="8">
        <v>1</v>
      </c>
      <c r="F40" s="8">
        <v>34</v>
      </c>
      <c r="G40" s="7">
        <v>1</v>
      </c>
      <c r="H40" s="7">
        <v>0</v>
      </c>
      <c r="I40" s="8">
        <v>1</v>
      </c>
      <c r="J40" s="8">
        <v>1</v>
      </c>
      <c r="K40" s="8">
        <v>42</v>
      </c>
      <c r="L40" s="7">
        <v>0.86522097663368402</v>
      </c>
      <c r="M40" s="7">
        <v>5.3672109624523678E-2</v>
      </c>
      <c r="N40" s="8">
        <v>0</v>
      </c>
      <c r="O40" s="8">
        <v>1</v>
      </c>
      <c r="P40" s="8">
        <v>42</v>
      </c>
      <c r="Q40" s="7">
        <v>0.82965387968364745</v>
      </c>
      <c r="R40" s="7">
        <v>6.0325554878020847E-2</v>
      </c>
      <c r="S40" s="8">
        <v>0</v>
      </c>
      <c r="T40" s="8">
        <v>1</v>
      </c>
      <c r="U40" s="8">
        <v>40</v>
      </c>
      <c r="V40" s="7">
        <v>0.58404564746449028</v>
      </c>
      <c r="W40" s="7">
        <v>6.9636386003461587E-2</v>
      </c>
      <c r="X40" s="8">
        <v>0</v>
      </c>
      <c r="Y40" s="8">
        <v>1</v>
      </c>
      <c r="Z40" s="8">
        <v>100</v>
      </c>
      <c r="AA40" s="13">
        <v>0.89082439752452569</v>
      </c>
      <c r="AB40" s="7">
        <v>2.6211607512557113E-2</v>
      </c>
      <c r="AC40" s="8">
        <v>0</v>
      </c>
      <c r="AD40" s="8">
        <v>1</v>
      </c>
      <c r="AE40" s="8">
        <v>258</v>
      </c>
      <c r="AF40">
        <f>(AA42/AA41)-AA40</f>
        <v>2.1185013713650225E-2</v>
      </c>
    </row>
    <row r="41" spans="1:32" ht="26.25" x14ac:dyDescent="0.45">
      <c r="A41" s="6" t="s">
        <v>38</v>
      </c>
      <c r="B41" s="7">
        <v>0.84000868272823959</v>
      </c>
      <c r="C41" s="7">
        <v>6.5933157962881336E-2</v>
      </c>
      <c r="D41" s="8">
        <v>0</v>
      </c>
      <c r="E41" s="8">
        <v>1</v>
      </c>
      <c r="F41" s="8">
        <v>34</v>
      </c>
      <c r="G41" s="7">
        <v>0.8757010716140059</v>
      </c>
      <c r="H41" s="7">
        <v>5.3035240634634946E-2</v>
      </c>
      <c r="I41" s="8">
        <v>0</v>
      </c>
      <c r="J41" s="8">
        <v>1</v>
      </c>
      <c r="K41" s="8">
        <v>42</v>
      </c>
      <c r="L41" s="7">
        <v>0.71102549516240099</v>
      </c>
      <c r="M41" s="7">
        <v>7.24518160292143E-2</v>
      </c>
      <c r="N41" s="8">
        <v>0</v>
      </c>
      <c r="O41" s="8">
        <v>1</v>
      </c>
      <c r="P41" s="8">
        <v>42</v>
      </c>
      <c r="Q41" s="7">
        <v>0.76619872916446996</v>
      </c>
      <c r="R41" s="7">
        <v>6.9319636379783084E-2</v>
      </c>
      <c r="S41" s="8">
        <v>0</v>
      </c>
      <c r="T41" s="8">
        <v>1</v>
      </c>
      <c r="U41" s="8">
        <v>40</v>
      </c>
      <c r="V41" s="7">
        <v>0.38621991000499384</v>
      </c>
      <c r="W41" s="7">
        <v>6.6639473541989111E-2</v>
      </c>
      <c r="X41" s="8">
        <v>0</v>
      </c>
      <c r="Y41" s="8">
        <v>1</v>
      </c>
      <c r="Z41" s="8">
        <v>100</v>
      </c>
      <c r="AA41" s="13">
        <v>0.7659232322798829</v>
      </c>
      <c r="AB41" s="7">
        <v>3.6756971234523643E-2</v>
      </c>
      <c r="AC41" s="8">
        <v>0</v>
      </c>
      <c r="AD41" s="8">
        <v>1</v>
      </c>
      <c r="AE41" s="8">
        <v>258</v>
      </c>
      <c r="AF41">
        <f>(AA42/AA40)-AA41</f>
        <v>1.8214694416253785E-2</v>
      </c>
    </row>
    <row r="42" spans="1:32" ht="26.25" x14ac:dyDescent="0.45">
      <c r="A42" s="6" t="s">
        <v>39</v>
      </c>
      <c r="B42" s="7">
        <v>0.84000868272823959</v>
      </c>
      <c r="C42" s="7">
        <v>6.5933157962881336E-2</v>
      </c>
      <c r="D42" s="8">
        <v>0</v>
      </c>
      <c r="E42" s="8">
        <v>1</v>
      </c>
      <c r="F42" s="8">
        <v>34</v>
      </c>
      <c r="G42" s="7">
        <v>0.8757010716140059</v>
      </c>
      <c r="H42" s="7">
        <v>5.3035240634634946E-2</v>
      </c>
      <c r="I42" s="8">
        <v>0</v>
      </c>
      <c r="J42" s="8">
        <v>1</v>
      </c>
      <c r="K42" s="8">
        <v>42</v>
      </c>
      <c r="L42" s="7">
        <v>0.60186243250964688</v>
      </c>
      <c r="M42" s="7">
        <v>7.8190112950571405E-2</v>
      </c>
      <c r="N42" s="8">
        <v>0</v>
      </c>
      <c r="O42" s="8">
        <v>1</v>
      </c>
      <c r="P42" s="8">
        <v>42</v>
      </c>
      <c r="Q42" s="7">
        <v>0.67183057570608029</v>
      </c>
      <c r="R42" s="7">
        <v>7.6639866318220243E-2</v>
      </c>
      <c r="S42" s="8">
        <v>0</v>
      </c>
      <c r="T42" s="8">
        <v>1</v>
      </c>
      <c r="U42" s="8">
        <v>40</v>
      </c>
      <c r="V42" s="7">
        <v>0.33386768492458962</v>
      </c>
      <c r="W42" s="7">
        <v>6.4354213281487174E-2</v>
      </c>
      <c r="X42" s="8">
        <v>0</v>
      </c>
      <c r="Y42" s="8">
        <v>1</v>
      </c>
      <c r="Z42" s="8">
        <v>100</v>
      </c>
      <c r="AA42" s="13">
        <v>0.69852919612521669</v>
      </c>
      <c r="AB42" s="7">
        <v>3.9996608724367111E-2</v>
      </c>
      <c r="AC42" s="8">
        <v>0</v>
      </c>
      <c r="AD42" s="8">
        <v>1</v>
      </c>
      <c r="AE42" s="8">
        <v>258</v>
      </c>
    </row>
    <row r="43" spans="1:32" x14ac:dyDescent="0.45">
      <c r="A43" s="6" t="s">
        <v>13</v>
      </c>
      <c r="B43" s="7">
        <v>0.96325561164598017</v>
      </c>
      <c r="C43" s="7">
        <v>3.6529384722979195E-2</v>
      </c>
      <c r="D43" s="8">
        <v>0</v>
      </c>
      <c r="E43" s="8">
        <v>1</v>
      </c>
      <c r="F43" s="8">
        <v>34</v>
      </c>
      <c r="G43" s="7">
        <v>1</v>
      </c>
      <c r="H43" s="7">
        <v>0</v>
      </c>
      <c r="I43" s="8">
        <v>1</v>
      </c>
      <c r="J43" s="8">
        <v>1</v>
      </c>
      <c r="K43" s="8">
        <v>42</v>
      </c>
      <c r="L43" s="7">
        <v>0.86522097663368402</v>
      </c>
      <c r="M43" s="7">
        <v>5.3672109624523678E-2</v>
      </c>
      <c r="N43" s="8">
        <v>0</v>
      </c>
      <c r="O43" s="8">
        <v>1</v>
      </c>
      <c r="P43" s="8">
        <v>42</v>
      </c>
      <c r="Q43" s="7">
        <v>0.82965387968364745</v>
      </c>
      <c r="R43" s="7">
        <v>6.0325554878020847E-2</v>
      </c>
      <c r="S43" s="8">
        <v>0</v>
      </c>
      <c r="T43" s="8">
        <v>1</v>
      </c>
      <c r="U43" s="8">
        <v>40</v>
      </c>
      <c r="V43" s="7">
        <v>0.58404564746449028</v>
      </c>
      <c r="W43" s="7">
        <v>6.9636386003461587E-2</v>
      </c>
      <c r="X43" s="8">
        <v>0</v>
      </c>
      <c r="Y43" s="8">
        <v>1</v>
      </c>
      <c r="Z43" s="8">
        <v>100</v>
      </c>
      <c r="AA43" s="13">
        <v>0.89082439752452569</v>
      </c>
      <c r="AB43" s="7">
        <v>2.6211607512557113E-2</v>
      </c>
      <c r="AC43" s="8">
        <v>0</v>
      </c>
      <c r="AD43" s="8">
        <v>1</v>
      </c>
      <c r="AE43" s="8">
        <v>258</v>
      </c>
      <c r="AF43">
        <f>(AA45/AA44)-AA43</f>
        <v>-3.7655820295008358E-3</v>
      </c>
    </row>
    <row r="44" spans="1:32" x14ac:dyDescent="0.45">
      <c r="A44" s="6" t="s">
        <v>40</v>
      </c>
      <c r="B44" s="7">
        <v>0.47314926338671726</v>
      </c>
      <c r="C44" s="7">
        <v>9.1986997587208227E-2</v>
      </c>
      <c r="D44" s="8">
        <v>0</v>
      </c>
      <c r="E44" s="8">
        <v>1</v>
      </c>
      <c r="F44" s="8">
        <v>34</v>
      </c>
      <c r="G44" s="7">
        <v>0.59916532039375925</v>
      </c>
      <c r="H44" s="7">
        <v>7.8188563211038412E-2</v>
      </c>
      <c r="I44" s="8">
        <v>0</v>
      </c>
      <c r="J44" s="8">
        <v>1</v>
      </c>
      <c r="K44" s="8">
        <v>42</v>
      </c>
      <c r="L44" s="7">
        <v>0.53311254311611167</v>
      </c>
      <c r="M44" s="7">
        <v>8.0040164750678475E-2</v>
      </c>
      <c r="N44" s="8">
        <v>0</v>
      </c>
      <c r="O44" s="8">
        <v>1</v>
      </c>
      <c r="P44" s="8">
        <v>42</v>
      </c>
      <c r="Q44" s="7">
        <v>0.89744052335873858</v>
      </c>
      <c r="R44" s="7">
        <v>4.9355060283969104E-2</v>
      </c>
      <c r="S44" s="8">
        <v>0</v>
      </c>
      <c r="T44" s="8">
        <v>1</v>
      </c>
      <c r="U44" s="8">
        <v>40</v>
      </c>
      <c r="V44" s="7">
        <v>0.62802955981828001</v>
      </c>
      <c r="W44" s="7">
        <v>6.9009852430896662E-2</v>
      </c>
      <c r="X44" s="8">
        <v>0</v>
      </c>
      <c r="Y44" s="8">
        <v>1</v>
      </c>
      <c r="Z44" s="8">
        <v>100</v>
      </c>
      <c r="AA44" s="13">
        <v>0.63371905921169658</v>
      </c>
      <c r="AB44" s="7">
        <v>4.2239621614603332E-2</v>
      </c>
      <c r="AC44" s="8">
        <v>0</v>
      </c>
      <c r="AD44" s="8">
        <v>1</v>
      </c>
      <c r="AE44" s="8">
        <v>258</v>
      </c>
      <c r="AF44">
        <f>(AA45/AA43)-AA44</f>
        <v>-2.6787783403227072E-3</v>
      </c>
    </row>
    <row r="45" spans="1:32" ht="26.25" x14ac:dyDescent="0.45">
      <c r="A45" s="6" t="s">
        <v>41</v>
      </c>
      <c r="B45" s="7">
        <v>0.43640487503269754</v>
      </c>
      <c r="C45" s="7">
        <v>9.1643261596754608E-2</v>
      </c>
      <c r="D45" s="8">
        <v>0</v>
      </c>
      <c r="E45" s="8">
        <v>1</v>
      </c>
      <c r="F45" s="8">
        <v>34</v>
      </c>
      <c r="G45" s="7">
        <v>0.59916532039375925</v>
      </c>
      <c r="H45" s="7">
        <v>7.8188563211038412E-2</v>
      </c>
      <c r="I45" s="8">
        <v>0</v>
      </c>
      <c r="J45" s="8">
        <v>1</v>
      </c>
      <c r="K45" s="8">
        <v>42</v>
      </c>
      <c r="L45" s="7">
        <v>0.45070901085163195</v>
      </c>
      <c r="M45" s="7">
        <v>8.0009442785849066E-2</v>
      </c>
      <c r="N45" s="8">
        <v>0</v>
      </c>
      <c r="O45" s="8">
        <v>1</v>
      </c>
      <c r="P45" s="8">
        <v>42</v>
      </c>
      <c r="Q45" s="7">
        <v>0.75212618018352484</v>
      </c>
      <c r="R45" s="7">
        <v>6.9914754300530055E-2</v>
      </c>
      <c r="S45" s="8">
        <v>0</v>
      </c>
      <c r="T45" s="8">
        <v>1</v>
      </c>
      <c r="U45" s="8">
        <v>40</v>
      </c>
      <c r="V45" s="7">
        <v>0.53851511422947529</v>
      </c>
      <c r="W45" s="7">
        <v>6.9565826035088457E-2</v>
      </c>
      <c r="X45" s="8">
        <v>0</v>
      </c>
      <c r="Y45" s="8">
        <v>1</v>
      </c>
      <c r="Z45" s="8">
        <v>100</v>
      </c>
      <c r="AA45" s="13">
        <v>0.56214607802094907</v>
      </c>
      <c r="AB45" s="7">
        <v>4.3163273239051683E-2</v>
      </c>
      <c r="AC45" s="8">
        <v>0</v>
      </c>
      <c r="AD45" s="8">
        <v>1</v>
      </c>
      <c r="AE45" s="8">
        <v>258</v>
      </c>
    </row>
    <row r="46" spans="1:32" x14ac:dyDescent="0.45">
      <c r="A46" s="6" t="s">
        <v>13</v>
      </c>
      <c r="B46" s="7">
        <v>0.96325561164598017</v>
      </c>
      <c r="C46" s="7">
        <v>3.6529384722979195E-2</v>
      </c>
      <c r="D46" s="8">
        <v>0</v>
      </c>
      <c r="E46" s="8">
        <v>1</v>
      </c>
      <c r="F46" s="8">
        <v>34</v>
      </c>
      <c r="G46" s="7">
        <v>1</v>
      </c>
      <c r="H46" s="7">
        <v>0</v>
      </c>
      <c r="I46" s="8">
        <v>1</v>
      </c>
      <c r="J46" s="8">
        <v>1</v>
      </c>
      <c r="K46" s="8">
        <v>42</v>
      </c>
      <c r="L46" s="7">
        <v>0.86522097663368402</v>
      </c>
      <c r="M46" s="7">
        <v>5.3672109624523678E-2</v>
      </c>
      <c r="N46" s="8">
        <v>0</v>
      </c>
      <c r="O46" s="8">
        <v>1</v>
      </c>
      <c r="P46" s="8">
        <v>42</v>
      </c>
      <c r="Q46" s="7">
        <v>0.82965387968364745</v>
      </c>
      <c r="R46" s="7">
        <v>6.0325554878020847E-2</v>
      </c>
      <c r="S46" s="8">
        <v>0</v>
      </c>
      <c r="T46" s="8">
        <v>1</v>
      </c>
      <c r="U46" s="8">
        <v>40</v>
      </c>
      <c r="V46" s="7">
        <v>0.58404564746449028</v>
      </c>
      <c r="W46" s="7">
        <v>6.9636386003461587E-2</v>
      </c>
      <c r="X46" s="8">
        <v>0</v>
      </c>
      <c r="Y46" s="8">
        <v>1</v>
      </c>
      <c r="Z46" s="8">
        <v>100</v>
      </c>
      <c r="AA46" s="13">
        <v>0.89082439752452569</v>
      </c>
      <c r="AB46" s="7">
        <v>2.6211607512557113E-2</v>
      </c>
      <c r="AC46" s="8">
        <v>0</v>
      </c>
      <c r="AD46" s="8">
        <v>1</v>
      </c>
      <c r="AE46" s="8">
        <v>258</v>
      </c>
      <c r="AF46">
        <f>(AA48/AA47)-AA46</f>
        <v>2.3321455809704017E-2</v>
      </c>
    </row>
    <row r="47" spans="1:32" x14ac:dyDescent="0.45">
      <c r="A47" s="6" t="s">
        <v>42</v>
      </c>
      <c r="B47" s="7">
        <v>0.70676339075737993</v>
      </c>
      <c r="C47" s="7">
        <v>8.2311257529143506E-2</v>
      </c>
      <c r="D47" s="8">
        <v>0</v>
      </c>
      <c r="E47" s="8">
        <v>1</v>
      </c>
      <c r="F47" s="8">
        <v>34</v>
      </c>
      <c r="G47" s="7">
        <v>0.89745945595635757</v>
      </c>
      <c r="H47" s="7">
        <v>4.9322035621993304E-2</v>
      </c>
      <c r="I47" s="8">
        <v>0</v>
      </c>
      <c r="J47" s="8">
        <v>1</v>
      </c>
      <c r="K47" s="8">
        <v>42</v>
      </c>
      <c r="L47" s="7">
        <v>0.73410738154726995</v>
      </c>
      <c r="M47" s="7">
        <v>7.0289158801824597E-2</v>
      </c>
      <c r="N47" s="8">
        <v>0</v>
      </c>
      <c r="O47" s="8">
        <v>1</v>
      </c>
      <c r="P47" s="8">
        <v>42</v>
      </c>
      <c r="Q47" s="7">
        <v>0.87908303986713809</v>
      </c>
      <c r="R47" s="7">
        <v>5.2789569621478863E-2</v>
      </c>
      <c r="S47" s="8">
        <v>0</v>
      </c>
      <c r="T47" s="8">
        <v>1</v>
      </c>
      <c r="U47" s="8">
        <v>40</v>
      </c>
      <c r="V47" s="7">
        <v>0.56438823579629216</v>
      </c>
      <c r="W47" s="7">
        <v>7.0335671964889795E-2</v>
      </c>
      <c r="X47" s="8">
        <v>0</v>
      </c>
      <c r="Y47" s="8">
        <v>1</v>
      </c>
      <c r="Z47" s="8">
        <v>100</v>
      </c>
      <c r="AA47" s="13">
        <v>0.80480908326262457</v>
      </c>
      <c r="AB47" s="7">
        <v>3.4435137521316703E-2</v>
      </c>
      <c r="AC47" s="8">
        <v>0</v>
      </c>
      <c r="AD47" s="8">
        <v>1</v>
      </c>
      <c r="AE47" s="8">
        <v>258</v>
      </c>
      <c r="AF47">
        <f>(AA48/AA46)-AA47</f>
        <v>2.1069606448493094E-2</v>
      </c>
    </row>
    <row r="48" spans="1:32" x14ac:dyDescent="0.45">
      <c r="A48" s="6" t="s">
        <v>43</v>
      </c>
      <c r="B48" s="7">
        <v>0.6700190024033601</v>
      </c>
      <c r="C48" s="7">
        <v>8.5630105041416188E-2</v>
      </c>
      <c r="D48" s="8">
        <v>0</v>
      </c>
      <c r="E48" s="8">
        <v>1</v>
      </c>
      <c r="F48" s="8">
        <v>34</v>
      </c>
      <c r="G48" s="7">
        <v>0.89745945595635757</v>
      </c>
      <c r="H48" s="7">
        <v>4.9322035621993304E-2</v>
      </c>
      <c r="I48" s="8">
        <v>0</v>
      </c>
      <c r="J48" s="8">
        <v>1</v>
      </c>
      <c r="K48" s="8">
        <v>42</v>
      </c>
      <c r="L48" s="7">
        <v>0.64887923218625032</v>
      </c>
      <c r="M48" s="7">
        <v>7.5944399479067684E-2</v>
      </c>
      <c r="N48" s="8">
        <v>0</v>
      </c>
      <c r="O48" s="8">
        <v>1</v>
      </c>
      <c r="P48" s="8">
        <v>42</v>
      </c>
      <c r="Q48" s="7">
        <v>0.75041890496857311</v>
      </c>
      <c r="R48" s="7">
        <v>7.0503536801652056E-2</v>
      </c>
      <c r="S48" s="8">
        <v>0</v>
      </c>
      <c r="T48" s="8">
        <v>1</v>
      </c>
      <c r="U48" s="8">
        <v>40</v>
      </c>
      <c r="V48" s="7">
        <v>0.46970255929221399</v>
      </c>
      <c r="W48" s="7">
        <v>6.9239534490733626E-2</v>
      </c>
      <c r="X48" s="8">
        <v>0</v>
      </c>
      <c r="Y48" s="8">
        <v>1</v>
      </c>
      <c r="Z48" s="8">
        <v>100</v>
      </c>
      <c r="AA48" s="13">
        <v>0.7357128861902511</v>
      </c>
      <c r="AB48" s="7">
        <v>3.8201395587523786E-2</v>
      </c>
      <c r="AC48" s="8">
        <v>0</v>
      </c>
      <c r="AD48" s="8">
        <v>1</v>
      </c>
      <c r="AE48" s="8">
        <v>258</v>
      </c>
    </row>
    <row r="49" spans="1:32" x14ac:dyDescent="0.45">
      <c r="A49" s="6" t="s">
        <v>13</v>
      </c>
      <c r="B49" s="7">
        <v>0.96325561164598017</v>
      </c>
      <c r="C49" s="7">
        <v>3.6529384722979195E-2</v>
      </c>
      <c r="D49" s="8">
        <v>0</v>
      </c>
      <c r="E49" s="8">
        <v>1</v>
      </c>
      <c r="F49" s="8">
        <v>34</v>
      </c>
      <c r="G49" s="7">
        <v>1</v>
      </c>
      <c r="H49" s="7">
        <v>0</v>
      </c>
      <c r="I49" s="8">
        <v>1</v>
      </c>
      <c r="J49" s="8">
        <v>1</v>
      </c>
      <c r="K49" s="8">
        <v>42</v>
      </c>
      <c r="L49" s="7">
        <v>0.86522097663368402</v>
      </c>
      <c r="M49" s="7">
        <v>5.3672109624523678E-2</v>
      </c>
      <c r="N49" s="8">
        <v>0</v>
      </c>
      <c r="O49" s="8">
        <v>1</v>
      </c>
      <c r="P49" s="8">
        <v>42</v>
      </c>
      <c r="Q49" s="7">
        <v>0.82965387968364745</v>
      </c>
      <c r="R49" s="7">
        <v>6.0325554878020847E-2</v>
      </c>
      <c r="S49" s="8">
        <v>0</v>
      </c>
      <c r="T49" s="8">
        <v>1</v>
      </c>
      <c r="U49" s="8">
        <v>40</v>
      </c>
      <c r="V49" s="7">
        <v>0.58404564746449028</v>
      </c>
      <c r="W49" s="7">
        <v>6.9636386003461587E-2</v>
      </c>
      <c r="X49" s="8">
        <v>0</v>
      </c>
      <c r="Y49" s="8">
        <v>1</v>
      </c>
      <c r="Z49" s="8">
        <v>100</v>
      </c>
      <c r="AA49" s="13">
        <v>0.89082439752452569</v>
      </c>
      <c r="AB49" s="7">
        <v>2.6211607512557113E-2</v>
      </c>
      <c r="AC49" s="8">
        <v>0</v>
      </c>
      <c r="AD49" s="8">
        <v>1</v>
      </c>
      <c r="AE49" s="8">
        <v>258</v>
      </c>
      <c r="AF49">
        <f>(AA51/AA50)-AA49</f>
        <v>9.075732792966229E-2</v>
      </c>
    </row>
    <row r="50" spans="1:32" x14ac:dyDescent="0.45">
      <c r="A50" s="6" t="s">
        <v>44</v>
      </c>
      <c r="B50" s="7">
        <v>0.26296232107028095</v>
      </c>
      <c r="C50" s="7">
        <v>8.0971230867118368E-2</v>
      </c>
      <c r="D50" s="8">
        <v>0</v>
      </c>
      <c r="E50" s="8">
        <v>1</v>
      </c>
      <c r="F50" s="8">
        <v>34</v>
      </c>
      <c r="G50" s="7">
        <v>0.35571464744938486</v>
      </c>
      <c r="H50" s="7">
        <v>7.5377725145722718E-2</v>
      </c>
      <c r="I50" s="8">
        <v>0</v>
      </c>
      <c r="J50" s="8">
        <v>1</v>
      </c>
      <c r="K50" s="8">
        <v>42</v>
      </c>
      <c r="L50" s="7">
        <v>0.32429932744398482</v>
      </c>
      <c r="M50" s="7">
        <v>7.5510042392919433E-2</v>
      </c>
      <c r="N50" s="8">
        <v>0</v>
      </c>
      <c r="O50" s="8">
        <v>1</v>
      </c>
      <c r="P50" s="8">
        <v>42</v>
      </c>
      <c r="Q50" s="7">
        <v>0.48486364033758289</v>
      </c>
      <c r="R50" s="7">
        <v>8.2351680282883519E-2</v>
      </c>
      <c r="S50" s="8">
        <v>0</v>
      </c>
      <c r="T50" s="8">
        <v>1</v>
      </c>
      <c r="U50" s="8">
        <v>40</v>
      </c>
      <c r="V50" s="7">
        <v>0.24605417111353658</v>
      </c>
      <c r="W50" s="7">
        <v>5.5580698511919616E-2</v>
      </c>
      <c r="X50" s="8">
        <v>0</v>
      </c>
      <c r="Y50" s="8">
        <v>1</v>
      </c>
      <c r="Z50" s="8">
        <v>100</v>
      </c>
      <c r="AA50" s="13">
        <v>0.36324676446651744</v>
      </c>
      <c r="AB50" s="7">
        <v>4.1670411595932391E-2</v>
      </c>
      <c r="AC50" s="8">
        <v>0</v>
      </c>
      <c r="AD50" s="8">
        <v>1</v>
      </c>
      <c r="AE50" s="8">
        <v>258</v>
      </c>
      <c r="AF50">
        <f>(AA51/AA49)-AA50</f>
        <v>3.7007636761732132E-2</v>
      </c>
    </row>
    <row r="51" spans="1:32" x14ac:dyDescent="0.45">
      <c r="A51" s="6" t="s">
        <v>45</v>
      </c>
      <c r="B51" s="7">
        <v>0.26296232107028095</v>
      </c>
      <c r="C51" s="7">
        <v>8.0971230867118368E-2</v>
      </c>
      <c r="D51" s="8">
        <v>0</v>
      </c>
      <c r="E51" s="8">
        <v>1</v>
      </c>
      <c r="F51" s="8">
        <v>34</v>
      </c>
      <c r="G51" s="7">
        <v>0.35571464744938486</v>
      </c>
      <c r="H51" s="7">
        <v>7.5377725145722718E-2</v>
      </c>
      <c r="I51" s="8">
        <v>0</v>
      </c>
      <c r="J51" s="8">
        <v>1</v>
      </c>
      <c r="K51" s="8">
        <v>42</v>
      </c>
      <c r="L51" s="7">
        <v>0.32429932744398482</v>
      </c>
      <c r="M51" s="7">
        <v>7.5510042392919433E-2</v>
      </c>
      <c r="N51" s="8">
        <v>0</v>
      </c>
      <c r="O51" s="8">
        <v>1</v>
      </c>
      <c r="P51" s="8">
        <v>42</v>
      </c>
      <c r="Q51" s="7">
        <v>0.46016711021172707</v>
      </c>
      <c r="R51" s="7">
        <v>8.2222184692750555E-2</v>
      </c>
      <c r="S51" s="8">
        <v>0</v>
      </c>
      <c r="T51" s="8">
        <v>1</v>
      </c>
      <c r="U51" s="8">
        <v>40</v>
      </c>
      <c r="V51" s="7">
        <v>0.21343844035612136</v>
      </c>
      <c r="W51" s="7">
        <v>5.4278890537639894E-2</v>
      </c>
      <c r="X51" s="8">
        <v>0</v>
      </c>
      <c r="Y51" s="8">
        <v>1</v>
      </c>
      <c r="Z51" s="8">
        <v>100</v>
      </c>
      <c r="AA51" s="13">
        <v>0.35655638583069521</v>
      </c>
      <c r="AB51" s="7">
        <v>4.1563598174397774E-2</v>
      </c>
      <c r="AC51" s="8">
        <v>0</v>
      </c>
      <c r="AD51" s="8">
        <v>1</v>
      </c>
      <c r="AE51" s="8">
        <v>258</v>
      </c>
    </row>
    <row r="52" spans="1:32" x14ac:dyDescent="0.45">
      <c r="A52" s="6" t="s">
        <v>14</v>
      </c>
      <c r="B52" s="7">
        <v>0.14125871494262252</v>
      </c>
      <c r="C52" s="7">
        <v>6.5074565286824301E-2</v>
      </c>
      <c r="D52" s="8">
        <v>0</v>
      </c>
      <c r="E52" s="8">
        <v>1</v>
      </c>
      <c r="F52" s="8">
        <v>34</v>
      </c>
      <c r="G52" s="7">
        <v>0.16404585106896458</v>
      </c>
      <c r="H52" s="7">
        <v>5.7710190044605751E-2</v>
      </c>
      <c r="I52" s="8">
        <v>0</v>
      </c>
      <c r="J52" s="8">
        <v>1</v>
      </c>
      <c r="K52" s="8">
        <v>42</v>
      </c>
      <c r="L52" s="7">
        <v>0.17073251826969982</v>
      </c>
      <c r="M52" s="7">
        <v>6.0962846590829012E-2</v>
      </c>
      <c r="N52" s="8">
        <v>0</v>
      </c>
      <c r="O52" s="8">
        <v>1</v>
      </c>
      <c r="P52" s="8">
        <v>42</v>
      </c>
      <c r="Q52" s="7">
        <v>0.16962493166829462</v>
      </c>
      <c r="R52" s="7">
        <v>6.2751547279342637E-2</v>
      </c>
      <c r="S52" s="8">
        <v>0</v>
      </c>
      <c r="T52" s="8">
        <v>1</v>
      </c>
      <c r="U52" s="8">
        <v>40</v>
      </c>
      <c r="V52" s="7">
        <v>0.1974768254828736</v>
      </c>
      <c r="W52" s="7">
        <v>5.4071909528840917E-2</v>
      </c>
      <c r="X52" s="8">
        <v>0</v>
      </c>
      <c r="Y52" s="8">
        <v>1</v>
      </c>
      <c r="Z52" s="8">
        <v>100</v>
      </c>
      <c r="AA52" s="13">
        <v>0.16775499141984804</v>
      </c>
      <c r="AB52" s="7">
        <v>3.2582084360901285E-2</v>
      </c>
      <c r="AC52" s="8">
        <v>0</v>
      </c>
      <c r="AD52" s="8">
        <v>1</v>
      </c>
      <c r="AE52" s="8">
        <v>258</v>
      </c>
      <c r="AF52">
        <f>(AA54/AA53)-AA52</f>
        <v>-2.5204576211805274E-3</v>
      </c>
    </row>
    <row r="53" spans="1:32" x14ac:dyDescent="0.45">
      <c r="A53" s="6" t="s">
        <v>26</v>
      </c>
      <c r="B53" s="7">
        <v>0.24902179290487914</v>
      </c>
      <c r="C53" s="7">
        <v>7.8614835918954476E-2</v>
      </c>
      <c r="D53" s="8">
        <v>0</v>
      </c>
      <c r="E53" s="8">
        <v>1</v>
      </c>
      <c r="F53" s="8">
        <v>34</v>
      </c>
      <c r="G53" s="7">
        <v>0.52007076896689197</v>
      </c>
      <c r="H53" s="7">
        <v>7.9207874917171434E-2</v>
      </c>
      <c r="I53" s="8">
        <v>0</v>
      </c>
      <c r="J53" s="8">
        <v>1</v>
      </c>
      <c r="K53" s="8">
        <v>42</v>
      </c>
      <c r="L53" s="7">
        <v>0.3991898102231235</v>
      </c>
      <c r="M53" s="7">
        <v>7.8974550833973395E-2</v>
      </c>
      <c r="N53" s="8">
        <v>0</v>
      </c>
      <c r="O53" s="8">
        <v>1</v>
      </c>
      <c r="P53" s="8">
        <v>42</v>
      </c>
      <c r="Q53" s="7">
        <v>0.56237744430379144</v>
      </c>
      <c r="R53" s="7">
        <v>8.1477344007092639E-2</v>
      </c>
      <c r="S53" s="8">
        <v>0</v>
      </c>
      <c r="T53" s="8">
        <v>1</v>
      </c>
      <c r="U53" s="8">
        <v>40</v>
      </c>
      <c r="V53" s="7">
        <v>0.3070650065631072</v>
      </c>
      <c r="W53" s="7">
        <v>6.1930006435609156E-2</v>
      </c>
      <c r="X53" s="8">
        <v>0</v>
      </c>
      <c r="Y53" s="8">
        <v>1</v>
      </c>
      <c r="Z53" s="8">
        <v>100</v>
      </c>
      <c r="AA53" s="13">
        <v>0.45755497144841928</v>
      </c>
      <c r="AB53" s="7">
        <v>4.3248432113583909E-2</v>
      </c>
      <c r="AC53" s="8">
        <v>0</v>
      </c>
      <c r="AD53" s="8">
        <v>1</v>
      </c>
      <c r="AE53" s="8">
        <v>258</v>
      </c>
      <c r="AF53">
        <f>(AA54/AA52)-AA53</f>
        <v>-6.8745967266626296E-3</v>
      </c>
    </row>
    <row r="54" spans="1:32" x14ac:dyDescent="0.45">
      <c r="A54" s="6" t="s">
        <v>46</v>
      </c>
      <c r="B54" s="7">
        <v>3.117894201919922E-2</v>
      </c>
      <c r="C54" s="7">
        <v>3.117582031590807E-2</v>
      </c>
      <c r="D54" s="8">
        <v>0</v>
      </c>
      <c r="E54" s="8">
        <v>1</v>
      </c>
      <c r="F54" s="8">
        <v>34</v>
      </c>
      <c r="G54" s="7">
        <v>9.6973180705821588E-2</v>
      </c>
      <c r="H54" s="7">
        <v>4.6686622027675158E-2</v>
      </c>
      <c r="I54" s="8">
        <v>0</v>
      </c>
      <c r="J54" s="8">
        <v>1</v>
      </c>
      <c r="K54" s="8">
        <v>42</v>
      </c>
      <c r="L54" s="7">
        <v>2.6376060482398767E-2</v>
      </c>
      <c r="M54" s="7">
        <v>2.6324601675505363E-2</v>
      </c>
      <c r="N54" s="8">
        <v>0</v>
      </c>
      <c r="O54" s="8">
        <v>1</v>
      </c>
      <c r="P54" s="8">
        <v>42</v>
      </c>
      <c r="Q54" s="7">
        <v>0.14440872324232515</v>
      </c>
      <c r="R54" s="7">
        <v>5.9162173394952243E-2</v>
      </c>
      <c r="S54" s="8">
        <v>0</v>
      </c>
      <c r="T54" s="8">
        <v>1</v>
      </c>
      <c r="U54" s="8">
        <v>40</v>
      </c>
      <c r="V54" s="7">
        <v>0.10779438268428233</v>
      </c>
      <c r="W54" s="7">
        <v>4.0813335707267397E-2</v>
      </c>
      <c r="X54" s="8">
        <v>0</v>
      </c>
      <c r="Y54" s="8">
        <v>1</v>
      </c>
      <c r="Z54" s="8">
        <v>100</v>
      </c>
      <c r="AA54" s="13">
        <v>7.5603882394542188E-2</v>
      </c>
      <c r="AB54" s="7">
        <v>2.1768480111402221E-2</v>
      </c>
      <c r="AC54" s="8">
        <v>0</v>
      </c>
      <c r="AD54" s="8">
        <v>1</v>
      </c>
      <c r="AE54" s="8">
        <v>258</v>
      </c>
    </row>
    <row r="55" spans="1:32" x14ac:dyDescent="0.45">
      <c r="A55" s="6" t="s">
        <v>14</v>
      </c>
      <c r="B55" s="7">
        <v>0.14125871494262252</v>
      </c>
      <c r="C55" s="7">
        <v>6.5074565286824301E-2</v>
      </c>
      <c r="D55" s="8">
        <v>0</v>
      </c>
      <c r="E55" s="8">
        <v>1</v>
      </c>
      <c r="F55" s="8">
        <v>34</v>
      </c>
      <c r="G55" s="7">
        <v>0.16404585106896458</v>
      </c>
      <c r="H55" s="7">
        <v>5.7710190044605751E-2</v>
      </c>
      <c r="I55" s="8">
        <v>0</v>
      </c>
      <c r="J55" s="8">
        <v>1</v>
      </c>
      <c r="K55" s="8">
        <v>42</v>
      </c>
      <c r="L55" s="7">
        <v>0.17073251826969982</v>
      </c>
      <c r="M55" s="7">
        <v>6.0962846590829012E-2</v>
      </c>
      <c r="N55" s="8">
        <v>0</v>
      </c>
      <c r="O55" s="8">
        <v>1</v>
      </c>
      <c r="P55" s="8">
        <v>42</v>
      </c>
      <c r="Q55" s="7">
        <v>0.16962493166829462</v>
      </c>
      <c r="R55" s="7">
        <v>6.2751547279342637E-2</v>
      </c>
      <c r="S55" s="8">
        <v>0</v>
      </c>
      <c r="T55" s="8">
        <v>1</v>
      </c>
      <c r="U55" s="8">
        <v>40</v>
      </c>
      <c r="V55" s="7">
        <v>0.1974768254828736</v>
      </c>
      <c r="W55" s="7">
        <v>5.4071909528840917E-2</v>
      </c>
      <c r="X55" s="8">
        <v>0</v>
      </c>
      <c r="Y55" s="8">
        <v>1</v>
      </c>
      <c r="Z55" s="8">
        <v>100</v>
      </c>
      <c r="AA55" s="13">
        <v>0.16775499141984804</v>
      </c>
      <c r="AB55" s="7">
        <v>3.2582084360901285E-2</v>
      </c>
      <c r="AC55" s="8">
        <v>0</v>
      </c>
      <c r="AD55" s="8">
        <v>1</v>
      </c>
      <c r="AE55" s="8">
        <v>258</v>
      </c>
      <c r="AF55">
        <f>(AA57/AA56)-AA55</f>
        <v>1.822778377267964E-3</v>
      </c>
    </row>
    <row r="56" spans="1:32" x14ac:dyDescent="0.45">
      <c r="A56" s="6" t="s">
        <v>28</v>
      </c>
      <c r="B56" s="7">
        <v>0.16060683353603622</v>
      </c>
      <c r="C56" s="7">
        <v>6.3104178008598577E-2</v>
      </c>
      <c r="D56" s="8">
        <v>0</v>
      </c>
      <c r="E56" s="8">
        <v>1</v>
      </c>
      <c r="F56" s="8">
        <v>34</v>
      </c>
      <c r="G56" s="7">
        <v>0.18650001607317804</v>
      </c>
      <c r="H56" s="7">
        <v>6.08550634427708E-2</v>
      </c>
      <c r="I56" s="8">
        <v>0</v>
      </c>
      <c r="J56" s="8">
        <v>1</v>
      </c>
      <c r="K56" s="8">
        <v>42</v>
      </c>
      <c r="L56" s="7">
        <v>0.39436733839662452</v>
      </c>
      <c r="M56" s="7">
        <v>7.7850298089584935E-2</v>
      </c>
      <c r="N56" s="8">
        <v>0</v>
      </c>
      <c r="O56" s="8">
        <v>1</v>
      </c>
      <c r="P56" s="8">
        <v>42</v>
      </c>
      <c r="Q56" s="7">
        <v>0.69537622401646959</v>
      </c>
      <c r="R56" s="7">
        <v>7.7013327808946444E-2</v>
      </c>
      <c r="S56" s="8">
        <v>0</v>
      </c>
      <c r="T56" s="8">
        <v>1</v>
      </c>
      <c r="U56" s="8">
        <v>40</v>
      </c>
      <c r="V56" s="7">
        <v>0.38609576035540805</v>
      </c>
      <c r="W56" s="7">
        <v>6.5209352136426937E-2</v>
      </c>
      <c r="X56" s="8">
        <v>0</v>
      </c>
      <c r="Y56" s="8">
        <v>1</v>
      </c>
      <c r="Z56" s="8">
        <v>100</v>
      </c>
      <c r="AA56" s="13">
        <v>0.39148388036045784</v>
      </c>
      <c r="AB56" s="7">
        <v>4.207767278054346E-2</v>
      </c>
      <c r="AC56" s="8">
        <v>0</v>
      </c>
      <c r="AD56" s="8">
        <v>1</v>
      </c>
      <c r="AE56" s="8">
        <v>258</v>
      </c>
      <c r="AF56">
        <f>(AA57/AA55)-AA56</f>
        <v>4.2537533228091395E-3</v>
      </c>
    </row>
    <row r="57" spans="1:32" x14ac:dyDescent="0.45">
      <c r="A57" s="6" t="s">
        <v>47</v>
      </c>
      <c r="B57" s="7">
        <v>2.4801431151635741E-2</v>
      </c>
      <c r="C57" s="7">
        <v>2.4961396695214931E-2</v>
      </c>
      <c r="D57" s="8">
        <v>0</v>
      </c>
      <c r="E57" s="8">
        <v>1</v>
      </c>
      <c r="F57" s="8">
        <v>34</v>
      </c>
      <c r="G57" s="7">
        <v>0</v>
      </c>
      <c r="H57" s="7">
        <v>0</v>
      </c>
      <c r="I57" s="8">
        <v>0</v>
      </c>
      <c r="J57" s="8">
        <v>0</v>
      </c>
      <c r="K57" s="8">
        <v>42</v>
      </c>
      <c r="L57" s="7">
        <v>8.5992484513572262E-2</v>
      </c>
      <c r="M57" s="7">
        <v>4.2788760219524782E-2</v>
      </c>
      <c r="N57" s="8">
        <v>0</v>
      </c>
      <c r="O57" s="8">
        <v>1</v>
      </c>
      <c r="P57" s="8">
        <v>42</v>
      </c>
      <c r="Q57" s="7">
        <v>0.11133427255978268</v>
      </c>
      <c r="R57" s="7">
        <v>5.1687063201629746E-2</v>
      </c>
      <c r="S57" s="8">
        <v>0</v>
      </c>
      <c r="T57" s="8">
        <v>1</v>
      </c>
      <c r="U57" s="8">
        <v>40</v>
      </c>
      <c r="V57" s="7">
        <v>0.14474479319620445</v>
      </c>
      <c r="W57" s="7">
        <v>4.7389464194751617E-2</v>
      </c>
      <c r="X57" s="8">
        <v>0</v>
      </c>
      <c r="Y57" s="8">
        <v>1</v>
      </c>
      <c r="Z57" s="8">
        <v>100</v>
      </c>
      <c r="AA57" s="13">
        <v>6.6386963343047417E-2</v>
      </c>
      <c r="AB57" s="7">
        <v>2.110864310093815E-2</v>
      </c>
      <c r="AC57" s="8">
        <v>0</v>
      </c>
      <c r="AD57" s="8">
        <v>1</v>
      </c>
      <c r="AE57" s="8">
        <v>258</v>
      </c>
    </row>
    <row r="58" spans="1:32" x14ac:dyDescent="0.45">
      <c r="A58" s="6" t="s">
        <v>14</v>
      </c>
      <c r="B58" s="7">
        <v>0.14125871494262252</v>
      </c>
      <c r="C58" s="7">
        <v>6.5074565286824301E-2</v>
      </c>
      <c r="D58" s="8">
        <v>0</v>
      </c>
      <c r="E58" s="8">
        <v>1</v>
      </c>
      <c r="F58" s="8">
        <v>34</v>
      </c>
      <c r="G58" s="7">
        <v>0.16404585106896458</v>
      </c>
      <c r="H58" s="7">
        <v>5.7710190044605751E-2</v>
      </c>
      <c r="I58" s="8">
        <v>0</v>
      </c>
      <c r="J58" s="8">
        <v>1</v>
      </c>
      <c r="K58" s="8">
        <v>42</v>
      </c>
      <c r="L58" s="7">
        <v>0.17073251826969982</v>
      </c>
      <c r="M58" s="7">
        <v>6.0962846590829012E-2</v>
      </c>
      <c r="N58" s="8">
        <v>0</v>
      </c>
      <c r="O58" s="8">
        <v>1</v>
      </c>
      <c r="P58" s="8">
        <v>42</v>
      </c>
      <c r="Q58" s="7">
        <v>0.16962493166829462</v>
      </c>
      <c r="R58" s="7">
        <v>6.2751547279342637E-2</v>
      </c>
      <c r="S58" s="8">
        <v>0</v>
      </c>
      <c r="T58" s="8">
        <v>1</v>
      </c>
      <c r="U58" s="8">
        <v>40</v>
      </c>
      <c r="V58" s="7">
        <v>0.1974768254828736</v>
      </c>
      <c r="W58" s="7">
        <v>5.4071909528840917E-2</v>
      </c>
      <c r="X58" s="8">
        <v>0</v>
      </c>
      <c r="Y58" s="8">
        <v>1</v>
      </c>
      <c r="Z58" s="8">
        <v>100</v>
      </c>
      <c r="AA58" s="13">
        <v>0.16775499141984804</v>
      </c>
      <c r="AB58" s="7">
        <v>3.2582084360901285E-2</v>
      </c>
      <c r="AC58" s="8">
        <v>0</v>
      </c>
      <c r="AD58" s="8">
        <v>1</v>
      </c>
      <c r="AE58" s="8">
        <v>258</v>
      </c>
      <c r="AF58">
        <f>(AA60/AA59)-AA58</f>
        <v>-3.9881185951409825E-2</v>
      </c>
    </row>
    <row r="59" spans="1:32" x14ac:dyDescent="0.45">
      <c r="A59" s="6" t="s">
        <v>30</v>
      </c>
      <c r="B59" s="7">
        <v>9.7944886332647418E-2</v>
      </c>
      <c r="C59" s="7">
        <v>5.0745074390485048E-2</v>
      </c>
      <c r="D59" s="8">
        <v>0</v>
      </c>
      <c r="E59" s="8">
        <v>1</v>
      </c>
      <c r="F59" s="8">
        <v>34</v>
      </c>
      <c r="G59" s="7">
        <v>0.19686198014165318</v>
      </c>
      <c r="H59" s="7">
        <v>6.361507673733699E-2</v>
      </c>
      <c r="I59" s="8">
        <v>0</v>
      </c>
      <c r="J59" s="8">
        <v>1</v>
      </c>
      <c r="K59" s="8">
        <v>42</v>
      </c>
      <c r="L59" s="7">
        <v>0.19333329674758543</v>
      </c>
      <c r="M59" s="7">
        <v>6.2618824990208738E-2</v>
      </c>
      <c r="N59" s="8">
        <v>0</v>
      </c>
      <c r="O59" s="8">
        <v>1</v>
      </c>
      <c r="P59" s="8">
        <v>42</v>
      </c>
      <c r="Q59" s="7">
        <v>0.12570203484365922</v>
      </c>
      <c r="R59" s="7">
        <v>5.3202553266984524E-2</v>
      </c>
      <c r="S59" s="8">
        <v>0</v>
      </c>
      <c r="T59" s="8">
        <v>1</v>
      </c>
      <c r="U59" s="8">
        <v>40</v>
      </c>
      <c r="V59" s="7">
        <v>7.5898831644268056E-2</v>
      </c>
      <c r="W59" s="7">
        <v>2.9028505479072871E-2</v>
      </c>
      <c r="X59" s="8">
        <v>0</v>
      </c>
      <c r="Y59" s="8">
        <v>1</v>
      </c>
      <c r="Z59" s="8">
        <v>100</v>
      </c>
      <c r="AA59" s="13">
        <v>0.16935134322954545</v>
      </c>
      <c r="AB59" s="7">
        <v>3.3026123553095636E-2</v>
      </c>
      <c r="AC59" s="8">
        <v>0</v>
      </c>
      <c r="AD59" s="8">
        <v>1</v>
      </c>
      <c r="AE59" s="8">
        <v>258</v>
      </c>
      <c r="AF59">
        <f>(AA60/AA58)-AA59</f>
        <v>-4.0260694202267605E-2</v>
      </c>
    </row>
    <row r="60" spans="1:32" x14ac:dyDescent="0.45">
      <c r="A60" s="6" t="s">
        <v>48</v>
      </c>
      <c r="B60" s="7">
        <v>3.117894201919922E-2</v>
      </c>
      <c r="C60" s="7">
        <v>3.117582031590807E-2</v>
      </c>
      <c r="D60" s="8">
        <v>0</v>
      </c>
      <c r="E60" s="8">
        <v>1</v>
      </c>
      <c r="F60" s="8">
        <v>34</v>
      </c>
      <c r="G60" s="7">
        <v>2.3465792278478736E-2</v>
      </c>
      <c r="H60" s="7">
        <v>2.3483097076224847E-2</v>
      </c>
      <c r="I60" s="8">
        <v>0</v>
      </c>
      <c r="J60" s="8">
        <v>1</v>
      </c>
      <c r="K60" s="8">
        <v>42</v>
      </c>
      <c r="L60" s="7">
        <v>0</v>
      </c>
      <c r="M60" s="7">
        <v>0</v>
      </c>
      <c r="N60" s="8">
        <v>0</v>
      </c>
      <c r="O60" s="8">
        <v>0</v>
      </c>
      <c r="P60" s="8">
        <v>42</v>
      </c>
      <c r="Q60" s="7">
        <v>5.5711589731646256E-2</v>
      </c>
      <c r="R60" s="7">
        <v>3.7818340186798687E-2</v>
      </c>
      <c r="S60" s="8">
        <v>0</v>
      </c>
      <c r="T60" s="8">
        <v>1</v>
      </c>
      <c r="U60" s="8">
        <v>40</v>
      </c>
      <c r="V60" s="7">
        <v>2.0088518348851593E-2</v>
      </c>
      <c r="W60" s="7">
        <v>1.997691537134471E-2</v>
      </c>
      <c r="X60" s="8">
        <v>0</v>
      </c>
      <c r="Y60" s="8">
        <v>1</v>
      </c>
      <c r="Z60" s="8">
        <v>100</v>
      </c>
      <c r="AA60" s="13">
        <v>2.1655600719953608E-2</v>
      </c>
      <c r="AB60" s="7">
        <v>1.0987921423673422E-2</v>
      </c>
      <c r="AC60" s="8">
        <v>0</v>
      </c>
      <c r="AD60" s="8">
        <v>1</v>
      </c>
      <c r="AE60" s="8">
        <v>258</v>
      </c>
    </row>
    <row r="61" spans="1:32" x14ac:dyDescent="0.45">
      <c r="A61" s="6" t="s">
        <v>14</v>
      </c>
      <c r="B61" s="7">
        <v>0.14125871494262252</v>
      </c>
      <c r="C61" s="7">
        <v>6.5074565286824301E-2</v>
      </c>
      <c r="D61" s="8">
        <v>0</v>
      </c>
      <c r="E61" s="8">
        <v>1</v>
      </c>
      <c r="F61" s="8">
        <v>34</v>
      </c>
      <c r="G61" s="7">
        <v>0.16404585106896458</v>
      </c>
      <c r="H61" s="7">
        <v>5.7710190044605751E-2</v>
      </c>
      <c r="I61" s="8">
        <v>0</v>
      </c>
      <c r="J61" s="8">
        <v>1</v>
      </c>
      <c r="K61" s="8">
        <v>42</v>
      </c>
      <c r="L61" s="7">
        <v>0.17073251826969982</v>
      </c>
      <c r="M61" s="7">
        <v>6.0962846590829012E-2</v>
      </c>
      <c r="N61" s="8">
        <v>0</v>
      </c>
      <c r="O61" s="8">
        <v>1</v>
      </c>
      <c r="P61" s="8">
        <v>42</v>
      </c>
      <c r="Q61" s="7">
        <v>0.16962493166829462</v>
      </c>
      <c r="R61" s="7">
        <v>6.2751547279342637E-2</v>
      </c>
      <c r="S61" s="8">
        <v>0</v>
      </c>
      <c r="T61" s="8">
        <v>1</v>
      </c>
      <c r="U61" s="8">
        <v>40</v>
      </c>
      <c r="V61" s="7">
        <v>0.1974768254828736</v>
      </c>
      <c r="W61" s="7">
        <v>5.4071909528840917E-2</v>
      </c>
      <c r="X61" s="8">
        <v>0</v>
      </c>
      <c r="Y61" s="8">
        <v>1</v>
      </c>
      <c r="Z61" s="8">
        <v>100</v>
      </c>
      <c r="AA61" s="13">
        <v>0.16775499141984804</v>
      </c>
      <c r="AB61" s="7">
        <v>3.2582084360901285E-2</v>
      </c>
      <c r="AC61" s="8">
        <v>0</v>
      </c>
      <c r="AD61" s="8">
        <v>1</v>
      </c>
      <c r="AE61" s="8">
        <v>258</v>
      </c>
      <c r="AF61">
        <f>(AA63/AA62)-AA61</f>
        <v>-1.2633749200171018E-2</v>
      </c>
    </row>
    <row r="62" spans="1:32" x14ac:dyDescent="0.45">
      <c r="A62" s="6" t="s">
        <v>32</v>
      </c>
      <c r="B62" s="7">
        <v>0.88886175204661999</v>
      </c>
      <c r="C62" s="7">
        <v>6.1457033964244352E-2</v>
      </c>
      <c r="D62" s="8">
        <v>0</v>
      </c>
      <c r="E62" s="8">
        <v>1</v>
      </c>
      <c r="F62" s="8">
        <v>34</v>
      </c>
      <c r="G62" s="7">
        <v>0.60873909731901421</v>
      </c>
      <c r="H62" s="7">
        <v>7.7439164761967633E-2</v>
      </c>
      <c r="I62" s="8">
        <v>0</v>
      </c>
      <c r="J62" s="8">
        <v>1</v>
      </c>
      <c r="K62" s="8">
        <v>42</v>
      </c>
      <c r="L62" s="7">
        <v>0.46210236619269668</v>
      </c>
      <c r="M62" s="7">
        <v>7.9990935927138157E-2</v>
      </c>
      <c r="N62" s="8">
        <v>0</v>
      </c>
      <c r="O62" s="8">
        <v>1</v>
      </c>
      <c r="P62" s="8">
        <v>42</v>
      </c>
      <c r="Q62" s="7">
        <v>0.64300167798766439</v>
      </c>
      <c r="R62" s="7">
        <v>7.9764129090886995E-2</v>
      </c>
      <c r="S62" s="8">
        <v>0</v>
      </c>
      <c r="T62" s="8">
        <v>1</v>
      </c>
      <c r="U62" s="8">
        <v>40</v>
      </c>
      <c r="V62" s="7">
        <v>0.19224039367404611</v>
      </c>
      <c r="W62" s="7">
        <v>4.6779770209863396E-2</v>
      </c>
      <c r="X62" s="8">
        <v>0</v>
      </c>
      <c r="Y62" s="8">
        <v>1</v>
      </c>
      <c r="Z62" s="8">
        <v>100</v>
      </c>
      <c r="AA62" s="13">
        <v>0.56028151574267626</v>
      </c>
      <c r="AB62" s="7">
        <v>4.331019237972477E-2</v>
      </c>
      <c r="AC62" s="8">
        <v>0</v>
      </c>
      <c r="AD62" s="8">
        <v>1</v>
      </c>
      <c r="AE62" s="8">
        <v>258</v>
      </c>
      <c r="AF62">
        <f>(AA63/AA61)-AA62</f>
        <v>-4.2195204395850561E-2</v>
      </c>
    </row>
    <row r="63" spans="1:32" x14ac:dyDescent="0.45">
      <c r="A63" s="6" t="s">
        <v>49</v>
      </c>
      <c r="B63" s="7">
        <v>0.14125871494262252</v>
      </c>
      <c r="C63" s="7">
        <v>6.5074565286824301E-2</v>
      </c>
      <c r="D63" s="8">
        <v>0</v>
      </c>
      <c r="E63" s="8">
        <v>1</v>
      </c>
      <c r="F63" s="8">
        <v>34</v>
      </c>
      <c r="G63" s="7">
        <v>9.4016441406353957E-2</v>
      </c>
      <c r="H63" s="7">
        <v>4.5407844085507132E-2</v>
      </c>
      <c r="I63" s="8">
        <v>0</v>
      </c>
      <c r="J63" s="8">
        <v>1</v>
      </c>
      <c r="K63" s="8">
        <v>42</v>
      </c>
      <c r="L63" s="7">
        <v>5.0617682499882494E-2</v>
      </c>
      <c r="M63" s="7">
        <v>3.7610653046096489E-2</v>
      </c>
      <c r="N63" s="8">
        <v>0</v>
      </c>
      <c r="O63" s="8">
        <v>1</v>
      </c>
      <c r="P63" s="8">
        <v>42</v>
      </c>
      <c r="Q63" s="7">
        <v>0.13655048098575215</v>
      </c>
      <c r="R63" s="7">
        <v>5.6246141759809874E-2</v>
      </c>
      <c r="S63" s="8">
        <v>0</v>
      </c>
      <c r="T63" s="8">
        <v>1</v>
      </c>
      <c r="U63" s="8">
        <v>40</v>
      </c>
      <c r="V63" s="7">
        <v>3.1699559347096951E-2</v>
      </c>
      <c r="W63" s="7">
        <v>2.156424021396651E-2</v>
      </c>
      <c r="X63" s="8">
        <v>0</v>
      </c>
      <c r="Y63" s="8">
        <v>1</v>
      </c>
      <c r="Z63" s="8">
        <v>100</v>
      </c>
      <c r="AA63" s="13">
        <v>8.6911564714727468E-2</v>
      </c>
      <c r="AB63" s="7">
        <v>2.3715422106559626E-2</v>
      </c>
      <c r="AC63" s="8">
        <v>0</v>
      </c>
      <c r="AD63" s="8">
        <v>1</v>
      </c>
      <c r="AE63" s="8">
        <v>258</v>
      </c>
    </row>
    <row r="64" spans="1:32" x14ac:dyDescent="0.45">
      <c r="A64" s="6" t="s">
        <v>14</v>
      </c>
      <c r="B64" s="7">
        <v>0.14125871494262252</v>
      </c>
      <c r="C64" s="7">
        <v>6.5074565286824301E-2</v>
      </c>
      <c r="D64" s="8">
        <v>0</v>
      </c>
      <c r="E64" s="8">
        <v>1</v>
      </c>
      <c r="F64" s="8">
        <v>34</v>
      </c>
      <c r="G64" s="7">
        <v>0.16404585106896458</v>
      </c>
      <c r="H64" s="7">
        <v>5.7710190044605751E-2</v>
      </c>
      <c r="I64" s="8">
        <v>0</v>
      </c>
      <c r="J64" s="8">
        <v>1</v>
      </c>
      <c r="K64" s="8">
        <v>42</v>
      </c>
      <c r="L64" s="7">
        <v>0.17073251826969982</v>
      </c>
      <c r="M64" s="7">
        <v>6.0962846590829012E-2</v>
      </c>
      <c r="N64" s="8">
        <v>0</v>
      </c>
      <c r="O64" s="8">
        <v>1</v>
      </c>
      <c r="P64" s="8">
        <v>42</v>
      </c>
      <c r="Q64" s="7">
        <v>0.16962493166829462</v>
      </c>
      <c r="R64" s="7">
        <v>6.2751547279342637E-2</v>
      </c>
      <c r="S64" s="8">
        <v>0</v>
      </c>
      <c r="T64" s="8">
        <v>1</v>
      </c>
      <c r="U64" s="8">
        <v>40</v>
      </c>
      <c r="V64" s="7">
        <v>0.1974768254828736</v>
      </c>
      <c r="W64" s="7">
        <v>5.4071909528840917E-2</v>
      </c>
      <c r="X64" s="8">
        <v>0</v>
      </c>
      <c r="Y64" s="8">
        <v>1</v>
      </c>
      <c r="Z64" s="8">
        <v>100</v>
      </c>
      <c r="AA64" s="13">
        <v>0.16775499141984804</v>
      </c>
      <c r="AB64" s="7">
        <v>3.2582084360901285E-2</v>
      </c>
      <c r="AC64" s="8">
        <v>0</v>
      </c>
      <c r="AD64" s="8">
        <v>1</v>
      </c>
      <c r="AE64" s="8">
        <v>258</v>
      </c>
      <c r="AF64">
        <f>(AA66/AA65)-AA64</f>
        <v>-5.0245984182532039E-2</v>
      </c>
    </row>
    <row r="65" spans="1:32" x14ac:dyDescent="0.45">
      <c r="A65" s="6" t="s">
        <v>34</v>
      </c>
      <c r="B65" s="7">
        <v>0.19862121171774996</v>
      </c>
      <c r="C65" s="7">
        <v>7.0449908333518482E-2</v>
      </c>
      <c r="D65" s="8">
        <v>0</v>
      </c>
      <c r="E65" s="8">
        <v>1</v>
      </c>
      <c r="F65" s="8">
        <v>34</v>
      </c>
      <c r="G65" s="7">
        <v>0.27373543444507736</v>
      </c>
      <c r="H65" s="7">
        <v>7.1059953576424029E-2</v>
      </c>
      <c r="I65" s="8">
        <v>0</v>
      </c>
      <c r="J65" s="8">
        <v>1</v>
      </c>
      <c r="K65" s="8">
        <v>42</v>
      </c>
      <c r="L65" s="7">
        <v>0.16792280545098798</v>
      </c>
      <c r="M65" s="7">
        <v>5.8618243579727093E-2</v>
      </c>
      <c r="N65" s="8">
        <v>0</v>
      </c>
      <c r="O65" s="8">
        <v>1</v>
      </c>
      <c r="P65" s="8">
        <v>42</v>
      </c>
      <c r="Q65" s="7">
        <v>0.27853232036598929</v>
      </c>
      <c r="R65" s="7">
        <v>7.2602815976202259E-2</v>
      </c>
      <c r="S65" s="8">
        <v>0</v>
      </c>
      <c r="T65" s="8">
        <v>1</v>
      </c>
      <c r="U65" s="8">
        <v>40</v>
      </c>
      <c r="V65" s="7">
        <v>3.9845505914107161E-2</v>
      </c>
      <c r="W65" s="7">
        <v>2.1780217848510454E-2</v>
      </c>
      <c r="X65" s="8">
        <v>0</v>
      </c>
      <c r="Y65" s="8">
        <v>1</v>
      </c>
      <c r="Z65" s="8">
        <v>100</v>
      </c>
      <c r="AA65" s="13">
        <v>0.21982448140548122</v>
      </c>
      <c r="AB65" s="7">
        <v>3.5153365318010749E-2</v>
      </c>
      <c r="AC65" s="8">
        <v>0</v>
      </c>
      <c r="AD65" s="8">
        <v>1</v>
      </c>
      <c r="AE65" s="8">
        <v>258</v>
      </c>
      <c r="AF65">
        <f>(AA66/AA64)-AA65</f>
        <v>-6.5841840663861673E-2</v>
      </c>
    </row>
    <row r="66" spans="1:32" ht="26.25" x14ac:dyDescent="0.45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34</v>
      </c>
      <c r="G66" s="7">
        <v>2.3245212866779455E-2</v>
      </c>
      <c r="H66" s="7">
        <v>2.3267603010456363E-2</v>
      </c>
      <c r="I66" s="8">
        <v>0</v>
      </c>
      <c r="J66" s="8">
        <v>1</v>
      </c>
      <c r="K66" s="8">
        <v>42</v>
      </c>
      <c r="L66" s="7">
        <v>0</v>
      </c>
      <c r="M66" s="7">
        <v>0</v>
      </c>
      <c r="N66" s="8">
        <v>0</v>
      </c>
      <c r="O66" s="8">
        <v>0</v>
      </c>
      <c r="P66" s="8">
        <v>42</v>
      </c>
      <c r="Q66" s="7">
        <v>8.2522526926885303E-2</v>
      </c>
      <c r="R66" s="7">
        <v>4.4444565432204548E-2</v>
      </c>
      <c r="S66" s="8">
        <v>0</v>
      </c>
      <c r="T66" s="8">
        <v>1</v>
      </c>
      <c r="U66" s="8">
        <v>40</v>
      </c>
      <c r="V66" s="7">
        <v>2.0079677003791218E-2</v>
      </c>
      <c r="W66" s="7">
        <v>1.9968303470510179E-2</v>
      </c>
      <c r="X66" s="8">
        <v>0</v>
      </c>
      <c r="Y66" s="8">
        <v>1</v>
      </c>
      <c r="Z66" s="8">
        <v>100</v>
      </c>
      <c r="AA66" s="13">
        <v>2.5831356576415929E-2</v>
      </c>
      <c r="AB66" s="7">
        <v>1.2142065927239681E-2</v>
      </c>
      <c r="AC66" s="8">
        <v>0</v>
      </c>
      <c r="AD66" s="8">
        <v>1</v>
      </c>
      <c r="AE66" s="8">
        <v>258</v>
      </c>
    </row>
    <row r="67" spans="1:32" x14ac:dyDescent="0.45">
      <c r="A67" s="6" t="s">
        <v>14</v>
      </c>
      <c r="B67" s="7">
        <v>0.14125871494262252</v>
      </c>
      <c r="C67" s="7">
        <v>6.5074565286824301E-2</v>
      </c>
      <c r="D67" s="8">
        <v>0</v>
      </c>
      <c r="E67" s="8">
        <v>1</v>
      </c>
      <c r="F67" s="8">
        <v>34</v>
      </c>
      <c r="G67" s="7">
        <v>0.16404585106896458</v>
      </c>
      <c r="H67" s="7">
        <v>5.7710190044605751E-2</v>
      </c>
      <c r="I67" s="8">
        <v>0</v>
      </c>
      <c r="J67" s="8">
        <v>1</v>
      </c>
      <c r="K67" s="8">
        <v>42</v>
      </c>
      <c r="L67" s="7">
        <v>0.17073251826969982</v>
      </c>
      <c r="M67" s="7">
        <v>6.0962846590829012E-2</v>
      </c>
      <c r="N67" s="8">
        <v>0</v>
      </c>
      <c r="O67" s="8">
        <v>1</v>
      </c>
      <c r="P67" s="8">
        <v>42</v>
      </c>
      <c r="Q67" s="7">
        <v>0.16962493166829462</v>
      </c>
      <c r="R67" s="7">
        <v>6.2751547279342637E-2</v>
      </c>
      <c r="S67" s="8">
        <v>0</v>
      </c>
      <c r="T67" s="8">
        <v>1</v>
      </c>
      <c r="U67" s="8">
        <v>40</v>
      </c>
      <c r="V67" s="7">
        <v>0.1974768254828736</v>
      </c>
      <c r="W67" s="7">
        <v>5.4071909528840917E-2</v>
      </c>
      <c r="X67" s="8">
        <v>0</v>
      </c>
      <c r="Y67" s="8">
        <v>1</v>
      </c>
      <c r="Z67" s="8">
        <v>100</v>
      </c>
      <c r="AA67" s="13">
        <v>0.16775499141984804</v>
      </c>
      <c r="AB67" s="7">
        <v>3.2582084360901285E-2</v>
      </c>
      <c r="AC67" s="8">
        <v>0</v>
      </c>
      <c r="AD67" s="8">
        <v>1</v>
      </c>
      <c r="AE67" s="8">
        <v>258</v>
      </c>
      <c r="AF67">
        <f>(AA69/AA68)-AA67</f>
        <v>-8.6662679808511278E-3</v>
      </c>
    </row>
    <row r="68" spans="1:32" x14ac:dyDescent="0.45">
      <c r="A68" s="6" t="s">
        <v>36</v>
      </c>
      <c r="B68" s="7">
        <v>0.76064468833586119</v>
      </c>
      <c r="C68" s="7">
        <v>7.7815769808775942E-2</v>
      </c>
      <c r="D68" s="8">
        <v>0</v>
      </c>
      <c r="E68" s="8">
        <v>1</v>
      </c>
      <c r="F68" s="8">
        <v>34</v>
      </c>
      <c r="G68" s="7">
        <v>0.47021854293445042</v>
      </c>
      <c r="H68" s="7">
        <v>7.9243117363754292E-2</v>
      </c>
      <c r="I68" s="8">
        <v>0</v>
      </c>
      <c r="J68" s="8">
        <v>1</v>
      </c>
      <c r="K68" s="8">
        <v>42</v>
      </c>
      <c r="L68" s="7">
        <v>0.2445206682606792</v>
      </c>
      <c r="M68" s="7">
        <v>6.7154542896761538E-2</v>
      </c>
      <c r="N68" s="8">
        <v>0</v>
      </c>
      <c r="O68" s="8">
        <v>1</v>
      </c>
      <c r="P68" s="8">
        <v>42</v>
      </c>
      <c r="Q68" s="7">
        <v>0.35160809189742964</v>
      </c>
      <c r="R68" s="7">
        <v>7.902438279457083E-2</v>
      </c>
      <c r="S68" s="8">
        <v>0</v>
      </c>
      <c r="T68" s="8">
        <v>1</v>
      </c>
      <c r="U68" s="8">
        <v>40</v>
      </c>
      <c r="V68" s="7">
        <v>0.42925514319553509</v>
      </c>
      <c r="W68" s="7">
        <v>6.917480911456024E-2</v>
      </c>
      <c r="X68" s="8">
        <v>0</v>
      </c>
      <c r="Y68" s="8">
        <v>1</v>
      </c>
      <c r="Z68" s="8">
        <v>100</v>
      </c>
      <c r="AA68" s="13">
        <v>0.36787839094902408</v>
      </c>
      <c r="AB68" s="7">
        <v>4.0690017630809268E-2</v>
      </c>
      <c r="AC68" s="8">
        <v>0</v>
      </c>
      <c r="AD68" s="8">
        <v>1</v>
      </c>
      <c r="AE68" s="8">
        <v>258</v>
      </c>
      <c r="AF68">
        <f>(AA69/AA67)-AA68</f>
        <v>-1.9004696631347795E-2</v>
      </c>
    </row>
    <row r="69" spans="1:32" x14ac:dyDescent="0.45">
      <c r="A69" s="6" t="s">
        <v>51</v>
      </c>
      <c r="B69" s="7">
        <v>8.7930752930715408E-2</v>
      </c>
      <c r="C69" s="7">
        <v>4.9753833993337875E-2</v>
      </c>
      <c r="D69" s="8">
        <v>0</v>
      </c>
      <c r="E69" s="8">
        <v>1</v>
      </c>
      <c r="F69" s="8">
        <v>34</v>
      </c>
      <c r="G69" s="7">
        <v>9.6973180705821588E-2</v>
      </c>
      <c r="H69" s="7">
        <v>4.6686622027675158E-2</v>
      </c>
      <c r="I69" s="8">
        <v>0</v>
      </c>
      <c r="J69" s="8">
        <v>1</v>
      </c>
      <c r="K69" s="8">
        <v>42</v>
      </c>
      <c r="L69" s="7">
        <v>4.3891070370903638E-2</v>
      </c>
      <c r="M69" s="7">
        <v>3.1236248509536994E-2</v>
      </c>
      <c r="N69" s="8">
        <v>0</v>
      </c>
      <c r="O69" s="8">
        <v>1</v>
      </c>
      <c r="P69" s="8">
        <v>42</v>
      </c>
      <c r="Q69" s="7">
        <v>3.2049683239986172E-2</v>
      </c>
      <c r="R69" s="7">
        <v>2.9678028410606034E-2</v>
      </c>
      <c r="S69" s="8">
        <v>0</v>
      </c>
      <c r="T69" s="8">
        <v>1</v>
      </c>
      <c r="U69" s="8">
        <v>40</v>
      </c>
      <c r="V69" s="7">
        <v>4.7030604905261439E-2</v>
      </c>
      <c r="W69" s="7">
        <v>2.3388984029070074E-2</v>
      </c>
      <c r="X69" s="8">
        <v>0</v>
      </c>
      <c r="Y69" s="8">
        <v>1</v>
      </c>
      <c r="Z69" s="8">
        <v>100</v>
      </c>
      <c r="AA69" s="13">
        <v>5.8525303596872476E-2</v>
      </c>
      <c r="AB69" s="7">
        <v>1.9415096411102693E-2</v>
      </c>
      <c r="AC69" s="8">
        <v>0</v>
      </c>
      <c r="AD69" s="8">
        <v>1</v>
      </c>
      <c r="AE69" s="8">
        <v>258</v>
      </c>
    </row>
    <row r="70" spans="1:32" x14ac:dyDescent="0.45">
      <c r="A70" s="6" t="s">
        <v>26</v>
      </c>
      <c r="B70" s="7">
        <v>0.24902179290487914</v>
      </c>
      <c r="C70" s="7">
        <v>7.8614835918954476E-2</v>
      </c>
      <c r="D70" s="8">
        <v>0</v>
      </c>
      <c r="E70" s="8">
        <v>1</v>
      </c>
      <c r="F70" s="8">
        <v>34</v>
      </c>
      <c r="G70" s="7">
        <v>0.52007076896689197</v>
      </c>
      <c r="H70" s="7">
        <v>7.9207874917171434E-2</v>
      </c>
      <c r="I70" s="8">
        <v>0</v>
      </c>
      <c r="J70" s="8">
        <v>1</v>
      </c>
      <c r="K70" s="8">
        <v>42</v>
      </c>
      <c r="L70" s="7">
        <v>0.3991898102231235</v>
      </c>
      <c r="M70" s="7">
        <v>7.8974550833973395E-2</v>
      </c>
      <c r="N70" s="8">
        <v>0</v>
      </c>
      <c r="O70" s="8">
        <v>1</v>
      </c>
      <c r="P70" s="8">
        <v>42</v>
      </c>
      <c r="Q70" s="7">
        <v>0.56237744430379144</v>
      </c>
      <c r="R70" s="7">
        <v>8.1477344007092639E-2</v>
      </c>
      <c r="S70" s="8">
        <v>0</v>
      </c>
      <c r="T70" s="8">
        <v>1</v>
      </c>
      <c r="U70" s="8">
        <v>40</v>
      </c>
      <c r="V70" s="7">
        <v>0.3070650065631072</v>
      </c>
      <c r="W70" s="7">
        <v>6.1930006435609156E-2</v>
      </c>
      <c r="X70" s="8">
        <v>0</v>
      </c>
      <c r="Y70" s="8">
        <v>1</v>
      </c>
      <c r="Z70" s="8">
        <v>100</v>
      </c>
      <c r="AA70" s="13">
        <v>0.45755497144841928</v>
      </c>
      <c r="AB70" s="7">
        <v>4.3248432113583909E-2</v>
      </c>
      <c r="AC70" s="8">
        <v>0</v>
      </c>
      <c r="AD70" s="8">
        <v>1</v>
      </c>
      <c r="AE70" s="8">
        <v>258</v>
      </c>
      <c r="AF70">
        <f>(AA72/AA71)-AA70</f>
        <v>-2.3721233310520673E-2</v>
      </c>
    </row>
    <row r="71" spans="1:32" x14ac:dyDescent="0.45">
      <c r="A71" s="6" t="s">
        <v>28</v>
      </c>
      <c r="B71" s="7">
        <v>0.16060683353603622</v>
      </c>
      <c r="C71" s="7">
        <v>6.3104178008598577E-2</v>
      </c>
      <c r="D71" s="8">
        <v>0</v>
      </c>
      <c r="E71" s="8">
        <v>1</v>
      </c>
      <c r="F71" s="8">
        <v>34</v>
      </c>
      <c r="G71" s="7">
        <v>0.18650001607317804</v>
      </c>
      <c r="H71" s="7">
        <v>6.08550634427708E-2</v>
      </c>
      <c r="I71" s="8">
        <v>0</v>
      </c>
      <c r="J71" s="8">
        <v>1</v>
      </c>
      <c r="K71" s="8">
        <v>42</v>
      </c>
      <c r="L71" s="7">
        <v>0.39436733839662452</v>
      </c>
      <c r="M71" s="7">
        <v>7.7850298089584935E-2</v>
      </c>
      <c r="N71" s="8">
        <v>0</v>
      </c>
      <c r="O71" s="8">
        <v>1</v>
      </c>
      <c r="P71" s="8">
        <v>42</v>
      </c>
      <c r="Q71" s="7">
        <v>0.69537622401646959</v>
      </c>
      <c r="R71" s="7">
        <v>7.7013327808946444E-2</v>
      </c>
      <c r="S71" s="8">
        <v>0</v>
      </c>
      <c r="T71" s="8">
        <v>1</v>
      </c>
      <c r="U71" s="8">
        <v>40</v>
      </c>
      <c r="V71" s="7">
        <v>0.38609576035540805</v>
      </c>
      <c r="W71" s="7">
        <v>6.5209352136426937E-2</v>
      </c>
      <c r="X71" s="8">
        <v>0</v>
      </c>
      <c r="Y71" s="8">
        <v>1</v>
      </c>
      <c r="Z71" s="8">
        <v>100</v>
      </c>
      <c r="AA71" s="13">
        <v>0.39148388036045784</v>
      </c>
      <c r="AB71" s="7">
        <v>4.207767278054346E-2</v>
      </c>
      <c r="AC71" s="8">
        <v>0</v>
      </c>
      <c r="AD71" s="8">
        <v>1</v>
      </c>
      <c r="AE71" s="8">
        <v>258</v>
      </c>
      <c r="AF71">
        <f>(AA72/AA70)-AA71</f>
        <v>-2.0295879277502815E-2</v>
      </c>
    </row>
    <row r="72" spans="1:32" x14ac:dyDescent="0.45">
      <c r="A72" s="6" t="s">
        <v>52</v>
      </c>
      <c r="B72" s="7">
        <v>2.357564786548759E-2</v>
      </c>
      <c r="C72" s="7">
        <v>2.3757272411676529E-2</v>
      </c>
      <c r="D72" s="8">
        <v>0</v>
      </c>
      <c r="E72" s="8">
        <v>1</v>
      </c>
      <c r="F72" s="8">
        <v>34</v>
      </c>
      <c r="G72" s="7">
        <v>5.0870625007041467E-2</v>
      </c>
      <c r="H72" s="7">
        <v>3.5564636185284805E-2</v>
      </c>
      <c r="I72" s="8">
        <v>0</v>
      </c>
      <c r="J72" s="8">
        <v>1</v>
      </c>
      <c r="K72" s="8">
        <v>42</v>
      </c>
      <c r="L72" s="7">
        <v>0.15925227177020601</v>
      </c>
      <c r="M72" s="7">
        <v>5.7762875148383012E-2</v>
      </c>
      <c r="N72" s="8">
        <v>0</v>
      </c>
      <c r="O72" s="8">
        <v>1</v>
      </c>
      <c r="P72" s="8">
        <v>42</v>
      </c>
      <c r="Q72" s="7">
        <v>0.35879015826738719</v>
      </c>
      <c r="R72" s="7">
        <v>7.8446047156204207E-2</v>
      </c>
      <c r="S72" s="8">
        <v>0</v>
      </c>
      <c r="T72" s="8">
        <v>1</v>
      </c>
      <c r="U72" s="8">
        <v>40</v>
      </c>
      <c r="V72" s="7">
        <v>0.25320991135443854</v>
      </c>
      <c r="W72" s="7">
        <v>5.7979050723744714E-2</v>
      </c>
      <c r="X72" s="8">
        <v>0</v>
      </c>
      <c r="Y72" s="8">
        <v>1</v>
      </c>
      <c r="Z72" s="8">
        <v>100</v>
      </c>
      <c r="AA72" s="13">
        <v>0.1698389152375073</v>
      </c>
      <c r="AB72" s="7">
        <v>3.19335506034268E-2</v>
      </c>
      <c r="AC72" s="8">
        <v>0</v>
      </c>
      <c r="AD72" s="8">
        <v>1</v>
      </c>
      <c r="AE72" s="8">
        <v>258</v>
      </c>
    </row>
    <row r="73" spans="1:32" x14ac:dyDescent="0.45">
      <c r="A73" s="6" t="s">
        <v>26</v>
      </c>
      <c r="B73" s="7">
        <v>0.24902179290487914</v>
      </c>
      <c r="C73" s="7">
        <v>7.8614835918954476E-2</v>
      </c>
      <c r="D73" s="8">
        <v>0</v>
      </c>
      <c r="E73" s="8">
        <v>1</v>
      </c>
      <c r="F73" s="8">
        <v>34</v>
      </c>
      <c r="G73" s="7">
        <v>0.52007076896689197</v>
      </c>
      <c r="H73" s="7">
        <v>7.9207874917171434E-2</v>
      </c>
      <c r="I73" s="8">
        <v>0</v>
      </c>
      <c r="J73" s="8">
        <v>1</v>
      </c>
      <c r="K73" s="8">
        <v>42</v>
      </c>
      <c r="L73" s="7">
        <v>0.3991898102231235</v>
      </c>
      <c r="M73" s="7">
        <v>7.8974550833973395E-2</v>
      </c>
      <c r="N73" s="8">
        <v>0</v>
      </c>
      <c r="O73" s="8">
        <v>1</v>
      </c>
      <c r="P73" s="8">
        <v>42</v>
      </c>
      <c r="Q73" s="7">
        <v>0.56237744430379144</v>
      </c>
      <c r="R73" s="7">
        <v>8.1477344007092639E-2</v>
      </c>
      <c r="S73" s="8">
        <v>0</v>
      </c>
      <c r="T73" s="8">
        <v>1</v>
      </c>
      <c r="U73" s="8">
        <v>40</v>
      </c>
      <c r="V73" s="7">
        <v>0.3070650065631072</v>
      </c>
      <c r="W73" s="7">
        <v>6.1930006435609156E-2</v>
      </c>
      <c r="X73" s="8">
        <v>0</v>
      </c>
      <c r="Y73" s="8">
        <v>1</v>
      </c>
      <c r="Z73" s="8">
        <v>100</v>
      </c>
      <c r="AA73" s="13">
        <v>0.45755497144841928</v>
      </c>
      <c r="AB73" s="7">
        <v>4.3248432113583909E-2</v>
      </c>
      <c r="AC73" s="8">
        <v>0</v>
      </c>
      <c r="AD73" s="8">
        <v>1</v>
      </c>
      <c r="AE73" s="8">
        <v>258</v>
      </c>
      <c r="AF73">
        <f>(AA75/AA74)-AA73</f>
        <v>0.12879160546282764</v>
      </c>
    </row>
    <row r="74" spans="1:32" x14ac:dyDescent="0.45">
      <c r="A74" s="6" t="s">
        <v>30</v>
      </c>
      <c r="B74" s="7">
        <v>9.7944886332647418E-2</v>
      </c>
      <c r="C74" s="7">
        <v>5.0745074390485048E-2</v>
      </c>
      <c r="D74" s="8">
        <v>0</v>
      </c>
      <c r="E74" s="8">
        <v>1</v>
      </c>
      <c r="F74" s="8">
        <v>34</v>
      </c>
      <c r="G74" s="7">
        <v>0.19686198014165318</v>
      </c>
      <c r="H74" s="7">
        <v>6.361507673733699E-2</v>
      </c>
      <c r="I74" s="8">
        <v>0</v>
      </c>
      <c r="J74" s="8">
        <v>1</v>
      </c>
      <c r="K74" s="8">
        <v>42</v>
      </c>
      <c r="L74" s="7">
        <v>0.19333329674758543</v>
      </c>
      <c r="M74" s="7">
        <v>6.2618824990208738E-2</v>
      </c>
      <c r="N74" s="8">
        <v>0</v>
      </c>
      <c r="O74" s="8">
        <v>1</v>
      </c>
      <c r="P74" s="8">
        <v>42</v>
      </c>
      <c r="Q74" s="7">
        <v>0.12570203484365922</v>
      </c>
      <c r="R74" s="7">
        <v>5.3202553266984524E-2</v>
      </c>
      <c r="S74" s="8">
        <v>0</v>
      </c>
      <c r="T74" s="8">
        <v>1</v>
      </c>
      <c r="U74" s="8">
        <v>40</v>
      </c>
      <c r="V74" s="7">
        <v>7.5898831644268056E-2</v>
      </c>
      <c r="W74" s="7">
        <v>2.9028505479072871E-2</v>
      </c>
      <c r="X74" s="8">
        <v>0</v>
      </c>
      <c r="Y74" s="8">
        <v>1</v>
      </c>
      <c r="Z74" s="8">
        <v>100</v>
      </c>
      <c r="AA74" s="13">
        <v>0.16935134322954545</v>
      </c>
      <c r="AB74" s="7">
        <v>3.3026123553095636E-2</v>
      </c>
      <c r="AC74" s="8">
        <v>0</v>
      </c>
      <c r="AD74" s="8">
        <v>1</v>
      </c>
      <c r="AE74" s="8">
        <v>258</v>
      </c>
      <c r="AF74">
        <f>(AA75/AA73)-AA74</f>
        <v>4.7668657850608226E-2</v>
      </c>
    </row>
    <row r="75" spans="1:32" ht="26.25" x14ac:dyDescent="0.45">
      <c r="A75" s="6" t="s">
        <v>53</v>
      </c>
      <c r="B75" s="7">
        <v>6.3523076459219049E-2</v>
      </c>
      <c r="C75" s="7">
        <v>4.4174764743558276E-2</v>
      </c>
      <c r="D75" s="8">
        <v>0</v>
      </c>
      <c r="E75" s="8">
        <v>1</v>
      </c>
      <c r="F75" s="8">
        <v>34</v>
      </c>
      <c r="G75" s="7">
        <v>0.11964944844428045</v>
      </c>
      <c r="H75" s="7">
        <v>5.1627667512788369E-2</v>
      </c>
      <c r="I75" s="8">
        <v>0</v>
      </c>
      <c r="J75" s="8">
        <v>1</v>
      </c>
      <c r="K75" s="8">
        <v>42</v>
      </c>
      <c r="L75" s="7">
        <v>9.5319601487273628E-2</v>
      </c>
      <c r="M75" s="7">
        <v>4.6295272525372001E-2</v>
      </c>
      <c r="N75" s="8">
        <v>0</v>
      </c>
      <c r="O75" s="8">
        <v>1</v>
      </c>
      <c r="P75" s="8">
        <v>42</v>
      </c>
      <c r="Q75" s="7">
        <v>0.10117116771658363</v>
      </c>
      <c r="R75" s="7">
        <v>4.8421832121232848E-2</v>
      </c>
      <c r="S75" s="8">
        <v>0</v>
      </c>
      <c r="T75" s="8">
        <v>1</v>
      </c>
      <c r="U75" s="8">
        <v>40</v>
      </c>
      <c r="V75" s="7">
        <v>3.0097021609926722E-2</v>
      </c>
      <c r="W75" s="7">
        <v>2.0798765824429265E-2</v>
      </c>
      <c r="X75" s="8">
        <v>0</v>
      </c>
      <c r="Y75" s="8">
        <v>1</v>
      </c>
      <c r="Z75" s="8">
        <v>100</v>
      </c>
      <c r="AA75" s="13">
        <v>9.9298580397965644E-2</v>
      </c>
      <c r="AB75" s="7">
        <v>2.5867506653816524E-2</v>
      </c>
      <c r="AC75" s="8">
        <v>0</v>
      </c>
      <c r="AD75" s="8">
        <v>1</v>
      </c>
      <c r="AE75" s="8">
        <v>258</v>
      </c>
    </row>
    <row r="76" spans="1:32" x14ac:dyDescent="0.45">
      <c r="A76" s="6" t="s">
        <v>26</v>
      </c>
      <c r="B76" s="7">
        <v>0.24902179290487914</v>
      </c>
      <c r="C76" s="7">
        <v>7.8614835918954476E-2</v>
      </c>
      <c r="D76" s="8">
        <v>0</v>
      </c>
      <c r="E76" s="8">
        <v>1</v>
      </c>
      <c r="F76" s="8">
        <v>34</v>
      </c>
      <c r="G76" s="7">
        <v>0.52007076896689197</v>
      </c>
      <c r="H76" s="7">
        <v>7.9207874917171434E-2</v>
      </c>
      <c r="I76" s="8">
        <v>0</v>
      </c>
      <c r="J76" s="8">
        <v>1</v>
      </c>
      <c r="K76" s="8">
        <v>42</v>
      </c>
      <c r="L76" s="7">
        <v>0.3991898102231235</v>
      </c>
      <c r="M76" s="7">
        <v>7.8974550833973395E-2</v>
      </c>
      <c r="N76" s="8">
        <v>0</v>
      </c>
      <c r="O76" s="8">
        <v>1</v>
      </c>
      <c r="P76" s="8">
        <v>42</v>
      </c>
      <c r="Q76" s="7">
        <v>0.56237744430379144</v>
      </c>
      <c r="R76" s="7">
        <v>8.1477344007092639E-2</v>
      </c>
      <c r="S76" s="8">
        <v>0</v>
      </c>
      <c r="T76" s="8">
        <v>1</v>
      </c>
      <c r="U76" s="8">
        <v>40</v>
      </c>
      <c r="V76" s="7">
        <v>0.3070650065631072</v>
      </c>
      <c r="W76" s="7">
        <v>6.1930006435609156E-2</v>
      </c>
      <c r="X76" s="8">
        <v>0</v>
      </c>
      <c r="Y76" s="8">
        <v>1</v>
      </c>
      <c r="Z76" s="8">
        <v>100</v>
      </c>
      <c r="AA76" s="13">
        <v>0.45755497144841928</v>
      </c>
      <c r="AB76" s="7">
        <v>4.3248432113583909E-2</v>
      </c>
      <c r="AC76" s="8">
        <v>0</v>
      </c>
      <c r="AD76" s="8">
        <v>1</v>
      </c>
      <c r="AE76" s="8">
        <v>258</v>
      </c>
      <c r="AF76">
        <f>(AA78/AA77)-AA76</f>
        <v>-3.1953103888423984E-2</v>
      </c>
    </row>
    <row r="77" spans="1:32" x14ac:dyDescent="0.45">
      <c r="A77" s="6" t="s">
        <v>32</v>
      </c>
      <c r="B77" s="7">
        <v>0.88886175204661999</v>
      </c>
      <c r="C77" s="7">
        <v>6.1457033964244352E-2</v>
      </c>
      <c r="D77" s="8">
        <v>0</v>
      </c>
      <c r="E77" s="8">
        <v>1</v>
      </c>
      <c r="F77" s="8">
        <v>34</v>
      </c>
      <c r="G77" s="7">
        <v>0.60873909731901421</v>
      </c>
      <c r="H77" s="7">
        <v>7.7439164761967633E-2</v>
      </c>
      <c r="I77" s="8">
        <v>0</v>
      </c>
      <c r="J77" s="8">
        <v>1</v>
      </c>
      <c r="K77" s="8">
        <v>42</v>
      </c>
      <c r="L77" s="7">
        <v>0.46210236619269668</v>
      </c>
      <c r="M77" s="7">
        <v>7.9990935927138157E-2</v>
      </c>
      <c r="N77" s="8">
        <v>0</v>
      </c>
      <c r="O77" s="8">
        <v>1</v>
      </c>
      <c r="P77" s="8">
        <v>42</v>
      </c>
      <c r="Q77" s="7">
        <v>0.64300167798766439</v>
      </c>
      <c r="R77" s="7">
        <v>7.9764129090886995E-2</v>
      </c>
      <c r="S77" s="8">
        <v>0</v>
      </c>
      <c r="T77" s="8">
        <v>1</v>
      </c>
      <c r="U77" s="8">
        <v>40</v>
      </c>
      <c r="V77" s="7">
        <v>0.19224039367404611</v>
      </c>
      <c r="W77" s="7">
        <v>4.6779770209863396E-2</v>
      </c>
      <c r="X77" s="8">
        <v>0</v>
      </c>
      <c r="Y77" s="8">
        <v>1</v>
      </c>
      <c r="Z77" s="8">
        <v>100</v>
      </c>
      <c r="AA77" s="13">
        <v>0.56028151574267626</v>
      </c>
      <c r="AB77" s="7">
        <v>4.331019237972477E-2</v>
      </c>
      <c r="AC77" s="8">
        <v>0</v>
      </c>
      <c r="AD77" s="8">
        <v>1</v>
      </c>
      <c r="AE77" s="8">
        <v>258</v>
      </c>
      <c r="AF77">
        <f>(AA78/AA76)-AA77</f>
        <v>-3.9126956532932411E-2</v>
      </c>
    </row>
    <row r="78" spans="1:32" ht="26.25" x14ac:dyDescent="0.45">
      <c r="A78" s="6" t="s">
        <v>54</v>
      </c>
      <c r="B78" s="7">
        <v>0.21667765846485929</v>
      </c>
      <c r="C78" s="7">
        <v>7.4753310749334168E-2</v>
      </c>
      <c r="D78" s="8">
        <v>0</v>
      </c>
      <c r="E78" s="8">
        <v>1</v>
      </c>
      <c r="F78" s="8">
        <v>34</v>
      </c>
      <c r="G78" s="7">
        <v>0.29530960673578122</v>
      </c>
      <c r="H78" s="7">
        <v>7.2480427849830206E-2</v>
      </c>
      <c r="I78" s="8">
        <v>0</v>
      </c>
      <c r="J78" s="8">
        <v>1</v>
      </c>
      <c r="K78" s="8">
        <v>42</v>
      </c>
      <c r="L78" s="7">
        <v>0.14860318571377173</v>
      </c>
      <c r="M78" s="7">
        <v>5.708826438670677E-2</v>
      </c>
      <c r="N78" s="8">
        <v>0</v>
      </c>
      <c r="O78" s="8">
        <v>1</v>
      </c>
      <c r="P78" s="8">
        <v>42</v>
      </c>
      <c r="Q78" s="7">
        <v>0.35907436865293524</v>
      </c>
      <c r="R78" s="7">
        <v>7.8455247940388231E-2</v>
      </c>
      <c r="S78" s="8">
        <v>0</v>
      </c>
      <c r="T78" s="8">
        <v>1</v>
      </c>
      <c r="U78" s="8">
        <v>40</v>
      </c>
      <c r="V78" s="7">
        <v>7.3736690625587117E-2</v>
      </c>
      <c r="W78" s="7">
        <v>3.5128934138676952E-2</v>
      </c>
      <c r="X78" s="8">
        <v>0</v>
      </c>
      <c r="Y78" s="8">
        <v>1</v>
      </c>
      <c r="Z78" s="8">
        <v>100</v>
      </c>
      <c r="AA78" s="13">
        <v>0.23845685945942791</v>
      </c>
      <c r="AB78" s="7">
        <v>3.6085764017251637E-2</v>
      </c>
      <c r="AC78" s="8">
        <v>0</v>
      </c>
      <c r="AD78" s="8">
        <v>1</v>
      </c>
      <c r="AE78" s="8">
        <v>258</v>
      </c>
    </row>
    <row r="79" spans="1:32" x14ac:dyDescent="0.45">
      <c r="A79" s="6" t="s">
        <v>26</v>
      </c>
      <c r="B79" s="7">
        <v>0.24902179290487914</v>
      </c>
      <c r="C79" s="7">
        <v>7.8614835918954476E-2</v>
      </c>
      <c r="D79" s="8">
        <v>0</v>
      </c>
      <c r="E79" s="8">
        <v>1</v>
      </c>
      <c r="F79" s="8">
        <v>34</v>
      </c>
      <c r="G79" s="7">
        <v>0.52007076896689197</v>
      </c>
      <c r="H79" s="7">
        <v>7.9207874917171434E-2</v>
      </c>
      <c r="I79" s="8">
        <v>0</v>
      </c>
      <c r="J79" s="8">
        <v>1</v>
      </c>
      <c r="K79" s="8">
        <v>42</v>
      </c>
      <c r="L79" s="7">
        <v>0.3991898102231235</v>
      </c>
      <c r="M79" s="7">
        <v>7.8974550833973395E-2</v>
      </c>
      <c r="N79" s="8">
        <v>0</v>
      </c>
      <c r="O79" s="8">
        <v>1</v>
      </c>
      <c r="P79" s="8">
        <v>42</v>
      </c>
      <c r="Q79" s="7">
        <v>0.56237744430379144</v>
      </c>
      <c r="R79" s="7">
        <v>8.1477344007092639E-2</v>
      </c>
      <c r="S79" s="8">
        <v>0</v>
      </c>
      <c r="T79" s="8">
        <v>1</v>
      </c>
      <c r="U79" s="8">
        <v>40</v>
      </c>
      <c r="V79" s="7">
        <v>0.3070650065631072</v>
      </c>
      <c r="W79" s="7">
        <v>6.1930006435609156E-2</v>
      </c>
      <c r="X79" s="8">
        <v>0</v>
      </c>
      <c r="Y79" s="8">
        <v>1</v>
      </c>
      <c r="Z79" s="8">
        <v>100</v>
      </c>
      <c r="AA79" s="13">
        <v>0.45755497144841928</v>
      </c>
      <c r="AB79" s="7">
        <v>4.3248432113583909E-2</v>
      </c>
      <c r="AC79" s="8">
        <v>0</v>
      </c>
      <c r="AD79" s="8">
        <v>1</v>
      </c>
      <c r="AE79" s="8">
        <v>258</v>
      </c>
      <c r="AF79">
        <f>(AA81/AA80)-AA79</f>
        <v>0.11479903148766302</v>
      </c>
    </row>
    <row r="80" spans="1:32" x14ac:dyDescent="0.45">
      <c r="A80" s="6" t="s">
        <v>34</v>
      </c>
      <c r="B80" s="7">
        <v>0.19862121171774996</v>
      </c>
      <c r="C80" s="7">
        <v>7.0449908333518482E-2</v>
      </c>
      <c r="D80" s="8">
        <v>0</v>
      </c>
      <c r="E80" s="8">
        <v>1</v>
      </c>
      <c r="F80" s="8">
        <v>34</v>
      </c>
      <c r="G80" s="7">
        <v>0.27373543444507736</v>
      </c>
      <c r="H80" s="7">
        <v>7.1059953576424029E-2</v>
      </c>
      <c r="I80" s="8">
        <v>0</v>
      </c>
      <c r="J80" s="8">
        <v>1</v>
      </c>
      <c r="K80" s="8">
        <v>42</v>
      </c>
      <c r="L80" s="7">
        <v>0.16792280545098798</v>
      </c>
      <c r="M80" s="7">
        <v>5.8618243579727093E-2</v>
      </c>
      <c r="N80" s="8">
        <v>0</v>
      </c>
      <c r="O80" s="8">
        <v>1</v>
      </c>
      <c r="P80" s="8">
        <v>42</v>
      </c>
      <c r="Q80" s="7">
        <v>0.27853232036598929</v>
      </c>
      <c r="R80" s="7">
        <v>7.2602815976202259E-2</v>
      </c>
      <c r="S80" s="8">
        <v>0</v>
      </c>
      <c r="T80" s="8">
        <v>1</v>
      </c>
      <c r="U80" s="8">
        <v>40</v>
      </c>
      <c r="V80" s="7">
        <v>3.9845505914107161E-2</v>
      </c>
      <c r="W80" s="7">
        <v>2.1780217848510454E-2</v>
      </c>
      <c r="X80" s="8">
        <v>0</v>
      </c>
      <c r="Y80" s="8">
        <v>1</v>
      </c>
      <c r="Z80" s="8">
        <v>100</v>
      </c>
      <c r="AA80" s="13">
        <v>0.21982448140548122</v>
      </c>
      <c r="AB80" s="7">
        <v>3.5153365318010749E-2</v>
      </c>
      <c r="AC80" s="8">
        <v>0</v>
      </c>
      <c r="AD80" s="8">
        <v>1</v>
      </c>
      <c r="AE80" s="8">
        <v>258</v>
      </c>
      <c r="AF80">
        <f>(AA81/AA79)-AA80</f>
        <v>5.5153236523126481E-2</v>
      </c>
    </row>
    <row r="81" spans="1:32" ht="26.25" x14ac:dyDescent="0.45">
      <c r="A81" s="6" t="s">
        <v>55</v>
      </c>
      <c r="B81" s="7">
        <v>3.5538501878236581E-2</v>
      </c>
      <c r="C81" s="7">
        <v>3.5374940336456995E-2</v>
      </c>
      <c r="D81" s="8">
        <v>0</v>
      </c>
      <c r="E81" s="8">
        <v>1</v>
      </c>
      <c r="F81" s="8">
        <v>34</v>
      </c>
      <c r="G81" s="7">
        <v>0.17333844177693702</v>
      </c>
      <c r="H81" s="7">
        <v>6.0287383603610932E-2</v>
      </c>
      <c r="I81" s="8">
        <v>0</v>
      </c>
      <c r="J81" s="8">
        <v>1</v>
      </c>
      <c r="K81" s="8">
        <v>42</v>
      </c>
      <c r="L81" s="7">
        <v>7.1704185512553309E-2</v>
      </c>
      <c r="M81" s="7">
        <v>4.0920363328806844E-2</v>
      </c>
      <c r="N81" s="8">
        <v>0</v>
      </c>
      <c r="O81" s="8">
        <v>1</v>
      </c>
      <c r="P81" s="8">
        <v>42</v>
      </c>
      <c r="Q81" s="7">
        <v>0.20271600127281486</v>
      </c>
      <c r="R81" s="7">
        <v>6.4781016282891041E-2</v>
      </c>
      <c r="S81" s="8">
        <v>0</v>
      </c>
      <c r="T81" s="8">
        <v>1</v>
      </c>
      <c r="U81" s="8">
        <v>40</v>
      </c>
      <c r="V81" s="7">
        <v>2.6551619133684964E-2</v>
      </c>
      <c r="W81" s="7">
        <v>2.0482208695823803E-2</v>
      </c>
      <c r="X81" s="8">
        <v>0</v>
      </c>
      <c r="Y81" s="8">
        <v>1</v>
      </c>
      <c r="Z81" s="8">
        <v>100</v>
      </c>
      <c r="AA81" s="13">
        <v>0.12581742187577558</v>
      </c>
      <c r="AB81" s="7">
        <v>2.7928290893264835E-2</v>
      </c>
      <c r="AC81" s="8">
        <v>0</v>
      </c>
      <c r="AD81" s="8">
        <v>1</v>
      </c>
      <c r="AE81" s="8">
        <v>258</v>
      </c>
    </row>
    <row r="82" spans="1:32" x14ac:dyDescent="0.45">
      <c r="A82" s="6" t="s">
        <v>26</v>
      </c>
      <c r="B82" s="7">
        <v>0.24902179290487914</v>
      </c>
      <c r="C82" s="7">
        <v>7.8614835918954476E-2</v>
      </c>
      <c r="D82" s="8">
        <v>0</v>
      </c>
      <c r="E82" s="8">
        <v>1</v>
      </c>
      <c r="F82" s="8">
        <v>34</v>
      </c>
      <c r="G82" s="7">
        <v>0.52007076896689197</v>
      </c>
      <c r="H82" s="7">
        <v>7.9207874917171434E-2</v>
      </c>
      <c r="I82" s="8">
        <v>0</v>
      </c>
      <c r="J82" s="8">
        <v>1</v>
      </c>
      <c r="K82" s="8">
        <v>42</v>
      </c>
      <c r="L82" s="7">
        <v>0.3991898102231235</v>
      </c>
      <c r="M82" s="7">
        <v>7.8974550833973395E-2</v>
      </c>
      <c r="N82" s="8">
        <v>0</v>
      </c>
      <c r="O82" s="8">
        <v>1</v>
      </c>
      <c r="P82" s="8">
        <v>42</v>
      </c>
      <c r="Q82" s="7">
        <v>0.56237744430379144</v>
      </c>
      <c r="R82" s="7">
        <v>8.1477344007092639E-2</v>
      </c>
      <c r="S82" s="8">
        <v>0</v>
      </c>
      <c r="T82" s="8">
        <v>1</v>
      </c>
      <c r="U82" s="8">
        <v>40</v>
      </c>
      <c r="V82" s="7">
        <v>0.3070650065631072</v>
      </c>
      <c r="W82" s="7">
        <v>6.1930006435609156E-2</v>
      </c>
      <c r="X82" s="8">
        <v>0</v>
      </c>
      <c r="Y82" s="8">
        <v>1</v>
      </c>
      <c r="Z82" s="8">
        <v>100</v>
      </c>
      <c r="AA82" s="13">
        <v>0.45755497144841928</v>
      </c>
      <c r="AB82" s="7">
        <v>4.3248432113583909E-2</v>
      </c>
      <c r="AC82" s="8">
        <v>0</v>
      </c>
      <c r="AD82" s="8">
        <v>1</v>
      </c>
      <c r="AE82" s="8">
        <v>258</v>
      </c>
      <c r="AF82">
        <f>(AA84/AA83)-AA82</f>
        <v>9.4841743984195537E-2</v>
      </c>
    </row>
    <row r="83" spans="1:32" x14ac:dyDescent="0.45">
      <c r="A83" s="6" t="s">
        <v>36</v>
      </c>
      <c r="B83" s="7">
        <v>0.76064468833586119</v>
      </c>
      <c r="C83" s="7">
        <v>7.7815769808775942E-2</v>
      </c>
      <c r="D83" s="8">
        <v>0</v>
      </c>
      <c r="E83" s="8">
        <v>1</v>
      </c>
      <c r="F83" s="8">
        <v>34</v>
      </c>
      <c r="G83" s="7">
        <v>0.47021854293445042</v>
      </c>
      <c r="H83" s="7">
        <v>7.9243117363754292E-2</v>
      </c>
      <c r="I83" s="8">
        <v>0</v>
      </c>
      <c r="J83" s="8">
        <v>1</v>
      </c>
      <c r="K83" s="8">
        <v>42</v>
      </c>
      <c r="L83" s="7">
        <v>0.2445206682606792</v>
      </c>
      <c r="M83" s="7">
        <v>6.7154542896761538E-2</v>
      </c>
      <c r="N83" s="8">
        <v>0</v>
      </c>
      <c r="O83" s="8">
        <v>1</v>
      </c>
      <c r="P83" s="8">
        <v>42</v>
      </c>
      <c r="Q83" s="7">
        <v>0.35160809189742964</v>
      </c>
      <c r="R83" s="7">
        <v>7.902438279457083E-2</v>
      </c>
      <c r="S83" s="8">
        <v>0</v>
      </c>
      <c r="T83" s="8">
        <v>1</v>
      </c>
      <c r="U83" s="8">
        <v>40</v>
      </c>
      <c r="V83" s="7">
        <v>0.42925514319553509</v>
      </c>
      <c r="W83" s="7">
        <v>6.917480911456024E-2</v>
      </c>
      <c r="X83" s="8">
        <v>0</v>
      </c>
      <c r="Y83" s="8">
        <v>1</v>
      </c>
      <c r="Z83" s="8">
        <v>100</v>
      </c>
      <c r="AA83" s="13">
        <v>0.36787839094902408</v>
      </c>
      <c r="AB83" s="7">
        <v>4.0690017630809268E-2</v>
      </c>
      <c r="AC83" s="8">
        <v>0</v>
      </c>
      <c r="AD83" s="8">
        <v>1</v>
      </c>
      <c r="AE83" s="8">
        <v>258</v>
      </c>
      <c r="AF83">
        <f>(AA84/AA82)-AA83</f>
        <v>7.6253631473520933E-2</v>
      </c>
    </row>
    <row r="84" spans="1:32" x14ac:dyDescent="0.45">
      <c r="A84" s="6" t="s">
        <v>56</v>
      </c>
      <c r="B84" s="7">
        <v>0.18990764316115494</v>
      </c>
      <c r="C84" s="7">
        <v>7.1451865205830883E-2</v>
      </c>
      <c r="D84" s="8">
        <v>0</v>
      </c>
      <c r="E84" s="8">
        <v>1</v>
      </c>
      <c r="F84" s="8">
        <v>34</v>
      </c>
      <c r="G84" s="7">
        <v>0.37798916917380065</v>
      </c>
      <c r="H84" s="7">
        <v>7.741107716655396E-2</v>
      </c>
      <c r="I84" s="8">
        <v>0</v>
      </c>
      <c r="J84" s="8">
        <v>1</v>
      </c>
      <c r="K84" s="8">
        <v>42</v>
      </c>
      <c r="L84" s="7">
        <v>8.7962742346879577E-2</v>
      </c>
      <c r="M84" s="7">
        <v>4.4690132587281162E-2</v>
      </c>
      <c r="N84" s="8">
        <v>0</v>
      </c>
      <c r="O84" s="8">
        <v>1</v>
      </c>
      <c r="P84" s="8">
        <v>42</v>
      </c>
      <c r="Q84" s="7">
        <v>0.22300326587913608</v>
      </c>
      <c r="R84" s="7">
        <v>6.9743973918538357E-2</v>
      </c>
      <c r="S84" s="8">
        <v>0</v>
      </c>
      <c r="T84" s="8">
        <v>1</v>
      </c>
      <c r="U84" s="8">
        <v>40</v>
      </c>
      <c r="V84" s="7">
        <v>4.8051401811672258E-2</v>
      </c>
      <c r="W84" s="7">
        <v>2.3216455077341634E-2</v>
      </c>
      <c r="X84" s="8">
        <v>0</v>
      </c>
      <c r="Y84" s="8">
        <v>1</v>
      </c>
      <c r="Z84" s="8">
        <v>100</v>
      </c>
      <c r="AA84" s="13">
        <v>0.2032148148388763</v>
      </c>
      <c r="AB84" s="7">
        <v>3.3977885026859701E-2</v>
      </c>
      <c r="AC84" s="8">
        <v>0</v>
      </c>
      <c r="AD84" s="8">
        <v>1</v>
      </c>
      <c r="AE84" s="8">
        <v>258</v>
      </c>
    </row>
    <row r="85" spans="1:32" x14ac:dyDescent="0.45">
      <c r="A85" s="6" t="s">
        <v>26</v>
      </c>
      <c r="B85" s="7">
        <v>0.24902179290487914</v>
      </c>
      <c r="C85" s="7">
        <v>7.8614835918954476E-2</v>
      </c>
      <c r="D85" s="8">
        <v>0</v>
      </c>
      <c r="E85" s="8">
        <v>1</v>
      </c>
      <c r="F85" s="8">
        <v>34</v>
      </c>
      <c r="G85" s="7">
        <v>0.52007076896689197</v>
      </c>
      <c r="H85" s="7">
        <v>7.9207874917171434E-2</v>
      </c>
      <c r="I85" s="8">
        <v>0</v>
      </c>
      <c r="J85" s="8">
        <v>1</v>
      </c>
      <c r="K85" s="8">
        <v>42</v>
      </c>
      <c r="L85" s="7">
        <v>0.3991898102231235</v>
      </c>
      <c r="M85" s="7">
        <v>7.8974550833973395E-2</v>
      </c>
      <c r="N85" s="8">
        <v>0</v>
      </c>
      <c r="O85" s="8">
        <v>1</v>
      </c>
      <c r="P85" s="8">
        <v>42</v>
      </c>
      <c r="Q85" s="7">
        <v>0.56237744430379144</v>
      </c>
      <c r="R85" s="7">
        <v>8.1477344007092639E-2</v>
      </c>
      <c r="S85" s="8">
        <v>0</v>
      </c>
      <c r="T85" s="8">
        <v>1</v>
      </c>
      <c r="U85" s="8">
        <v>40</v>
      </c>
      <c r="V85" s="7">
        <v>0.3070650065631072</v>
      </c>
      <c r="W85" s="7">
        <v>6.1930006435609156E-2</v>
      </c>
      <c r="X85" s="8">
        <v>0</v>
      </c>
      <c r="Y85" s="8">
        <v>1</v>
      </c>
      <c r="Z85" s="8">
        <v>100</v>
      </c>
      <c r="AA85" s="13">
        <v>0.45755497144841928</v>
      </c>
      <c r="AB85" s="7">
        <v>4.3248432113583909E-2</v>
      </c>
      <c r="AC85" s="8">
        <v>0</v>
      </c>
      <c r="AD85" s="8">
        <v>1</v>
      </c>
      <c r="AE85" s="8">
        <v>258</v>
      </c>
      <c r="AF85">
        <f>(AA87/AA86)-AA85</f>
        <v>7.9883629443958437E-2</v>
      </c>
    </row>
    <row r="86" spans="1:32" ht="26.25" x14ac:dyDescent="0.45">
      <c r="A86" s="6" t="s">
        <v>38</v>
      </c>
      <c r="B86" s="7">
        <v>0.84000868272823959</v>
      </c>
      <c r="C86" s="7">
        <v>6.5933157962881336E-2</v>
      </c>
      <c r="D86" s="8">
        <v>0</v>
      </c>
      <c r="E86" s="8">
        <v>1</v>
      </c>
      <c r="F86" s="8">
        <v>34</v>
      </c>
      <c r="G86" s="7">
        <v>0.8757010716140059</v>
      </c>
      <c r="H86" s="7">
        <v>5.3035240634634946E-2</v>
      </c>
      <c r="I86" s="8">
        <v>0</v>
      </c>
      <c r="J86" s="8">
        <v>1</v>
      </c>
      <c r="K86" s="8">
        <v>42</v>
      </c>
      <c r="L86" s="7">
        <v>0.71102549516240099</v>
      </c>
      <c r="M86" s="7">
        <v>7.24518160292143E-2</v>
      </c>
      <c r="N86" s="8">
        <v>0</v>
      </c>
      <c r="O86" s="8">
        <v>1</v>
      </c>
      <c r="P86" s="8">
        <v>42</v>
      </c>
      <c r="Q86" s="7">
        <v>0.76619872916446996</v>
      </c>
      <c r="R86" s="7">
        <v>6.9319636379783084E-2</v>
      </c>
      <c r="S86" s="8">
        <v>0</v>
      </c>
      <c r="T86" s="8">
        <v>1</v>
      </c>
      <c r="U86" s="8">
        <v>40</v>
      </c>
      <c r="V86" s="7">
        <v>0.38621991000499384</v>
      </c>
      <c r="W86" s="7">
        <v>6.6639473541989111E-2</v>
      </c>
      <c r="X86" s="8">
        <v>0</v>
      </c>
      <c r="Y86" s="8">
        <v>1</v>
      </c>
      <c r="Z86" s="8">
        <v>100</v>
      </c>
      <c r="AA86" s="13">
        <v>0.7659232322798829</v>
      </c>
      <c r="AB86" s="7">
        <v>3.6756971234523643E-2</v>
      </c>
      <c r="AC86" s="8">
        <v>0</v>
      </c>
      <c r="AD86" s="8">
        <v>1</v>
      </c>
      <c r="AE86" s="8">
        <v>258</v>
      </c>
      <c r="AF86">
        <f>(AA87/AA85)-AA86</f>
        <v>0.13372104225265202</v>
      </c>
    </row>
    <row r="87" spans="1:32" ht="26.25" x14ac:dyDescent="0.45">
      <c r="A87" s="6" t="s">
        <v>57</v>
      </c>
      <c r="B87" s="7">
        <v>0.24902179290487914</v>
      </c>
      <c r="C87" s="7">
        <v>7.8614835918954476E-2</v>
      </c>
      <c r="D87" s="8">
        <v>0</v>
      </c>
      <c r="E87" s="8">
        <v>1</v>
      </c>
      <c r="F87" s="8">
        <v>34</v>
      </c>
      <c r="G87" s="7">
        <v>0.49686107428619841</v>
      </c>
      <c r="H87" s="7">
        <v>7.931777061614495E-2</v>
      </c>
      <c r="I87" s="8">
        <v>0</v>
      </c>
      <c r="J87" s="8">
        <v>1</v>
      </c>
      <c r="K87" s="8">
        <v>42</v>
      </c>
      <c r="L87" s="7">
        <v>0.32017220836409588</v>
      </c>
      <c r="M87" s="7">
        <v>7.5303897351563384E-2</v>
      </c>
      <c r="N87" s="8">
        <v>0</v>
      </c>
      <c r="O87" s="8">
        <v>1</v>
      </c>
      <c r="P87" s="8">
        <v>42</v>
      </c>
      <c r="Q87" s="7">
        <v>0.53719438431141631</v>
      </c>
      <c r="R87" s="7">
        <v>8.196897190339246E-2</v>
      </c>
      <c r="S87" s="8">
        <v>0</v>
      </c>
      <c r="T87" s="8">
        <v>1</v>
      </c>
      <c r="U87" s="8">
        <v>40</v>
      </c>
      <c r="V87" s="7">
        <v>0.25173257380338776</v>
      </c>
      <c r="W87" s="7">
        <v>5.8884222648575117E-2</v>
      </c>
      <c r="X87" s="8">
        <v>0</v>
      </c>
      <c r="Y87" s="8">
        <v>1</v>
      </c>
      <c r="Z87" s="8">
        <v>100</v>
      </c>
      <c r="AA87" s="13">
        <v>0.4116367103474679</v>
      </c>
      <c r="AB87" s="7">
        <v>4.2636689940650237E-2</v>
      </c>
      <c r="AC87" s="8">
        <v>0</v>
      </c>
      <c r="AD87" s="8">
        <v>1</v>
      </c>
      <c r="AE87" s="8">
        <v>258</v>
      </c>
    </row>
    <row r="88" spans="1:32" x14ac:dyDescent="0.45">
      <c r="A88" s="6" t="s">
        <v>26</v>
      </c>
      <c r="B88" s="7">
        <v>0.24902179290487914</v>
      </c>
      <c r="C88" s="7">
        <v>7.8614835918954476E-2</v>
      </c>
      <c r="D88" s="8">
        <v>0</v>
      </c>
      <c r="E88" s="8">
        <v>1</v>
      </c>
      <c r="F88" s="8">
        <v>34</v>
      </c>
      <c r="G88" s="7">
        <v>0.52007076896689197</v>
      </c>
      <c r="H88" s="7">
        <v>7.9207874917171434E-2</v>
      </c>
      <c r="I88" s="8">
        <v>0</v>
      </c>
      <c r="J88" s="8">
        <v>1</v>
      </c>
      <c r="K88" s="8">
        <v>42</v>
      </c>
      <c r="L88" s="7">
        <v>0.3991898102231235</v>
      </c>
      <c r="M88" s="7">
        <v>7.8974550833973395E-2</v>
      </c>
      <c r="N88" s="8">
        <v>0</v>
      </c>
      <c r="O88" s="8">
        <v>1</v>
      </c>
      <c r="P88" s="8">
        <v>42</v>
      </c>
      <c r="Q88" s="7">
        <v>0.56237744430379144</v>
      </c>
      <c r="R88" s="7">
        <v>8.1477344007092639E-2</v>
      </c>
      <c r="S88" s="8">
        <v>0</v>
      </c>
      <c r="T88" s="8">
        <v>1</v>
      </c>
      <c r="U88" s="8">
        <v>40</v>
      </c>
      <c r="V88" s="7">
        <v>0.3070650065631072</v>
      </c>
      <c r="W88" s="7">
        <v>6.1930006435609156E-2</v>
      </c>
      <c r="X88" s="8">
        <v>0</v>
      </c>
      <c r="Y88" s="8">
        <v>1</v>
      </c>
      <c r="Z88" s="8">
        <v>100</v>
      </c>
      <c r="AA88" s="13">
        <v>0.45755497144841928</v>
      </c>
      <c r="AB88" s="7">
        <v>4.3248432113583909E-2</v>
      </c>
      <c r="AC88" s="8">
        <v>0</v>
      </c>
      <c r="AD88" s="8">
        <v>1</v>
      </c>
      <c r="AE88" s="8">
        <v>258</v>
      </c>
      <c r="AF88">
        <f>(AA90/AA89)-AA88</f>
        <v>1.2105270186027306E-2</v>
      </c>
    </row>
    <row r="89" spans="1:32" x14ac:dyDescent="0.45">
      <c r="A89" s="6" t="s">
        <v>40</v>
      </c>
      <c r="B89" s="7">
        <v>0.47314926338671726</v>
      </c>
      <c r="C89" s="7">
        <v>9.1986997587208227E-2</v>
      </c>
      <c r="D89" s="8">
        <v>0</v>
      </c>
      <c r="E89" s="8">
        <v>1</v>
      </c>
      <c r="F89" s="8">
        <v>34</v>
      </c>
      <c r="G89" s="7">
        <v>0.59916532039375925</v>
      </c>
      <c r="H89" s="7">
        <v>7.8188563211038412E-2</v>
      </c>
      <c r="I89" s="8">
        <v>0</v>
      </c>
      <c r="J89" s="8">
        <v>1</v>
      </c>
      <c r="K89" s="8">
        <v>42</v>
      </c>
      <c r="L89" s="7">
        <v>0.53311254311611167</v>
      </c>
      <c r="M89" s="7">
        <v>8.0040164750678475E-2</v>
      </c>
      <c r="N89" s="8">
        <v>0</v>
      </c>
      <c r="O89" s="8">
        <v>1</v>
      </c>
      <c r="P89" s="8">
        <v>42</v>
      </c>
      <c r="Q89" s="7">
        <v>0.89744052335873858</v>
      </c>
      <c r="R89" s="7">
        <v>4.9355060283969104E-2</v>
      </c>
      <c r="S89" s="8">
        <v>0</v>
      </c>
      <c r="T89" s="8">
        <v>1</v>
      </c>
      <c r="U89" s="8">
        <v>40</v>
      </c>
      <c r="V89" s="7">
        <v>0.62802955981828001</v>
      </c>
      <c r="W89" s="7">
        <v>6.9009852430896662E-2</v>
      </c>
      <c r="X89" s="8">
        <v>0</v>
      </c>
      <c r="Y89" s="8">
        <v>1</v>
      </c>
      <c r="Z89" s="8">
        <v>100</v>
      </c>
      <c r="AA89" s="13">
        <v>0.63371905921169658</v>
      </c>
      <c r="AB89" s="7">
        <v>4.2239621614603332E-2</v>
      </c>
      <c r="AC89" s="8">
        <v>0</v>
      </c>
      <c r="AD89" s="8">
        <v>1</v>
      </c>
      <c r="AE89" s="8">
        <v>258</v>
      </c>
      <c r="AF89">
        <f>(AA90/AA88)-AA89</f>
        <v>1.6765942700848635E-2</v>
      </c>
    </row>
    <row r="90" spans="1:32" ht="26.25" x14ac:dyDescent="0.45">
      <c r="A90" s="6" t="s">
        <v>58</v>
      </c>
      <c r="B90" s="7">
        <v>3.117894201919922E-2</v>
      </c>
      <c r="C90" s="7">
        <v>3.117582031590807E-2</v>
      </c>
      <c r="D90" s="8">
        <v>0</v>
      </c>
      <c r="E90" s="8">
        <v>1</v>
      </c>
      <c r="F90" s="8">
        <v>34</v>
      </c>
      <c r="G90" s="7">
        <v>0.27210045401606936</v>
      </c>
      <c r="H90" s="7">
        <v>7.0544016675318927E-2</v>
      </c>
      <c r="I90" s="8">
        <v>0</v>
      </c>
      <c r="J90" s="8">
        <v>1</v>
      </c>
      <c r="K90" s="8">
        <v>42</v>
      </c>
      <c r="L90" s="7">
        <v>0.22112296773597037</v>
      </c>
      <c r="M90" s="7">
        <v>6.7208601590238934E-2</v>
      </c>
      <c r="N90" s="8">
        <v>0</v>
      </c>
      <c r="O90" s="8">
        <v>1</v>
      </c>
      <c r="P90" s="8">
        <v>42</v>
      </c>
      <c r="Q90" s="7">
        <v>0.53459571999605193</v>
      </c>
      <c r="R90" s="7">
        <v>8.2039967839084904E-2</v>
      </c>
      <c r="S90" s="8">
        <v>0</v>
      </c>
      <c r="T90" s="8">
        <v>1</v>
      </c>
      <c r="U90" s="8">
        <v>40</v>
      </c>
      <c r="V90" s="7">
        <v>0.29778650684357411</v>
      </c>
      <c r="W90" s="7">
        <v>6.1698822951970954E-2</v>
      </c>
      <c r="X90" s="8">
        <v>0</v>
      </c>
      <c r="Y90" s="8">
        <v>1</v>
      </c>
      <c r="Z90" s="8">
        <v>100</v>
      </c>
      <c r="AA90" s="13">
        <v>0.29763264647771959</v>
      </c>
      <c r="AB90" s="7">
        <v>3.9453733945144696E-2</v>
      </c>
      <c r="AC90" s="8">
        <v>0</v>
      </c>
      <c r="AD90" s="8">
        <v>1</v>
      </c>
      <c r="AE90" s="8">
        <v>258</v>
      </c>
    </row>
    <row r="91" spans="1:32" x14ac:dyDescent="0.45">
      <c r="A91" s="6" t="s">
        <v>26</v>
      </c>
      <c r="B91" s="7">
        <v>0.24902179290487914</v>
      </c>
      <c r="C91" s="7">
        <v>7.8614835918954476E-2</v>
      </c>
      <c r="D91" s="8">
        <v>0</v>
      </c>
      <c r="E91" s="8">
        <v>1</v>
      </c>
      <c r="F91" s="8">
        <v>34</v>
      </c>
      <c r="G91" s="7">
        <v>0.52007076896689197</v>
      </c>
      <c r="H91" s="7">
        <v>7.9207874917171434E-2</v>
      </c>
      <c r="I91" s="8">
        <v>0</v>
      </c>
      <c r="J91" s="8">
        <v>1</v>
      </c>
      <c r="K91" s="8">
        <v>42</v>
      </c>
      <c r="L91" s="7">
        <v>0.3991898102231235</v>
      </c>
      <c r="M91" s="7">
        <v>7.8974550833973395E-2</v>
      </c>
      <c r="N91" s="8">
        <v>0</v>
      </c>
      <c r="O91" s="8">
        <v>1</v>
      </c>
      <c r="P91" s="8">
        <v>42</v>
      </c>
      <c r="Q91" s="7">
        <v>0.56237744430379144</v>
      </c>
      <c r="R91" s="7">
        <v>8.1477344007092639E-2</v>
      </c>
      <c r="S91" s="8">
        <v>0</v>
      </c>
      <c r="T91" s="8">
        <v>1</v>
      </c>
      <c r="U91" s="8">
        <v>40</v>
      </c>
      <c r="V91" s="7">
        <v>0.3070650065631072</v>
      </c>
      <c r="W91" s="7">
        <v>6.1930006435609156E-2</v>
      </c>
      <c r="X91" s="8">
        <v>0</v>
      </c>
      <c r="Y91" s="8">
        <v>1</v>
      </c>
      <c r="Z91" s="8">
        <v>100</v>
      </c>
      <c r="AA91" s="13">
        <v>0.45755497144841928</v>
      </c>
      <c r="AB91" s="7">
        <v>4.3248432113583909E-2</v>
      </c>
      <c r="AC91" s="8">
        <v>0</v>
      </c>
      <c r="AD91" s="8">
        <v>1</v>
      </c>
      <c r="AE91" s="8">
        <v>258</v>
      </c>
      <c r="AF91">
        <f>(AA93/AA92)-AA91</f>
        <v>-1.550249287132599E-3</v>
      </c>
    </row>
    <row r="92" spans="1:32" x14ac:dyDescent="0.45">
      <c r="A92" s="6" t="s">
        <v>42</v>
      </c>
      <c r="B92" s="7">
        <v>0.70676339075737993</v>
      </c>
      <c r="C92" s="7">
        <v>8.2311257529143506E-2</v>
      </c>
      <c r="D92" s="8">
        <v>0</v>
      </c>
      <c r="E92" s="8">
        <v>1</v>
      </c>
      <c r="F92" s="8">
        <v>34</v>
      </c>
      <c r="G92" s="7">
        <v>0.89745945595635757</v>
      </c>
      <c r="H92" s="7">
        <v>4.9322035621993304E-2</v>
      </c>
      <c r="I92" s="8">
        <v>0</v>
      </c>
      <c r="J92" s="8">
        <v>1</v>
      </c>
      <c r="K92" s="8">
        <v>42</v>
      </c>
      <c r="L92" s="7">
        <v>0.73410738154726995</v>
      </c>
      <c r="M92" s="7">
        <v>7.0289158801824597E-2</v>
      </c>
      <c r="N92" s="8">
        <v>0</v>
      </c>
      <c r="O92" s="8">
        <v>1</v>
      </c>
      <c r="P92" s="8">
        <v>42</v>
      </c>
      <c r="Q92" s="7">
        <v>0.87908303986713809</v>
      </c>
      <c r="R92" s="7">
        <v>5.2789569621478863E-2</v>
      </c>
      <c r="S92" s="8">
        <v>0</v>
      </c>
      <c r="T92" s="8">
        <v>1</v>
      </c>
      <c r="U92" s="8">
        <v>40</v>
      </c>
      <c r="V92" s="7">
        <v>0.56438823579629216</v>
      </c>
      <c r="W92" s="7">
        <v>7.0335671964889795E-2</v>
      </c>
      <c r="X92" s="8">
        <v>0</v>
      </c>
      <c r="Y92" s="8">
        <v>1</v>
      </c>
      <c r="Z92" s="8">
        <v>100</v>
      </c>
      <c r="AA92" s="13">
        <v>0.80480908326262457</v>
      </c>
      <c r="AB92" s="7">
        <v>3.4435137521316703E-2</v>
      </c>
      <c r="AC92" s="8">
        <v>0</v>
      </c>
      <c r="AD92" s="8">
        <v>1</v>
      </c>
      <c r="AE92" s="8">
        <v>258</v>
      </c>
      <c r="AF92">
        <f>(AA93/AA91)-AA92</f>
        <v>-2.7267864747620996E-3</v>
      </c>
    </row>
    <row r="93" spans="1:32" ht="26.25" x14ac:dyDescent="0.45">
      <c r="A93" s="6" t="s">
        <v>59</v>
      </c>
      <c r="B93" s="7">
        <v>0.22305994586272274</v>
      </c>
      <c r="C93" s="7">
        <v>7.6190083161952776E-2</v>
      </c>
      <c r="D93" s="8">
        <v>0</v>
      </c>
      <c r="E93" s="8">
        <v>1</v>
      </c>
      <c r="F93" s="8">
        <v>34</v>
      </c>
      <c r="G93" s="7">
        <v>0.49644727647148801</v>
      </c>
      <c r="H93" s="7">
        <v>7.931790031390748E-2</v>
      </c>
      <c r="I93" s="8">
        <v>0</v>
      </c>
      <c r="J93" s="8">
        <v>1</v>
      </c>
      <c r="K93" s="8">
        <v>42</v>
      </c>
      <c r="L93" s="7">
        <v>0.25297525344069621</v>
      </c>
      <c r="M93" s="7">
        <v>7.1027413035325809E-2</v>
      </c>
      <c r="N93" s="8">
        <v>0</v>
      </c>
      <c r="O93" s="8">
        <v>1</v>
      </c>
      <c r="P93" s="8">
        <v>42</v>
      </c>
      <c r="Q93" s="7">
        <v>0.46649226131206817</v>
      </c>
      <c r="R93" s="7">
        <v>8.231614721366215E-2</v>
      </c>
      <c r="S93" s="8">
        <v>0</v>
      </c>
      <c r="T93" s="8">
        <v>1</v>
      </c>
      <c r="U93" s="8">
        <v>40</v>
      </c>
      <c r="V93" s="7">
        <v>0.26172720218906737</v>
      </c>
      <c r="W93" s="7">
        <v>5.8134902483479821E-2</v>
      </c>
      <c r="X93" s="8">
        <v>0</v>
      </c>
      <c r="Y93" s="8">
        <v>1</v>
      </c>
      <c r="Z93" s="8">
        <v>100</v>
      </c>
      <c r="AA93" s="13">
        <v>0.36699674240605296</v>
      </c>
      <c r="AB93" s="7">
        <v>4.1706322310539411E-2</v>
      </c>
      <c r="AC93" s="8">
        <v>0</v>
      </c>
      <c r="AD93" s="8">
        <v>1</v>
      </c>
      <c r="AE93" s="8">
        <v>258</v>
      </c>
    </row>
    <row r="94" spans="1:32" x14ac:dyDescent="0.45">
      <c r="A94" s="6" t="s">
        <v>26</v>
      </c>
      <c r="B94" s="7">
        <v>0.24902179290487914</v>
      </c>
      <c r="C94" s="7">
        <v>7.8614835918954476E-2</v>
      </c>
      <c r="D94" s="8">
        <v>0</v>
      </c>
      <c r="E94" s="8">
        <v>1</v>
      </c>
      <c r="F94" s="8">
        <v>34</v>
      </c>
      <c r="G94" s="7">
        <v>0.52007076896689197</v>
      </c>
      <c r="H94" s="7">
        <v>7.9207874917171434E-2</v>
      </c>
      <c r="I94" s="8">
        <v>0</v>
      </c>
      <c r="J94" s="8">
        <v>1</v>
      </c>
      <c r="K94" s="8">
        <v>42</v>
      </c>
      <c r="L94" s="7">
        <v>0.3991898102231235</v>
      </c>
      <c r="M94" s="7">
        <v>7.8974550833973395E-2</v>
      </c>
      <c r="N94" s="8">
        <v>0</v>
      </c>
      <c r="O94" s="8">
        <v>1</v>
      </c>
      <c r="P94" s="8">
        <v>42</v>
      </c>
      <c r="Q94" s="7">
        <v>0.56237744430379144</v>
      </c>
      <c r="R94" s="7">
        <v>8.1477344007092639E-2</v>
      </c>
      <c r="S94" s="8">
        <v>0</v>
      </c>
      <c r="T94" s="8">
        <v>1</v>
      </c>
      <c r="U94" s="8">
        <v>40</v>
      </c>
      <c r="V94" s="7">
        <v>0.3070650065631072</v>
      </c>
      <c r="W94" s="7">
        <v>6.1930006435609156E-2</v>
      </c>
      <c r="X94" s="8">
        <v>0</v>
      </c>
      <c r="Y94" s="8">
        <v>1</v>
      </c>
      <c r="Z94" s="8">
        <v>100</v>
      </c>
      <c r="AA94" s="13">
        <v>0.45755497144841928</v>
      </c>
      <c r="AB94" s="7">
        <v>4.3248432113583909E-2</v>
      </c>
      <c r="AC94" s="8">
        <v>0</v>
      </c>
      <c r="AD94" s="8">
        <v>1</v>
      </c>
      <c r="AE94" s="8">
        <v>258</v>
      </c>
      <c r="AF94">
        <f>(AA96/AA95)-AA94</f>
        <v>1.2688528105936125E-2</v>
      </c>
    </row>
    <row r="95" spans="1:32" x14ac:dyDescent="0.45">
      <c r="A95" s="6" t="s">
        <v>44</v>
      </c>
      <c r="B95" s="7">
        <v>0.26296232107028095</v>
      </c>
      <c r="C95" s="7">
        <v>8.0971230867118368E-2</v>
      </c>
      <c r="D95" s="8">
        <v>0</v>
      </c>
      <c r="E95" s="8">
        <v>1</v>
      </c>
      <c r="F95" s="8">
        <v>34</v>
      </c>
      <c r="G95" s="7">
        <v>0.35571464744938486</v>
      </c>
      <c r="H95" s="7">
        <v>7.5377725145722718E-2</v>
      </c>
      <c r="I95" s="8">
        <v>0</v>
      </c>
      <c r="J95" s="8">
        <v>1</v>
      </c>
      <c r="K95" s="8">
        <v>42</v>
      </c>
      <c r="L95" s="7">
        <v>0.32429932744398482</v>
      </c>
      <c r="M95" s="7">
        <v>7.5510042392919433E-2</v>
      </c>
      <c r="N95" s="8">
        <v>0</v>
      </c>
      <c r="O95" s="8">
        <v>1</v>
      </c>
      <c r="P95" s="8">
        <v>42</v>
      </c>
      <c r="Q95" s="7">
        <v>0.48486364033758289</v>
      </c>
      <c r="R95" s="7">
        <v>8.2351680282883519E-2</v>
      </c>
      <c r="S95" s="8">
        <v>0</v>
      </c>
      <c r="T95" s="8">
        <v>1</v>
      </c>
      <c r="U95" s="8">
        <v>40</v>
      </c>
      <c r="V95" s="7">
        <v>0.24605417111353658</v>
      </c>
      <c r="W95" s="7">
        <v>5.5580698511919616E-2</v>
      </c>
      <c r="X95" s="8">
        <v>0</v>
      </c>
      <c r="Y95" s="8">
        <v>1</v>
      </c>
      <c r="Z95" s="8">
        <v>100</v>
      </c>
      <c r="AA95" s="13">
        <v>0.36324676446651744</v>
      </c>
      <c r="AB95" s="7">
        <v>4.1670411595932391E-2</v>
      </c>
      <c r="AC95" s="8">
        <v>0</v>
      </c>
      <c r="AD95" s="8">
        <v>1</v>
      </c>
      <c r="AE95" s="8">
        <v>258</v>
      </c>
      <c r="AF95">
        <f>(AA96/AA94)-AA95</f>
        <v>1.0073252544352151E-2</v>
      </c>
    </row>
    <row r="96" spans="1:32" ht="26.25" x14ac:dyDescent="0.45">
      <c r="A96" s="6" t="s">
        <v>60</v>
      </c>
      <c r="B96" s="7">
        <v>9.4761101408606163E-2</v>
      </c>
      <c r="C96" s="7">
        <v>5.3727454448238253E-2</v>
      </c>
      <c r="D96" s="8">
        <v>0</v>
      </c>
      <c r="E96" s="8">
        <v>1</v>
      </c>
      <c r="F96" s="8">
        <v>34</v>
      </c>
      <c r="G96" s="7">
        <v>0.24012549298686958</v>
      </c>
      <c r="H96" s="7">
        <v>6.7173554307026942E-2</v>
      </c>
      <c r="I96" s="8">
        <v>0</v>
      </c>
      <c r="J96" s="8">
        <v>1</v>
      </c>
      <c r="K96" s="8">
        <v>42</v>
      </c>
      <c r="L96" s="7">
        <v>7.3940150787777714E-2</v>
      </c>
      <c r="M96" s="7">
        <v>4.1677123443094488E-2</v>
      </c>
      <c r="N96" s="8">
        <v>0</v>
      </c>
      <c r="O96" s="8">
        <v>1</v>
      </c>
      <c r="P96" s="8">
        <v>42</v>
      </c>
      <c r="Q96" s="7">
        <v>0.27757310044049027</v>
      </c>
      <c r="R96" s="7">
        <v>7.4777828328681697E-2</v>
      </c>
      <c r="S96" s="8">
        <v>0</v>
      </c>
      <c r="T96" s="8">
        <v>1</v>
      </c>
      <c r="U96" s="8">
        <v>40</v>
      </c>
      <c r="V96" s="7">
        <v>0.18369391927058859</v>
      </c>
      <c r="W96" s="7">
        <v>5.2172006690269758E-2</v>
      </c>
      <c r="X96" s="8">
        <v>0</v>
      </c>
      <c r="Y96" s="8">
        <v>1</v>
      </c>
      <c r="Z96" s="8">
        <v>100</v>
      </c>
      <c r="AA96" s="13">
        <v>0.17081442972453184</v>
      </c>
      <c r="AB96" s="7">
        <v>3.1256290217970405E-2</v>
      </c>
      <c r="AC96" s="8">
        <v>0</v>
      </c>
      <c r="AD96" s="8">
        <v>1</v>
      </c>
      <c r="AE96" s="8">
        <v>258</v>
      </c>
    </row>
    <row r="97" spans="1:32" x14ac:dyDescent="0.45">
      <c r="A97" s="6" t="s">
        <v>26</v>
      </c>
      <c r="B97" s="7">
        <v>0.24902179290487914</v>
      </c>
      <c r="C97" s="7">
        <v>7.8614835918954476E-2</v>
      </c>
      <c r="D97" s="8">
        <v>0</v>
      </c>
      <c r="E97" s="8">
        <v>1</v>
      </c>
      <c r="F97" s="8">
        <v>34</v>
      </c>
      <c r="G97" s="7">
        <v>0.52007076896689197</v>
      </c>
      <c r="H97" s="7">
        <v>7.9207874917171434E-2</v>
      </c>
      <c r="I97" s="8">
        <v>0</v>
      </c>
      <c r="J97" s="8">
        <v>1</v>
      </c>
      <c r="K97" s="8">
        <v>42</v>
      </c>
      <c r="L97" s="7">
        <v>0.3991898102231235</v>
      </c>
      <c r="M97" s="7">
        <v>7.8974550833973395E-2</v>
      </c>
      <c r="N97" s="8">
        <v>0</v>
      </c>
      <c r="O97" s="8">
        <v>1</v>
      </c>
      <c r="P97" s="8">
        <v>42</v>
      </c>
      <c r="Q97" s="7">
        <v>0.56237744430379144</v>
      </c>
      <c r="R97" s="7">
        <v>8.1477344007092639E-2</v>
      </c>
      <c r="S97" s="8">
        <v>0</v>
      </c>
      <c r="T97" s="8">
        <v>1</v>
      </c>
      <c r="U97" s="8">
        <v>40</v>
      </c>
      <c r="V97" s="7">
        <v>0.3070650065631072</v>
      </c>
      <c r="W97" s="7">
        <v>6.1930006435609156E-2</v>
      </c>
      <c r="X97" s="8">
        <v>0</v>
      </c>
      <c r="Y97" s="8">
        <v>1</v>
      </c>
      <c r="Z97" s="8">
        <v>100</v>
      </c>
      <c r="AA97" s="13">
        <v>0.45755497144841928</v>
      </c>
      <c r="AB97" s="7">
        <v>4.3248432113583909E-2</v>
      </c>
      <c r="AC97" s="8">
        <v>0</v>
      </c>
      <c r="AD97" s="8">
        <v>1</v>
      </c>
      <c r="AE97" s="8">
        <v>258</v>
      </c>
      <c r="AF97">
        <f>(AA99/AA98)-AA97</f>
        <v>4.4733717173245369E-2</v>
      </c>
    </row>
    <row r="98" spans="1:32" ht="39.4" x14ac:dyDescent="0.45">
      <c r="A98" s="6" t="s">
        <v>16</v>
      </c>
      <c r="B98" s="7">
        <v>0.95226292316662886</v>
      </c>
      <c r="C98" s="7">
        <v>3.3757095360377097E-2</v>
      </c>
      <c r="D98" s="8">
        <v>0</v>
      </c>
      <c r="E98" s="8">
        <v>1</v>
      </c>
      <c r="F98" s="8">
        <v>34</v>
      </c>
      <c r="G98" s="7">
        <v>0.96979725445447418</v>
      </c>
      <c r="H98" s="7">
        <v>3.0016012175185333E-2</v>
      </c>
      <c r="I98" s="8">
        <v>0</v>
      </c>
      <c r="J98" s="8">
        <v>1</v>
      </c>
      <c r="K98" s="8">
        <v>42</v>
      </c>
      <c r="L98" s="7">
        <v>0.8651891068027362</v>
      </c>
      <c r="M98" s="7">
        <v>5.335387479096497E-2</v>
      </c>
      <c r="N98" s="8">
        <v>0</v>
      </c>
      <c r="O98" s="8">
        <v>1</v>
      </c>
      <c r="P98" s="8">
        <v>42</v>
      </c>
      <c r="Q98" s="7">
        <v>0.94904190046407078</v>
      </c>
      <c r="R98" s="7">
        <v>3.5591246809232757E-2</v>
      </c>
      <c r="S98" s="8">
        <v>0</v>
      </c>
      <c r="T98" s="8">
        <v>1</v>
      </c>
      <c r="U98" s="8">
        <v>40</v>
      </c>
      <c r="V98" s="7">
        <v>0.63213682862253961</v>
      </c>
      <c r="W98" s="7">
        <v>6.9040852741309167E-2</v>
      </c>
      <c r="X98" s="8">
        <v>0</v>
      </c>
      <c r="Y98" s="8">
        <v>1</v>
      </c>
      <c r="Z98" s="8">
        <v>100</v>
      </c>
      <c r="AA98" s="13">
        <v>0.91060279847159487</v>
      </c>
      <c r="AB98" s="7">
        <v>2.4747957456819576E-2</v>
      </c>
      <c r="AC98" s="8">
        <v>0</v>
      </c>
      <c r="AD98" s="8">
        <v>1</v>
      </c>
      <c r="AE98" s="8">
        <v>258</v>
      </c>
      <c r="AF98">
        <f>(AA99/AA97)-AA98</f>
        <v>8.902678494574312E-2</v>
      </c>
    </row>
    <row r="99" spans="1:32" x14ac:dyDescent="0.45">
      <c r="A99" s="6" t="s">
        <v>61</v>
      </c>
      <c r="B99" s="7">
        <v>0.24902179290487914</v>
      </c>
      <c r="C99" s="7">
        <v>7.8614835918954476E-2</v>
      </c>
      <c r="D99" s="8">
        <v>0</v>
      </c>
      <c r="E99" s="8">
        <v>1</v>
      </c>
      <c r="F99" s="8">
        <v>34</v>
      </c>
      <c r="G99" s="7">
        <v>0.52007076896689197</v>
      </c>
      <c r="H99" s="7">
        <v>7.9207874917171434E-2</v>
      </c>
      <c r="I99" s="8">
        <v>0</v>
      </c>
      <c r="J99" s="8">
        <v>1</v>
      </c>
      <c r="K99" s="8">
        <v>42</v>
      </c>
      <c r="L99" s="7">
        <v>0.3991898102231235</v>
      </c>
      <c r="M99" s="7">
        <v>7.8974550833973395E-2</v>
      </c>
      <c r="N99" s="8">
        <v>0</v>
      </c>
      <c r="O99" s="8">
        <v>1</v>
      </c>
      <c r="P99" s="8">
        <v>42</v>
      </c>
      <c r="Q99" s="7">
        <v>0.56237744430379144</v>
      </c>
      <c r="R99" s="7">
        <v>8.1477344007092639E-2</v>
      </c>
      <c r="S99" s="8">
        <v>0</v>
      </c>
      <c r="T99" s="8">
        <v>1</v>
      </c>
      <c r="U99" s="8">
        <v>40</v>
      </c>
      <c r="V99" s="7">
        <v>0.30189377564783371</v>
      </c>
      <c r="W99" s="7">
        <v>6.1784240190629544E-2</v>
      </c>
      <c r="X99" s="8">
        <v>0</v>
      </c>
      <c r="Y99" s="8">
        <v>1</v>
      </c>
      <c r="Z99" s="8">
        <v>100</v>
      </c>
      <c r="AA99" s="13">
        <v>0.45738548549951535</v>
      </c>
      <c r="AB99" s="7">
        <v>4.3248661084712932E-2</v>
      </c>
      <c r="AC99" s="8">
        <v>0</v>
      </c>
      <c r="AD99" s="8">
        <v>1</v>
      </c>
      <c r="AE99" s="8">
        <v>258</v>
      </c>
    </row>
    <row r="100" spans="1:32" x14ac:dyDescent="0.45">
      <c r="A100" s="6" t="s">
        <v>26</v>
      </c>
      <c r="B100" s="7">
        <v>0.24902179290487914</v>
      </c>
      <c r="C100" s="7">
        <v>7.8614835918954476E-2</v>
      </c>
      <c r="D100" s="8">
        <v>0</v>
      </c>
      <c r="E100" s="8">
        <v>1</v>
      </c>
      <c r="F100" s="8">
        <v>34</v>
      </c>
      <c r="G100" s="7">
        <v>0.52007076896689197</v>
      </c>
      <c r="H100" s="7">
        <v>7.9207874917171434E-2</v>
      </c>
      <c r="I100" s="8">
        <v>0</v>
      </c>
      <c r="J100" s="8">
        <v>1</v>
      </c>
      <c r="K100" s="8">
        <v>42</v>
      </c>
      <c r="L100" s="7">
        <v>0.3991898102231235</v>
      </c>
      <c r="M100" s="7">
        <v>7.8974550833973395E-2</v>
      </c>
      <c r="N100" s="8">
        <v>0</v>
      </c>
      <c r="O100" s="8">
        <v>1</v>
      </c>
      <c r="P100" s="8">
        <v>42</v>
      </c>
      <c r="Q100" s="7">
        <v>0.56237744430379144</v>
      </c>
      <c r="R100" s="7">
        <v>8.1477344007092639E-2</v>
      </c>
      <c r="S100" s="8">
        <v>0</v>
      </c>
      <c r="T100" s="8">
        <v>1</v>
      </c>
      <c r="U100" s="8">
        <v>40</v>
      </c>
      <c r="V100" s="7">
        <v>0.3070650065631072</v>
      </c>
      <c r="W100" s="7">
        <v>6.1930006435609156E-2</v>
      </c>
      <c r="X100" s="8">
        <v>0</v>
      </c>
      <c r="Y100" s="8">
        <v>1</v>
      </c>
      <c r="Z100" s="8">
        <v>100</v>
      </c>
      <c r="AA100" s="13">
        <v>0.45755497144841928</v>
      </c>
      <c r="AB100" s="7">
        <v>4.3248432113583909E-2</v>
      </c>
      <c r="AC100" s="8">
        <v>0</v>
      </c>
      <c r="AD100" s="8">
        <v>1</v>
      </c>
      <c r="AE100" s="8">
        <v>258</v>
      </c>
      <c r="AF100">
        <f>(AA102/AA101)-AA100</f>
        <v>1.6270579956484454E-2</v>
      </c>
    </row>
    <row r="101" spans="1:32" ht="39.4" x14ac:dyDescent="0.45">
      <c r="A101" s="6" t="s">
        <v>18</v>
      </c>
      <c r="B101" s="7">
        <v>0.95343656614872163</v>
      </c>
      <c r="C101" s="7">
        <v>3.2998861160736311E-2</v>
      </c>
      <c r="D101" s="8">
        <v>0</v>
      </c>
      <c r="E101" s="8">
        <v>1</v>
      </c>
      <c r="F101" s="8">
        <v>34</v>
      </c>
      <c r="G101" s="7">
        <v>0.96979725445447418</v>
      </c>
      <c r="H101" s="7">
        <v>3.0016012175185333E-2</v>
      </c>
      <c r="I101" s="8">
        <v>0</v>
      </c>
      <c r="J101" s="8">
        <v>1</v>
      </c>
      <c r="K101" s="8">
        <v>42</v>
      </c>
      <c r="L101" s="7">
        <v>0.8699809970787199</v>
      </c>
      <c r="M101" s="7">
        <v>5.4941364171145674E-2</v>
      </c>
      <c r="N101" s="8">
        <v>0</v>
      </c>
      <c r="O101" s="8">
        <v>1</v>
      </c>
      <c r="P101" s="8">
        <v>42</v>
      </c>
      <c r="Q101" s="7">
        <v>0.9749682228588612</v>
      </c>
      <c r="R101" s="7">
        <v>2.5049499255806983E-2</v>
      </c>
      <c r="S101" s="8">
        <v>0</v>
      </c>
      <c r="T101" s="8">
        <v>1</v>
      </c>
      <c r="U101" s="8">
        <v>40</v>
      </c>
      <c r="V101" s="7">
        <v>0.63023599596706159</v>
      </c>
      <c r="W101" s="7">
        <v>6.9774465060460464E-2</v>
      </c>
      <c r="X101" s="8">
        <v>0</v>
      </c>
      <c r="Y101" s="8">
        <v>1</v>
      </c>
      <c r="Z101" s="8">
        <v>100</v>
      </c>
      <c r="AA101" s="13">
        <v>0.91845222109286739</v>
      </c>
      <c r="AB101" s="7">
        <v>2.4806962700400701E-2</v>
      </c>
      <c r="AC101" s="8">
        <v>0</v>
      </c>
      <c r="AD101" s="8">
        <v>1</v>
      </c>
      <c r="AE101" s="8">
        <v>258</v>
      </c>
      <c r="AF101">
        <f>(AA102/AA100)-AA101</f>
        <v>3.2660010779025916E-2</v>
      </c>
    </row>
    <row r="102" spans="1:32" x14ac:dyDescent="0.45">
      <c r="A102" s="6" t="s">
        <v>62</v>
      </c>
      <c r="B102" s="7">
        <v>0.24902179290487914</v>
      </c>
      <c r="C102" s="7">
        <v>7.8614835918954476E-2</v>
      </c>
      <c r="D102" s="8">
        <v>0</v>
      </c>
      <c r="E102" s="8">
        <v>1</v>
      </c>
      <c r="F102" s="8">
        <v>34</v>
      </c>
      <c r="G102" s="7">
        <v>0.52007076896689197</v>
      </c>
      <c r="H102" s="7">
        <v>7.9207874917171434E-2</v>
      </c>
      <c r="I102" s="8">
        <v>0</v>
      </c>
      <c r="J102" s="8">
        <v>1</v>
      </c>
      <c r="K102" s="8">
        <v>42</v>
      </c>
      <c r="L102" s="7">
        <v>0.34394205328830096</v>
      </c>
      <c r="M102" s="7">
        <v>7.6532197837315546E-2</v>
      </c>
      <c r="N102" s="8">
        <v>0</v>
      </c>
      <c r="O102" s="8">
        <v>1</v>
      </c>
      <c r="P102" s="8">
        <v>42</v>
      </c>
      <c r="Q102" s="7">
        <v>0.56237744430379144</v>
      </c>
      <c r="R102" s="7">
        <v>8.1477344007092639E-2</v>
      </c>
      <c r="S102" s="8">
        <v>0</v>
      </c>
      <c r="T102" s="8">
        <v>1</v>
      </c>
      <c r="U102" s="8">
        <v>40</v>
      </c>
      <c r="V102" s="7">
        <v>0.3070650065631072</v>
      </c>
      <c r="W102" s="7">
        <v>6.1930006435609156E-2</v>
      </c>
      <c r="X102" s="8">
        <v>0</v>
      </c>
      <c r="Y102" s="8">
        <v>1</v>
      </c>
      <c r="Z102" s="8">
        <v>100</v>
      </c>
      <c r="AA102" s="13">
        <v>0.43518613009838647</v>
      </c>
      <c r="AB102" s="7">
        <v>4.2945060353491847E-2</v>
      </c>
      <c r="AC102" s="8">
        <v>0</v>
      </c>
      <c r="AD102" s="8">
        <v>1</v>
      </c>
      <c r="AE102" s="8">
        <v>258</v>
      </c>
    </row>
    <row r="103" spans="1:32" x14ac:dyDescent="0.45">
      <c r="A103" s="6" t="s">
        <v>26</v>
      </c>
      <c r="B103" s="7">
        <v>0.24902179290487914</v>
      </c>
      <c r="C103" s="7">
        <v>7.8614835918954476E-2</v>
      </c>
      <c r="D103" s="8">
        <v>0</v>
      </c>
      <c r="E103" s="8">
        <v>1</v>
      </c>
      <c r="F103" s="8">
        <v>34</v>
      </c>
      <c r="G103" s="7">
        <v>0.52007076896689197</v>
      </c>
      <c r="H103" s="7">
        <v>7.9207874917171434E-2</v>
      </c>
      <c r="I103" s="8">
        <v>0</v>
      </c>
      <c r="J103" s="8">
        <v>1</v>
      </c>
      <c r="K103" s="8">
        <v>42</v>
      </c>
      <c r="L103" s="7">
        <v>0.3991898102231235</v>
      </c>
      <c r="M103" s="7">
        <v>7.8974550833973395E-2</v>
      </c>
      <c r="N103" s="8">
        <v>0</v>
      </c>
      <c r="O103" s="8">
        <v>1</v>
      </c>
      <c r="P103" s="8">
        <v>42</v>
      </c>
      <c r="Q103" s="7">
        <v>0.56237744430379144</v>
      </c>
      <c r="R103" s="7">
        <v>8.1477344007092639E-2</v>
      </c>
      <c r="S103" s="8">
        <v>0</v>
      </c>
      <c r="T103" s="8">
        <v>1</v>
      </c>
      <c r="U103" s="8">
        <v>40</v>
      </c>
      <c r="V103" s="7">
        <v>0.3070650065631072</v>
      </c>
      <c r="W103" s="7">
        <v>6.1930006435609156E-2</v>
      </c>
      <c r="X103" s="8">
        <v>0</v>
      </c>
      <c r="Y103" s="8">
        <v>1</v>
      </c>
      <c r="Z103" s="8">
        <v>100</v>
      </c>
      <c r="AA103" s="13">
        <v>0.45755497144841928</v>
      </c>
      <c r="AB103" s="7">
        <v>4.3248432113583909E-2</v>
      </c>
      <c r="AC103" s="8">
        <v>0</v>
      </c>
      <c r="AD103" s="8">
        <v>1</v>
      </c>
      <c r="AE103" s="8">
        <v>258</v>
      </c>
      <c r="AF103">
        <f>(AA105/AA104)-AA103</f>
        <v>4.2249109488551873E-2</v>
      </c>
    </row>
    <row r="104" spans="1:32" ht="39.4" x14ac:dyDescent="0.45">
      <c r="A104" s="6" t="s">
        <v>20</v>
      </c>
      <c r="B104" s="7">
        <v>0.90678716876013998</v>
      </c>
      <c r="C104" s="7">
        <v>4.9177473357267902E-2</v>
      </c>
      <c r="D104" s="8">
        <v>0</v>
      </c>
      <c r="E104" s="8">
        <v>1</v>
      </c>
      <c r="F104" s="8">
        <v>34</v>
      </c>
      <c r="G104" s="7">
        <v>0.89891076629469935</v>
      </c>
      <c r="H104" s="7">
        <v>4.8893744591203998E-2</v>
      </c>
      <c r="I104" s="8">
        <v>0</v>
      </c>
      <c r="J104" s="8">
        <v>1</v>
      </c>
      <c r="K104" s="8">
        <v>42</v>
      </c>
      <c r="L104" s="7">
        <v>0.83274552255977152</v>
      </c>
      <c r="M104" s="7">
        <v>5.9834974582738454E-2</v>
      </c>
      <c r="N104" s="8">
        <v>0</v>
      </c>
      <c r="O104" s="8">
        <v>1</v>
      </c>
      <c r="P104" s="8">
        <v>42</v>
      </c>
      <c r="Q104" s="7">
        <v>0.94871856326789294</v>
      </c>
      <c r="R104" s="7">
        <v>3.5809222533905935E-2</v>
      </c>
      <c r="S104" s="8">
        <v>0</v>
      </c>
      <c r="T104" s="8">
        <v>1</v>
      </c>
      <c r="U104" s="8">
        <v>40</v>
      </c>
      <c r="V104" s="7">
        <v>0.46705017304122987</v>
      </c>
      <c r="W104" s="7">
        <v>6.8874379217115159E-2</v>
      </c>
      <c r="X104" s="8">
        <v>0</v>
      </c>
      <c r="Y104" s="8">
        <v>1</v>
      </c>
      <c r="Z104" s="8">
        <v>100</v>
      </c>
      <c r="AA104" s="13">
        <v>0.86977609404131639</v>
      </c>
      <c r="AB104" s="7">
        <v>2.9171246830362617E-2</v>
      </c>
      <c r="AC104" s="8">
        <v>0</v>
      </c>
      <c r="AD104" s="8">
        <v>1</v>
      </c>
      <c r="AE104" s="8">
        <v>258</v>
      </c>
      <c r="AF104">
        <f>(AA105/AA103)-AA104</f>
        <v>8.0312241633722747E-2</v>
      </c>
    </row>
    <row r="105" spans="1:32" x14ac:dyDescent="0.45">
      <c r="A105" s="6" t="s">
        <v>63</v>
      </c>
      <c r="B105" s="7">
        <v>0.24902179290487914</v>
      </c>
      <c r="C105" s="7">
        <v>7.8614835918954476E-2</v>
      </c>
      <c r="D105" s="8">
        <v>0</v>
      </c>
      <c r="E105" s="8">
        <v>1</v>
      </c>
      <c r="F105" s="8">
        <v>34</v>
      </c>
      <c r="G105" s="7">
        <v>0.52007076896689197</v>
      </c>
      <c r="H105" s="7">
        <v>7.9207874917171434E-2</v>
      </c>
      <c r="I105" s="8">
        <v>0</v>
      </c>
      <c r="J105" s="8">
        <v>1</v>
      </c>
      <c r="K105" s="8">
        <v>42</v>
      </c>
      <c r="L105" s="7">
        <v>0.34394205328830096</v>
      </c>
      <c r="M105" s="7">
        <v>7.6532197837315546E-2</v>
      </c>
      <c r="N105" s="8">
        <v>0</v>
      </c>
      <c r="O105" s="8">
        <v>1</v>
      </c>
      <c r="P105" s="8">
        <v>42</v>
      </c>
      <c r="Q105" s="7">
        <v>0.56237744430379144</v>
      </c>
      <c r="R105" s="7">
        <v>8.1477344007092639E-2</v>
      </c>
      <c r="S105" s="8">
        <v>0</v>
      </c>
      <c r="T105" s="8">
        <v>1</v>
      </c>
      <c r="U105" s="8">
        <v>40</v>
      </c>
      <c r="V105" s="7">
        <v>0.29277082019285339</v>
      </c>
      <c r="W105" s="7">
        <v>6.1434217964357718E-2</v>
      </c>
      <c r="X105" s="8">
        <v>0</v>
      </c>
      <c r="Y105" s="8">
        <v>1</v>
      </c>
      <c r="Z105" s="8">
        <v>100</v>
      </c>
      <c r="AA105" s="13">
        <v>0.43471764130326873</v>
      </c>
      <c r="AB105" s="7">
        <v>4.2944690709578764E-2</v>
      </c>
      <c r="AC105" s="8">
        <v>0</v>
      </c>
      <c r="AD105" s="8">
        <v>1</v>
      </c>
      <c r="AE105" s="8">
        <v>258</v>
      </c>
    </row>
    <row r="106" spans="1:32" x14ac:dyDescent="0.45">
      <c r="A106" s="6" t="s">
        <v>26</v>
      </c>
      <c r="B106" s="7">
        <v>0.24902179290487914</v>
      </c>
      <c r="C106" s="7">
        <v>7.8614835918954476E-2</v>
      </c>
      <c r="D106" s="8">
        <v>0</v>
      </c>
      <c r="E106" s="8">
        <v>1</v>
      </c>
      <c r="F106" s="8">
        <v>34</v>
      </c>
      <c r="G106" s="7">
        <v>0.52007076896689197</v>
      </c>
      <c r="H106" s="7">
        <v>7.9207874917171434E-2</v>
      </c>
      <c r="I106" s="8">
        <v>0</v>
      </c>
      <c r="J106" s="8">
        <v>1</v>
      </c>
      <c r="K106" s="8">
        <v>42</v>
      </c>
      <c r="L106" s="7">
        <v>0.3991898102231235</v>
      </c>
      <c r="M106" s="7">
        <v>7.8974550833973395E-2</v>
      </c>
      <c r="N106" s="8">
        <v>0</v>
      </c>
      <c r="O106" s="8">
        <v>1</v>
      </c>
      <c r="P106" s="8">
        <v>42</v>
      </c>
      <c r="Q106" s="7">
        <v>0.56237744430379144</v>
      </c>
      <c r="R106" s="7">
        <v>8.1477344007092639E-2</v>
      </c>
      <c r="S106" s="8">
        <v>0</v>
      </c>
      <c r="T106" s="8">
        <v>1</v>
      </c>
      <c r="U106" s="8">
        <v>40</v>
      </c>
      <c r="V106" s="7">
        <v>0.3070650065631072</v>
      </c>
      <c r="W106" s="7">
        <v>6.1930006435609156E-2</v>
      </c>
      <c r="X106" s="8">
        <v>0</v>
      </c>
      <c r="Y106" s="8">
        <v>1</v>
      </c>
      <c r="Z106" s="8">
        <v>100</v>
      </c>
      <c r="AA106" s="13">
        <v>0.45755497144841928</v>
      </c>
      <c r="AB106" s="7">
        <v>4.3248432113583909E-2</v>
      </c>
      <c r="AC106" s="8">
        <v>0</v>
      </c>
      <c r="AD106" s="8">
        <v>1</v>
      </c>
      <c r="AE106" s="8">
        <v>258</v>
      </c>
      <c r="AF106">
        <f>(AA108/AA107)-AA106</f>
        <v>1.440764834029401E-2</v>
      </c>
    </row>
    <row r="107" spans="1:32" ht="26.25" x14ac:dyDescent="0.45">
      <c r="A107" s="6" t="s">
        <v>22</v>
      </c>
      <c r="B107" s="7">
        <v>0.84952162550522947</v>
      </c>
      <c r="C107" s="7">
        <v>6.1545774275045921E-2</v>
      </c>
      <c r="D107" s="8">
        <v>0</v>
      </c>
      <c r="E107" s="8">
        <v>1</v>
      </c>
      <c r="F107" s="8">
        <v>34</v>
      </c>
      <c r="G107" s="7">
        <v>0.96979725445447418</v>
      </c>
      <c r="H107" s="7">
        <v>3.0016012175185333E-2</v>
      </c>
      <c r="I107" s="8">
        <v>0</v>
      </c>
      <c r="J107" s="8">
        <v>1</v>
      </c>
      <c r="K107" s="8">
        <v>42</v>
      </c>
      <c r="L107" s="7">
        <v>0.8581968674576721</v>
      </c>
      <c r="M107" s="7">
        <v>5.4732643111864598E-2</v>
      </c>
      <c r="N107" s="8">
        <v>0</v>
      </c>
      <c r="O107" s="8">
        <v>1</v>
      </c>
      <c r="P107" s="8">
        <v>42</v>
      </c>
      <c r="Q107" s="7">
        <v>0.9749682228588612</v>
      </c>
      <c r="R107" s="7">
        <v>2.5049499255806983E-2</v>
      </c>
      <c r="S107" s="8">
        <v>0</v>
      </c>
      <c r="T107" s="8">
        <v>1</v>
      </c>
      <c r="U107" s="8">
        <v>40</v>
      </c>
      <c r="V107" s="7">
        <v>0.65979065777482815</v>
      </c>
      <c r="W107" s="7">
        <v>6.9173406705135554E-2</v>
      </c>
      <c r="X107" s="8">
        <v>0</v>
      </c>
      <c r="Y107" s="8">
        <v>1</v>
      </c>
      <c r="Z107" s="8">
        <v>100</v>
      </c>
      <c r="AA107" s="13">
        <v>0.90843054717269422</v>
      </c>
      <c r="AB107" s="7">
        <v>2.4885705943311916E-2</v>
      </c>
      <c r="AC107" s="8">
        <v>0</v>
      </c>
      <c r="AD107" s="8">
        <v>1</v>
      </c>
      <c r="AE107" s="8">
        <v>258</v>
      </c>
      <c r="AF107">
        <f>(AA108/AA106)-AA107</f>
        <v>2.860497357030789E-2</v>
      </c>
    </row>
    <row r="108" spans="1:32" x14ac:dyDescent="0.45">
      <c r="A108" s="6" t="s">
        <v>64</v>
      </c>
      <c r="B108" s="7">
        <v>0.22305994586272274</v>
      </c>
      <c r="C108" s="7">
        <v>7.6190083161952776E-2</v>
      </c>
      <c r="D108" s="8">
        <v>0</v>
      </c>
      <c r="E108" s="8">
        <v>1</v>
      </c>
      <c r="F108" s="8">
        <v>34</v>
      </c>
      <c r="G108" s="7">
        <v>0.52007076896689197</v>
      </c>
      <c r="H108" s="7">
        <v>7.9207874917171434E-2</v>
      </c>
      <c r="I108" s="8">
        <v>0</v>
      </c>
      <c r="J108" s="8">
        <v>1</v>
      </c>
      <c r="K108" s="8">
        <v>42</v>
      </c>
      <c r="L108" s="7">
        <v>0.33215792366725311</v>
      </c>
      <c r="M108" s="7">
        <v>7.6649217740337602E-2</v>
      </c>
      <c r="N108" s="8">
        <v>0</v>
      </c>
      <c r="O108" s="8">
        <v>1</v>
      </c>
      <c r="P108" s="8">
        <v>42</v>
      </c>
      <c r="Q108" s="7">
        <v>0.56237744430379144</v>
      </c>
      <c r="R108" s="7">
        <v>8.1477344007092639E-2</v>
      </c>
      <c r="S108" s="8">
        <v>0</v>
      </c>
      <c r="T108" s="8">
        <v>1</v>
      </c>
      <c r="U108" s="8">
        <v>40</v>
      </c>
      <c r="V108" s="7">
        <v>0.30352844543192581</v>
      </c>
      <c r="W108" s="7">
        <v>6.1848489544790976E-2</v>
      </c>
      <c r="X108" s="8">
        <v>0</v>
      </c>
      <c r="Y108" s="8">
        <v>1</v>
      </c>
      <c r="Z108" s="8">
        <v>100</v>
      </c>
      <c r="AA108" s="13">
        <v>0.42874526093971904</v>
      </c>
      <c r="AB108" s="7">
        <v>4.2950231157950935E-2</v>
      </c>
      <c r="AC108" s="8">
        <v>0</v>
      </c>
      <c r="AD108" s="8">
        <v>1</v>
      </c>
      <c r="AE108" s="8">
        <v>258</v>
      </c>
    </row>
    <row r="109" spans="1:32" x14ac:dyDescent="0.45">
      <c r="A109" s="6" t="s">
        <v>26</v>
      </c>
      <c r="B109" s="7">
        <v>0.24902179290487914</v>
      </c>
      <c r="C109" s="7">
        <v>7.8614835918954476E-2</v>
      </c>
      <c r="D109" s="8">
        <v>0</v>
      </c>
      <c r="E109" s="8">
        <v>1</v>
      </c>
      <c r="F109" s="8">
        <v>34</v>
      </c>
      <c r="G109" s="7">
        <v>0.52007076896689197</v>
      </c>
      <c r="H109" s="7">
        <v>7.9207874917171434E-2</v>
      </c>
      <c r="I109" s="8">
        <v>0</v>
      </c>
      <c r="J109" s="8">
        <v>1</v>
      </c>
      <c r="K109" s="8">
        <v>42</v>
      </c>
      <c r="L109" s="7">
        <v>0.3991898102231235</v>
      </c>
      <c r="M109" s="7">
        <v>7.8974550833973395E-2</v>
      </c>
      <c r="N109" s="8">
        <v>0</v>
      </c>
      <c r="O109" s="8">
        <v>1</v>
      </c>
      <c r="P109" s="8">
        <v>42</v>
      </c>
      <c r="Q109" s="7">
        <v>0.56237744430379144</v>
      </c>
      <c r="R109" s="7">
        <v>8.1477344007092639E-2</v>
      </c>
      <c r="S109" s="8">
        <v>0</v>
      </c>
      <c r="T109" s="8">
        <v>1</v>
      </c>
      <c r="U109" s="8">
        <v>40</v>
      </c>
      <c r="V109" s="7">
        <v>0.3070650065631072</v>
      </c>
      <c r="W109" s="7">
        <v>6.1930006435609156E-2</v>
      </c>
      <c r="X109" s="8">
        <v>0</v>
      </c>
      <c r="Y109" s="8">
        <v>1</v>
      </c>
      <c r="Z109" s="8">
        <v>100</v>
      </c>
      <c r="AA109" s="13">
        <v>0.45755497144841928</v>
      </c>
      <c r="AB109" s="7">
        <v>4.3248432113583909E-2</v>
      </c>
      <c r="AC109" s="8">
        <v>0</v>
      </c>
      <c r="AD109" s="8">
        <v>1</v>
      </c>
      <c r="AE109" s="8">
        <v>258</v>
      </c>
      <c r="AF109">
        <f>(AA111/AA110)-AA109</f>
        <v>6.1635237290302847E-5</v>
      </c>
    </row>
    <row r="110" spans="1:32" ht="26.25" x14ac:dyDescent="0.45">
      <c r="A110" s="6" t="s">
        <v>24</v>
      </c>
      <c r="B110" s="7">
        <v>0.59113064078982813</v>
      </c>
      <c r="C110" s="7">
        <v>8.9609791547363538E-2</v>
      </c>
      <c r="D110" s="8">
        <v>0</v>
      </c>
      <c r="E110" s="8">
        <v>1</v>
      </c>
      <c r="F110" s="8">
        <v>34</v>
      </c>
      <c r="G110" s="7">
        <v>0.71909384928754405</v>
      </c>
      <c r="H110" s="7">
        <v>7.2403474018022274E-2</v>
      </c>
      <c r="I110" s="8">
        <v>0</v>
      </c>
      <c r="J110" s="8">
        <v>1</v>
      </c>
      <c r="K110" s="8">
        <v>42</v>
      </c>
      <c r="L110" s="7">
        <v>0.68288377049228632</v>
      </c>
      <c r="M110" s="7">
        <v>7.4547087275515955E-2</v>
      </c>
      <c r="N110" s="8">
        <v>0</v>
      </c>
      <c r="O110" s="8">
        <v>1</v>
      </c>
      <c r="P110" s="8">
        <v>42</v>
      </c>
      <c r="Q110" s="7">
        <v>0.9233668457535289</v>
      </c>
      <c r="R110" s="7">
        <v>4.3202567197263397E-2</v>
      </c>
      <c r="S110" s="8">
        <v>0</v>
      </c>
      <c r="T110" s="8">
        <v>1</v>
      </c>
      <c r="U110" s="8">
        <v>40</v>
      </c>
      <c r="V110" s="7">
        <v>0.63320079073355351</v>
      </c>
      <c r="W110" s="7">
        <v>6.9028775174729731E-2</v>
      </c>
      <c r="X110" s="8">
        <v>0</v>
      </c>
      <c r="Y110" s="8">
        <v>1</v>
      </c>
      <c r="Z110" s="8">
        <v>100</v>
      </c>
      <c r="AA110" s="13">
        <v>0.74045598075499264</v>
      </c>
      <c r="AB110" s="7">
        <v>3.837948723925233E-2</v>
      </c>
      <c r="AC110" s="8">
        <v>0</v>
      </c>
      <c r="AD110" s="8">
        <v>1</v>
      </c>
      <c r="AE110" s="8">
        <v>258</v>
      </c>
      <c r="AF110">
        <f>(AA111/AA109)-AA110</f>
        <v>9.9743600058377346E-5</v>
      </c>
    </row>
    <row r="111" spans="1:32" x14ac:dyDescent="0.45">
      <c r="A111" s="6" t="s">
        <v>65</v>
      </c>
      <c r="B111" s="7">
        <v>0.12594004342780538</v>
      </c>
      <c r="C111" s="7">
        <v>6.0575270552500782E-2</v>
      </c>
      <c r="D111" s="8">
        <v>0</v>
      </c>
      <c r="E111" s="8">
        <v>1</v>
      </c>
      <c r="F111" s="8">
        <v>34</v>
      </c>
      <c r="G111" s="7">
        <v>0.36617978627179149</v>
      </c>
      <c r="H111" s="7">
        <v>7.6315970054639429E-2</v>
      </c>
      <c r="I111" s="8">
        <v>0</v>
      </c>
      <c r="J111" s="8">
        <v>1</v>
      </c>
      <c r="K111" s="8">
        <v>42</v>
      </c>
      <c r="L111" s="7">
        <v>0.24461483269729373</v>
      </c>
      <c r="M111" s="7">
        <v>6.9376122801549672E-2</v>
      </c>
      <c r="N111" s="8">
        <v>0</v>
      </c>
      <c r="O111" s="8">
        <v>1</v>
      </c>
      <c r="P111" s="8">
        <v>42</v>
      </c>
      <c r="Q111" s="7">
        <v>0.53459571999605193</v>
      </c>
      <c r="R111" s="7">
        <v>8.2039967839084904E-2</v>
      </c>
      <c r="S111" s="8">
        <v>0</v>
      </c>
      <c r="T111" s="8">
        <v>1</v>
      </c>
      <c r="U111" s="8">
        <v>40</v>
      </c>
      <c r="V111" s="7">
        <v>0.3029577377588476</v>
      </c>
      <c r="W111" s="7">
        <v>6.1841005031113797E-2</v>
      </c>
      <c r="X111" s="8">
        <v>0</v>
      </c>
      <c r="Y111" s="8">
        <v>1</v>
      </c>
      <c r="Z111" s="8">
        <v>100</v>
      </c>
      <c r="AA111" s="13">
        <v>0.33884495331323883</v>
      </c>
      <c r="AB111" s="7">
        <v>4.0750127240136554E-2</v>
      </c>
      <c r="AC111" s="8">
        <v>0</v>
      </c>
      <c r="AD111" s="8">
        <v>1</v>
      </c>
      <c r="AE111" s="8">
        <v>258</v>
      </c>
    </row>
    <row r="112" spans="1:32" x14ac:dyDescent="0.45">
      <c r="A112" s="6" t="s">
        <v>28</v>
      </c>
      <c r="B112" s="7">
        <v>0.16060683353603622</v>
      </c>
      <c r="C112" s="7">
        <v>6.3104178008598577E-2</v>
      </c>
      <c r="D112" s="8">
        <v>0</v>
      </c>
      <c r="E112" s="8">
        <v>1</v>
      </c>
      <c r="F112" s="8">
        <v>34</v>
      </c>
      <c r="G112" s="7">
        <v>0.18650001607317804</v>
      </c>
      <c r="H112" s="7">
        <v>6.08550634427708E-2</v>
      </c>
      <c r="I112" s="8">
        <v>0</v>
      </c>
      <c r="J112" s="8">
        <v>1</v>
      </c>
      <c r="K112" s="8">
        <v>42</v>
      </c>
      <c r="L112" s="7">
        <v>0.39436733839662452</v>
      </c>
      <c r="M112" s="7">
        <v>7.7850298089584935E-2</v>
      </c>
      <c r="N112" s="8">
        <v>0</v>
      </c>
      <c r="O112" s="8">
        <v>1</v>
      </c>
      <c r="P112" s="8">
        <v>42</v>
      </c>
      <c r="Q112" s="7">
        <v>0.69537622401646959</v>
      </c>
      <c r="R112" s="7">
        <v>7.7013327808946444E-2</v>
      </c>
      <c r="S112" s="8">
        <v>0</v>
      </c>
      <c r="T112" s="8">
        <v>1</v>
      </c>
      <c r="U112" s="8">
        <v>40</v>
      </c>
      <c r="V112" s="7">
        <v>0.38609576035540805</v>
      </c>
      <c r="W112" s="7">
        <v>6.5209352136426937E-2</v>
      </c>
      <c r="X112" s="8">
        <v>0</v>
      </c>
      <c r="Y112" s="8">
        <v>1</v>
      </c>
      <c r="Z112" s="8">
        <v>100</v>
      </c>
      <c r="AA112" s="13">
        <v>0.39148388036045784</v>
      </c>
      <c r="AB112" s="7">
        <v>4.207767278054346E-2</v>
      </c>
      <c r="AC112" s="8">
        <v>0</v>
      </c>
      <c r="AD112" s="8">
        <v>1</v>
      </c>
      <c r="AE112" s="8">
        <v>258</v>
      </c>
      <c r="AF112">
        <f>(AA114/AA113)-AA112</f>
        <v>-5.2534377418400724E-2</v>
      </c>
    </row>
    <row r="113" spans="1:32" x14ac:dyDescent="0.45">
      <c r="A113" s="6" t="s">
        <v>30</v>
      </c>
      <c r="B113" s="7">
        <v>9.7944886332647418E-2</v>
      </c>
      <c r="C113" s="7">
        <v>5.0745074390485048E-2</v>
      </c>
      <c r="D113" s="8">
        <v>0</v>
      </c>
      <c r="E113" s="8">
        <v>1</v>
      </c>
      <c r="F113" s="8">
        <v>34</v>
      </c>
      <c r="G113" s="7">
        <v>0.19686198014165318</v>
      </c>
      <c r="H113" s="7">
        <v>6.361507673733699E-2</v>
      </c>
      <c r="I113" s="8">
        <v>0</v>
      </c>
      <c r="J113" s="8">
        <v>1</v>
      </c>
      <c r="K113" s="8">
        <v>42</v>
      </c>
      <c r="L113" s="7">
        <v>0.19333329674758543</v>
      </c>
      <c r="M113" s="7">
        <v>6.2618824990208738E-2</v>
      </c>
      <c r="N113" s="8">
        <v>0</v>
      </c>
      <c r="O113" s="8">
        <v>1</v>
      </c>
      <c r="P113" s="8">
        <v>42</v>
      </c>
      <c r="Q113" s="7">
        <v>0.12570203484365922</v>
      </c>
      <c r="R113" s="7">
        <v>5.3202553266984524E-2</v>
      </c>
      <c r="S113" s="8">
        <v>0</v>
      </c>
      <c r="T113" s="8">
        <v>1</v>
      </c>
      <c r="U113" s="8">
        <v>40</v>
      </c>
      <c r="V113" s="7">
        <v>7.5898831644268056E-2</v>
      </c>
      <c r="W113" s="7">
        <v>2.9028505479072871E-2</v>
      </c>
      <c r="X113" s="8">
        <v>0</v>
      </c>
      <c r="Y113" s="8">
        <v>1</v>
      </c>
      <c r="Z113" s="8">
        <v>100</v>
      </c>
      <c r="AA113" s="13">
        <v>0.16935134322954545</v>
      </c>
      <c r="AB113" s="7">
        <v>3.3026123553095636E-2</v>
      </c>
      <c r="AC113" s="8">
        <v>0</v>
      </c>
      <c r="AD113" s="8">
        <v>1</v>
      </c>
      <c r="AE113" s="8">
        <v>258</v>
      </c>
      <c r="AF113">
        <f>(AA114/AA112)-AA113</f>
        <v>-2.272575660929485E-2</v>
      </c>
    </row>
    <row r="114" spans="1:32" ht="26.25" x14ac:dyDescent="0.45">
      <c r="A114" s="6" t="s">
        <v>66</v>
      </c>
      <c r="B114" s="7">
        <v>2.4516800838866534E-2</v>
      </c>
      <c r="C114" s="7">
        <v>2.4682073136293149E-2</v>
      </c>
      <c r="D114" s="8">
        <v>0</v>
      </c>
      <c r="E114" s="8">
        <v>1</v>
      </c>
      <c r="F114" s="8">
        <v>34</v>
      </c>
      <c r="G114" s="7">
        <v>2.5168954621271552E-2</v>
      </c>
      <c r="H114" s="7">
        <v>2.5143597134685593E-2</v>
      </c>
      <c r="I114" s="8">
        <v>0</v>
      </c>
      <c r="J114" s="8">
        <v>1</v>
      </c>
      <c r="K114" s="8">
        <v>42</v>
      </c>
      <c r="L114" s="7">
        <v>4.778684026736104E-2</v>
      </c>
      <c r="M114" s="7">
        <v>3.3796098007189981E-2</v>
      </c>
      <c r="N114" s="8">
        <v>0</v>
      </c>
      <c r="O114" s="8">
        <v>1</v>
      </c>
      <c r="P114" s="8">
        <v>42</v>
      </c>
      <c r="Q114" s="7">
        <v>0.12570203484365922</v>
      </c>
      <c r="R114" s="7">
        <v>5.3202553266984524E-2</v>
      </c>
      <c r="S114" s="8">
        <v>0</v>
      </c>
      <c r="T114" s="8">
        <v>1</v>
      </c>
      <c r="U114" s="8">
        <v>40</v>
      </c>
      <c r="V114" s="7">
        <v>3.2210466442219553E-2</v>
      </c>
      <c r="W114" s="7">
        <v>2.1251470176758602E-2</v>
      </c>
      <c r="X114" s="8">
        <v>0</v>
      </c>
      <c r="Y114" s="8">
        <v>1</v>
      </c>
      <c r="Z114" s="8">
        <v>100</v>
      </c>
      <c r="AA114" s="13">
        <v>5.7401553610224136E-2</v>
      </c>
      <c r="AB114" s="7">
        <v>1.9596334153730712E-2</v>
      </c>
      <c r="AC114" s="8">
        <v>0</v>
      </c>
      <c r="AD114" s="8">
        <v>1</v>
      </c>
      <c r="AE114" s="8">
        <v>258</v>
      </c>
    </row>
    <row r="115" spans="1:32" x14ac:dyDescent="0.45">
      <c r="A115" s="6" t="s">
        <v>28</v>
      </c>
      <c r="B115" s="7">
        <v>0.16060683353603622</v>
      </c>
      <c r="C115" s="7">
        <v>6.3104178008598577E-2</v>
      </c>
      <c r="D115" s="8">
        <v>0</v>
      </c>
      <c r="E115" s="8">
        <v>1</v>
      </c>
      <c r="F115" s="8">
        <v>34</v>
      </c>
      <c r="G115" s="7">
        <v>0.18650001607317804</v>
      </c>
      <c r="H115" s="7">
        <v>6.08550634427708E-2</v>
      </c>
      <c r="I115" s="8">
        <v>0</v>
      </c>
      <c r="J115" s="8">
        <v>1</v>
      </c>
      <c r="K115" s="8">
        <v>42</v>
      </c>
      <c r="L115" s="7">
        <v>0.39436733839662452</v>
      </c>
      <c r="M115" s="7">
        <v>7.7850298089584935E-2</v>
      </c>
      <c r="N115" s="8">
        <v>0</v>
      </c>
      <c r="O115" s="8">
        <v>1</v>
      </c>
      <c r="P115" s="8">
        <v>42</v>
      </c>
      <c r="Q115" s="7">
        <v>0.69537622401646959</v>
      </c>
      <c r="R115" s="7">
        <v>7.7013327808946444E-2</v>
      </c>
      <c r="S115" s="8">
        <v>0</v>
      </c>
      <c r="T115" s="8">
        <v>1</v>
      </c>
      <c r="U115" s="8">
        <v>40</v>
      </c>
      <c r="V115" s="7">
        <v>0.38609576035540805</v>
      </c>
      <c r="W115" s="7">
        <v>6.5209352136426937E-2</v>
      </c>
      <c r="X115" s="8">
        <v>0</v>
      </c>
      <c r="Y115" s="8">
        <v>1</v>
      </c>
      <c r="Z115" s="8">
        <v>100</v>
      </c>
      <c r="AA115" s="13">
        <v>0.39148388036045784</v>
      </c>
      <c r="AB115" s="7">
        <v>4.207767278054346E-2</v>
      </c>
      <c r="AC115" s="8">
        <v>0</v>
      </c>
      <c r="AD115" s="8">
        <v>1</v>
      </c>
      <c r="AE115" s="8">
        <v>258</v>
      </c>
      <c r="AF115">
        <f>(AA117/AA116)-AA115</f>
        <v>2.350589210166798E-2</v>
      </c>
    </row>
    <row r="116" spans="1:32" x14ac:dyDescent="0.45">
      <c r="A116" s="6" t="s">
        <v>32</v>
      </c>
      <c r="B116" s="7">
        <v>0.88886175204661999</v>
      </c>
      <c r="C116" s="7">
        <v>6.1457033964244352E-2</v>
      </c>
      <c r="D116" s="8">
        <v>0</v>
      </c>
      <c r="E116" s="8">
        <v>1</v>
      </c>
      <c r="F116" s="8">
        <v>34</v>
      </c>
      <c r="G116" s="7">
        <v>0.60873909731901421</v>
      </c>
      <c r="H116" s="7">
        <v>7.7439164761967633E-2</v>
      </c>
      <c r="I116" s="8">
        <v>0</v>
      </c>
      <c r="J116" s="8">
        <v>1</v>
      </c>
      <c r="K116" s="8">
        <v>42</v>
      </c>
      <c r="L116" s="7">
        <v>0.46210236619269668</v>
      </c>
      <c r="M116" s="7">
        <v>7.9990935927138157E-2</v>
      </c>
      <c r="N116" s="8">
        <v>0</v>
      </c>
      <c r="O116" s="8">
        <v>1</v>
      </c>
      <c r="P116" s="8">
        <v>42</v>
      </c>
      <c r="Q116" s="7">
        <v>0.64300167798766439</v>
      </c>
      <c r="R116" s="7">
        <v>7.9764129090886995E-2</v>
      </c>
      <c r="S116" s="8">
        <v>0</v>
      </c>
      <c r="T116" s="8">
        <v>1</v>
      </c>
      <c r="U116" s="8">
        <v>40</v>
      </c>
      <c r="V116" s="7">
        <v>0.19224039367404611</v>
      </c>
      <c r="W116" s="7">
        <v>4.6779770209863396E-2</v>
      </c>
      <c r="X116" s="8">
        <v>0</v>
      </c>
      <c r="Y116" s="8">
        <v>1</v>
      </c>
      <c r="Z116" s="8">
        <v>100</v>
      </c>
      <c r="AA116" s="13">
        <v>0.56028151574267626</v>
      </c>
      <c r="AB116" s="7">
        <v>4.331019237972477E-2</v>
      </c>
      <c r="AC116" s="8">
        <v>0</v>
      </c>
      <c r="AD116" s="8">
        <v>1</v>
      </c>
      <c r="AE116" s="8">
        <v>258</v>
      </c>
      <c r="AF116">
        <f>(AA117/AA115)-AA116</f>
        <v>3.3641019506295278E-2</v>
      </c>
    </row>
    <row r="117" spans="1:32" x14ac:dyDescent="0.45">
      <c r="A117" s="6" t="s">
        <v>67</v>
      </c>
      <c r="B117" s="7">
        <v>0.16060683353603622</v>
      </c>
      <c r="C117" s="7">
        <v>6.3104178008598577E-2</v>
      </c>
      <c r="D117" s="8">
        <v>0</v>
      </c>
      <c r="E117" s="8">
        <v>1</v>
      </c>
      <c r="F117" s="8">
        <v>34</v>
      </c>
      <c r="G117" s="7">
        <v>0.11395177814201457</v>
      </c>
      <c r="H117" s="7">
        <v>4.8945348502587652E-2</v>
      </c>
      <c r="I117" s="8">
        <v>0</v>
      </c>
      <c r="J117" s="8">
        <v>1</v>
      </c>
      <c r="K117" s="8">
        <v>42</v>
      </c>
      <c r="L117" s="7">
        <v>0.16294265215588002</v>
      </c>
      <c r="M117" s="7">
        <v>5.8109520152652673E-2</v>
      </c>
      <c r="N117" s="8">
        <v>0</v>
      </c>
      <c r="O117" s="8">
        <v>1</v>
      </c>
      <c r="P117" s="8">
        <v>42</v>
      </c>
      <c r="Q117" s="7">
        <v>0.53636316828818409</v>
      </c>
      <c r="R117" s="7">
        <v>8.2351613824240319E-2</v>
      </c>
      <c r="S117" s="8">
        <v>0</v>
      </c>
      <c r="T117" s="8">
        <v>1</v>
      </c>
      <c r="U117" s="8">
        <v>40</v>
      </c>
      <c r="V117" s="7">
        <v>0.10731852018005368</v>
      </c>
      <c r="W117" s="7">
        <v>3.7586685412134599E-2</v>
      </c>
      <c r="X117" s="8">
        <v>0</v>
      </c>
      <c r="Y117" s="8">
        <v>1</v>
      </c>
      <c r="Z117" s="8">
        <v>100</v>
      </c>
      <c r="AA117" s="13">
        <v>0.23251109873278819</v>
      </c>
      <c r="AB117" s="7">
        <v>3.5298578609489435E-2</v>
      </c>
      <c r="AC117" s="8">
        <v>0</v>
      </c>
      <c r="AD117" s="8">
        <v>1</v>
      </c>
      <c r="AE117" s="8">
        <v>258</v>
      </c>
    </row>
    <row r="118" spans="1:32" x14ac:dyDescent="0.45">
      <c r="A118" s="6" t="s">
        <v>28</v>
      </c>
      <c r="B118" s="7">
        <v>0.16060683353603622</v>
      </c>
      <c r="C118" s="7">
        <v>6.3104178008598577E-2</v>
      </c>
      <c r="D118" s="8">
        <v>0</v>
      </c>
      <c r="E118" s="8">
        <v>1</v>
      </c>
      <c r="F118" s="8">
        <v>34</v>
      </c>
      <c r="G118" s="7">
        <v>0.18650001607317804</v>
      </c>
      <c r="H118" s="7">
        <v>6.08550634427708E-2</v>
      </c>
      <c r="I118" s="8">
        <v>0</v>
      </c>
      <c r="J118" s="8">
        <v>1</v>
      </c>
      <c r="K118" s="8">
        <v>42</v>
      </c>
      <c r="L118" s="7">
        <v>0.39436733839662452</v>
      </c>
      <c r="M118" s="7">
        <v>7.7850298089584935E-2</v>
      </c>
      <c r="N118" s="8">
        <v>0</v>
      </c>
      <c r="O118" s="8">
        <v>1</v>
      </c>
      <c r="P118" s="8">
        <v>42</v>
      </c>
      <c r="Q118" s="7">
        <v>0.69537622401646959</v>
      </c>
      <c r="R118" s="7">
        <v>7.7013327808946444E-2</v>
      </c>
      <c r="S118" s="8">
        <v>0</v>
      </c>
      <c r="T118" s="8">
        <v>1</v>
      </c>
      <c r="U118" s="8">
        <v>40</v>
      </c>
      <c r="V118" s="7">
        <v>0.38609576035540805</v>
      </c>
      <c r="W118" s="7">
        <v>6.5209352136426937E-2</v>
      </c>
      <c r="X118" s="8">
        <v>0</v>
      </c>
      <c r="Y118" s="8">
        <v>1</v>
      </c>
      <c r="Z118" s="8">
        <v>100</v>
      </c>
      <c r="AA118" s="13">
        <v>0.39148388036045784</v>
      </c>
      <c r="AB118" s="7">
        <v>4.207767278054346E-2</v>
      </c>
      <c r="AC118" s="8">
        <v>0</v>
      </c>
      <c r="AD118" s="8">
        <v>1</v>
      </c>
      <c r="AE118" s="8">
        <v>258</v>
      </c>
      <c r="AF118">
        <f>(AA120/AA119)-AA118</f>
        <v>-3.1080541587746147E-2</v>
      </c>
    </row>
    <row r="119" spans="1:32" x14ac:dyDescent="0.45">
      <c r="A119" s="6" t="s">
        <v>34</v>
      </c>
      <c r="B119" s="7">
        <v>0.19862121171774996</v>
      </c>
      <c r="C119" s="7">
        <v>7.0449908333518482E-2</v>
      </c>
      <c r="D119" s="8">
        <v>0</v>
      </c>
      <c r="E119" s="8">
        <v>1</v>
      </c>
      <c r="F119" s="8">
        <v>34</v>
      </c>
      <c r="G119" s="7">
        <v>0.27373543444507736</v>
      </c>
      <c r="H119" s="7">
        <v>7.1059953576424029E-2</v>
      </c>
      <c r="I119" s="8">
        <v>0</v>
      </c>
      <c r="J119" s="8">
        <v>1</v>
      </c>
      <c r="K119" s="8">
        <v>42</v>
      </c>
      <c r="L119" s="7">
        <v>0.16792280545098798</v>
      </c>
      <c r="M119" s="7">
        <v>5.8618243579727093E-2</v>
      </c>
      <c r="N119" s="8">
        <v>0</v>
      </c>
      <c r="O119" s="8">
        <v>1</v>
      </c>
      <c r="P119" s="8">
        <v>42</v>
      </c>
      <c r="Q119" s="7">
        <v>0.27853232036598929</v>
      </c>
      <c r="R119" s="7">
        <v>7.2602815976202259E-2</v>
      </c>
      <c r="S119" s="8">
        <v>0</v>
      </c>
      <c r="T119" s="8">
        <v>1</v>
      </c>
      <c r="U119" s="8">
        <v>40</v>
      </c>
      <c r="V119" s="7">
        <v>3.9845505914107161E-2</v>
      </c>
      <c r="W119" s="7">
        <v>2.1780217848510454E-2</v>
      </c>
      <c r="X119" s="8">
        <v>0</v>
      </c>
      <c r="Y119" s="8">
        <v>1</v>
      </c>
      <c r="Z119" s="8">
        <v>100</v>
      </c>
      <c r="AA119" s="13">
        <v>0.21982448140548122</v>
      </c>
      <c r="AB119" s="7">
        <v>3.5153365318010749E-2</v>
      </c>
      <c r="AC119" s="8">
        <v>0</v>
      </c>
      <c r="AD119" s="8">
        <v>1</v>
      </c>
      <c r="AE119" s="8">
        <v>258</v>
      </c>
      <c r="AF119">
        <f>(AA120/AA118)-AA119</f>
        <v>-1.7452222886002344E-2</v>
      </c>
    </row>
    <row r="120" spans="1:32" ht="26.25" x14ac:dyDescent="0.45">
      <c r="A120" s="6" t="s">
        <v>68</v>
      </c>
      <c r="B120" s="7">
        <v>8.5395419174520121E-2</v>
      </c>
      <c r="C120" s="7">
        <v>4.9313442010981173E-2</v>
      </c>
      <c r="D120" s="8">
        <v>0</v>
      </c>
      <c r="E120" s="8">
        <v>1</v>
      </c>
      <c r="F120" s="8">
        <v>34</v>
      </c>
      <c r="G120" s="7">
        <v>4.9058891318756202E-2</v>
      </c>
      <c r="H120" s="7">
        <v>3.4286455662835988E-2</v>
      </c>
      <c r="I120" s="8">
        <v>0</v>
      </c>
      <c r="J120" s="8">
        <v>1</v>
      </c>
      <c r="K120" s="8">
        <v>42</v>
      </c>
      <c r="L120" s="7">
        <v>2.0182272077351699E-2</v>
      </c>
      <c r="M120" s="7">
        <v>2.0270795032824827E-2</v>
      </c>
      <c r="N120" s="8">
        <v>0</v>
      </c>
      <c r="O120" s="8">
        <v>1</v>
      </c>
      <c r="P120" s="8">
        <v>42</v>
      </c>
      <c r="Q120" s="7">
        <v>0.22638667113829694</v>
      </c>
      <c r="R120" s="7">
        <v>6.7370820719402619E-2</v>
      </c>
      <c r="S120" s="8">
        <v>0</v>
      </c>
      <c r="T120" s="8">
        <v>1</v>
      </c>
      <c r="U120" s="8">
        <v>40</v>
      </c>
      <c r="V120" s="7">
        <v>2.8321150559505445E-2</v>
      </c>
      <c r="W120" s="7">
        <v>2.0851811672609844E-2</v>
      </c>
      <c r="X120" s="8">
        <v>0</v>
      </c>
      <c r="Y120" s="8">
        <v>1</v>
      </c>
      <c r="Z120" s="8">
        <v>100</v>
      </c>
      <c r="AA120" s="13">
        <v>7.9225477042515313E-2</v>
      </c>
      <c r="AB120" s="7">
        <v>2.0840166789004268E-2</v>
      </c>
      <c r="AC120" s="8">
        <v>0</v>
      </c>
      <c r="AD120" s="8">
        <v>1</v>
      </c>
      <c r="AE120" s="8">
        <v>258</v>
      </c>
    </row>
    <row r="121" spans="1:32" x14ac:dyDescent="0.45">
      <c r="A121" s="6" t="s">
        <v>28</v>
      </c>
      <c r="B121" s="7">
        <v>0.16060683353603622</v>
      </c>
      <c r="C121" s="7">
        <v>6.3104178008598577E-2</v>
      </c>
      <c r="D121" s="8">
        <v>0</v>
      </c>
      <c r="E121" s="8">
        <v>1</v>
      </c>
      <c r="F121" s="8">
        <v>34</v>
      </c>
      <c r="G121" s="7">
        <v>0.18650001607317804</v>
      </c>
      <c r="H121" s="7">
        <v>6.08550634427708E-2</v>
      </c>
      <c r="I121" s="8">
        <v>0</v>
      </c>
      <c r="J121" s="8">
        <v>1</v>
      </c>
      <c r="K121" s="8">
        <v>42</v>
      </c>
      <c r="L121" s="7">
        <v>0.39436733839662452</v>
      </c>
      <c r="M121" s="7">
        <v>7.7850298089584935E-2</v>
      </c>
      <c r="N121" s="8">
        <v>0</v>
      </c>
      <c r="O121" s="8">
        <v>1</v>
      </c>
      <c r="P121" s="8">
        <v>42</v>
      </c>
      <c r="Q121" s="7">
        <v>0.69537622401646959</v>
      </c>
      <c r="R121" s="7">
        <v>7.7013327808946444E-2</v>
      </c>
      <c r="S121" s="8">
        <v>0</v>
      </c>
      <c r="T121" s="8">
        <v>1</v>
      </c>
      <c r="U121" s="8">
        <v>40</v>
      </c>
      <c r="V121" s="7">
        <v>0.38609576035540805</v>
      </c>
      <c r="W121" s="7">
        <v>6.5209352136426937E-2</v>
      </c>
      <c r="X121" s="8">
        <v>0</v>
      </c>
      <c r="Y121" s="8">
        <v>1</v>
      </c>
      <c r="Z121" s="8">
        <v>100</v>
      </c>
      <c r="AA121" s="13">
        <v>0.39148388036045784</v>
      </c>
      <c r="AB121" s="7">
        <v>4.207767278054346E-2</v>
      </c>
      <c r="AC121" s="8">
        <v>0</v>
      </c>
      <c r="AD121" s="8">
        <v>1</v>
      </c>
      <c r="AE121" s="8">
        <v>258</v>
      </c>
      <c r="AF121">
        <f>(AA123/AA122)-AA121</f>
        <v>-3.8852954920772342E-2</v>
      </c>
    </row>
    <row r="122" spans="1:32" x14ac:dyDescent="0.45">
      <c r="A122" s="6" t="s">
        <v>36</v>
      </c>
      <c r="B122" s="7">
        <v>0.76064468833586119</v>
      </c>
      <c r="C122" s="7">
        <v>7.7815769808775942E-2</v>
      </c>
      <c r="D122" s="8">
        <v>0</v>
      </c>
      <c r="E122" s="8">
        <v>1</v>
      </c>
      <c r="F122" s="8">
        <v>34</v>
      </c>
      <c r="G122" s="7">
        <v>0.47021854293445042</v>
      </c>
      <c r="H122" s="7">
        <v>7.9243117363754292E-2</v>
      </c>
      <c r="I122" s="8">
        <v>0</v>
      </c>
      <c r="J122" s="8">
        <v>1</v>
      </c>
      <c r="K122" s="8">
        <v>42</v>
      </c>
      <c r="L122" s="7">
        <v>0.2445206682606792</v>
      </c>
      <c r="M122" s="7">
        <v>6.7154542896761538E-2</v>
      </c>
      <c r="N122" s="8">
        <v>0</v>
      </c>
      <c r="O122" s="8">
        <v>1</v>
      </c>
      <c r="P122" s="8">
        <v>42</v>
      </c>
      <c r="Q122" s="7">
        <v>0.35160809189742964</v>
      </c>
      <c r="R122" s="7">
        <v>7.902438279457083E-2</v>
      </c>
      <c r="S122" s="8">
        <v>0</v>
      </c>
      <c r="T122" s="8">
        <v>1</v>
      </c>
      <c r="U122" s="8">
        <v>40</v>
      </c>
      <c r="V122" s="7">
        <v>0.42925514319553509</v>
      </c>
      <c r="W122" s="7">
        <v>6.917480911456024E-2</v>
      </c>
      <c r="X122" s="8">
        <v>0</v>
      </c>
      <c r="Y122" s="8">
        <v>1</v>
      </c>
      <c r="Z122" s="8">
        <v>100</v>
      </c>
      <c r="AA122" s="13">
        <v>0.36787839094902408</v>
      </c>
      <c r="AB122" s="7">
        <v>4.0690017630809268E-2</v>
      </c>
      <c r="AC122" s="8">
        <v>0</v>
      </c>
      <c r="AD122" s="8">
        <v>1</v>
      </c>
      <c r="AE122" s="8">
        <v>258</v>
      </c>
      <c r="AF122">
        <f>(AA123/AA121)-AA122</f>
        <v>-3.6510219850452885E-2</v>
      </c>
    </row>
    <row r="123" spans="1:32" x14ac:dyDescent="0.45">
      <c r="A123" s="6" t="s">
        <v>69</v>
      </c>
      <c r="B123" s="7">
        <v>0.11019685032615587</v>
      </c>
      <c r="C123" s="7">
        <v>5.4395166041819161E-2</v>
      </c>
      <c r="D123" s="8">
        <v>0</v>
      </c>
      <c r="E123" s="8">
        <v>1</v>
      </c>
      <c r="F123" s="8">
        <v>34</v>
      </c>
      <c r="G123" s="7">
        <v>7.0631374503081115E-2</v>
      </c>
      <c r="H123" s="7">
        <v>4.019918228713238E-2</v>
      </c>
      <c r="I123" s="8">
        <v>0</v>
      </c>
      <c r="J123" s="8">
        <v>1</v>
      </c>
      <c r="K123" s="8">
        <v>42</v>
      </c>
      <c r="L123" s="7">
        <v>0.10266206976349958</v>
      </c>
      <c r="M123" s="7">
        <v>4.6183247428079992E-2</v>
      </c>
      <c r="N123" s="8">
        <v>0</v>
      </c>
      <c r="O123" s="8">
        <v>1</v>
      </c>
      <c r="P123" s="8">
        <v>42</v>
      </c>
      <c r="Q123" s="7">
        <v>0.26122932031199958</v>
      </c>
      <c r="R123" s="7">
        <v>7.1881459098920283E-2</v>
      </c>
      <c r="S123" s="8">
        <v>0</v>
      </c>
      <c r="T123" s="8">
        <v>1</v>
      </c>
      <c r="U123" s="8">
        <v>40</v>
      </c>
      <c r="V123" s="7">
        <v>8.2029587704548657E-2</v>
      </c>
      <c r="W123" s="7">
        <v>2.9400177308716764E-2</v>
      </c>
      <c r="X123" s="8">
        <v>0</v>
      </c>
      <c r="Y123" s="8">
        <v>1</v>
      </c>
      <c r="Z123" s="8">
        <v>100</v>
      </c>
      <c r="AA123" s="13">
        <v>0.12972529744961678</v>
      </c>
      <c r="AB123" s="7">
        <v>2.7752882589827842E-2</v>
      </c>
      <c r="AC123" s="8">
        <v>0</v>
      </c>
      <c r="AD123" s="8">
        <v>1</v>
      </c>
      <c r="AE123" s="8">
        <v>258</v>
      </c>
    </row>
    <row r="124" spans="1:32" x14ac:dyDescent="0.45">
      <c r="A124" s="6" t="s">
        <v>28</v>
      </c>
      <c r="B124" s="7">
        <v>0.16060683353603622</v>
      </c>
      <c r="C124" s="7">
        <v>6.3104178008598577E-2</v>
      </c>
      <c r="D124" s="8">
        <v>0</v>
      </c>
      <c r="E124" s="8">
        <v>1</v>
      </c>
      <c r="F124" s="8">
        <v>34</v>
      </c>
      <c r="G124" s="7">
        <v>0.18650001607317804</v>
      </c>
      <c r="H124" s="7">
        <v>6.08550634427708E-2</v>
      </c>
      <c r="I124" s="8">
        <v>0</v>
      </c>
      <c r="J124" s="8">
        <v>1</v>
      </c>
      <c r="K124" s="8">
        <v>42</v>
      </c>
      <c r="L124" s="7">
        <v>0.39436733839662452</v>
      </c>
      <c r="M124" s="7">
        <v>7.7850298089584935E-2</v>
      </c>
      <c r="N124" s="8">
        <v>0</v>
      </c>
      <c r="O124" s="8">
        <v>1</v>
      </c>
      <c r="P124" s="8">
        <v>42</v>
      </c>
      <c r="Q124" s="7">
        <v>0.69537622401646959</v>
      </c>
      <c r="R124" s="7">
        <v>7.7013327808946444E-2</v>
      </c>
      <c r="S124" s="8">
        <v>0</v>
      </c>
      <c r="T124" s="8">
        <v>1</v>
      </c>
      <c r="U124" s="8">
        <v>40</v>
      </c>
      <c r="V124" s="7">
        <v>0.38609576035540805</v>
      </c>
      <c r="W124" s="7">
        <v>6.5209352136426937E-2</v>
      </c>
      <c r="X124" s="8">
        <v>0</v>
      </c>
      <c r="Y124" s="8">
        <v>1</v>
      </c>
      <c r="Z124" s="8">
        <v>100</v>
      </c>
      <c r="AA124" s="13">
        <v>0.39148388036045784</v>
      </c>
      <c r="AB124" s="7">
        <v>4.207767278054346E-2</v>
      </c>
      <c r="AC124" s="8">
        <v>0</v>
      </c>
      <c r="AD124" s="8">
        <v>1</v>
      </c>
      <c r="AE124" s="8">
        <v>258</v>
      </c>
      <c r="AF124">
        <f>(AA126/AA125)-AA124</f>
        <v>-3.2261019754497744E-2</v>
      </c>
    </row>
    <row r="125" spans="1:32" ht="26.25" x14ac:dyDescent="0.45">
      <c r="A125" s="6" t="s">
        <v>38</v>
      </c>
      <c r="B125" s="7">
        <v>0.84000868272823959</v>
      </c>
      <c r="C125" s="7">
        <v>6.5933157962881336E-2</v>
      </c>
      <c r="D125" s="8">
        <v>0</v>
      </c>
      <c r="E125" s="8">
        <v>1</v>
      </c>
      <c r="F125" s="8">
        <v>34</v>
      </c>
      <c r="G125" s="7">
        <v>0.8757010716140059</v>
      </c>
      <c r="H125" s="7">
        <v>5.3035240634634946E-2</v>
      </c>
      <c r="I125" s="8">
        <v>0</v>
      </c>
      <c r="J125" s="8">
        <v>1</v>
      </c>
      <c r="K125" s="8">
        <v>42</v>
      </c>
      <c r="L125" s="7">
        <v>0.71102549516240099</v>
      </c>
      <c r="M125" s="7">
        <v>7.24518160292143E-2</v>
      </c>
      <c r="N125" s="8">
        <v>0</v>
      </c>
      <c r="O125" s="8">
        <v>1</v>
      </c>
      <c r="P125" s="8">
        <v>42</v>
      </c>
      <c r="Q125" s="7">
        <v>0.76619872916446996</v>
      </c>
      <c r="R125" s="7">
        <v>6.9319636379783084E-2</v>
      </c>
      <c r="S125" s="8">
        <v>0</v>
      </c>
      <c r="T125" s="8">
        <v>1</v>
      </c>
      <c r="U125" s="8">
        <v>40</v>
      </c>
      <c r="V125" s="7">
        <v>0.38621991000499384</v>
      </c>
      <c r="W125" s="7">
        <v>6.6639473541989111E-2</v>
      </c>
      <c r="X125" s="8">
        <v>0</v>
      </c>
      <c r="Y125" s="8">
        <v>1</v>
      </c>
      <c r="Z125" s="8">
        <v>100</v>
      </c>
      <c r="AA125" s="13">
        <v>0.7659232322798829</v>
      </c>
      <c r="AB125" s="7">
        <v>3.6756971234523643E-2</v>
      </c>
      <c r="AC125" s="8">
        <v>0</v>
      </c>
      <c r="AD125" s="8">
        <v>1</v>
      </c>
      <c r="AE125" s="8">
        <v>258</v>
      </c>
      <c r="AF125">
        <f>(AA126/AA124)-AA125</f>
        <v>-6.3117450721748458E-2</v>
      </c>
    </row>
    <row r="126" spans="1:32" ht="26.25" x14ac:dyDescent="0.45">
      <c r="A126" s="6" t="s">
        <v>70</v>
      </c>
      <c r="B126" s="7">
        <v>0.11286975670266503</v>
      </c>
      <c r="C126" s="7">
        <v>5.5404657256492636E-2</v>
      </c>
      <c r="D126" s="8">
        <v>0</v>
      </c>
      <c r="E126" s="8">
        <v>1</v>
      </c>
      <c r="F126" s="8">
        <v>34</v>
      </c>
      <c r="G126" s="7">
        <v>0.14357196840894057</v>
      </c>
      <c r="H126" s="7">
        <v>5.5288155012227266E-2</v>
      </c>
      <c r="I126" s="8">
        <v>0</v>
      </c>
      <c r="J126" s="8">
        <v>1</v>
      </c>
      <c r="K126" s="8">
        <v>42</v>
      </c>
      <c r="L126" s="7">
        <v>0.26957590175410179</v>
      </c>
      <c r="M126" s="7">
        <v>6.9878820305814771E-2</v>
      </c>
      <c r="N126" s="8">
        <v>0</v>
      </c>
      <c r="O126" s="8">
        <v>1</v>
      </c>
      <c r="P126" s="8">
        <v>42</v>
      </c>
      <c r="Q126" s="7">
        <v>0.4866067303220783</v>
      </c>
      <c r="R126" s="7">
        <v>8.2248370139277688E-2</v>
      </c>
      <c r="S126" s="8">
        <v>0</v>
      </c>
      <c r="T126" s="8">
        <v>1</v>
      </c>
      <c r="U126" s="8">
        <v>40</v>
      </c>
      <c r="V126" s="7">
        <v>0.27490967668258903</v>
      </c>
      <c r="W126" s="7">
        <v>6.0405370462911875E-2</v>
      </c>
      <c r="X126" s="8">
        <v>0</v>
      </c>
      <c r="Y126" s="8">
        <v>1</v>
      </c>
      <c r="Z126" s="8">
        <v>100</v>
      </c>
      <c r="AA126" s="13">
        <v>0.27513713450414279</v>
      </c>
      <c r="AB126" s="7">
        <v>3.8194518458637514E-2</v>
      </c>
      <c r="AC126" s="8">
        <v>0</v>
      </c>
      <c r="AD126" s="8">
        <v>1</v>
      </c>
      <c r="AE126" s="8">
        <v>258</v>
      </c>
    </row>
    <row r="127" spans="1:32" x14ac:dyDescent="0.45">
      <c r="A127" s="6" t="s">
        <v>28</v>
      </c>
      <c r="B127" s="7">
        <v>0.16060683353603622</v>
      </c>
      <c r="C127" s="7">
        <v>6.3104178008598577E-2</v>
      </c>
      <c r="D127" s="8">
        <v>0</v>
      </c>
      <c r="E127" s="8">
        <v>1</v>
      </c>
      <c r="F127" s="8">
        <v>34</v>
      </c>
      <c r="G127" s="7">
        <v>0.18650001607317804</v>
      </c>
      <c r="H127" s="7">
        <v>6.08550634427708E-2</v>
      </c>
      <c r="I127" s="8">
        <v>0</v>
      </c>
      <c r="J127" s="8">
        <v>1</v>
      </c>
      <c r="K127" s="8">
        <v>42</v>
      </c>
      <c r="L127" s="7">
        <v>0.39436733839662452</v>
      </c>
      <c r="M127" s="7">
        <v>7.7850298089584935E-2</v>
      </c>
      <c r="N127" s="8">
        <v>0</v>
      </c>
      <c r="O127" s="8">
        <v>1</v>
      </c>
      <c r="P127" s="8">
        <v>42</v>
      </c>
      <c r="Q127" s="7">
        <v>0.69537622401646959</v>
      </c>
      <c r="R127" s="7">
        <v>7.7013327808946444E-2</v>
      </c>
      <c r="S127" s="8">
        <v>0</v>
      </c>
      <c r="T127" s="8">
        <v>1</v>
      </c>
      <c r="U127" s="8">
        <v>40</v>
      </c>
      <c r="V127" s="7">
        <v>0.38609576035540805</v>
      </c>
      <c r="W127" s="7">
        <v>6.5209352136426937E-2</v>
      </c>
      <c r="X127" s="8">
        <v>0</v>
      </c>
      <c r="Y127" s="8">
        <v>1</v>
      </c>
      <c r="Z127" s="8">
        <v>100</v>
      </c>
      <c r="AA127" s="13">
        <v>0.39148388036045784</v>
      </c>
      <c r="AB127" s="7">
        <v>4.207767278054346E-2</v>
      </c>
      <c r="AC127" s="8">
        <v>0</v>
      </c>
      <c r="AD127" s="8">
        <v>1</v>
      </c>
      <c r="AE127" s="8">
        <v>258</v>
      </c>
      <c r="AF127">
        <f>(AA129/AA128)-AA127</f>
        <v>9.2720513469811527E-2</v>
      </c>
    </row>
    <row r="128" spans="1:32" x14ac:dyDescent="0.45">
      <c r="A128" s="6" t="s">
        <v>40</v>
      </c>
      <c r="B128" s="7">
        <v>0.47314926338671726</v>
      </c>
      <c r="C128" s="7">
        <v>9.1986997587208227E-2</v>
      </c>
      <c r="D128" s="8">
        <v>0</v>
      </c>
      <c r="E128" s="8">
        <v>1</v>
      </c>
      <c r="F128" s="8">
        <v>34</v>
      </c>
      <c r="G128" s="7">
        <v>0.59916532039375925</v>
      </c>
      <c r="H128" s="7">
        <v>7.8188563211038412E-2</v>
      </c>
      <c r="I128" s="8">
        <v>0</v>
      </c>
      <c r="J128" s="8">
        <v>1</v>
      </c>
      <c r="K128" s="8">
        <v>42</v>
      </c>
      <c r="L128" s="7">
        <v>0.53311254311611167</v>
      </c>
      <c r="M128" s="7">
        <v>8.0040164750678475E-2</v>
      </c>
      <c r="N128" s="8">
        <v>0</v>
      </c>
      <c r="O128" s="8">
        <v>1</v>
      </c>
      <c r="P128" s="8">
        <v>42</v>
      </c>
      <c r="Q128" s="7">
        <v>0.89744052335873858</v>
      </c>
      <c r="R128" s="7">
        <v>4.9355060283969104E-2</v>
      </c>
      <c r="S128" s="8">
        <v>0</v>
      </c>
      <c r="T128" s="8">
        <v>1</v>
      </c>
      <c r="U128" s="8">
        <v>40</v>
      </c>
      <c r="V128" s="7">
        <v>0.62802955981828001</v>
      </c>
      <c r="W128" s="7">
        <v>6.9009852430896662E-2</v>
      </c>
      <c r="X128" s="8">
        <v>0</v>
      </c>
      <c r="Y128" s="8">
        <v>1</v>
      </c>
      <c r="Z128" s="8">
        <v>100</v>
      </c>
      <c r="AA128" s="13">
        <v>0.63371905921169658</v>
      </c>
      <c r="AB128" s="7">
        <v>4.2239621614603332E-2</v>
      </c>
      <c r="AC128" s="8">
        <v>0</v>
      </c>
      <c r="AD128" s="8">
        <v>1</v>
      </c>
      <c r="AE128" s="8">
        <v>258</v>
      </c>
      <c r="AF128">
        <f>(AA129/AA127)-AA128</f>
        <v>0.15009240357894793</v>
      </c>
    </row>
    <row r="129" spans="1:32" ht="26.25" x14ac:dyDescent="0.45">
      <c r="A129" s="6" t="s">
        <v>71</v>
      </c>
      <c r="B129" s="7">
        <v>2.4801431151635741E-2</v>
      </c>
      <c r="C129" s="7">
        <v>2.4961396695214931E-2</v>
      </c>
      <c r="D129" s="8">
        <v>0</v>
      </c>
      <c r="E129" s="8">
        <v>1</v>
      </c>
      <c r="F129" s="8">
        <v>34</v>
      </c>
      <c r="G129" s="7">
        <v>0.13548186481384381</v>
      </c>
      <c r="H129" s="7">
        <v>5.2708265646471505E-2</v>
      </c>
      <c r="I129" s="8">
        <v>0</v>
      </c>
      <c r="J129" s="8">
        <v>1</v>
      </c>
      <c r="K129" s="8">
        <v>42</v>
      </c>
      <c r="L129" s="7">
        <v>0.26934230108801988</v>
      </c>
      <c r="M129" s="7">
        <v>6.9738064294227492E-2</v>
      </c>
      <c r="N129" s="8">
        <v>0</v>
      </c>
      <c r="O129" s="8">
        <v>1</v>
      </c>
      <c r="P129" s="8">
        <v>42</v>
      </c>
      <c r="Q129" s="7">
        <v>0.64563024882408648</v>
      </c>
      <c r="R129" s="7">
        <v>7.950583336260178E-2</v>
      </c>
      <c r="S129" s="8">
        <v>0</v>
      </c>
      <c r="T129" s="8">
        <v>1</v>
      </c>
      <c r="U129" s="8">
        <v>40</v>
      </c>
      <c r="V129" s="7">
        <v>0.36963798807836207</v>
      </c>
      <c r="W129" s="7">
        <v>6.4699747497832735E-2</v>
      </c>
      <c r="X129" s="8">
        <v>0</v>
      </c>
      <c r="Y129" s="8">
        <v>1</v>
      </c>
      <c r="Z129" s="8">
        <v>100</v>
      </c>
      <c r="AA129" s="13">
        <v>0.30684955292428812</v>
      </c>
      <c r="AB129" s="7">
        <v>3.9240856310784104E-2</v>
      </c>
      <c r="AC129" s="8">
        <v>0</v>
      </c>
      <c r="AD129" s="8">
        <v>1</v>
      </c>
      <c r="AE129" s="8">
        <v>258</v>
      </c>
    </row>
    <row r="130" spans="1:32" x14ac:dyDescent="0.45">
      <c r="A130" s="6" t="s">
        <v>28</v>
      </c>
      <c r="B130" s="7">
        <v>0.16060683353603622</v>
      </c>
      <c r="C130" s="7">
        <v>6.3104178008598577E-2</v>
      </c>
      <c r="D130" s="8">
        <v>0</v>
      </c>
      <c r="E130" s="8">
        <v>1</v>
      </c>
      <c r="F130" s="8">
        <v>34</v>
      </c>
      <c r="G130" s="7">
        <v>0.18650001607317804</v>
      </c>
      <c r="H130" s="7">
        <v>6.08550634427708E-2</v>
      </c>
      <c r="I130" s="8">
        <v>0</v>
      </c>
      <c r="J130" s="8">
        <v>1</v>
      </c>
      <c r="K130" s="8">
        <v>42</v>
      </c>
      <c r="L130" s="7">
        <v>0.39436733839662452</v>
      </c>
      <c r="M130" s="7">
        <v>7.7850298089584935E-2</v>
      </c>
      <c r="N130" s="8">
        <v>0</v>
      </c>
      <c r="O130" s="8">
        <v>1</v>
      </c>
      <c r="P130" s="8">
        <v>42</v>
      </c>
      <c r="Q130" s="7">
        <v>0.69537622401646959</v>
      </c>
      <c r="R130" s="7">
        <v>7.7013327808946444E-2</v>
      </c>
      <c r="S130" s="8">
        <v>0</v>
      </c>
      <c r="T130" s="8">
        <v>1</v>
      </c>
      <c r="U130" s="8">
        <v>40</v>
      </c>
      <c r="V130" s="7">
        <v>0.38609576035540805</v>
      </c>
      <c r="W130" s="7">
        <v>6.5209352136426937E-2</v>
      </c>
      <c r="X130" s="8">
        <v>0</v>
      </c>
      <c r="Y130" s="8">
        <v>1</v>
      </c>
      <c r="Z130" s="8">
        <v>100</v>
      </c>
      <c r="AA130" s="13">
        <v>0.39148388036045784</v>
      </c>
      <c r="AB130" s="7">
        <v>4.207767278054346E-2</v>
      </c>
      <c r="AC130" s="8">
        <v>0</v>
      </c>
      <c r="AD130" s="8">
        <v>1</v>
      </c>
      <c r="AE130" s="8">
        <v>258</v>
      </c>
      <c r="AF130">
        <f>(AA132/AA131)-AA130</f>
        <v>5.1824475260676184E-2</v>
      </c>
    </row>
    <row r="131" spans="1:32" x14ac:dyDescent="0.45">
      <c r="A131" s="6" t="s">
        <v>42</v>
      </c>
      <c r="B131" s="7">
        <v>0.70676339075737993</v>
      </c>
      <c r="C131" s="7">
        <v>8.2311257529143506E-2</v>
      </c>
      <c r="D131" s="8">
        <v>0</v>
      </c>
      <c r="E131" s="8">
        <v>1</v>
      </c>
      <c r="F131" s="8">
        <v>34</v>
      </c>
      <c r="G131" s="7">
        <v>0.89745945595635757</v>
      </c>
      <c r="H131" s="7">
        <v>4.9322035621993304E-2</v>
      </c>
      <c r="I131" s="8">
        <v>0</v>
      </c>
      <c r="J131" s="8">
        <v>1</v>
      </c>
      <c r="K131" s="8">
        <v>42</v>
      </c>
      <c r="L131" s="7">
        <v>0.73410738154726995</v>
      </c>
      <c r="M131" s="7">
        <v>7.0289158801824597E-2</v>
      </c>
      <c r="N131" s="8">
        <v>0</v>
      </c>
      <c r="O131" s="8">
        <v>1</v>
      </c>
      <c r="P131" s="8">
        <v>42</v>
      </c>
      <c r="Q131" s="7">
        <v>0.87908303986713809</v>
      </c>
      <c r="R131" s="7">
        <v>5.2789569621478863E-2</v>
      </c>
      <c r="S131" s="8">
        <v>0</v>
      </c>
      <c r="T131" s="8">
        <v>1</v>
      </c>
      <c r="U131" s="8">
        <v>40</v>
      </c>
      <c r="V131" s="7">
        <v>0.56438823579629216</v>
      </c>
      <c r="W131" s="7">
        <v>7.0335671964889795E-2</v>
      </c>
      <c r="X131" s="8">
        <v>0</v>
      </c>
      <c r="Y131" s="8">
        <v>1</v>
      </c>
      <c r="Z131" s="8">
        <v>100</v>
      </c>
      <c r="AA131" s="13">
        <v>0.80480908326262457</v>
      </c>
      <c r="AB131" s="7">
        <v>3.4435137521316703E-2</v>
      </c>
      <c r="AC131" s="8">
        <v>0</v>
      </c>
      <c r="AD131" s="8">
        <v>1</v>
      </c>
      <c r="AE131" s="8">
        <v>258</v>
      </c>
      <c r="AF131">
        <f>(AA132/AA130)-AA131</f>
        <v>0.10654029582701607</v>
      </c>
    </row>
    <row r="132" spans="1:32" x14ac:dyDescent="0.45">
      <c r="A132" s="6" t="s">
        <v>72</v>
      </c>
      <c r="B132" s="7">
        <v>0.13609003269716968</v>
      </c>
      <c r="C132" s="7">
        <v>5.925142498934776E-2</v>
      </c>
      <c r="D132" s="8">
        <v>0</v>
      </c>
      <c r="E132" s="8">
        <v>1</v>
      </c>
      <c r="F132" s="8">
        <v>34</v>
      </c>
      <c r="G132" s="7">
        <v>0.18650001607317804</v>
      </c>
      <c r="H132" s="7">
        <v>6.08550634427708E-2</v>
      </c>
      <c r="I132" s="8">
        <v>0</v>
      </c>
      <c r="J132" s="8">
        <v>1</v>
      </c>
      <c r="K132" s="8">
        <v>42</v>
      </c>
      <c r="L132" s="7">
        <v>0.34971920996427913</v>
      </c>
      <c r="M132" s="7">
        <v>7.592378178788739E-2</v>
      </c>
      <c r="N132" s="8">
        <v>0</v>
      </c>
      <c r="O132" s="8">
        <v>1</v>
      </c>
      <c r="P132" s="8">
        <v>42</v>
      </c>
      <c r="Q132" s="7">
        <v>0.63172364468165387</v>
      </c>
      <c r="R132" s="7">
        <v>7.9755570251273375E-2</v>
      </c>
      <c r="S132" s="8">
        <v>0</v>
      </c>
      <c r="T132" s="8">
        <v>1</v>
      </c>
      <c r="U132" s="8">
        <v>40</v>
      </c>
      <c r="V132" s="7">
        <v>0.36558580455867851</v>
      </c>
      <c r="W132" s="7">
        <v>6.3904744401805866E-2</v>
      </c>
      <c r="X132" s="8">
        <v>0</v>
      </c>
      <c r="Y132" s="8">
        <v>1</v>
      </c>
      <c r="Z132" s="8">
        <v>100</v>
      </c>
      <c r="AA132" s="13">
        <v>0.35677859129010642</v>
      </c>
      <c r="AB132" s="7">
        <v>4.1282187695194927E-2</v>
      </c>
      <c r="AC132" s="8">
        <v>0</v>
      </c>
      <c r="AD132" s="8">
        <v>1</v>
      </c>
      <c r="AE132" s="8">
        <v>258</v>
      </c>
    </row>
    <row r="133" spans="1:32" x14ac:dyDescent="0.45">
      <c r="A133" s="6" t="s">
        <v>28</v>
      </c>
      <c r="B133" s="7">
        <v>0.16060683353603622</v>
      </c>
      <c r="C133" s="7">
        <v>6.3104178008598577E-2</v>
      </c>
      <c r="D133" s="8">
        <v>0</v>
      </c>
      <c r="E133" s="8">
        <v>1</v>
      </c>
      <c r="F133" s="8">
        <v>34</v>
      </c>
      <c r="G133" s="7">
        <v>0.18650001607317804</v>
      </c>
      <c r="H133" s="7">
        <v>6.08550634427708E-2</v>
      </c>
      <c r="I133" s="8">
        <v>0</v>
      </c>
      <c r="J133" s="8">
        <v>1</v>
      </c>
      <c r="K133" s="8">
        <v>42</v>
      </c>
      <c r="L133" s="7">
        <v>0.39436733839662452</v>
      </c>
      <c r="M133" s="7">
        <v>7.7850298089584935E-2</v>
      </c>
      <c r="N133" s="8">
        <v>0</v>
      </c>
      <c r="O133" s="8">
        <v>1</v>
      </c>
      <c r="P133" s="8">
        <v>42</v>
      </c>
      <c r="Q133" s="7">
        <v>0.69537622401646959</v>
      </c>
      <c r="R133" s="7">
        <v>7.7013327808946444E-2</v>
      </c>
      <c r="S133" s="8">
        <v>0</v>
      </c>
      <c r="T133" s="8">
        <v>1</v>
      </c>
      <c r="U133" s="8">
        <v>40</v>
      </c>
      <c r="V133" s="7">
        <v>0.38609576035540805</v>
      </c>
      <c r="W133" s="7">
        <v>6.5209352136426937E-2</v>
      </c>
      <c r="X133" s="8">
        <v>0</v>
      </c>
      <c r="Y133" s="8">
        <v>1</v>
      </c>
      <c r="Z133" s="8">
        <v>100</v>
      </c>
      <c r="AA133" s="13">
        <v>0.39148388036045784</v>
      </c>
      <c r="AB133" s="7">
        <v>4.207767278054346E-2</v>
      </c>
      <c r="AC133" s="8">
        <v>0</v>
      </c>
      <c r="AD133" s="8">
        <v>1</v>
      </c>
      <c r="AE133" s="8">
        <v>258</v>
      </c>
      <c r="AF133">
        <f>(AA135/AA134)-AA133</f>
        <v>0.16393372971665904</v>
      </c>
    </row>
    <row r="134" spans="1:32" x14ac:dyDescent="0.45">
      <c r="A134" s="6" t="s">
        <v>44</v>
      </c>
      <c r="B134" s="7">
        <v>0.26296232107028095</v>
      </c>
      <c r="C134" s="7">
        <v>8.0971230867118368E-2</v>
      </c>
      <c r="D134" s="8">
        <v>0</v>
      </c>
      <c r="E134" s="8">
        <v>1</v>
      </c>
      <c r="F134" s="8">
        <v>34</v>
      </c>
      <c r="G134" s="7">
        <v>0.35571464744938486</v>
      </c>
      <c r="H134" s="7">
        <v>7.5377725145722718E-2</v>
      </c>
      <c r="I134" s="8">
        <v>0</v>
      </c>
      <c r="J134" s="8">
        <v>1</v>
      </c>
      <c r="K134" s="8">
        <v>42</v>
      </c>
      <c r="L134" s="7">
        <v>0.32429932744398482</v>
      </c>
      <c r="M134" s="7">
        <v>7.5510042392919433E-2</v>
      </c>
      <c r="N134" s="8">
        <v>0</v>
      </c>
      <c r="O134" s="8">
        <v>1</v>
      </c>
      <c r="P134" s="8">
        <v>42</v>
      </c>
      <c r="Q134" s="7">
        <v>0.48486364033758289</v>
      </c>
      <c r="R134" s="7">
        <v>8.2351680282883519E-2</v>
      </c>
      <c r="S134" s="8">
        <v>0</v>
      </c>
      <c r="T134" s="8">
        <v>1</v>
      </c>
      <c r="U134" s="8">
        <v>40</v>
      </c>
      <c r="V134" s="7">
        <v>0.24605417111353658</v>
      </c>
      <c r="W134" s="7">
        <v>5.5580698511919616E-2</v>
      </c>
      <c r="X134" s="8">
        <v>0</v>
      </c>
      <c r="Y134" s="8">
        <v>1</v>
      </c>
      <c r="Z134" s="8">
        <v>100</v>
      </c>
      <c r="AA134" s="13">
        <v>0.36324676446651744</v>
      </c>
      <c r="AB134" s="7">
        <v>4.1670411595932391E-2</v>
      </c>
      <c r="AC134" s="8">
        <v>0</v>
      </c>
      <c r="AD134" s="8">
        <v>1</v>
      </c>
      <c r="AE134" s="8">
        <v>258</v>
      </c>
      <c r="AF134">
        <f>(AA135/AA133)-AA134</f>
        <v>0.15210944790798525</v>
      </c>
    </row>
    <row r="135" spans="1:32" x14ac:dyDescent="0.45">
      <c r="A135" s="6" t="s">
        <v>73</v>
      </c>
      <c r="B135" s="7">
        <v>7.1597355011627992E-2</v>
      </c>
      <c r="C135" s="7">
        <v>4.1019575193236901E-2</v>
      </c>
      <c r="D135" s="8">
        <v>0</v>
      </c>
      <c r="E135" s="8">
        <v>1</v>
      </c>
      <c r="F135" s="8">
        <v>34</v>
      </c>
      <c r="G135" s="7">
        <v>6.8819640814795843E-2</v>
      </c>
      <c r="H135" s="7">
        <v>3.9118597411974751E-2</v>
      </c>
      <c r="I135" s="8">
        <v>0</v>
      </c>
      <c r="J135" s="8">
        <v>1</v>
      </c>
      <c r="K135" s="8">
        <v>42</v>
      </c>
      <c r="L135" s="7">
        <v>0.16862186268042589</v>
      </c>
      <c r="M135" s="7">
        <v>5.9598905656514711E-2</v>
      </c>
      <c r="N135" s="8">
        <v>0</v>
      </c>
      <c r="O135" s="8">
        <v>1</v>
      </c>
      <c r="P135" s="8">
        <v>42</v>
      </c>
      <c r="Q135" s="7">
        <v>0.45178918965504039</v>
      </c>
      <c r="R135" s="7">
        <v>8.1971537965296076E-2</v>
      </c>
      <c r="S135" s="8">
        <v>0</v>
      </c>
      <c r="T135" s="8">
        <v>1</v>
      </c>
      <c r="U135" s="8">
        <v>40</v>
      </c>
      <c r="V135" s="7">
        <v>0.22712351308695961</v>
      </c>
      <c r="W135" s="7">
        <v>5.476717936381581E-2</v>
      </c>
      <c r="X135" s="8">
        <v>0</v>
      </c>
      <c r="Y135" s="8">
        <v>1</v>
      </c>
      <c r="Z135" s="8">
        <v>100</v>
      </c>
      <c r="AA135" s="13">
        <v>0.20175364978823851</v>
      </c>
      <c r="AB135" s="7">
        <v>3.4103255626985601E-2</v>
      </c>
      <c r="AC135" s="8">
        <v>0</v>
      </c>
      <c r="AD135" s="8">
        <v>1</v>
      </c>
      <c r="AE135" s="8">
        <v>258</v>
      </c>
    </row>
    <row r="136" spans="1:32" x14ac:dyDescent="0.45">
      <c r="A136" s="6" t="s">
        <v>28</v>
      </c>
      <c r="B136" s="7">
        <v>0.16060683353603622</v>
      </c>
      <c r="C136" s="7">
        <v>6.3104178008598577E-2</v>
      </c>
      <c r="D136" s="8">
        <v>0</v>
      </c>
      <c r="E136" s="8">
        <v>1</v>
      </c>
      <c r="F136" s="8">
        <v>34</v>
      </c>
      <c r="G136" s="7">
        <v>0.18650001607317804</v>
      </c>
      <c r="H136" s="7">
        <v>6.08550634427708E-2</v>
      </c>
      <c r="I136" s="8">
        <v>0</v>
      </c>
      <c r="J136" s="8">
        <v>1</v>
      </c>
      <c r="K136" s="8">
        <v>42</v>
      </c>
      <c r="L136" s="7">
        <v>0.39436733839662452</v>
      </c>
      <c r="M136" s="7">
        <v>7.7850298089584935E-2</v>
      </c>
      <c r="N136" s="8">
        <v>0</v>
      </c>
      <c r="O136" s="8">
        <v>1</v>
      </c>
      <c r="P136" s="8">
        <v>42</v>
      </c>
      <c r="Q136" s="7">
        <v>0.69537622401646959</v>
      </c>
      <c r="R136" s="7">
        <v>7.7013327808946444E-2</v>
      </c>
      <c r="S136" s="8">
        <v>0</v>
      </c>
      <c r="T136" s="8">
        <v>1</v>
      </c>
      <c r="U136" s="8">
        <v>40</v>
      </c>
      <c r="V136" s="7">
        <v>0.38609576035540805</v>
      </c>
      <c r="W136" s="7">
        <v>6.5209352136426937E-2</v>
      </c>
      <c r="X136" s="8">
        <v>0</v>
      </c>
      <c r="Y136" s="8">
        <v>1</v>
      </c>
      <c r="Z136" s="8">
        <v>100</v>
      </c>
      <c r="AA136" s="13">
        <v>0.39148388036045784</v>
      </c>
      <c r="AB136" s="7">
        <v>4.207767278054346E-2</v>
      </c>
      <c r="AC136" s="8">
        <v>0</v>
      </c>
      <c r="AD136" s="8">
        <v>1</v>
      </c>
      <c r="AE136" s="8">
        <v>258</v>
      </c>
      <c r="AF136">
        <f>(AA138/AA137)-AA136</f>
        <v>1.673834981818656E-2</v>
      </c>
    </row>
    <row r="137" spans="1:32" ht="39.4" x14ac:dyDescent="0.45">
      <c r="A137" s="6" t="s">
        <v>16</v>
      </c>
      <c r="B137" s="7">
        <v>0.95226292316662886</v>
      </c>
      <c r="C137" s="7">
        <v>3.3757095360377097E-2</v>
      </c>
      <c r="D137" s="8">
        <v>0</v>
      </c>
      <c r="E137" s="8">
        <v>1</v>
      </c>
      <c r="F137" s="8">
        <v>34</v>
      </c>
      <c r="G137" s="7">
        <v>0.96979725445447418</v>
      </c>
      <c r="H137" s="7">
        <v>3.0016012175185333E-2</v>
      </c>
      <c r="I137" s="8">
        <v>0</v>
      </c>
      <c r="J137" s="8">
        <v>1</v>
      </c>
      <c r="K137" s="8">
        <v>42</v>
      </c>
      <c r="L137" s="7">
        <v>0.8651891068027362</v>
      </c>
      <c r="M137" s="7">
        <v>5.335387479096497E-2</v>
      </c>
      <c r="N137" s="8">
        <v>0</v>
      </c>
      <c r="O137" s="8">
        <v>1</v>
      </c>
      <c r="P137" s="8">
        <v>42</v>
      </c>
      <c r="Q137" s="7">
        <v>0.94904190046407078</v>
      </c>
      <c r="R137" s="7">
        <v>3.5591246809232757E-2</v>
      </c>
      <c r="S137" s="8">
        <v>0</v>
      </c>
      <c r="T137" s="8">
        <v>1</v>
      </c>
      <c r="U137" s="8">
        <v>40</v>
      </c>
      <c r="V137" s="7">
        <v>0.63213682862253961</v>
      </c>
      <c r="W137" s="7">
        <v>6.9040852741309167E-2</v>
      </c>
      <c r="X137" s="8">
        <v>0</v>
      </c>
      <c r="Y137" s="8">
        <v>1</v>
      </c>
      <c r="Z137" s="8">
        <v>100</v>
      </c>
      <c r="AA137" s="13">
        <v>0.91060279847159487</v>
      </c>
      <c r="AB137" s="7">
        <v>2.4747957456819576E-2</v>
      </c>
      <c r="AC137" s="8">
        <v>0</v>
      </c>
      <c r="AD137" s="8">
        <v>1</v>
      </c>
      <c r="AE137" s="8">
        <v>258</v>
      </c>
      <c r="AF137">
        <f>(AA138/AA136)-AA137</f>
        <v>3.893388451193236E-2</v>
      </c>
    </row>
    <row r="138" spans="1:32" x14ac:dyDescent="0.45">
      <c r="A138" s="6" t="s">
        <v>74</v>
      </c>
      <c r="B138" s="7">
        <v>0.11286975670266503</v>
      </c>
      <c r="C138" s="7">
        <v>5.5404657256492636E-2</v>
      </c>
      <c r="D138" s="8">
        <v>0</v>
      </c>
      <c r="E138" s="8">
        <v>1</v>
      </c>
      <c r="F138" s="8">
        <v>34</v>
      </c>
      <c r="G138" s="7">
        <v>0.18650001607317804</v>
      </c>
      <c r="H138" s="7">
        <v>6.08550634427708E-2</v>
      </c>
      <c r="I138" s="8">
        <v>0</v>
      </c>
      <c r="J138" s="8">
        <v>1</v>
      </c>
      <c r="K138" s="8">
        <v>42</v>
      </c>
      <c r="L138" s="7">
        <v>0.36849175645961446</v>
      </c>
      <c r="M138" s="7">
        <v>7.6652236498842674E-2</v>
      </c>
      <c r="N138" s="8">
        <v>0</v>
      </c>
      <c r="O138" s="8">
        <v>1</v>
      </c>
      <c r="P138" s="8">
        <v>42</v>
      </c>
      <c r="Q138" s="7">
        <v>0.66944990162167928</v>
      </c>
      <c r="R138" s="7">
        <v>7.8474718566228341E-2</v>
      </c>
      <c r="S138" s="8">
        <v>0</v>
      </c>
      <c r="T138" s="8">
        <v>1</v>
      </c>
      <c r="U138" s="8">
        <v>40</v>
      </c>
      <c r="V138" s="7">
        <v>0.37020869575144028</v>
      </c>
      <c r="W138" s="7">
        <v>6.4711776352660955E-2</v>
      </c>
      <c r="X138" s="8">
        <v>0</v>
      </c>
      <c r="Y138" s="8">
        <v>1</v>
      </c>
      <c r="Z138" s="8">
        <v>100</v>
      </c>
      <c r="AA138" s="13">
        <v>0.37172830519898914</v>
      </c>
      <c r="AB138" s="7">
        <v>4.1612676550751265E-2</v>
      </c>
      <c r="AC138" s="8">
        <v>0</v>
      </c>
      <c r="AD138" s="8">
        <v>1</v>
      </c>
      <c r="AE138" s="8">
        <v>258</v>
      </c>
    </row>
    <row r="139" spans="1:32" x14ac:dyDescent="0.45">
      <c r="A139" s="6" t="s">
        <v>28</v>
      </c>
      <c r="B139" s="7">
        <v>0.16060683353603622</v>
      </c>
      <c r="C139" s="7">
        <v>6.3104178008598577E-2</v>
      </c>
      <c r="D139" s="8">
        <v>0</v>
      </c>
      <c r="E139" s="8">
        <v>1</v>
      </c>
      <c r="F139" s="8">
        <v>34</v>
      </c>
      <c r="G139" s="7">
        <v>0.18650001607317804</v>
      </c>
      <c r="H139" s="7">
        <v>6.08550634427708E-2</v>
      </c>
      <c r="I139" s="8">
        <v>0</v>
      </c>
      <c r="J139" s="8">
        <v>1</v>
      </c>
      <c r="K139" s="8">
        <v>42</v>
      </c>
      <c r="L139" s="7">
        <v>0.39436733839662452</v>
      </c>
      <c r="M139" s="7">
        <v>7.7850298089584935E-2</v>
      </c>
      <c r="N139" s="8">
        <v>0</v>
      </c>
      <c r="O139" s="8">
        <v>1</v>
      </c>
      <c r="P139" s="8">
        <v>42</v>
      </c>
      <c r="Q139" s="7">
        <v>0.69537622401646959</v>
      </c>
      <c r="R139" s="7">
        <v>7.7013327808946444E-2</v>
      </c>
      <c r="S139" s="8">
        <v>0</v>
      </c>
      <c r="T139" s="8">
        <v>1</v>
      </c>
      <c r="U139" s="8">
        <v>40</v>
      </c>
      <c r="V139" s="7">
        <v>0.38609576035540805</v>
      </c>
      <c r="W139" s="7">
        <v>6.5209352136426937E-2</v>
      </c>
      <c r="X139" s="8">
        <v>0</v>
      </c>
      <c r="Y139" s="8">
        <v>1</v>
      </c>
      <c r="Z139" s="8">
        <v>100</v>
      </c>
      <c r="AA139" s="13">
        <v>0.39148388036045784</v>
      </c>
      <c r="AB139" s="7">
        <v>4.207767278054346E-2</v>
      </c>
      <c r="AC139" s="8">
        <v>0</v>
      </c>
      <c r="AD139" s="8">
        <v>1</v>
      </c>
      <c r="AE139" s="8">
        <v>258</v>
      </c>
      <c r="AF139">
        <f>(AA141/AA140)-AA139</f>
        <v>3.3161606774487151E-2</v>
      </c>
    </row>
    <row r="140" spans="1:32" ht="39.4" x14ac:dyDescent="0.45">
      <c r="A140" s="6" t="s">
        <v>18</v>
      </c>
      <c r="B140" s="7">
        <v>0.95343656614872163</v>
      </c>
      <c r="C140" s="7">
        <v>3.2998861160736311E-2</v>
      </c>
      <c r="D140" s="8">
        <v>0</v>
      </c>
      <c r="E140" s="8">
        <v>1</v>
      </c>
      <c r="F140" s="8">
        <v>34</v>
      </c>
      <c r="G140" s="7">
        <v>0.96979725445447418</v>
      </c>
      <c r="H140" s="7">
        <v>3.0016012175185333E-2</v>
      </c>
      <c r="I140" s="8">
        <v>0</v>
      </c>
      <c r="J140" s="8">
        <v>1</v>
      </c>
      <c r="K140" s="8">
        <v>42</v>
      </c>
      <c r="L140" s="7">
        <v>0.8699809970787199</v>
      </c>
      <c r="M140" s="7">
        <v>5.4941364171145674E-2</v>
      </c>
      <c r="N140" s="8">
        <v>0</v>
      </c>
      <c r="O140" s="8">
        <v>1</v>
      </c>
      <c r="P140" s="8">
        <v>42</v>
      </c>
      <c r="Q140" s="7">
        <v>0.9749682228588612</v>
      </c>
      <c r="R140" s="7">
        <v>2.5049499255806983E-2</v>
      </c>
      <c r="S140" s="8">
        <v>0</v>
      </c>
      <c r="T140" s="8">
        <v>1</v>
      </c>
      <c r="U140" s="8">
        <v>40</v>
      </c>
      <c r="V140" s="7">
        <v>0.63023599596706159</v>
      </c>
      <c r="W140" s="7">
        <v>6.9774465060460464E-2</v>
      </c>
      <c r="X140" s="8">
        <v>0</v>
      </c>
      <c r="Y140" s="8">
        <v>1</v>
      </c>
      <c r="Z140" s="8">
        <v>100</v>
      </c>
      <c r="AA140" s="13">
        <v>0.91845222109286739</v>
      </c>
      <c r="AB140" s="7">
        <v>2.4806962700400701E-2</v>
      </c>
      <c r="AC140" s="8">
        <v>0</v>
      </c>
      <c r="AD140" s="8">
        <v>1</v>
      </c>
      <c r="AE140" s="8">
        <v>258</v>
      </c>
      <c r="AF140">
        <f>(AA141/AA139)-AA140</f>
        <v>7.7799758623503079E-2</v>
      </c>
    </row>
    <row r="141" spans="1:32" x14ac:dyDescent="0.45">
      <c r="A141" s="6" t="s">
        <v>75</v>
      </c>
      <c r="B141" s="7">
        <v>0.13609003269716968</v>
      </c>
      <c r="C141" s="7">
        <v>5.925142498934776E-2</v>
      </c>
      <c r="D141" s="8">
        <v>0</v>
      </c>
      <c r="E141" s="8">
        <v>1</v>
      </c>
      <c r="F141" s="8">
        <v>34</v>
      </c>
      <c r="G141" s="7">
        <v>0.18650001607317804</v>
      </c>
      <c r="H141" s="7">
        <v>6.08550634427708E-2</v>
      </c>
      <c r="I141" s="8">
        <v>0</v>
      </c>
      <c r="J141" s="8">
        <v>1</v>
      </c>
      <c r="K141" s="8">
        <v>42</v>
      </c>
      <c r="L141" s="7">
        <v>0.39436733839662452</v>
      </c>
      <c r="M141" s="7">
        <v>7.7850298089584935E-2</v>
      </c>
      <c r="N141" s="8">
        <v>0</v>
      </c>
      <c r="O141" s="8">
        <v>1</v>
      </c>
      <c r="P141" s="8">
        <v>42</v>
      </c>
      <c r="Q141" s="7">
        <v>0.69537622401646959</v>
      </c>
      <c r="R141" s="7">
        <v>7.7013327808946444E-2</v>
      </c>
      <c r="S141" s="8">
        <v>0</v>
      </c>
      <c r="T141" s="8">
        <v>1</v>
      </c>
      <c r="U141" s="8">
        <v>40</v>
      </c>
      <c r="V141" s="7">
        <v>0.38609576035540805</v>
      </c>
      <c r="W141" s="7">
        <v>6.5209352136426937E-2</v>
      </c>
      <c r="X141" s="8">
        <v>0</v>
      </c>
      <c r="Y141" s="8">
        <v>1</v>
      </c>
      <c r="Z141" s="8">
        <v>100</v>
      </c>
      <c r="AA141" s="13">
        <v>0.39001659083615287</v>
      </c>
      <c r="AB141" s="7">
        <v>4.2069092769226553E-2</v>
      </c>
      <c r="AC141" s="8">
        <v>0</v>
      </c>
      <c r="AD141" s="8">
        <v>1</v>
      </c>
      <c r="AE141" s="8">
        <v>258</v>
      </c>
    </row>
    <row r="142" spans="1:32" x14ac:dyDescent="0.45">
      <c r="A142" s="6" t="s">
        <v>28</v>
      </c>
      <c r="B142" s="7">
        <v>0.16060683353603622</v>
      </c>
      <c r="C142" s="7">
        <v>6.3104178008598577E-2</v>
      </c>
      <c r="D142" s="8">
        <v>0</v>
      </c>
      <c r="E142" s="8">
        <v>1</v>
      </c>
      <c r="F142" s="8">
        <v>34</v>
      </c>
      <c r="G142" s="7">
        <v>0.18650001607317804</v>
      </c>
      <c r="H142" s="7">
        <v>6.08550634427708E-2</v>
      </c>
      <c r="I142" s="8">
        <v>0</v>
      </c>
      <c r="J142" s="8">
        <v>1</v>
      </c>
      <c r="K142" s="8">
        <v>42</v>
      </c>
      <c r="L142" s="7">
        <v>0.39436733839662452</v>
      </c>
      <c r="M142" s="7">
        <v>7.7850298089584935E-2</v>
      </c>
      <c r="N142" s="8">
        <v>0</v>
      </c>
      <c r="O142" s="8">
        <v>1</v>
      </c>
      <c r="P142" s="8">
        <v>42</v>
      </c>
      <c r="Q142" s="7">
        <v>0.69537622401646959</v>
      </c>
      <c r="R142" s="7">
        <v>7.7013327808946444E-2</v>
      </c>
      <c r="S142" s="8">
        <v>0</v>
      </c>
      <c r="T142" s="8">
        <v>1</v>
      </c>
      <c r="U142" s="8">
        <v>40</v>
      </c>
      <c r="V142" s="7">
        <v>0.38609576035540805</v>
      </c>
      <c r="W142" s="7">
        <v>6.5209352136426937E-2</v>
      </c>
      <c r="X142" s="8">
        <v>0</v>
      </c>
      <c r="Y142" s="8">
        <v>1</v>
      </c>
      <c r="Z142" s="8">
        <v>100</v>
      </c>
      <c r="AA142" s="13">
        <v>0.39148388036045784</v>
      </c>
      <c r="AB142" s="7">
        <v>4.207767278054346E-2</v>
      </c>
      <c r="AC142" s="8">
        <v>0</v>
      </c>
      <c r="AD142" s="8">
        <v>1</v>
      </c>
      <c r="AE142" s="8">
        <v>258</v>
      </c>
      <c r="AF142">
        <f>(AA144/AA143)-AA142</f>
        <v>3.0318284049399902E-2</v>
      </c>
    </row>
    <row r="143" spans="1:32" ht="39.4" x14ac:dyDescent="0.45">
      <c r="A143" s="6" t="s">
        <v>20</v>
      </c>
      <c r="B143" s="7">
        <v>0.90678716876013998</v>
      </c>
      <c r="C143" s="7">
        <v>4.9177473357267902E-2</v>
      </c>
      <c r="D143" s="8">
        <v>0</v>
      </c>
      <c r="E143" s="8">
        <v>1</v>
      </c>
      <c r="F143" s="8">
        <v>34</v>
      </c>
      <c r="G143" s="7">
        <v>0.89891076629469935</v>
      </c>
      <c r="H143" s="7">
        <v>4.8893744591203998E-2</v>
      </c>
      <c r="I143" s="8">
        <v>0</v>
      </c>
      <c r="J143" s="8">
        <v>1</v>
      </c>
      <c r="K143" s="8">
        <v>42</v>
      </c>
      <c r="L143" s="7">
        <v>0.83274552255977152</v>
      </c>
      <c r="M143" s="7">
        <v>5.9834974582738454E-2</v>
      </c>
      <c r="N143" s="8">
        <v>0</v>
      </c>
      <c r="O143" s="8">
        <v>1</v>
      </c>
      <c r="P143" s="8">
        <v>42</v>
      </c>
      <c r="Q143" s="7">
        <v>0.94871856326789294</v>
      </c>
      <c r="R143" s="7">
        <v>3.5809222533905935E-2</v>
      </c>
      <c r="S143" s="8">
        <v>0</v>
      </c>
      <c r="T143" s="8">
        <v>1</v>
      </c>
      <c r="U143" s="8">
        <v>40</v>
      </c>
      <c r="V143" s="7">
        <v>0.46705017304122987</v>
      </c>
      <c r="W143" s="7">
        <v>6.8874379217115159E-2</v>
      </c>
      <c r="X143" s="8">
        <v>0</v>
      </c>
      <c r="Y143" s="8">
        <v>1</v>
      </c>
      <c r="Z143" s="8">
        <v>100</v>
      </c>
      <c r="AA143" s="13">
        <v>0.86977609404131639</v>
      </c>
      <c r="AB143" s="7">
        <v>2.9171246830362617E-2</v>
      </c>
      <c r="AC143" s="8">
        <v>0</v>
      </c>
      <c r="AD143" s="8">
        <v>1</v>
      </c>
      <c r="AE143" s="8">
        <v>258</v>
      </c>
      <c r="AF143">
        <f>(AA144/AA142)-AA143</f>
        <v>6.7359398436129592E-2</v>
      </c>
    </row>
    <row r="144" spans="1:32" x14ac:dyDescent="0.45">
      <c r="A144" s="6" t="s">
        <v>76</v>
      </c>
      <c r="B144" s="7">
        <v>0.13609003269716968</v>
      </c>
      <c r="C144" s="7">
        <v>5.925142498934776E-2</v>
      </c>
      <c r="D144" s="8">
        <v>0</v>
      </c>
      <c r="E144" s="8">
        <v>1</v>
      </c>
      <c r="F144" s="8">
        <v>34</v>
      </c>
      <c r="G144" s="7">
        <v>0.1667816630896341</v>
      </c>
      <c r="H144" s="7">
        <v>5.8655824062828571E-2</v>
      </c>
      <c r="I144" s="8">
        <v>0</v>
      </c>
      <c r="J144" s="8">
        <v>1</v>
      </c>
      <c r="K144" s="8">
        <v>42</v>
      </c>
      <c r="L144" s="7">
        <v>0.36889721112276863</v>
      </c>
      <c r="M144" s="7">
        <v>7.6691076410837111E-2</v>
      </c>
      <c r="N144" s="8">
        <v>0</v>
      </c>
      <c r="O144" s="8">
        <v>1</v>
      </c>
      <c r="P144" s="8">
        <v>42</v>
      </c>
      <c r="Q144" s="7">
        <v>0.66912656442550134</v>
      </c>
      <c r="R144" s="7">
        <v>7.8510118240506924E-2</v>
      </c>
      <c r="S144" s="8">
        <v>0</v>
      </c>
      <c r="T144" s="8">
        <v>1</v>
      </c>
      <c r="U144" s="8">
        <v>40</v>
      </c>
      <c r="V144" s="7">
        <v>0.34228978747681799</v>
      </c>
      <c r="W144" s="7">
        <v>6.3892221632521867E-2</v>
      </c>
      <c r="X144" s="8">
        <v>0</v>
      </c>
      <c r="Y144" s="8">
        <v>1</v>
      </c>
      <c r="Z144" s="8">
        <v>100</v>
      </c>
      <c r="AA144" s="13">
        <v>0.36687343901857922</v>
      </c>
      <c r="AB144" s="7">
        <v>4.1523643268566751E-2</v>
      </c>
      <c r="AC144" s="8">
        <v>0</v>
      </c>
      <c r="AD144" s="8">
        <v>1</v>
      </c>
      <c r="AE144" s="8">
        <v>258</v>
      </c>
    </row>
    <row r="145" spans="1:32" x14ac:dyDescent="0.45">
      <c r="A145" s="6" t="s">
        <v>28</v>
      </c>
      <c r="B145" s="7">
        <v>0.16060683353603622</v>
      </c>
      <c r="C145" s="7">
        <v>6.3104178008598577E-2</v>
      </c>
      <c r="D145" s="8">
        <v>0</v>
      </c>
      <c r="E145" s="8">
        <v>1</v>
      </c>
      <c r="F145" s="8">
        <v>34</v>
      </c>
      <c r="G145" s="7">
        <v>0.18650001607317804</v>
      </c>
      <c r="H145" s="7">
        <v>6.08550634427708E-2</v>
      </c>
      <c r="I145" s="8">
        <v>0</v>
      </c>
      <c r="J145" s="8">
        <v>1</v>
      </c>
      <c r="K145" s="8">
        <v>42</v>
      </c>
      <c r="L145" s="7">
        <v>0.39436733839662452</v>
      </c>
      <c r="M145" s="7">
        <v>7.7850298089584935E-2</v>
      </c>
      <c r="N145" s="8">
        <v>0</v>
      </c>
      <c r="O145" s="8">
        <v>1</v>
      </c>
      <c r="P145" s="8">
        <v>42</v>
      </c>
      <c r="Q145" s="7">
        <v>0.69537622401646959</v>
      </c>
      <c r="R145" s="7">
        <v>7.7013327808946444E-2</v>
      </c>
      <c r="S145" s="8">
        <v>0</v>
      </c>
      <c r="T145" s="8">
        <v>1</v>
      </c>
      <c r="U145" s="8">
        <v>40</v>
      </c>
      <c r="V145" s="7">
        <v>0.38609576035540805</v>
      </c>
      <c r="W145" s="7">
        <v>6.5209352136426937E-2</v>
      </c>
      <c r="X145" s="8">
        <v>0</v>
      </c>
      <c r="Y145" s="8">
        <v>1</v>
      </c>
      <c r="Z145" s="8">
        <v>100</v>
      </c>
      <c r="AA145" s="13">
        <v>0.39148388036045784</v>
      </c>
      <c r="AB145" s="7">
        <v>4.207767278054346E-2</v>
      </c>
      <c r="AC145" s="8">
        <v>0</v>
      </c>
      <c r="AD145" s="8">
        <v>1</v>
      </c>
      <c r="AE145" s="8">
        <v>258</v>
      </c>
      <c r="AF145">
        <f>(AA147/AA146)-AA145</f>
        <v>1.7946816440136293E-2</v>
      </c>
    </row>
    <row r="146" spans="1:32" ht="26.25" x14ac:dyDescent="0.45">
      <c r="A146" s="6" t="s">
        <v>22</v>
      </c>
      <c r="B146" s="7">
        <v>0.84952162550522947</v>
      </c>
      <c r="C146" s="7">
        <v>6.1545774275045921E-2</v>
      </c>
      <c r="D146" s="8">
        <v>0</v>
      </c>
      <c r="E146" s="8">
        <v>1</v>
      </c>
      <c r="F146" s="8">
        <v>34</v>
      </c>
      <c r="G146" s="7">
        <v>0.96979725445447418</v>
      </c>
      <c r="H146" s="7">
        <v>3.0016012175185333E-2</v>
      </c>
      <c r="I146" s="8">
        <v>0</v>
      </c>
      <c r="J146" s="8">
        <v>1</v>
      </c>
      <c r="K146" s="8">
        <v>42</v>
      </c>
      <c r="L146" s="7">
        <v>0.8581968674576721</v>
      </c>
      <c r="M146" s="7">
        <v>5.4732643111864598E-2</v>
      </c>
      <c r="N146" s="8">
        <v>0</v>
      </c>
      <c r="O146" s="8">
        <v>1</v>
      </c>
      <c r="P146" s="8">
        <v>42</v>
      </c>
      <c r="Q146" s="7">
        <v>0.9749682228588612</v>
      </c>
      <c r="R146" s="7">
        <v>2.5049499255806983E-2</v>
      </c>
      <c r="S146" s="8">
        <v>0</v>
      </c>
      <c r="T146" s="8">
        <v>1</v>
      </c>
      <c r="U146" s="8">
        <v>40</v>
      </c>
      <c r="V146" s="7">
        <v>0.65979065777482815</v>
      </c>
      <c r="W146" s="7">
        <v>6.9173406705135554E-2</v>
      </c>
      <c r="X146" s="8">
        <v>0</v>
      </c>
      <c r="Y146" s="8">
        <v>1</v>
      </c>
      <c r="Z146" s="8">
        <v>100</v>
      </c>
      <c r="AA146" s="13">
        <v>0.90843054717269422</v>
      </c>
      <c r="AB146" s="7">
        <v>2.4885705943311916E-2</v>
      </c>
      <c r="AC146" s="8">
        <v>0</v>
      </c>
      <c r="AD146" s="8">
        <v>1</v>
      </c>
      <c r="AE146" s="8">
        <v>258</v>
      </c>
      <c r="AF146">
        <f>(AA147/AA145)-AA146</f>
        <v>4.1645230101708286E-2</v>
      </c>
    </row>
    <row r="147" spans="1:32" x14ac:dyDescent="0.45">
      <c r="A147" s="6" t="s">
        <v>77</v>
      </c>
      <c r="B147" s="7">
        <v>0.13609003269716968</v>
      </c>
      <c r="C147" s="7">
        <v>5.925142498934776E-2</v>
      </c>
      <c r="D147" s="8">
        <v>0</v>
      </c>
      <c r="E147" s="8">
        <v>1</v>
      </c>
      <c r="F147" s="8">
        <v>34</v>
      </c>
      <c r="G147" s="7">
        <v>0.18650001607317804</v>
      </c>
      <c r="H147" s="7">
        <v>6.08550634427708E-2</v>
      </c>
      <c r="I147" s="8">
        <v>0</v>
      </c>
      <c r="J147" s="8">
        <v>1</v>
      </c>
      <c r="K147" s="8">
        <v>42</v>
      </c>
      <c r="L147" s="7">
        <v>0.34971920996427913</v>
      </c>
      <c r="M147" s="7">
        <v>7.592378178788739E-2</v>
      </c>
      <c r="N147" s="8">
        <v>0</v>
      </c>
      <c r="O147" s="8">
        <v>1</v>
      </c>
      <c r="P147" s="8">
        <v>42</v>
      </c>
      <c r="Q147" s="7">
        <v>0.69537622401646959</v>
      </c>
      <c r="R147" s="7">
        <v>7.7013327808946444E-2</v>
      </c>
      <c r="S147" s="8">
        <v>0</v>
      </c>
      <c r="T147" s="8">
        <v>1</v>
      </c>
      <c r="U147" s="8">
        <v>40</v>
      </c>
      <c r="V147" s="7">
        <v>0.38609576035540805</v>
      </c>
      <c r="W147" s="7">
        <v>6.5209352136426937E-2</v>
      </c>
      <c r="X147" s="8">
        <v>0</v>
      </c>
      <c r="Y147" s="8">
        <v>1</v>
      </c>
      <c r="Z147" s="8">
        <v>100</v>
      </c>
      <c r="AA147" s="13">
        <v>0.37193935192386118</v>
      </c>
      <c r="AB147" s="7">
        <v>4.1556580708614024E-2</v>
      </c>
      <c r="AC147" s="8">
        <v>0</v>
      </c>
      <c r="AD147" s="8">
        <v>1</v>
      </c>
      <c r="AE147" s="8">
        <v>258</v>
      </c>
    </row>
    <row r="148" spans="1:32" x14ac:dyDescent="0.45">
      <c r="A148" s="6" t="s">
        <v>28</v>
      </c>
      <c r="B148" s="7">
        <v>0.16060683353603622</v>
      </c>
      <c r="C148" s="7">
        <v>6.3104178008598577E-2</v>
      </c>
      <c r="D148" s="8">
        <v>0</v>
      </c>
      <c r="E148" s="8">
        <v>1</v>
      </c>
      <c r="F148" s="8">
        <v>34</v>
      </c>
      <c r="G148" s="7">
        <v>0.18650001607317804</v>
      </c>
      <c r="H148" s="7">
        <v>6.08550634427708E-2</v>
      </c>
      <c r="I148" s="8">
        <v>0</v>
      </c>
      <c r="J148" s="8">
        <v>1</v>
      </c>
      <c r="K148" s="8">
        <v>42</v>
      </c>
      <c r="L148" s="7">
        <v>0.39436733839662452</v>
      </c>
      <c r="M148" s="7">
        <v>7.7850298089584935E-2</v>
      </c>
      <c r="N148" s="8">
        <v>0</v>
      </c>
      <c r="O148" s="8">
        <v>1</v>
      </c>
      <c r="P148" s="8">
        <v>42</v>
      </c>
      <c r="Q148" s="7">
        <v>0.69537622401646959</v>
      </c>
      <c r="R148" s="7">
        <v>7.7013327808946444E-2</v>
      </c>
      <c r="S148" s="8">
        <v>0</v>
      </c>
      <c r="T148" s="8">
        <v>1</v>
      </c>
      <c r="U148" s="8">
        <v>40</v>
      </c>
      <c r="V148" s="7">
        <v>0.38609576035540805</v>
      </c>
      <c r="W148" s="7">
        <v>6.5209352136426937E-2</v>
      </c>
      <c r="X148" s="8">
        <v>0</v>
      </c>
      <c r="Y148" s="8">
        <v>1</v>
      </c>
      <c r="Z148" s="8">
        <v>100</v>
      </c>
      <c r="AA148" s="13">
        <v>0.39148388036045784</v>
      </c>
      <c r="AB148" s="7">
        <v>4.207767278054346E-2</v>
      </c>
      <c r="AC148" s="8">
        <v>0</v>
      </c>
      <c r="AD148" s="8">
        <v>1</v>
      </c>
      <c r="AE148" s="8">
        <v>258</v>
      </c>
      <c r="AF148">
        <f>(AA150/AA149)-AA148</f>
        <v>7.335525975485091E-2</v>
      </c>
    </row>
    <row r="149" spans="1:32" ht="26.25" x14ac:dyDescent="0.45">
      <c r="A149" s="6" t="s">
        <v>24</v>
      </c>
      <c r="B149" s="7">
        <v>0.59113064078982813</v>
      </c>
      <c r="C149" s="7">
        <v>8.9609791547363538E-2</v>
      </c>
      <c r="D149" s="8">
        <v>0</v>
      </c>
      <c r="E149" s="8">
        <v>1</v>
      </c>
      <c r="F149" s="8">
        <v>34</v>
      </c>
      <c r="G149" s="7">
        <v>0.71909384928754405</v>
      </c>
      <c r="H149" s="7">
        <v>7.2403474018022274E-2</v>
      </c>
      <c r="I149" s="8">
        <v>0</v>
      </c>
      <c r="J149" s="8">
        <v>1</v>
      </c>
      <c r="K149" s="8">
        <v>42</v>
      </c>
      <c r="L149" s="7">
        <v>0.68288377049228632</v>
      </c>
      <c r="M149" s="7">
        <v>7.4547087275515955E-2</v>
      </c>
      <c r="N149" s="8">
        <v>0</v>
      </c>
      <c r="O149" s="8">
        <v>1</v>
      </c>
      <c r="P149" s="8">
        <v>42</v>
      </c>
      <c r="Q149" s="7">
        <v>0.9233668457535289</v>
      </c>
      <c r="R149" s="7">
        <v>4.3202567197263397E-2</v>
      </c>
      <c r="S149" s="8">
        <v>0</v>
      </c>
      <c r="T149" s="8">
        <v>1</v>
      </c>
      <c r="U149" s="8">
        <v>40</v>
      </c>
      <c r="V149" s="7">
        <v>0.63320079073355351</v>
      </c>
      <c r="W149" s="7">
        <v>6.9028775174729731E-2</v>
      </c>
      <c r="X149" s="8">
        <v>0</v>
      </c>
      <c r="Y149" s="8">
        <v>1</v>
      </c>
      <c r="Z149" s="8">
        <v>100</v>
      </c>
      <c r="AA149" s="13">
        <v>0.74045598075499264</v>
      </c>
      <c r="AB149" s="7">
        <v>3.837948723925233E-2</v>
      </c>
      <c r="AC149" s="8">
        <v>0</v>
      </c>
      <c r="AD149" s="8">
        <v>1</v>
      </c>
      <c r="AE149" s="8">
        <v>258</v>
      </c>
      <c r="AF149">
        <f>(AA150/AA148)-AA149</f>
        <v>0.13874476965770277</v>
      </c>
    </row>
    <row r="150" spans="1:32" x14ac:dyDescent="0.45">
      <c r="A150" s="6" t="s">
        <v>78</v>
      </c>
      <c r="B150" s="7">
        <v>7.1597355011627992E-2</v>
      </c>
      <c r="C150" s="7">
        <v>4.1019575193236901E-2</v>
      </c>
      <c r="D150" s="8">
        <v>0</v>
      </c>
      <c r="E150" s="8">
        <v>1</v>
      </c>
      <c r="F150" s="8">
        <v>34</v>
      </c>
      <c r="G150" s="7">
        <v>0.16133106145190645</v>
      </c>
      <c r="H150" s="7">
        <v>5.7188938881755677E-2</v>
      </c>
      <c r="I150" s="8">
        <v>0</v>
      </c>
      <c r="J150" s="8">
        <v>1</v>
      </c>
      <c r="K150" s="8">
        <v>42</v>
      </c>
      <c r="L150" s="7">
        <v>0.32211464177426974</v>
      </c>
      <c r="M150" s="7">
        <v>7.4091155151758611E-2</v>
      </c>
      <c r="N150" s="8">
        <v>0</v>
      </c>
      <c r="O150" s="8">
        <v>1</v>
      </c>
      <c r="P150" s="8">
        <v>42</v>
      </c>
      <c r="Q150" s="7">
        <v>0.6715565712188768</v>
      </c>
      <c r="R150" s="7">
        <v>7.8252581299502647E-2</v>
      </c>
      <c r="S150" s="8">
        <v>0</v>
      </c>
      <c r="T150" s="8">
        <v>1</v>
      </c>
      <c r="U150" s="8">
        <v>40</v>
      </c>
      <c r="V150" s="7">
        <v>0.37480921899363556</v>
      </c>
      <c r="W150" s="7">
        <v>6.4858410773656588E-2</v>
      </c>
      <c r="X150" s="8">
        <v>0</v>
      </c>
      <c r="Y150" s="8">
        <v>1</v>
      </c>
      <c r="Z150" s="8">
        <v>100</v>
      </c>
      <c r="AA150" s="13">
        <v>0.34419292138738838</v>
      </c>
      <c r="AB150" s="7">
        <v>4.0754736960052433E-2</v>
      </c>
      <c r="AC150" s="8">
        <v>0</v>
      </c>
      <c r="AD150" s="8">
        <v>1</v>
      </c>
      <c r="AE150" s="8">
        <v>258</v>
      </c>
    </row>
    <row r="151" spans="1:32" x14ac:dyDescent="0.45">
      <c r="A151" s="6" t="s">
        <v>30</v>
      </c>
      <c r="B151" s="7">
        <v>9.7944886332647418E-2</v>
      </c>
      <c r="C151" s="7">
        <v>5.0745074390485048E-2</v>
      </c>
      <c r="D151" s="8">
        <v>0</v>
      </c>
      <c r="E151" s="8">
        <v>1</v>
      </c>
      <c r="F151" s="8">
        <v>34</v>
      </c>
      <c r="G151" s="7">
        <v>0.19686198014165318</v>
      </c>
      <c r="H151" s="7">
        <v>6.361507673733699E-2</v>
      </c>
      <c r="I151" s="8">
        <v>0</v>
      </c>
      <c r="J151" s="8">
        <v>1</v>
      </c>
      <c r="K151" s="8">
        <v>42</v>
      </c>
      <c r="L151" s="7">
        <v>0.19333329674758543</v>
      </c>
      <c r="M151" s="7">
        <v>6.2618824990208738E-2</v>
      </c>
      <c r="N151" s="8">
        <v>0</v>
      </c>
      <c r="O151" s="8">
        <v>1</v>
      </c>
      <c r="P151" s="8">
        <v>42</v>
      </c>
      <c r="Q151" s="7">
        <v>0.12570203484365922</v>
      </c>
      <c r="R151" s="7">
        <v>5.3202553266984524E-2</v>
      </c>
      <c r="S151" s="8">
        <v>0</v>
      </c>
      <c r="T151" s="8">
        <v>1</v>
      </c>
      <c r="U151" s="8">
        <v>40</v>
      </c>
      <c r="V151" s="7">
        <v>7.5898831644268056E-2</v>
      </c>
      <c r="W151" s="7">
        <v>2.9028505479072871E-2</v>
      </c>
      <c r="X151" s="8">
        <v>0</v>
      </c>
      <c r="Y151" s="8">
        <v>1</v>
      </c>
      <c r="Z151" s="8">
        <v>100</v>
      </c>
      <c r="AA151" s="13">
        <v>0.16935134322954545</v>
      </c>
      <c r="AB151" s="7">
        <v>3.3026123553095636E-2</v>
      </c>
      <c r="AC151" s="8">
        <v>0</v>
      </c>
      <c r="AD151" s="8">
        <v>1</v>
      </c>
      <c r="AE151" s="8">
        <v>258</v>
      </c>
      <c r="AF151">
        <f>(AA153/AA152)-AA151</f>
        <v>5.2767446881842484E-2</v>
      </c>
    </row>
    <row r="152" spans="1:32" x14ac:dyDescent="0.45">
      <c r="A152" s="6" t="s">
        <v>32</v>
      </c>
      <c r="B152" s="7">
        <v>0.88886175204661999</v>
      </c>
      <c r="C152" s="7">
        <v>6.1457033964244352E-2</v>
      </c>
      <c r="D152" s="8">
        <v>0</v>
      </c>
      <c r="E152" s="8">
        <v>1</v>
      </c>
      <c r="F152" s="8">
        <v>34</v>
      </c>
      <c r="G152" s="7">
        <v>0.60873909731901421</v>
      </c>
      <c r="H152" s="7">
        <v>7.7439164761967633E-2</v>
      </c>
      <c r="I152" s="8">
        <v>0</v>
      </c>
      <c r="J152" s="8">
        <v>1</v>
      </c>
      <c r="K152" s="8">
        <v>42</v>
      </c>
      <c r="L152" s="7">
        <v>0.46210236619269668</v>
      </c>
      <c r="M152" s="7">
        <v>7.9990935927138157E-2</v>
      </c>
      <c r="N152" s="8">
        <v>0</v>
      </c>
      <c r="O152" s="8">
        <v>1</v>
      </c>
      <c r="P152" s="8">
        <v>42</v>
      </c>
      <c r="Q152" s="7">
        <v>0.64300167798766439</v>
      </c>
      <c r="R152" s="7">
        <v>7.9764129090886995E-2</v>
      </c>
      <c r="S152" s="8">
        <v>0</v>
      </c>
      <c r="T152" s="8">
        <v>1</v>
      </c>
      <c r="U152" s="8">
        <v>40</v>
      </c>
      <c r="V152" s="7">
        <v>0.19224039367404611</v>
      </c>
      <c r="W152" s="7">
        <v>4.6779770209863396E-2</v>
      </c>
      <c r="X152" s="8">
        <v>0</v>
      </c>
      <c r="Y152" s="8">
        <v>1</v>
      </c>
      <c r="Z152" s="8">
        <v>100</v>
      </c>
      <c r="AA152" s="13">
        <v>0.56028151574267626</v>
      </c>
      <c r="AB152" s="7">
        <v>4.331019237972477E-2</v>
      </c>
      <c r="AC152" s="8">
        <v>0</v>
      </c>
      <c r="AD152" s="8">
        <v>1</v>
      </c>
      <c r="AE152" s="8">
        <v>258</v>
      </c>
      <c r="AF152">
        <f>(AA153/AA151)-AA152</f>
        <v>0.17457567538012853</v>
      </c>
    </row>
    <row r="153" spans="1:32" ht="26.25" x14ac:dyDescent="0.45">
      <c r="A153" s="6" t="s">
        <v>79</v>
      </c>
      <c r="B153" s="7">
        <v>6.5600751892627596E-2</v>
      </c>
      <c r="C153" s="7">
        <v>4.0512329094435834E-2</v>
      </c>
      <c r="D153" s="8">
        <v>0</v>
      </c>
      <c r="E153" s="8">
        <v>1</v>
      </c>
      <c r="F153" s="8">
        <v>34</v>
      </c>
      <c r="G153" s="7">
        <v>0.12218283672076102</v>
      </c>
      <c r="H153" s="7">
        <v>5.2559283093862992E-2</v>
      </c>
      <c r="I153" s="8">
        <v>0</v>
      </c>
      <c r="J153" s="8">
        <v>1</v>
      </c>
      <c r="K153" s="8">
        <v>42</v>
      </c>
      <c r="L153" s="7">
        <v>0.14199041187275699</v>
      </c>
      <c r="M153" s="7">
        <v>5.4826649897326697E-2</v>
      </c>
      <c r="N153" s="8">
        <v>0</v>
      </c>
      <c r="O153" s="8">
        <v>1</v>
      </c>
      <c r="P153" s="8">
        <v>42</v>
      </c>
      <c r="Q153" s="7">
        <v>0.12570203484365922</v>
      </c>
      <c r="R153" s="7">
        <v>5.3202553266984524E-2</v>
      </c>
      <c r="S153" s="8">
        <v>0</v>
      </c>
      <c r="T153" s="8">
        <v>1</v>
      </c>
      <c r="U153" s="8">
        <v>40</v>
      </c>
      <c r="V153" s="7">
        <v>2.5516559982480428E-2</v>
      </c>
      <c r="W153" s="7">
        <v>1.3382694244240231E-2</v>
      </c>
      <c r="X153" s="8">
        <v>0</v>
      </c>
      <c r="Y153" s="8">
        <v>1</v>
      </c>
      <c r="Z153" s="8">
        <v>100</v>
      </c>
      <c r="AA153" s="13">
        <v>0.1244490523985378</v>
      </c>
      <c r="AB153" s="7">
        <v>2.8948049858592693E-2</v>
      </c>
      <c r="AC153" s="8">
        <v>0</v>
      </c>
      <c r="AD153" s="8">
        <v>1</v>
      </c>
      <c r="AE153" s="8">
        <v>258</v>
      </c>
    </row>
    <row r="154" spans="1:32" x14ac:dyDescent="0.45">
      <c r="A154" s="6" t="s">
        <v>30</v>
      </c>
      <c r="B154" s="7">
        <v>9.7944886332647418E-2</v>
      </c>
      <c r="C154" s="7">
        <v>5.0745074390485048E-2</v>
      </c>
      <c r="D154" s="8">
        <v>0</v>
      </c>
      <c r="E154" s="8">
        <v>1</v>
      </c>
      <c r="F154" s="8">
        <v>34</v>
      </c>
      <c r="G154" s="7">
        <v>0.19686198014165318</v>
      </c>
      <c r="H154" s="7">
        <v>6.361507673733699E-2</v>
      </c>
      <c r="I154" s="8">
        <v>0</v>
      </c>
      <c r="J154" s="8">
        <v>1</v>
      </c>
      <c r="K154" s="8">
        <v>42</v>
      </c>
      <c r="L154" s="7">
        <v>0.19333329674758543</v>
      </c>
      <c r="M154" s="7">
        <v>6.2618824990208738E-2</v>
      </c>
      <c r="N154" s="8">
        <v>0</v>
      </c>
      <c r="O154" s="8">
        <v>1</v>
      </c>
      <c r="P154" s="8">
        <v>42</v>
      </c>
      <c r="Q154" s="7">
        <v>0.12570203484365922</v>
      </c>
      <c r="R154" s="7">
        <v>5.3202553266984524E-2</v>
      </c>
      <c r="S154" s="8">
        <v>0</v>
      </c>
      <c r="T154" s="8">
        <v>1</v>
      </c>
      <c r="U154" s="8">
        <v>40</v>
      </c>
      <c r="V154" s="7">
        <v>7.5898831644268056E-2</v>
      </c>
      <c r="W154" s="7">
        <v>2.9028505479072871E-2</v>
      </c>
      <c r="X154" s="8">
        <v>0</v>
      </c>
      <c r="Y154" s="8">
        <v>1</v>
      </c>
      <c r="Z154" s="8">
        <v>100</v>
      </c>
      <c r="AA154" s="13">
        <v>0.16935134322954545</v>
      </c>
      <c r="AB154" s="7">
        <v>3.3026123553095636E-2</v>
      </c>
      <c r="AC154" s="8">
        <v>0</v>
      </c>
      <c r="AD154" s="8">
        <v>1</v>
      </c>
      <c r="AE154" s="8">
        <v>258</v>
      </c>
      <c r="AF154">
        <f>(AA156/AA155)-AA154</f>
        <v>0.13889592999053327</v>
      </c>
    </row>
    <row r="155" spans="1:32" x14ac:dyDescent="0.45">
      <c r="A155" s="6" t="s">
        <v>34</v>
      </c>
      <c r="B155" s="7">
        <v>0.19862121171774996</v>
      </c>
      <c r="C155" s="7">
        <v>7.0449908333518482E-2</v>
      </c>
      <c r="D155" s="8">
        <v>0</v>
      </c>
      <c r="E155" s="8">
        <v>1</v>
      </c>
      <c r="F155" s="8">
        <v>34</v>
      </c>
      <c r="G155" s="7">
        <v>0.27373543444507736</v>
      </c>
      <c r="H155" s="7">
        <v>7.1059953576424029E-2</v>
      </c>
      <c r="I155" s="8">
        <v>0</v>
      </c>
      <c r="J155" s="8">
        <v>1</v>
      </c>
      <c r="K155" s="8">
        <v>42</v>
      </c>
      <c r="L155" s="7">
        <v>0.16792280545098798</v>
      </c>
      <c r="M155" s="7">
        <v>5.8618243579727093E-2</v>
      </c>
      <c r="N155" s="8">
        <v>0</v>
      </c>
      <c r="O155" s="8">
        <v>1</v>
      </c>
      <c r="P155" s="8">
        <v>42</v>
      </c>
      <c r="Q155" s="7">
        <v>0.27853232036598929</v>
      </c>
      <c r="R155" s="7">
        <v>7.2602815976202259E-2</v>
      </c>
      <c r="S155" s="8">
        <v>0</v>
      </c>
      <c r="T155" s="8">
        <v>1</v>
      </c>
      <c r="U155" s="8">
        <v>40</v>
      </c>
      <c r="V155" s="7">
        <v>3.9845505914107161E-2</v>
      </c>
      <c r="W155" s="7">
        <v>2.1780217848510454E-2</v>
      </c>
      <c r="X155" s="8">
        <v>0</v>
      </c>
      <c r="Y155" s="8">
        <v>1</v>
      </c>
      <c r="Z155" s="8">
        <v>100</v>
      </c>
      <c r="AA155" s="13">
        <v>0.21982448140548122</v>
      </c>
      <c r="AB155" s="7">
        <v>3.5153365318010749E-2</v>
      </c>
      <c r="AC155" s="8">
        <v>0</v>
      </c>
      <c r="AD155" s="8">
        <v>1</v>
      </c>
      <c r="AE155" s="8">
        <v>258</v>
      </c>
      <c r="AF155">
        <f>(AA156/AA154)-AA155</f>
        <v>0.18029219725831019</v>
      </c>
    </row>
    <row r="156" spans="1:32" ht="26.25" x14ac:dyDescent="0.45">
      <c r="A156" s="6" t="s">
        <v>80</v>
      </c>
      <c r="B156" s="7">
        <v>3.4421809873428369E-2</v>
      </c>
      <c r="C156" s="7">
        <v>2.6660072149023346E-2</v>
      </c>
      <c r="D156" s="8">
        <v>0</v>
      </c>
      <c r="E156" s="8">
        <v>1</v>
      </c>
      <c r="F156" s="8">
        <v>34</v>
      </c>
      <c r="G156" s="7">
        <v>4.8052183745461691E-2</v>
      </c>
      <c r="H156" s="7">
        <v>3.3576835472932991E-2</v>
      </c>
      <c r="I156" s="8">
        <v>0</v>
      </c>
      <c r="J156" s="8">
        <v>1</v>
      </c>
      <c r="K156" s="8">
        <v>42</v>
      </c>
      <c r="L156" s="7">
        <v>0.11438584368274765</v>
      </c>
      <c r="M156" s="7">
        <v>4.9126869526601925E-2</v>
      </c>
      <c r="N156" s="8">
        <v>0</v>
      </c>
      <c r="O156" s="8">
        <v>1</v>
      </c>
      <c r="P156" s="8">
        <v>42</v>
      </c>
      <c r="Q156" s="7">
        <v>2.6214502799854971E-2</v>
      </c>
      <c r="R156" s="7">
        <v>2.4621698533669596E-2</v>
      </c>
      <c r="S156" s="8">
        <v>0</v>
      </c>
      <c r="T156" s="8">
        <v>1</v>
      </c>
      <c r="U156" s="8">
        <v>40</v>
      </c>
      <c r="V156" s="7">
        <v>6.4719421298937464E-3</v>
      </c>
      <c r="W156" s="7">
        <v>4.6769186797021179E-3</v>
      </c>
      <c r="X156" s="8">
        <v>0</v>
      </c>
      <c r="Y156" s="8">
        <v>1</v>
      </c>
      <c r="Z156" s="8">
        <v>100</v>
      </c>
      <c r="AA156" s="13">
        <v>6.7760296980257484E-2</v>
      </c>
      <c r="AB156" s="7">
        <v>2.2661174850440679E-2</v>
      </c>
      <c r="AC156" s="8">
        <v>0</v>
      </c>
      <c r="AD156" s="8">
        <v>1</v>
      </c>
      <c r="AE156" s="8">
        <v>258</v>
      </c>
    </row>
    <row r="157" spans="1:32" x14ac:dyDescent="0.45">
      <c r="A157" s="6" t="s">
        <v>30</v>
      </c>
      <c r="B157" s="7">
        <v>9.7944886332647418E-2</v>
      </c>
      <c r="C157" s="7">
        <v>5.0745074390485048E-2</v>
      </c>
      <c r="D157" s="8">
        <v>0</v>
      </c>
      <c r="E157" s="8">
        <v>1</v>
      </c>
      <c r="F157" s="8">
        <v>34</v>
      </c>
      <c r="G157" s="7">
        <v>0.19686198014165318</v>
      </c>
      <c r="H157" s="7">
        <v>6.361507673733699E-2</v>
      </c>
      <c r="I157" s="8">
        <v>0</v>
      </c>
      <c r="J157" s="8">
        <v>1</v>
      </c>
      <c r="K157" s="8">
        <v>42</v>
      </c>
      <c r="L157" s="7">
        <v>0.19333329674758543</v>
      </c>
      <c r="M157" s="7">
        <v>6.2618824990208738E-2</v>
      </c>
      <c r="N157" s="8">
        <v>0</v>
      </c>
      <c r="O157" s="8">
        <v>1</v>
      </c>
      <c r="P157" s="8">
        <v>42</v>
      </c>
      <c r="Q157" s="7">
        <v>0.12570203484365922</v>
      </c>
      <c r="R157" s="7">
        <v>5.3202553266984524E-2</v>
      </c>
      <c r="S157" s="8">
        <v>0</v>
      </c>
      <c r="T157" s="8">
        <v>1</v>
      </c>
      <c r="U157" s="8">
        <v>40</v>
      </c>
      <c r="V157" s="7">
        <v>7.5898831644268056E-2</v>
      </c>
      <c r="W157" s="7">
        <v>2.9028505479072871E-2</v>
      </c>
      <c r="X157" s="8">
        <v>0</v>
      </c>
      <c r="Y157" s="8">
        <v>1</v>
      </c>
      <c r="Z157" s="8">
        <v>100</v>
      </c>
      <c r="AA157" s="13">
        <v>0.16935134322954545</v>
      </c>
      <c r="AB157" s="7">
        <v>3.3026123553095636E-2</v>
      </c>
      <c r="AC157" s="8">
        <v>0</v>
      </c>
      <c r="AD157" s="8">
        <v>1</v>
      </c>
      <c r="AE157" s="8">
        <v>258</v>
      </c>
      <c r="AF157">
        <f>(AA159/AA158)-AA157</f>
        <v>-4.4270118172853867E-2</v>
      </c>
    </row>
    <row r="158" spans="1:32" x14ac:dyDescent="0.45">
      <c r="A158" s="6" t="s">
        <v>36</v>
      </c>
      <c r="B158" s="7">
        <v>0.76064468833586119</v>
      </c>
      <c r="C158" s="7">
        <v>7.7815769808775942E-2</v>
      </c>
      <c r="D158" s="8">
        <v>0</v>
      </c>
      <c r="E158" s="8">
        <v>1</v>
      </c>
      <c r="F158" s="8">
        <v>34</v>
      </c>
      <c r="G158" s="7">
        <v>0.47021854293445042</v>
      </c>
      <c r="H158" s="7">
        <v>7.9243117363754292E-2</v>
      </c>
      <c r="I158" s="8">
        <v>0</v>
      </c>
      <c r="J158" s="8">
        <v>1</v>
      </c>
      <c r="K158" s="8">
        <v>42</v>
      </c>
      <c r="L158" s="7">
        <v>0.2445206682606792</v>
      </c>
      <c r="M158" s="7">
        <v>6.7154542896761538E-2</v>
      </c>
      <c r="N158" s="8">
        <v>0</v>
      </c>
      <c r="O158" s="8">
        <v>1</v>
      </c>
      <c r="P158" s="8">
        <v>42</v>
      </c>
      <c r="Q158" s="7">
        <v>0.35160809189742964</v>
      </c>
      <c r="R158" s="7">
        <v>7.902438279457083E-2</v>
      </c>
      <c r="S158" s="8">
        <v>0</v>
      </c>
      <c r="T158" s="8">
        <v>1</v>
      </c>
      <c r="U158" s="8">
        <v>40</v>
      </c>
      <c r="V158" s="7">
        <v>0.42925514319553509</v>
      </c>
      <c r="W158" s="7">
        <v>6.917480911456024E-2</v>
      </c>
      <c r="X158" s="8">
        <v>0</v>
      </c>
      <c r="Y158" s="8">
        <v>1</v>
      </c>
      <c r="Z158" s="8">
        <v>100</v>
      </c>
      <c r="AA158" s="13">
        <v>0.36787839094902408</v>
      </c>
      <c r="AB158" s="7">
        <v>4.0690017630809268E-2</v>
      </c>
      <c r="AC158" s="8">
        <v>0</v>
      </c>
      <c r="AD158" s="8">
        <v>1</v>
      </c>
      <c r="AE158" s="8">
        <v>258</v>
      </c>
      <c r="AF158">
        <f>(AA159/AA157)-AA158</f>
        <v>-9.6167054420571829E-2</v>
      </c>
    </row>
    <row r="159" spans="1:32" ht="26.25" x14ac:dyDescent="0.45">
      <c r="A159" s="6" t="s">
        <v>81</v>
      </c>
      <c r="B159" s="7">
        <v>8.8039877298085573E-2</v>
      </c>
      <c r="C159" s="7">
        <v>4.9850576287849072E-2</v>
      </c>
      <c r="D159" s="8">
        <v>0</v>
      </c>
      <c r="E159" s="8">
        <v>1</v>
      </c>
      <c r="F159" s="8">
        <v>34</v>
      </c>
      <c r="G159" s="7">
        <v>7.8026124829195687E-2</v>
      </c>
      <c r="H159" s="7">
        <v>4.4035616031119849E-2</v>
      </c>
      <c r="I159" s="8">
        <v>0</v>
      </c>
      <c r="J159" s="8">
        <v>1</v>
      </c>
      <c r="K159" s="8">
        <v>42</v>
      </c>
      <c r="L159" s="7">
        <v>0</v>
      </c>
      <c r="M159" s="7">
        <v>0</v>
      </c>
      <c r="N159" s="8">
        <v>0</v>
      </c>
      <c r="O159" s="8">
        <v>0</v>
      </c>
      <c r="P159" s="8">
        <v>42</v>
      </c>
      <c r="Q159" s="7">
        <v>7.5176885201164917E-2</v>
      </c>
      <c r="R159" s="7">
        <v>4.2866920279935848E-2</v>
      </c>
      <c r="S159" s="8">
        <v>0</v>
      </c>
      <c r="T159" s="8">
        <v>1</v>
      </c>
      <c r="U159" s="8">
        <v>40</v>
      </c>
      <c r="V159" s="7">
        <v>6.671226454961246E-2</v>
      </c>
      <c r="W159" s="7">
        <v>2.8181150322258066E-2</v>
      </c>
      <c r="X159" s="8">
        <v>0</v>
      </c>
      <c r="Y159" s="8">
        <v>1</v>
      </c>
      <c r="Z159" s="8">
        <v>100</v>
      </c>
      <c r="AA159" s="13">
        <v>4.6014679811788452E-2</v>
      </c>
      <c r="AB159" s="7">
        <v>1.608729079754951E-2</v>
      </c>
      <c r="AC159" s="8">
        <v>0</v>
      </c>
      <c r="AD159" s="8">
        <v>1</v>
      </c>
      <c r="AE159" s="8">
        <v>258</v>
      </c>
    </row>
    <row r="160" spans="1:32" x14ac:dyDescent="0.45">
      <c r="A160" s="6" t="s">
        <v>30</v>
      </c>
      <c r="B160" s="7">
        <v>9.7944886332647418E-2</v>
      </c>
      <c r="C160" s="7">
        <v>5.0745074390485048E-2</v>
      </c>
      <c r="D160" s="8">
        <v>0</v>
      </c>
      <c r="E160" s="8">
        <v>1</v>
      </c>
      <c r="F160" s="8">
        <v>34</v>
      </c>
      <c r="G160" s="7">
        <v>0.19686198014165318</v>
      </c>
      <c r="H160" s="7">
        <v>6.361507673733699E-2</v>
      </c>
      <c r="I160" s="8">
        <v>0</v>
      </c>
      <c r="J160" s="8">
        <v>1</v>
      </c>
      <c r="K160" s="8">
        <v>42</v>
      </c>
      <c r="L160" s="7">
        <v>0.19333329674758543</v>
      </c>
      <c r="M160" s="7">
        <v>6.2618824990208738E-2</v>
      </c>
      <c r="N160" s="8">
        <v>0</v>
      </c>
      <c r="O160" s="8">
        <v>1</v>
      </c>
      <c r="P160" s="8">
        <v>42</v>
      </c>
      <c r="Q160" s="7">
        <v>0.12570203484365922</v>
      </c>
      <c r="R160" s="7">
        <v>5.3202553266984524E-2</v>
      </c>
      <c r="S160" s="8">
        <v>0</v>
      </c>
      <c r="T160" s="8">
        <v>1</v>
      </c>
      <c r="U160" s="8">
        <v>40</v>
      </c>
      <c r="V160" s="7">
        <v>7.5898831644268056E-2</v>
      </c>
      <c r="W160" s="7">
        <v>2.9028505479072871E-2</v>
      </c>
      <c r="X160" s="8">
        <v>0</v>
      </c>
      <c r="Y160" s="8">
        <v>1</v>
      </c>
      <c r="Z160" s="8">
        <v>100</v>
      </c>
      <c r="AA160" s="13">
        <v>0.16935134322954545</v>
      </c>
      <c r="AB160" s="7">
        <v>3.3026123553095636E-2</v>
      </c>
      <c r="AC160" s="8">
        <v>0</v>
      </c>
      <c r="AD160" s="8">
        <v>1</v>
      </c>
      <c r="AE160" s="8">
        <v>258</v>
      </c>
      <c r="AF160">
        <f>(AA162/AA161)-AA160</f>
        <v>1.0635037831621702E-2</v>
      </c>
    </row>
    <row r="161" spans="1:32" ht="26.25" x14ac:dyDescent="0.45">
      <c r="A161" s="6" t="s">
        <v>38</v>
      </c>
      <c r="B161" s="7">
        <v>0.84000868272823959</v>
      </c>
      <c r="C161" s="7">
        <v>6.5933157962881336E-2</v>
      </c>
      <c r="D161" s="8">
        <v>0</v>
      </c>
      <c r="E161" s="8">
        <v>1</v>
      </c>
      <c r="F161" s="8">
        <v>34</v>
      </c>
      <c r="G161" s="7">
        <v>0.8757010716140059</v>
      </c>
      <c r="H161" s="7">
        <v>5.3035240634634946E-2</v>
      </c>
      <c r="I161" s="8">
        <v>0</v>
      </c>
      <c r="J161" s="8">
        <v>1</v>
      </c>
      <c r="K161" s="8">
        <v>42</v>
      </c>
      <c r="L161" s="7">
        <v>0.71102549516240099</v>
      </c>
      <c r="M161" s="7">
        <v>7.24518160292143E-2</v>
      </c>
      <c r="N161" s="8">
        <v>0</v>
      </c>
      <c r="O161" s="8">
        <v>1</v>
      </c>
      <c r="P161" s="8">
        <v>42</v>
      </c>
      <c r="Q161" s="7">
        <v>0.76619872916446996</v>
      </c>
      <c r="R161" s="7">
        <v>6.9319636379783084E-2</v>
      </c>
      <c r="S161" s="8">
        <v>0</v>
      </c>
      <c r="T161" s="8">
        <v>1</v>
      </c>
      <c r="U161" s="8">
        <v>40</v>
      </c>
      <c r="V161" s="7">
        <v>0.38621991000499384</v>
      </c>
      <c r="W161" s="7">
        <v>6.6639473541989111E-2</v>
      </c>
      <c r="X161" s="8">
        <v>0</v>
      </c>
      <c r="Y161" s="8">
        <v>1</v>
      </c>
      <c r="Z161" s="8">
        <v>100</v>
      </c>
      <c r="AA161" s="13">
        <v>0.7659232322798829</v>
      </c>
      <c r="AB161" s="7">
        <v>3.6756971234523643E-2</v>
      </c>
      <c r="AC161" s="8">
        <v>0</v>
      </c>
      <c r="AD161" s="8">
        <v>1</v>
      </c>
      <c r="AE161" s="8">
        <v>258</v>
      </c>
      <c r="AF161">
        <f>(AA162/AA160)-AA161</f>
        <v>4.8098954493520862E-2</v>
      </c>
    </row>
    <row r="162" spans="1:32" ht="39.4" x14ac:dyDescent="0.45">
      <c r="A162" s="6" t="s">
        <v>82</v>
      </c>
      <c r="B162" s="7">
        <v>6.3523076459219049E-2</v>
      </c>
      <c r="C162" s="7">
        <v>4.4174764743558276E-2</v>
      </c>
      <c r="D162" s="8">
        <v>0</v>
      </c>
      <c r="E162" s="8">
        <v>1</v>
      </c>
      <c r="F162" s="8">
        <v>34</v>
      </c>
      <c r="G162" s="7">
        <v>0.17086279958669384</v>
      </c>
      <c r="H162" s="7">
        <v>6.0116197445049056E-2</v>
      </c>
      <c r="I162" s="8">
        <v>0</v>
      </c>
      <c r="J162" s="8">
        <v>1</v>
      </c>
      <c r="K162" s="8">
        <v>42</v>
      </c>
      <c r="L162" s="7">
        <v>0.14199041187275699</v>
      </c>
      <c r="M162" s="7">
        <v>5.4826649897326697E-2</v>
      </c>
      <c r="N162" s="8">
        <v>0</v>
      </c>
      <c r="O162" s="8">
        <v>1</v>
      </c>
      <c r="P162" s="8">
        <v>42</v>
      </c>
      <c r="Q162" s="7">
        <v>0.12570203484365922</v>
      </c>
      <c r="R162" s="7">
        <v>5.3202553266984524E-2</v>
      </c>
      <c r="S162" s="8">
        <v>0</v>
      </c>
      <c r="T162" s="8">
        <v>1</v>
      </c>
      <c r="U162" s="8">
        <v>40</v>
      </c>
      <c r="V162" s="7">
        <v>3.0097021609926722E-2</v>
      </c>
      <c r="W162" s="7">
        <v>2.0798765824429265E-2</v>
      </c>
      <c r="X162" s="8">
        <v>0</v>
      </c>
      <c r="Y162" s="8">
        <v>1</v>
      </c>
      <c r="Z162" s="8">
        <v>100</v>
      </c>
      <c r="AA162" s="13">
        <v>0.13785575074872786</v>
      </c>
      <c r="AB162" s="7">
        <v>3.0082275586197891E-2</v>
      </c>
      <c r="AC162" s="8">
        <v>0</v>
      </c>
      <c r="AD162" s="8">
        <v>1</v>
      </c>
      <c r="AE162" s="8">
        <v>258</v>
      </c>
    </row>
    <row r="163" spans="1:32" x14ac:dyDescent="0.45">
      <c r="A163" s="6" t="s">
        <v>30</v>
      </c>
      <c r="B163" s="7">
        <v>9.7944886332647418E-2</v>
      </c>
      <c r="C163" s="7">
        <v>5.0745074390485048E-2</v>
      </c>
      <c r="D163" s="8">
        <v>0</v>
      </c>
      <c r="E163" s="8">
        <v>1</v>
      </c>
      <c r="F163" s="8">
        <v>34</v>
      </c>
      <c r="G163" s="7">
        <v>0.19686198014165318</v>
      </c>
      <c r="H163" s="7">
        <v>6.361507673733699E-2</v>
      </c>
      <c r="I163" s="8">
        <v>0</v>
      </c>
      <c r="J163" s="8">
        <v>1</v>
      </c>
      <c r="K163" s="8">
        <v>42</v>
      </c>
      <c r="L163" s="7">
        <v>0.19333329674758543</v>
      </c>
      <c r="M163" s="7">
        <v>6.2618824990208738E-2</v>
      </c>
      <c r="N163" s="8">
        <v>0</v>
      </c>
      <c r="O163" s="8">
        <v>1</v>
      </c>
      <c r="P163" s="8">
        <v>42</v>
      </c>
      <c r="Q163" s="7">
        <v>0.12570203484365922</v>
      </c>
      <c r="R163" s="7">
        <v>5.3202553266984524E-2</v>
      </c>
      <c r="S163" s="8">
        <v>0</v>
      </c>
      <c r="T163" s="8">
        <v>1</v>
      </c>
      <c r="U163" s="8">
        <v>40</v>
      </c>
      <c r="V163" s="7">
        <v>7.5898831644268056E-2</v>
      </c>
      <c r="W163" s="7">
        <v>2.9028505479072871E-2</v>
      </c>
      <c r="X163" s="8">
        <v>0</v>
      </c>
      <c r="Y163" s="8">
        <v>1</v>
      </c>
      <c r="Z163" s="8">
        <v>100</v>
      </c>
      <c r="AA163" s="13">
        <v>0.16935134322954545</v>
      </c>
      <c r="AB163" s="7">
        <v>3.3026123553095636E-2</v>
      </c>
      <c r="AC163" s="8">
        <v>0</v>
      </c>
      <c r="AD163" s="8">
        <v>1</v>
      </c>
      <c r="AE163" s="8">
        <v>258</v>
      </c>
      <c r="AF163">
        <f>(AA165/AA164)-AA163</f>
        <v>-3.2515988025772768E-2</v>
      </c>
    </row>
    <row r="164" spans="1:32" x14ac:dyDescent="0.45">
      <c r="A164" s="6" t="s">
        <v>40</v>
      </c>
      <c r="B164" s="7">
        <v>0.47314926338671726</v>
      </c>
      <c r="C164" s="7">
        <v>9.1986997587208227E-2</v>
      </c>
      <c r="D164" s="8">
        <v>0</v>
      </c>
      <c r="E164" s="8">
        <v>1</v>
      </c>
      <c r="F164" s="8">
        <v>34</v>
      </c>
      <c r="G164" s="7">
        <v>0.59916532039375925</v>
      </c>
      <c r="H164" s="7">
        <v>7.8188563211038412E-2</v>
      </c>
      <c r="I164" s="8">
        <v>0</v>
      </c>
      <c r="J164" s="8">
        <v>1</v>
      </c>
      <c r="K164" s="8">
        <v>42</v>
      </c>
      <c r="L164" s="7">
        <v>0.53311254311611167</v>
      </c>
      <c r="M164" s="7">
        <v>8.0040164750678475E-2</v>
      </c>
      <c r="N164" s="8">
        <v>0</v>
      </c>
      <c r="O164" s="8">
        <v>1</v>
      </c>
      <c r="P164" s="8">
        <v>42</v>
      </c>
      <c r="Q164" s="7">
        <v>0.89744052335873858</v>
      </c>
      <c r="R164" s="7">
        <v>4.9355060283969104E-2</v>
      </c>
      <c r="S164" s="8">
        <v>0</v>
      </c>
      <c r="T164" s="8">
        <v>1</v>
      </c>
      <c r="U164" s="8">
        <v>40</v>
      </c>
      <c r="V164" s="7">
        <v>0.62802955981828001</v>
      </c>
      <c r="W164" s="7">
        <v>6.9009852430896662E-2</v>
      </c>
      <c r="X164" s="8">
        <v>0</v>
      </c>
      <c r="Y164" s="8">
        <v>1</v>
      </c>
      <c r="Z164" s="8">
        <v>100</v>
      </c>
      <c r="AA164" s="13">
        <v>0.63371905921169658</v>
      </c>
      <c r="AB164" s="7">
        <v>4.2239621614603332E-2</v>
      </c>
      <c r="AC164" s="8">
        <v>0</v>
      </c>
      <c r="AD164" s="8">
        <v>1</v>
      </c>
      <c r="AE164" s="8">
        <v>258</v>
      </c>
      <c r="AF164">
        <f>(AA165/AA163)-AA164</f>
        <v>-0.12167604311883917</v>
      </c>
    </row>
    <row r="165" spans="1:32" ht="26.25" x14ac:dyDescent="0.45">
      <c r="A165" s="6" t="s">
        <v>83</v>
      </c>
      <c r="B165" s="7">
        <v>4.1083951053761059E-2</v>
      </c>
      <c r="C165" s="7">
        <v>3.2695868208035134E-2</v>
      </c>
      <c r="D165" s="8">
        <v>0</v>
      </c>
      <c r="E165" s="8">
        <v>1</v>
      </c>
      <c r="F165" s="8">
        <v>34</v>
      </c>
      <c r="G165" s="7">
        <v>0.1235615531000416</v>
      </c>
      <c r="H165" s="7">
        <v>5.238268655485618E-2</v>
      </c>
      <c r="I165" s="8">
        <v>0</v>
      </c>
      <c r="J165" s="8">
        <v>1</v>
      </c>
      <c r="K165" s="8">
        <v>42</v>
      </c>
      <c r="L165" s="7">
        <v>4.9721733151856608E-2</v>
      </c>
      <c r="M165" s="7">
        <v>3.4701103959461244E-2</v>
      </c>
      <c r="N165" s="8">
        <v>0</v>
      </c>
      <c r="O165" s="8">
        <v>1</v>
      </c>
      <c r="P165" s="8">
        <v>42</v>
      </c>
      <c r="Q165" s="7">
        <v>0.12570203484365922</v>
      </c>
      <c r="R165" s="7">
        <v>5.3202553266984524E-2</v>
      </c>
      <c r="S165" s="8">
        <v>0</v>
      </c>
      <c r="T165" s="8">
        <v>1</v>
      </c>
      <c r="U165" s="8">
        <v>40</v>
      </c>
      <c r="V165" s="7">
        <v>4.7252589193108173E-2</v>
      </c>
      <c r="W165" s="7">
        <v>2.5053882271898576E-2</v>
      </c>
      <c r="X165" s="8">
        <v>0</v>
      </c>
      <c r="Y165" s="8">
        <v>1</v>
      </c>
      <c r="Z165" s="8">
        <v>100</v>
      </c>
      <c r="AA165" s="13">
        <v>8.6715172566633164E-2</v>
      </c>
      <c r="AB165" s="7">
        <v>2.355304230427642E-2</v>
      </c>
      <c r="AC165" s="8">
        <v>0</v>
      </c>
      <c r="AD165" s="8">
        <v>1</v>
      </c>
      <c r="AE165" s="8">
        <v>258</v>
      </c>
    </row>
    <row r="166" spans="1:32" x14ac:dyDescent="0.45">
      <c r="A166" s="6" t="s">
        <v>30</v>
      </c>
      <c r="B166" s="7">
        <v>9.7944886332647418E-2</v>
      </c>
      <c r="C166" s="7">
        <v>5.0745074390485048E-2</v>
      </c>
      <c r="D166" s="8">
        <v>0</v>
      </c>
      <c r="E166" s="8">
        <v>1</v>
      </c>
      <c r="F166" s="8">
        <v>34</v>
      </c>
      <c r="G166" s="7">
        <v>0.19686198014165318</v>
      </c>
      <c r="H166" s="7">
        <v>6.361507673733699E-2</v>
      </c>
      <c r="I166" s="8">
        <v>0</v>
      </c>
      <c r="J166" s="8">
        <v>1</v>
      </c>
      <c r="K166" s="8">
        <v>42</v>
      </c>
      <c r="L166" s="7">
        <v>0.19333329674758543</v>
      </c>
      <c r="M166" s="7">
        <v>6.2618824990208738E-2</v>
      </c>
      <c r="N166" s="8">
        <v>0</v>
      </c>
      <c r="O166" s="8">
        <v>1</v>
      </c>
      <c r="P166" s="8">
        <v>42</v>
      </c>
      <c r="Q166" s="7">
        <v>0.12570203484365922</v>
      </c>
      <c r="R166" s="7">
        <v>5.3202553266984524E-2</v>
      </c>
      <c r="S166" s="8">
        <v>0</v>
      </c>
      <c r="T166" s="8">
        <v>1</v>
      </c>
      <c r="U166" s="8">
        <v>40</v>
      </c>
      <c r="V166" s="7">
        <v>7.5898831644268056E-2</v>
      </c>
      <c r="W166" s="7">
        <v>2.9028505479072871E-2</v>
      </c>
      <c r="X166" s="8">
        <v>0</v>
      </c>
      <c r="Y166" s="8">
        <v>1</v>
      </c>
      <c r="Z166" s="8">
        <v>100</v>
      </c>
      <c r="AA166" s="13">
        <v>0.16935134322954545</v>
      </c>
      <c r="AB166" s="7">
        <v>3.3026123553095636E-2</v>
      </c>
      <c r="AC166" s="8">
        <v>0</v>
      </c>
      <c r="AD166" s="8">
        <v>1</v>
      </c>
      <c r="AE166" s="8">
        <v>258</v>
      </c>
      <c r="AF166">
        <f>(AA168/AA167)-AA166</f>
        <v>-4.4285024881064478E-2</v>
      </c>
    </row>
    <row r="167" spans="1:32" x14ac:dyDescent="0.45">
      <c r="A167" s="6" t="s">
        <v>42</v>
      </c>
      <c r="B167" s="7">
        <v>0.70676339075737993</v>
      </c>
      <c r="C167" s="7">
        <v>8.2311257529143506E-2</v>
      </c>
      <c r="D167" s="8">
        <v>0</v>
      </c>
      <c r="E167" s="8">
        <v>1</v>
      </c>
      <c r="F167" s="8">
        <v>34</v>
      </c>
      <c r="G167" s="7">
        <v>0.89745945595635757</v>
      </c>
      <c r="H167" s="7">
        <v>4.9322035621993304E-2</v>
      </c>
      <c r="I167" s="8">
        <v>0</v>
      </c>
      <c r="J167" s="8">
        <v>1</v>
      </c>
      <c r="K167" s="8">
        <v>42</v>
      </c>
      <c r="L167" s="7">
        <v>0.73410738154726995</v>
      </c>
      <c r="M167" s="7">
        <v>7.0289158801824597E-2</v>
      </c>
      <c r="N167" s="8">
        <v>0</v>
      </c>
      <c r="O167" s="8">
        <v>1</v>
      </c>
      <c r="P167" s="8">
        <v>42</v>
      </c>
      <c r="Q167" s="7">
        <v>0.87908303986713809</v>
      </c>
      <c r="R167" s="7">
        <v>5.2789569621478863E-2</v>
      </c>
      <c r="S167" s="8">
        <v>0</v>
      </c>
      <c r="T167" s="8">
        <v>1</v>
      </c>
      <c r="U167" s="8">
        <v>40</v>
      </c>
      <c r="V167" s="7">
        <v>0.56438823579629216</v>
      </c>
      <c r="W167" s="7">
        <v>7.0335671964889795E-2</v>
      </c>
      <c r="X167" s="8">
        <v>0</v>
      </c>
      <c r="Y167" s="8">
        <v>1</v>
      </c>
      <c r="Z167" s="8">
        <v>100</v>
      </c>
      <c r="AA167" s="13">
        <v>0.80480908326262457</v>
      </c>
      <c r="AB167" s="7">
        <v>3.4435137521316703E-2</v>
      </c>
      <c r="AC167" s="8">
        <v>0</v>
      </c>
      <c r="AD167" s="8">
        <v>1</v>
      </c>
      <c r="AE167" s="8">
        <v>258</v>
      </c>
      <c r="AF167">
        <f>(AA168/AA166)-AA167</f>
        <v>-0.21045590543963277</v>
      </c>
    </row>
    <row r="168" spans="1:32" ht="26.25" x14ac:dyDescent="0.45">
      <c r="A168" s="6" t="s">
        <v>84</v>
      </c>
      <c r="B168" s="7">
        <v>7.3428085493780881E-2</v>
      </c>
      <c r="C168" s="7">
        <v>4.5191018328904826E-2</v>
      </c>
      <c r="D168" s="8">
        <v>0</v>
      </c>
      <c r="E168" s="8">
        <v>1</v>
      </c>
      <c r="F168" s="8">
        <v>34</v>
      </c>
      <c r="G168" s="7">
        <v>0.14719409112510734</v>
      </c>
      <c r="H168" s="7">
        <v>5.6802439767796961E-2</v>
      </c>
      <c r="I168" s="8">
        <v>0</v>
      </c>
      <c r="J168" s="8">
        <v>1</v>
      </c>
      <c r="K168" s="8">
        <v>42</v>
      </c>
      <c r="L168" s="7">
        <v>7.4851651616411094E-2</v>
      </c>
      <c r="M168" s="7">
        <v>4.2193288194992372E-2</v>
      </c>
      <c r="N168" s="8">
        <v>0</v>
      </c>
      <c r="O168" s="8">
        <v>1</v>
      </c>
      <c r="P168" s="8">
        <v>42</v>
      </c>
      <c r="Q168" s="7">
        <v>0.10583371908496897</v>
      </c>
      <c r="R168" s="7">
        <v>5.0140469256084438E-2</v>
      </c>
      <c r="S168" s="8">
        <v>0</v>
      </c>
      <c r="T168" s="8">
        <v>1</v>
      </c>
      <c r="U168" s="8">
        <v>40</v>
      </c>
      <c r="V168" s="7">
        <v>4.2838929578381105E-2</v>
      </c>
      <c r="W168" s="7">
        <v>2.3698649798085093E-2</v>
      </c>
      <c r="X168" s="8">
        <v>0</v>
      </c>
      <c r="Y168" s="8">
        <v>1</v>
      </c>
      <c r="Z168" s="8">
        <v>100</v>
      </c>
      <c r="AA168" s="13">
        <v>0.10065450901707254</v>
      </c>
      <c r="AB168" s="7">
        <v>2.5842876723257618E-2</v>
      </c>
      <c r="AC168" s="8">
        <v>0</v>
      </c>
      <c r="AD168" s="8">
        <v>1</v>
      </c>
      <c r="AE168" s="8">
        <v>258</v>
      </c>
    </row>
    <row r="169" spans="1:32" x14ac:dyDescent="0.45">
      <c r="A169" s="6" t="s">
        <v>30</v>
      </c>
      <c r="B169" s="7">
        <v>9.7944886332647418E-2</v>
      </c>
      <c r="C169" s="7">
        <v>5.0745074390485048E-2</v>
      </c>
      <c r="D169" s="8">
        <v>0</v>
      </c>
      <c r="E169" s="8">
        <v>1</v>
      </c>
      <c r="F169" s="8">
        <v>34</v>
      </c>
      <c r="G169" s="7">
        <v>0.19686198014165318</v>
      </c>
      <c r="H169" s="7">
        <v>6.361507673733699E-2</v>
      </c>
      <c r="I169" s="8">
        <v>0</v>
      </c>
      <c r="J169" s="8">
        <v>1</v>
      </c>
      <c r="K169" s="8">
        <v>42</v>
      </c>
      <c r="L169" s="7">
        <v>0.19333329674758543</v>
      </c>
      <c r="M169" s="7">
        <v>6.2618824990208738E-2</v>
      </c>
      <c r="N169" s="8">
        <v>0</v>
      </c>
      <c r="O169" s="8">
        <v>1</v>
      </c>
      <c r="P169" s="8">
        <v>42</v>
      </c>
      <c r="Q169" s="7">
        <v>0.12570203484365922</v>
      </c>
      <c r="R169" s="7">
        <v>5.3202553266984524E-2</v>
      </c>
      <c r="S169" s="8">
        <v>0</v>
      </c>
      <c r="T169" s="8">
        <v>1</v>
      </c>
      <c r="U169" s="8">
        <v>40</v>
      </c>
      <c r="V169" s="7">
        <v>7.5898831644268056E-2</v>
      </c>
      <c r="W169" s="7">
        <v>2.9028505479072871E-2</v>
      </c>
      <c r="X169" s="8">
        <v>0</v>
      </c>
      <c r="Y169" s="8">
        <v>1</v>
      </c>
      <c r="Z169" s="8">
        <v>100</v>
      </c>
      <c r="AA169" s="13">
        <v>0.16935134322954545</v>
      </c>
      <c r="AB169" s="7">
        <v>3.3026123553095636E-2</v>
      </c>
      <c r="AC169" s="8">
        <v>0</v>
      </c>
      <c r="AD169" s="8">
        <v>1</v>
      </c>
      <c r="AE169" s="8">
        <v>258</v>
      </c>
      <c r="AF169">
        <f>(AA171/AA170)-AA169</f>
        <v>-6.793629147987347E-2</v>
      </c>
    </row>
    <row r="170" spans="1:32" x14ac:dyDescent="0.45">
      <c r="A170" s="6" t="s">
        <v>44</v>
      </c>
      <c r="B170" s="7">
        <v>0.26296232107028095</v>
      </c>
      <c r="C170" s="7">
        <v>8.0971230867118368E-2</v>
      </c>
      <c r="D170" s="8">
        <v>0</v>
      </c>
      <c r="E170" s="8">
        <v>1</v>
      </c>
      <c r="F170" s="8">
        <v>34</v>
      </c>
      <c r="G170" s="7">
        <v>0.35571464744938486</v>
      </c>
      <c r="H170" s="7">
        <v>7.5377725145722718E-2</v>
      </c>
      <c r="I170" s="8">
        <v>0</v>
      </c>
      <c r="J170" s="8">
        <v>1</v>
      </c>
      <c r="K170" s="8">
        <v>42</v>
      </c>
      <c r="L170" s="7">
        <v>0.32429932744398482</v>
      </c>
      <c r="M170" s="7">
        <v>7.5510042392919433E-2</v>
      </c>
      <c r="N170" s="8">
        <v>0</v>
      </c>
      <c r="O170" s="8">
        <v>1</v>
      </c>
      <c r="P170" s="8">
        <v>42</v>
      </c>
      <c r="Q170" s="7">
        <v>0.48486364033758289</v>
      </c>
      <c r="R170" s="7">
        <v>8.2351680282883519E-2</v>
      </c>
      <c r="S170" s="8">
        <v>0</v>
      </c>
      <c r="T170" s="8">
        <v>1</v>
      </c>
      <c r="U170" s="8">
        <v>40</v>
      </c>
      <c r="V170" s="7">
        <v>0.24605417111353658</v>
      </c>
      <c r="W170" s="7">
        <v>5.5580698511919616E-2</v>
      </c>
      <c r="X170" s="8">
        <v>0</v>
      </c>
      <c r="Y170" s="8">
        <v>1</v>
      </c>
      <c r="Z170" s="8">
        <v>100</v>
      </c>
      <c r="AA170" s="13">
        <v>0.36324676446651744</v>
      </c>
      <c r="AB170" s="7">
        <v>4.1670411595932391E-2</v>
      </c>
      <c r="AC170" s="8">
        <v>0</v>
      </c>
      <c r="AD170" s="8">
        <v>1</v>
      </c>
      <c r="AE170" s="8">
        <v>258</v>
      </c>
      <c r="AF170">
        <f>(AA171/AA169)-AA170</f>
        <v>-0.14571858480312871</v>
      </c>
    </row>
    <row r="171" spans="1:32" ht="26.25" x14ac:dyDescent="0.45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34</v>
      </c>
      <c r="G171" s="7">
        <v>6.5089115893563518E-2</v>
      </c>
      <c r="H171" s="7">
        <v>3.731512248307705E-2</v>
      </c>
      <c r="I171" s="8">
        <v>0</v>
      </c>
      <c r="J171" s="8">
        <v>1</v>
      </c>
      <c r="K171" s="8">
        <v>42</v>
      </c>
      <c r="L171" s="7">
        <v>0</v>
      </c>
      <c r="M171" s="7">
        <v>0</v>
      </c>
      <c r="N171" s="8">
        <v>0</v>
      </c>
      <c r="O171" s="8">
        <v>0</v>
      </c>
      <c r="P171" s="8">
        <v>42</v>
      </c>
      <c r="Q171" s="7">
        <v>7.983943656955024E-2</v>
      </c>
      <c r="R171" s="7">
        <v>4.4912237597367538E-2</v>
      </c>
      <c r="S171" s="8">
        <v>0</v>
      </c>
      <c r="T171" s="8">
        <v>1</v>
      </c>
      <c r="U171" s="8">
        <v>40</v>
      </c>
      <c r="V171" s="7">
        <v>2.3625079480032975E-2</v>
      </c>
      <c r="W171" s="7">
        <v>2.0278807520722721E-2</v>
      </c>
      <c r="X171" s="8">
        <v>0</v>
      </c>
      <c r="Y171" s="8">
        <v>1</v>
      </c>
      <c r="Z171" s="8">
        <v>100</v>
      </c>
      <c r="AA171" s="13">
        <v>3.6838689416272774E-2</v>
      </c>
      <c r="AB171" s="7">
        <v>1.4666286939409466E-2</v>
      </c>
      <c r="AC171" s="8">
        <v>0</v>
      </c>
      <c r="AD171" s="8">
        <v>1</v>
      </c>
      <c r="AE171" s="8">
        <v>258</v>
      </c>
    </row>
    <row r="172" spans="1:32" x14ac:dyDescent="0.45">
      <c r="A172" s="6" t="s">
        <v>30</v>
      </c>
      <c r="B172" s="7">
        <v>9.7944886332647418E-2</v>
      </c>
      <c r="C172" s="7">
        <v>5.0745074390485048E-2</v>
      </c>
      <c r="D172" s="8">
        <v>0</v>
      </c>
      <c r="E172" s="8">
        <v>1</v>
      </c>
      <c r="F172" s="8">
        <v>34</v>
      </c>
      <c r="G172" s="7">
        <v>0.19686198014165318</v>
      </c>
      <c r="H172" s="7">
        <v>6.361507673733699E-2</v>
      </c>
      <c r="I172" s="8">
        <v>0</v>
      </c>
      <c r="J172" s="8">
        <v>1</v>
      </c>
      <c r="K172" s="8">
        <v>42</v>
      </c>
      <c r="L172" s="7">
        <v>0.19333329674758543</v>
      </c>
      <c r="M172" s="7">
        <v>6.2618824990208738E-2</v>
      </c>
      <c r="N172" s="8">
        <v>0</v>
      </c>
      <c r="O172" s="8">
        <v>1</v>
      </c>
      <c r="P172" s="8">
        <v>42</v>
      </c>
      <c r="Q172" s="7">
        <v>0.12570203484365922</v>
      </c>
      <c r="R172" s="7">
        <v>5.3202553266984524E-2</v>
      </c>
      <c r="S172" s="8">
        <v>0</v>
      </c>
      <c r="T172" s="8">
        <v>1</v>
      </c>
      <c r="U172" s="8">
        <v>40</v>
      </c>
      <c r="V172" s="7">
        <v>7.5898831644268056E-2</v>
      </c>
      <c r="W172" s="7">
        <v>2.9028505479072871E-2</v>
      </c>
      <c r="X172" s="8">
        <v>0</v>
      </c>
      <c r="Y172" s="8">
        <v>1</v>
      </c>
      <c r="Z172" s="8">
        <v>100</v>
      </c>
      <c r="AA172" s="13">
        <v>0.16935134322954545</v>
      </c>
      <c r="AB172" s="7">
        <v>3.3026123553095636E-2</v>
      </c>
      <c r="AC172" s="8">
        <v>0</v>
      </c>
      <c r="AD172" s="8">
        <v>1</v>
      </c>
      <c r="AE172" s="8">
        <v>258</v>
      </c>
      <c r="AF172">
        <f>(AA174/AA173)-AA172</f>
        <v>2.46412829766543E-3</v>
      </c>
    </row>
    <row r="173" spans="1:32" ht="39.4" x14ac:dyDescent="0.45">
      <c r="A173" s="6" t="s">
        <v>16</v>
      </c>
      <c r="B173" s="7">
        <v>0.95226292316662886</v>
      </c>
      <c r="C173" s="7">
        <v>3.3757095360377097E-2</v>
      </c>
      <c r="D173" s="8">
        <v>0</v>
      </c>
      <c r="E173" s="8">
        <v>1</v>
      </c>
      <c r="F173" s="8">
        <v>34</v>
      </c>
      <c r="G173" s="7">
        <v>0.96979725445447418</v>
      </c>
      <c r="H173" s="7">
        <v>3.0016012175185333E-2</v>
      </c>
      <c r="I173" s="8">
        <v>0</v>
      </c>
      <c r="J173" s="8">
        <v>1</v>
      </c>
      <c r="K173" s="8">
        <v>42</v>
      </c>
      <c r="L173" s="7">
        <v>0.8651891068027362</v>
      </c>
      <c r="M173" s="7">
        <v>5.335387479096497E-2</v>
      </c>
      <c r="N173" s="8">
        <v>0</v>
      </c>
      <c r="O173" s="8">
        <v>1</v>
      </c>
      <c r="P173" s="8">
        <v>42</v>
      </c>
      <c r="Q173" s="7">
        <v>0.94904190046407078</v>
      </c>
      <c r="R173" s="7">
        <v>3.5591246809232757E-2</v>
      </c>
      <c r="S173" s="8">
        <v>0</v>
      </c>
      <c r="T173" s="8">
        <v>1</v>
      </c>
      <c r="U173" s="8">
        <v>40</v>
      </c>
      <c r="V173" s="7">
        <v>0.63213682862253961</v>
      </c>
      <c r="W173" s="7">
        <v>6.9040852741309167E-2</v>
      </c>
      <c r="X173" s="8">
        <v>0</v>
      </c>
      <c r="Y173" s="8">
        <v>1</v>
      </c>
      <c r="Z173" s="8">
        <v>100</v>
      </c>
      <c r="AA173" s="13">
        <v>0.91060279847159487</v>
      </c>
      <c r="AB173" s="7">
        <v>2.4747957456819576E-2</v>
      </c>
      <c r="AC173" s="8">
        <v>0</v>
      </c>
      <c r="AD173" s="8">
        <v>1</v>
      </c>
      <c r="AE173" s="8">
        <v>258</v>
      </c>
      <c r="AF173">
        <f>(AA174/AA172)-AA173</f>
        <v>1.3249626964019989E-2</v>
      </c>
    </row>
    <row r="174" spans="1:32" x14ac:dyDescent="0.45">
      <c r="A174" s="6" t="s">
        <v>86</v>
      </c>
      <c r="B174" s="7">
        <v>7.3428085493780881E-2</v>
      </c>
      <c r="C174" s="7">
        <v>4.5191018328904826E-2</v>
      </c>
      <c r="D174" s="8">
        <v>0</v>
      </c>
      <c r="E174" s="8">
        <v>1</v>
      </c>
      <c r="F174" s="8">
        <v>34</v>
      </c>
      <c r="G174" s="7">
        <v>0.19686198014165318</v>
      </c>
      <c r="H174" s="7">
        <v>6.361507673733699E-2</v>
      </c>
      <c r="I174" s="8">
        <v>0</v>
      </c>
      <c r="J174" s="8">
        <v>1</v>
      </c>
      <c r="K174" s="8">
        <v>42</v>
      </c>
      <c r="L174" s="7">
        <v>0.16713941496914447</v>
      </c>
      <c r="M174" s="7">
        <v>5.884541685066539E-2</v>
      </c>
      <c r="N174" s="8">
        <v>0</v>
      </c>
      <c r="O174" s="8">
        <v>1</v>
      </c>
      <c r="P174" s="8">
        <v>42</v>
      </c>
      <c r="Q174" s="7">
        <v>0.12570203484365922</v>
      </c>
      <c r="R174" s="7">
        <v>5.3202553266984524E-2</v>
      </c>
      <c r="S174" s="8">
        <v>0</v>
      </c>
      <c r="T174" s="8">
        <v>1</v>
      </c>
      <c r="U174" s="8">
        <v>40</v>
      </c>
      <c r="V174" s="7">
        <v>5.0789150324289552E-2</v>
      </c>
      <c r="W174" s="7">
        <v>2.5322118438318247E-2</v>
      </c>
      <c r="X174" s="8">
        <v>0</v>
      </c>
      <c r="Y174" s="8">
        <v>1</v>
      </c>
      <c r="Z174" s="8">
        <v>100</v>
      </c>
      <c r="AA174" s="13">
        <v>0.15645564919339486</v>
      </c>
      <c r="AB174" s="7">
        <v>3.1844545148857033E-2</v>
      </c>
      <c r="AC174" s="8">
        <v>0</v>
      </c>
      <c r="AD174" s="8">
        <v>1</v>
      </c>
      <c r="AE174" s="8">
        <v>258</v>
      </c>
    </row>
    <row r="175" spans="1:32" x14ac:dyDescent="0.45">
      <c r="A175" s="6" t="s">
        <v>30</v>
      </c>
      <c r="B175" s="7">
        <v>9.7944886332647418E-2</v>
      </c>
      <c r="C175" s="7">
        <v>5.0745074390485048E-2</v>
      </c>
      <c r="D175" s="8">
        <v>0</v>
      </c>
      <c r="E175" s="8">
        <v>1</v>
      </c>
      <c r="F175" s="8">
        <v>34</v>
      </c>
      <c r="G175" s="7">
        <v>0.19686198014165318</v>
      </c>
      <c r="H175" s="7">
        <v>6.361507673733699E-2</v>
      </c>
      <c r="I175" s="8">
        <v>0</v>
      </c>
      <c r="J175" s="8">
        <v>1</v>
      </c>
      <c r="K175" s="8">
        <v>42</v>
      </c>
      <c r="L175" s="7">
        <v>0.19333329674758543</v>
      </c>
      <c r="M175" s="7">
        <v>6.2618824990208738E-2</v>
      </c>
      <c r="N175" s="8">
        <v>0</v>
      </c>
      <c r="O175" s="8">
        <v>1</v>
      </c>
      <c r="P175" s="8">
        <v>42</v>
      </c>
      <c r="Q175" s="7">
        <v>0.12570203484365922</v>
      </c>
      <c r="R175" s="7">
        <v>5.3202553266984524E-2</v>
      </c>
      <c r="S175" s="8">
        <v>0</v>
      </c>
      <c r="T175" s="8">
        <v>1</v>
      </c>
      <c r="U175" s="8">
        <v>40</v>
      </c>
      <c r="V175" s="7">
        <v>7.5898831644268056E-2</v>
      </c>
      <c r="W175" s="7">
        <v>2.9028505479072871E-2</v>
      </c>
      <c r="X175" s="8">
        <v>0</v>
      </c>
      <c r="Y175" s="8">
        <v>1</v>
      </c>
      <c r="Z175" s="8">
        <v>100</v>
      </c>
      <c r="AA175" s="13">
        <v>0.16935134322954545</v>
      </c>
      <c r="AB175" s="7">
        <v>3.3026123553095636E-2</v>
      </c>
      <c r="AC175" s="8">
        <v>0</v>
      </c>
      <c r="AD175" s="8">
        <v>1</v>
      </c>
      <c r="AE175" s="8">
        <v>258</v>
      </c>
      <c r="AF175">
        <f>(AA177/AA176)-AA175</f>
        <v>-1.0248232814482089E-2</v>
      </c>
    </row>
    <row r="176" spans="1:32" ht="39.4" x14ac:dyDescent="0.45">
      <c r="A176" s="6" t="s">
        <v>18</v>
      </c>
      <c r="B176" s="7">
        <v>0.95343656614872163</v>
      </c>
      <c r="C176" s="7">
        <v>3.2998861160736311E-2</v>
      </c>
      <c r="D176" s="8">
        <v>0</v>
      </c>
      <c r="E176" s="8">
        <v>1</v>
      </c>
      <c r="F176" s="8">
        <v>34</v>
      </c>
      <c r="G176" s="7">
        <v>0.96979725445447418</v>
      </c>
      <c r="H176" s="7">
        <v>3.0016012175185333E-2</v>
      </c>
      <c r="I176" s="8">
        <v>0</v>
      </c>
      <c r="J176" s="8">
        <v>1</v>
      </c>
      <c r="K176" s="8">
        <v>42</v>
      </c>
      <c r="L176" s="7">
        <v>0.8699809970787199</v>
      </c>
      <c r="M176" s="7">
        <v>5.4941364171145674E-2</v>
      </c>
      <c r="N176" s="8">
        <v>0</v>
      </c>
      <c r="O176" s="8">
        <v>1</v>
      </c>
      <c r="P176" s="8">
        <v>42</v>
      </c>
      <c r="Q176" s="7">
        <v>0.9749682228588612</v>
      </c>
      <c r="R176" s="7">
        <v>2.5049499255806983E-2</v>
      </c>
      <c r="S176" s="8">
        <v>0</v>
      </c>
      <c r="T176" s="8">
        <v>1</v>
      </c>
      <c r="U176" s="8">
        <v>40</v>
      </c>
      <c r="V176" s="7">
        <v>0.63023599596706159</v>
      </c>
      <c r="W176" s="7">
        <v>6.9774465060460464E-2</v>
      </c>
      <c r="X176" s="8">
        <v>0</v>
      </c>
      <c r="Y176" s="8">
        <v>1</v>
      </c>
      <c r="Z176" s="8">
        <v>100</v>
      </c>
      <c r="AA176" s="13">
        <v>0.91845222109286739</v>
      </c>
      <c r="AB176" s="7">
        <v>2.4806962700400701E-2</v>
      </c>
      <c r="AC176" s="8">
        <v>0</v>
      </c>
      <c r="AD176" s="8">
        <v>1</v>
      </c>
      <c r="AE176" s="8">
        <v>258</v>
      </c>
      <c r="AF176">
        <f>(AA177/AA175)-AA176</f>
        <v>-5.5579790577626409E-2</v>
      </c>
    </row>
    <row r="177" spans="1:32" x14ac:dyDescent="0.45">
      <c r="A177" s="6" t="s">
        <v>87</v>
      </c>
      <c r="B177" s="7">
        <v>7.3428085493780881E-2</v>
      </c>
      <c r="C177" s="7">
        <v>4.5191018328904826E-2</v>
      </c>
      <c r="D177" s="8">
        <v>0</v>
      </c>
      <c r="E177" s="8">
        <v>1</v>
      </c>
      <c r="F177" s="8">
        <v>34</v>
      </c>
      <c r="G177" s="7">
        <v>0.19686198014165318</v>
      </c>
      <c r="H177" s="7">
        <v>6.361507673733699E-2</v>
      </c>
      <c r="I177" s="8">
        <v>0</v>
      </c>
      <c r="J177" s="8">
        <v>1</v>
      </c>
      <c r="K177" s="8">
        <v>42</v>
      </c>
      <c r="L177" s="7">
        <v>0.14199041187275699</v>
      </c>
      <c r="M177" s="7">
        <v>5.4826649897326697E-2</v>
      </c>
      <c r="N177" s="8">
        <v>0</v>
      </c>
      <c r="O177" s="8">
        <v>1</v>
      </c>
      <c r="P177" s="8">
        <v>42</v>
      </c>
      <c r="Q177" s="7">
        <v>0.12570203484365922</v>
      </c>
      <c r="R177" s="7">
        <v>5.3202553266984524E-2</v>
      </c>
      <c r="S177" s="8">
        <v>0</v>
      </c>
      <c r="T177" s="8">
        <v>1</v>
      </c>
      <c r="U177" s="8">
        <v>40</v>
      </c>
      <c r="V177" s="7">
        <v>4.637549070956249E-2</v>
      </c>
      <c r="W177" s="7">
        <v>2.3982076900769273E-2</v>
      </c>
      <c r="X177" s="8">
        <v>0</v>
      </c>
      <c r="Y177" s="8">
        <v>1</v>
      </c>
      <c r="Z177" s="8">
        <v>100</v>
      </c>
      <c r="AA177" s="13">
        <v>0.14612860514349868</v>
      </c>
      <c r="AB177" s="7">
        <v>3.0689291959153382E-2</v>
      </c>
      <c r="AC177" s="8">
        <v>0</v>
      </c>
      <c r="AD177" s="8">
        <v>1</v>
      </c>
      <c r="AE177" s="8">
        <v>258</v>
      </c>
    </row>
    <row r="178" spans="1:32" x14ac:dyDescent="0.45">
      <c r="A178" s="6" t="s">
        <v>30</v>
      </c>
      <c r="B178" s="7">
        <v>9.7944886332647418E-2</v>
      </c>
      <c r="C178" s="7">
        <v>5.0745074390485048E-2</v>
      </c>
      <c r="D178" s="8">
        <v>0</v>
      </c>
      <c r="E178" s="8">
        <v>1</v>
      </c>
      <c r="F178" s="8">
        <v>34</v>
      </c>
      <c r="G178" s="7">
        <v>0.19686198014165318</v>
      </c>
      <c r="H178" s="7">
        <v>6.361507673733699E-2</v>
      </c>
      <c r="I178" s="8">
        <v>0</v>
      </c>
      <c r="J178" s="8">
        <v>1</v>
      </c>
      <c r="K178" s="8">
        <v>42</v>
      </c>
      <c r="L178" s="7">
        <v>0.19333329674758543</v>
      </c>
      <c r="M178" s="7">
        <v>6.2618824990208738E-2</v>
      </c>
      <c r="N178" s="8">
        <v>0</v>
      </c>
      <c r="O178" s="8">
        <v>1</v>
      </c>
      <c r="P178" s="8">
        <v>42</v>
      </c>
      <c r="Q178" s="7">
        <v>0.12570203484365922</v>
      </c>
      <c r="R178" s="7">
        <v>5.3202553266984524E-2</v>
      </c>
      <c r="S178" s="8">
        <v>0</v>
      </c>
      <c r="T178" s="8">
        <v>1</v>
      </c>
      <c r="U178" s="8">
        <v>40</v>
      </c>
      <c r="V178" s="7">
        <v>7.5898831644268056E-2</v>
      </c>
      <c r="W178" s="7">
        <v>2.9028505479072871E-2</v>
      </c>
      <c r="X178" s="8">
        <v>0</v>
      </c>
      <c r="Y178" s="8">
        <v>1</v>
      </c>
      <c r="Z178" s="8">
        <v>100</v>
      </c>
      <c r="AA178" s="13">
        <v>0.16935134322954545</v>
      </c>
      <c r="AB178" s="7">
        <v>3.3026123553095636E-2</v>
      </c>
      <c r="AC178" s="8">
        <v>0</v>
      </c>
      <c r="AD178" s="8">
        <v>1</v>
      </c>
      <c r="AE178" s="8">
        <v>258</v>
      </c>
      <c r="AF178">
        <f>(AA180/AA179)-AA178</f>
        <v>-1.0855666361494654E-2</v>
      </c>
    </row>
    <row r="179" spans="1:32" ht="39.4" x14ac:dyDescent="0.45">
      <c r="A179" s="6" t="s">
        <v>20</v>
      </c>
      <c r="B179" s="7">
        <v>0.90678716876013998</v>
      </c>
      <c r="C179" s="7">
        <v>4.9177473357267902E-2</v>
      </c>
      <c r="D179" s="8">
        <v>0</v>
      </c>
      <c r="E179" s="8">
        <v>1</v>
      </c>
      <c r="F179" s="8">
        <v>34</v>
      </c>
      <c r="G179" s="7">
        <v>0.89891076629469935</v>
      </c>
      <c r="H179" s="7">
        <v>4.8893744591203998E-2</v>
      </c>
      <c r="I179" s="8">
        <v>0</v>
      </c>
      <c r="J179" s="8">
        <v>1</v>
      </c>
      <c r="K179" s="8">
        <v>42</v>
      </c>
      <c r="L179" s="7">
        <v>0.83274552255977152</v>
      </c>
      <c r="M179" s="7">
        <v>5.9834974582738454E-2</v>
      </c>
      <c r="N179" s="8">
        <v>0</v>
      </c>
      <c r="O179" s="8">
        <v>1</v>
      </c>
      <c r="P179" s="8">
        <v>42</v>
      </c>
      <c r="Q179" s="7">
        <v>0.94871856326789294</v>
      </c>
      <c r="R179" s="7">
        <v>3.5809222533905935E-2</v>
      </c>
      <c r="S179" s="8">
        <v>0</v>
      </c>
      <c r="T179" s="8">
        <v>1</v>
      </c>
      <c r="U179" s="8">
        <v>40</v>
      </c>
      <c r="V179" s="7">
        <v>0.46705017304122987</v>
      </c>
      <c r="W179" s="7">
        <v>6.8874379217115159E-2</v>
      </c>
      <c r="X179" s="8">
        <v>0</v>
      </c>
      <c r="Y179" s="8">
        <v>1</v>
      </c>
      <c r="Z179" s="8">
        <v>100</v>
      </c>
      <c r="AA179" s="13">
        <v>0.86977609404131639</v>
      </c>
      <c r="AB179" s="7">
        <v>2.9171246830362617E-2</v>
      </c>
      <c r="AC179" s="8">
        <v>0</v>
      </c>
      <c r="AD179" s="8">
        <v>1</v>
      </c>
      <c r="AE179" s="8">
        <v>258</v>
      </c>
      <c r="AF179">
        <f>(AA180/AA178)-AA179</f>
        <v>-5.5753907267912628E-2</v>
      </c>
    </row>
    <row r="180" spans="1:32" x14ac:dyDescent="0.45">
      <c r="A180" s="6" t="s">
        <v>88</v>
      </c>
      <c r="B180" s="7">
        <v>6.3523076459219049E-2</v>
      </c>
      <c r="C180" s="7">
        <v>4.4174764743558276E-2</v>
      </c>
      <c r="D180" s="8">
        <v>0</v>
      </c>
      <c r="E180" s="8">
        <v>1</v>
      </c>
      <c r="F180" s="8">
        <v>34</v>
      </c>
      <c r="G180" s="7">
        <v>0.17086279958669384</v>
      </c>
      <c r="H180" s="7">
        <v>6.0116197445049056E-2</v>
      </c>
      <c r="I180" s="8">
        <v>0</v>
      </c>
      <c r="J180" s="8">
        <v>1</v>
      </c>
      <c r="K180" s="8">
        <v>42</v>
      </c>
      <c r="L180" s="7">
        <v>0.14199041187275699</v>
      </c>
      <c r="M180" s="7">
        <v>5.4826649897326697E-2</v>
      </c>
      <c r="N180" s="8">
        <v>0</v>
      </c>
      <c r="O180" s="8">
        <v>1</v>
      </c>
      <c r="P180" s="8">
        <v>42</v>
      </c>
      <c r="Q180" s="7">
        <v>0.12570203484365922</v>
      </c>
      <c r="R180" s="7">
        <v>5.3202553266984524E-2</v>
      </c>
      <c r="S180" s="8">
        <v>0</v>
      </c>
      <c r="T180" s="8">
        <v>1</v>
      </c>
      <c r="U180" s="8">
        <v>40</v>
      </c>
      <c r="V180" s="7">
        <v>3.0097021609926722E-2</v>
      </c>
      <c r="W180" s="7">
        <v>2.0798765824429265E-2</v>
      </c>
      <c r="X180" s="8">
        <v>0</v>
      </c>
      <c r="Y180" s="8">
        <v>1</v>
      </c>
      <c r="Z180" s="8">
        <v>100</v>
      </c>
      <c r="AA180" s="13">
        <v>0.13785575074872786</v>
      </c>
      <c r="AB180" s="7">
        <v>3.0082275586197891E-2</v>
      </c>
      <c r="AC180" s="8">
        <v>0</v>
      </c>
      <c r="AD180" s="8">
        <v>1</v>
      </c>
      <c r="AE180" s="8">
        <v>258</v>
      </c>
    </row>
    <row r="181" spans="1:32" x14ac:dyDescent="0.45">
      <c r="A181" s="6" t="s">
        <v>30</v>
      </c>
      <c r="B181" s="7">
        <v>9.7944886332647418E-2</v>
      </c>
      <c r="C181" s="7">
        <v>5.0745074390485048E-2</v>
      </c>
      <c r="D181" s="8">
        <v>0</v>
      </c>
      <c r="E181" s="8">
        <v>1</v>
      </c>
      <c r="F181" s="8">
        <v>34</v>
      </c>
      <c r="G181" s="7">
        <v>0.19686198014165318</v>
      </c>
      <c r="H181" s="7">
        <v>6.361507673733699E-2</v>
      </c>
      <c r="I181" s="8">
        <v>0</v>
      </c>
      <c r="J181" s="8">
        <v>1</v>
      </c>
      <c r="K181" s="8">
        <v>42</v>
      </c>
      <c r="L181" s="7">
        <v>0.19333329674758543</v>
      </c>
      <c r="M181" s="7">
        <v>6.2618824990208738E-2</v>
      </c>
      <c r="N181" s="8">
        <v>0</v>
      </c>
      <c r="O181" s="8">
        <v>1</v>
      </c>
      <c r="P181" s="8">
        <v>42</v>
      </c>
      <c r="Q181" s="7">
        <v>0.12570203484365922</v>
      </c>
      <c r="R181" s="7">
        <v>5.3202553266984524E-2</v>
      </c>
      <c r="S181" s="8">
        <v>0</v>
      </c>
      <c r="T181" s="8">
        <v>1</v>
      </c>
      <c r="U181" s="8">
        <v>40</v>
      </c>
      <c r="V181" s="7">
        <v>7.5898831644268056E-2</v>
      </c>
      <c r="W181" s="7">
        <v>2.9028505479072871E-2</v>
      </c>
      <c r="X181" s="8">
        <v>0</v>
      </c>
      <c r="Y181" s="8">
        <v>1</v>
      </c>
      <c r="Z181" s="8">
        <v>100</v>
      </c>
      <c r="AA181" s="13">
        <v>0.16935134322954545</v>
      </c>
      <c r="AB181" s="7">
        <v>3.3026123553095636E-2</v>
      </c>
      <c r="AC181" s="8">
        <v>0</v>
      </c>
      <c r="AD181" s="8">
        <v>1</v>
      </c>
      <c r="AE181" s="8">
        <v>258</v>
      </c>
      <c r="AF181">
        <f>(AA183/AA182)-AA181</f>
        <v>-1.6020212727035965E-2</v>
      </c>
    </row>
    <row r="182" spans="1:32" ht="26.25" x14ac:dyDescent="0.45">
      <c r="A182" s="6" t="s">
        <v>22</v>
      </c>
      <c r="B182" s="7">
        <v>0.84952162550522947</v>
      </c>
      <c r="C182" s="7">
        <v>6.1545774275045921E-2</v>
      </c>
      <c r="D182" s="8">
        <v>0</v>
      </c>
      <c r="E182" s="8">
        <v>1</v>
      </c>
      <c r="F182" s="8">
        <v>34</v>
      </c>
      <c r="G182" s="7">
        <v>0.96979725445447418</v>
      </c>
      <c r="H182" s="7">
        <v>3.0016012175185333E-2</v>
      </c>
      <c r="I182" s="8">
        <v>0</v>
      </c>
      <c r="J182" s="8">
        <v>1</v>
      </c>
      <c r="K182" s="8">
        <v>42</v>
      </c>
      <c r="L182" s="7">
        <v>0.8581968674576721</v>
      </c>
      <c r="M182" s="7">
        <v>5.4732643111864598E-2</v>
      </c>
      <c r="N182" s="8">
        <v>0</v>
      </c>
      <c r="O182" s="8">
        <v>1</v>
      </c>
      <c r="P182" s="8">
        <v>42</v>
      </c>
      <c r="Q182" s="7">
        <v>0.9749682228588612</v>
      </c>
      <c r="R182" s="7">
        <v>2.5049499255806983E-2</v>
      </c>
      <c r="S182" s="8">
        <v>0</v>
      </c>
      <c r="T182" s="8">
        <v>1</v>
      </c>
      <c r="U182" s="8">
        <v>40</v>
      </c>
      <c r="V182" s="7">
        <v>0.65979065777482815</v>
      </c>
      <c r="W182" s="7">
        <v>6.9173406705135554E-2</v>
      </c>
      <c r="X182" s="8">
        <v>0</v>
      </c>
      <c r="Y182" s="8">
        <v>1</v>
      </c>
      <c r="Z182" s="8">
        <v>100</v>
      </c>
      <c r="AA182" s="13">
        <v>0.90843054717269422</v>
      </c>
      <c r="AB182" s="7">
        <v>2.4885705943311916E-2</v>
      </c>
      <c r="AC182" s="8">
        <v>0</v>
      </c>
      <c r="AD182" s="8">
        <v>1</v>
      </c>
      <c r="AE182" s="8">
        <v>258</v>
      </c>
      <c r="AF182">
        <f>(AA183/AA181)-AA182</f>
        <v>-8.5935253514453636E-2</v>
      </c>
    </row>
    <row r="183" spans="1:32" x14ac:dyDescent="0.45">
      <c r="A183" s="6" t="s">
        <v>89</v>
      </c>
      <c r="B183" s="7">
        <v>7.3428085493780881E-2</v>
      </c>
      <c r="C183" s="7">
        <v>4.5191018328904826E-2</v>
      </c>
      <c r="D183" s="8">
        <v>0</v>
      </c>
      <c r="E183" s="8">
        <v>1</v>
      </c>
      <c r="F183" s="8">
        <v>34</v>
      </c>
      <c r="G183" s="7">
        <v>0.19686198014165318</v>
      </c>
      <c r="H183" s="7">
        <v>6.361507673733699E-2</v>
      </c>
      <c r="I183" s="8">
        <v>0</v>
      </c>
      <c r="J183" s="8">
        <v>1</v>
      </c>
      <c r="K183" s="8">
        <v>42</v>
      </c>
      <c r="L183" s="7">
        <v>0.12457338476826769</v>
      </c>
      <c r="M183" s="7">
        <v>5.2869554242039984E-2</v>
      </c>
      <c r="N183" s="8">
        <v>0</v>
      </c>
      <c r="O183" s="8">
        <v>1</v>
      </c>
      <c r="P183" s="8">
        <v>42</v>
      </c>
      <c r="Q183" s="7">
        <v>0.12570203484365922</v>
      </c>
      <c r="R183" s="7">
        <v>5.3202553266984524E-2</v>
      </c>
      <c r="S183" s="8">
        <v>0</v>
      </c>
      <c r="T183" s="8">
        <v>1</v>
      </c>
      <c r="U183" s="8">
        <v>40</v>
      </c>
      <c r="V183" s="7">
        <v>5.2902595156582383E-2</v>
      </c>
      <c r="W183" s="7">
        <v>2.5694680559277764E-2</v>
      </c>
      <c r="X183" s="8">
        <v>0</v>
      </c>
      <c r="Y183" s="8">
        <v>1</v>
      </c>
      <c r="Z183" s="8">
        <v>100</v>
      </c>
      <c r="AA183" s="13">
        <v>0.13929068278100248</v>
      </c>
      <c r="AB183" s="7">
        <v>3.0159286674193559E-2</v>
      </c>
      <c r="AC183" s="8">
        <v>0</v>
      </c>
      <c r="AD183" s="8">
        <v>1</v>
      </c>
      <c r="AE183" s="8">
        <v>258</v>
      </c>
    </row>
    <row r="184" spans="1:32" x14ac:dyDescent="0.45">
      <c r="A184" s="6" t="s">
        <v>30</v>
      </c>
      <c r="B184" s="7">
        <v>9.7944886332647418E-2</v>
      </c>
      <c r="C184" s="7">
        <v>5.0745074390485048E-2</v>
      </c>
      <c r="D184" s="8">
        <v>0</v>
      </c>
      <c r="E184" s="8">
        <v>1</v>
      </c>
      <c r="F184" s="8">
        <v>34</v>
      </c>
      <c r="G184" s="7">
        <v>0.19686198014165318</v>
      </c>
      <c r="H184" s="7">
        <v>6.361507673733699E-2</v>
      </c>
      <c r="I184" s="8">
        <v>0</v>
      </c>
      <c r="J184" s="8">
        <v>1</v>
      </c>
      <c r="K184" s="8">
        <v>42</v>
      </c>
      <c r="L184" s="7">
        <v>0.19333329674758543</v>
      </c>
      <c r="M184" s="7">
        <v>6.2618824990208738E-2</v>
      </c>
      <c r="N184" s="8">
        <v>0</v>
      </c>
      <c r="O184" s="8">
        <v>1</v>
      </c>
      <c r="P184" s="8">
        <v>42</v>
      </c>
      <c r="Q184" s="7">
        <v>0.12570203484365922</v>
      </c>
      <c r="R184" s="7">
        <v>5.3202553266984524E-2</v>
      </c>
      <c r="S184" s="8">
        <v>0</v>
      </c>
      <c r="T184" s="8">
        <v>1</v>
      </c>
      <c r="U184" s="8">
        <v>40</v>
      </c>
      <c r="V184" s="7">
        <v>7.5898831644268056E-2</v>
      </c>
      <c r="W184" s="7">
        <v>2.9028505479072871E-2</v>
      </c>
      <c r="X184" s="8">
        <v>0</v>
      </c>
      <c r="Y184" s="8">
        <v>1</v>
      </c>
      <c r="Z184" s="8">
        <v>100</v>
      </c>
      <c r="AA184" s="13">
        <v>0.16935134322954545</v>
      </c>
      <c r="AB184" s="7">
        <v>3.3026123553095636E-2</v>
      </c>
      <c r="AC184" s="8">
        <v>0</v>
      </c>
      <c r="AD184" s="8">
        <v>1</v>
      </c>
      <c r="AE184" s="8">
        <v>258</v>
      </c>
      <c r="AF184">
        <f>(AA186/AA185)-AA184</f>
        <v>-4.5857773141300129E-2</v>
      </c>
    </row>
    <row r="185" spans="1:32" ht="26.25" x14ac:dyDescent="0.45">
      <c r="A185" s="6" t="s">
        <v>24</v>
      </c>
      <c r="B185" s="7">
        <v>0.59113064078982813</v>
      </c>
      <c r="C185" s="7">
        <v>8.9609791547363538E-2</v>
      </c>
      <c r="D185" s="8">
        <v>0</v>
      </c>
      <c r="E185" s="8">
        <v>1</v>
      </c>
      <c r="F185" s="8">
        <v>34</v>
      </c>
      <c r="G185" s="7">
        <v>0.71909384928754405</v>
      </c>
      <c r="H185" s="7">
        <v>7.2403474018022274E-2</v>
      </c>
      <c r="I185" s="8">
        <v>0</v>
      </c>
      <c r="J185" s="8">
        <v>1</v>
      </c>
      <c r="K185" s="8">
        <v>42</v>
      </c>
      <c r="L185" s="7">
        <v>0.68288377049228632</v>
      </c>
      <c r="M185" s="7">
        <v>7.4547087275515955E-2</v>
      </c>
      <c r="N185" s="8">
        <v>0</v>
      </c>
      <c r="O185" s="8">
        <v>1</v>
      </c>
      <c r="P185" s="8">
        <v>42</v>
      </c>
      <c r="Q185" s="7">
        <v>0.9233668457535289</v>
      </c>
      <c r="R185" s="7">
        <v>4.3202567197263397E-2</v>
      </c>
      <c r="S185" s="8">
        <v>0</v>
      </c>
      <c r="T185" s="8">
        <v>1</v>
      </c>
      <c r="U185" s="8">
        <v>40</v>
      </c>
      <c r="V185" s="7">
        <v>0.63320079073355351</v>
      </c>
      <c r="W185" s="7">
        <v>6.9028775174729731E-2</v>
      </c>
      <c r="X185" s="8">
        <v>0</v>
      </c>
      <c r="Y185" s="8">
        <v>1</v>
      </c>
      <c r="Z185" s="8">
        <v>100</v>
      </c>
      <c r="AA185" s="13">
        <v>0.74045598075499264</v>
      </c>
      <c r="AB185" s="7">
        <v>3.837948723925233E-2</v>
      </c>
      <c r="AC185" s="8">
        <v>0</v>
      </c>
      <c r="AD185" s="8">
        <v>1</v>
      </c>
      <c r="AE185" s="8">
        <v>258</v>
      </c>
      <c r="AF185">
        <f>(AA186/AA184)-AA185</f>
        <v>-0.20050424011433143</v>
      </c>
    </row>
    <row r="186" spans="1:32" x14ac:dyDescent="0.45">
      <c r="A186" s="6" t="s">
        <v>90</v>
      </c>
      <c r="B186" s="7">
        <v>4.1083951053761059E-2</v>
      </c>
      <c r="C186" s="7">
        <v>3.2695868208035134E-2</v>
      </c>
      <c r="D186" s="8">
        <v>0</v>
      </c>
      <c r="E186" s="8">
        <v>1</v>
      </c>
      <c r="F186" s="8">
        <v>34</v>
      </c>
      <c r="G186" s="7">
        <v>0.14075618546506871</v>
      </c>
      <c r="H186" s="7">
        <v>5.4480436380647791E-2</v>
      </c>
      <c r="I186" s="8">
        <v>0</v>
      </c>
      <c r="J186" s="8">
        <v>1</v>
      </c>
      <c r="K186" s="8">
        <v>42</v>
      </c>
      <c r="L186" s="7">
        <v>4.9721733151856608E-2</v>
      </c>
      <c r="M186" s="7">
        <v>3.4701103959461244E-2</v>
      </c>
      <c r="N186" s="8">
        <v>0</v>
      </c>
      <c r="O186" s="8">
        <v>1</v>
      </c>
      <c r="P186" s="8">
        <v>42</v>
      </c>
      <c r="Q186" s="7">
        <v>0.12570203484365922</v>
      </c>
      <c r="R186" s="7">
        <v>5.3202553266984524E-2</v>
      </c>
      <c r="S186" s="8">
        <v>0</v>
      </c>
      <c r="T186" s="8">
        <v>1</v>
      </c>
      <c r="U186" s="8">
        <v>40</v>
      </c>
      <c r="V186" s="7">
        <v>4.7252589193108173E-2</v>
      </c>
      <c r="W186" s="7">
        <v>2.5053882271898576E-2</v>
      </c>
      <c r="X186" s="8">
        <v>0</v>
      </c>
      <c r="Y186" s="8">
        <v>1</v>
      </c>
      <c r="Z186" s="8">
        <v>100</v>
      </c>
      <c r="AA186" s="13">
        <v>9.1441552556627115E-2</v>
      </c>
      <c r="AB186" s="7">
        <v>2.3952014322805176E-2</v>
      </c>
      <c r="AC186" s="8">
        <v>0</v>
      </c>
      <c r="AD186" s="8">
        <v>1</v>
      </c>
      <c r="AE186" s="8">
        <v>258</v>
      </c>
    </row>
    <row r="187" spans="1:32" x14ac:dyDescent="0.45">
      <c r="A187" s="6" t="s">
        <v>32</v>
      </c>
      <c r="B187" s="7">
        <v>0.88886175204661999</v>
      </c>
      <c r="C187" s="7">
        <v>6.1457033964244352E-2</v>
      </c>
      <c r="D187" s="8">
        <v>0</v>
      </c>
      <c r="E187" s="8">
        <v>1</v>
      </c>
      <c r="F187" s="8">
        <v>34</v>
      </c>
      <c r="G187" s="7">
        <v>0.60873909731901421</v>
      </c>
      <c r="H187" s="7">
        <v>7.7439164761967633E-2</v>
      </c>
      <c r="I187" s="8">
        <v>0</v>
      </c>
      <c r="J187" s="8">
        <v>1</v>
      </c>
      <c r="K187" s="8">
        <v>42</v>
      </c>
      <c r="L187" s="7">
        <v>0.46210236619269668</v>
      </c>
      <c r="M187" s="7">
        <v>7.9990935927138157E-2</v>
      </c>
      <c r="N187" s="8">
        <v>0</v>
      </c>
      <c r="O187" s="8">
        <v>1</v>
      </c>
      <c r="P187" s="8">
        <v>42</v>
      </c>
      <c r="Q187" s="7">
        <v>0.64300167798766439</v>
      </c>
      <c r="R187" s="7">
        <v>7.9764129090886995E-2</v>
      </c>
      <c r="S187" s="8">
        <v>0</v>
      </c>
      <c r="T187" s="8">
        <v>1</v>
      </c>
      <c r="U187" s="8">
        <v>40</v>
      </c>
      <c r="V187" s="7">
        <v>0.19224039367404611</v>
      </c>
      <c r="W187" s="7">
        <v>4.6779770209863396E-2</v>
      </c>
      <c r="X187" s="8">
        <v>0</v>
      </c>
      <c r="Y187" s="8">
        <v>1</v>
      </c>
      <c r="Z187" s="8">
        <v>100</v>
      </c>
      <c r="AA187" s="13">
        <v>0.56028151574267626</v>
      </c>
      <c r="AB187" s="7">
        <v>4.331019237972477E-2</v>
      </c>
      <c r="AC187" s="8">
        <v>0</v>
      </c>
      <c r="AD187" s="8">
        <v>1</v>
      </c>
      <c r="AE187" s="8">
        <v>258</v>
      </c>
      <c r="AF187">
        <f>(AA189/AA188)-AA187</f>
        <v>5.5935040436816408E-3</v>
      </c>
    </row>
    <row r="188" spans="1:32" x14ac:dyDescent="0.45">
      <c r="A188" s="6" t="s">
        <v>36</v>
      </c>
      <c r="B188" s="7">
        <v>0.76064468833586119</v>
      </c>
      <c r="C188" s="7">
        <v>7.7815769808775942E-2</v>
      </c>
      <c r="D188" s="8">
        <v>0</v>
      </c>
      <c r="E188" s="8">
        <v>1</v>
      </c>
      <c r="F188" s="8">
        <v>34</v>
      </c>
      <c r="G188" s="7">
        <v>0.47021854293445042</v>
      </c>
      <c r="H188" s="7">
        <v>7.9243117363754292E-2</v>
      </c>
      <c r="I188" s="8">
        <v>0</v>
      </c>
      <c r="J188" s="8">
        <v>1</v>
      </c>
      <c r="K188" s="8">
        <v>42</v>
      </c>
      <c r="L188" s="7">
        <v>0.2445206682606792</v>
      </c>
      <c r="M188" s="7">
        <v>6.7154542896761538E-2</v>
      </c>
      <c r="N188" s="8">
        <v>0</v>
      </c>
      <c r="O188" s="8">
        <v>1</v>
      </c>
      <c r="P188" s="8">
        <v>42</v>
      </c>
      <c r="Q188" s="7">
        <v>0.35160809189742964</v>
      </c>
      <c r="R188" s="7">
        <v>7.902438279457083E-2</v>
      </c>
      <c r="S188" s="8">
        <v>0</v>
      </c>
      <c r="T188" s="8">
        <v>1</v>
      </c>
      <c r="U188" s="8">
        <v>40</v>
      </c>
      <c r="V188" s="7">
        <v>0.42925514319553509</v>
      </c>
      <c r="W188" s="7">
        <v>6.917480911456024E-2</v>
      </c>
      <c r="X188" s="8">
        <v>0</v>
      </c>
      <c r="Y188" s="8">
        <v>1</v>
      </c>
      <c r="Z188" s="8">
        <v>100</v>
      </c>
      <c r="AA188" s="13">
        <v>0.36787839094902408</v>
      </c>
      <c r="AB188" s="7">
        <v>4.0690017630809268E-2</v>
      </c>
      <c r="AC188" s="8">
        <v>0</v>
      </c>
      <c r="AD188" s="8">
        <v>1</v>
      </c>
      <c r="AE188" s="8">
        <v>258</v>
      </c>
      <c r="AF188">
        <f>(AA189/AA187)-AA188</f>
        <v>3.6726702729588667E-3</v>
      </c>
    </row>
    <row r="189" spans="1:32" x14ac:dyDescent="0.45">
      <c r="A189" s="6" t="s">
        <v>91</v>
      </c>
      <c r="B189" s="7">
        <v>0.64950644038248107</v>
      </c>
      <c r="C189" s="7">
        <v>8.8326936800757719E-2</v>
      </c>
      <c r="D189" s="8">
        <v>0</v>
      </c>
      <c r="E189" s="8">
        <v>1</v>
      </c>
      <c r="F189" s="8">
        <v>34</v>
      </c>
      <c r="G189" s="7">
        <v>0.27146396667077766</v>
      </c>
      <c r="H189" s="7">
        <v>7.0906083261349187E-2</v>
      </c>
      <c r="I189" s="8">
        <v>0</v>
      </c>
      <c r="J189" s="8">
        <v>1</v>
      </c>
      <c r="K189" s="8">
        <v>42</v>
      </c>
      <c r="L189" s="7">
        <v>6.780995613357782E-2</v>
      </c>
      <c r="M189" s="7">
        <v>3.8428274783171366E-2</v>
      </c>
      <c r="N189" s="8">
        <v>0</v>
      </c>
      <c r="O189" s="8">
        <v>1</v>
      </c>
      <c r="P189" s="8">
        <v>42</v>
      </c>
      <c r="Q189" s="7">
        <v>0.29011897787901003</v>
      </c>
      <c r="R189" s="7">
        <v>7.454569347293874E-2</v>
      </c>
      <c r="S189" s="8">
        <v>0</v>
      </c>
      <c r="T189" s="8">
        <v>1</v>
      </c>
      <c r="U189" s="8">
        <v>40</v>
      </c>
      <c r="V189" s="7">
        <v>3.6334665860819571E-2</v>
      </c>
      <c r="W189" s="7">
        <v>1.6069042586817229E-2</v>
      </c>
      <c r="X189" s="8">
        <v>0</v>
      </c>
      <c r="Y189" s="8">
        <v>1</v>
      </c>
      <c r="Z189" s="8">
        <v>100</v>
      </c>
      <c r="AA189" s="13">
        <v>0.20817319175725252</v>
      </c>
      <c r="AB189" s="7">
        <v>3.2370735352643822E-2</v>
      </c>
      <c r="AC189" s="8">
        <v>0</v>
      </c>
      <c r="AD189" s="8">
        <v>1</v>
      </c>
      <c r="AE189" s="8">
        <v>258</v>
      </c>
    </row>
    <row r="190" spans="1:32" x14ac:dyDescent="0.45">
      <c r="A190" s="6" t="s">
        <v>32</v>
      </c>
      <c r="B190" s="7">
        <v>0.88886175204661999</v>
      </c>
      <c r="C190" s="7">
        <v>6.1457033964244352E-2</v>
      </c>
      <c r="D190" s="8">
        <v>0</v>
      </c>
      <c r="E190" s="8">
        <v>1</v>
      </c>
      <c r="F190" s="8">
        <v>34</v>
      </c>
      <c r="G190" s="7">
        <v>0.60873909731901421</v>
      </c>
      <c r="H190" s="7">
        <v>7.7439164761967633E-2</v>
      </c>
      <c r="I190" s="8">
        <v>0</v>
      </c>
      <c r="J190" s="8">
        <v>1</v>
      </c>
      <c r="K190" s="8">
        <v>42</v>
      </c>
      <c r="L190" s="7">
        <v>0.46210236619269668</v>
      </c>
      <c r="M190" s="7">
        <v>7.9990935927138157E-2</v>
      </c>
      <c r="N190" s="8">
        <v>0</v>
      </c>
      <c r="O190" s="8">
        <v>1</v>
      </c>
      <c r="P190" s="8">
        <v>42</v>
      </c>
      <c r="Q190" s="7">
        <v>0.64300167798766439</v>
      </c>
      <c r="R190" s="7">
        <v>7.9764129090886995E-2</v>
      </c>
      <c r="S190" s="8">
        <v>0</v>
      </c>
      <c r="T190" s="8">
        <v>1</v>
      </c>
      <c r="U190" s="8">
        <v>40</v>
      </c>
      <c r="V190" s="7">
        <v>0.19224039367404611</v>
      </c>
      <c r="W190" s="7">
        <v>4.6779770209863396E-2</v>
      </c>
      <c r="X190" s="8">
        <v>0</v>
      </c>
      <c r="Y190" s="8">
        <v>1</v>
      </c>
      <c r="Z190" s="8">
        <v>100</v>
      </c>
      <c r="AA190" s="13">
        <v>0.56028151574267626</v>
      </c>
      <c r="AB190" s="7">
        <v>4.331019237972477E-2</v>
      </c>
      <c r="AC190" s="8">
        <v>0</v>
      </c>
      <c r="AD190" s="8">
        <v>1</v>
      </c>
      <c r="AE190" s="8">
        <v>258</v>
      </c>
      <c r="AF190">
        <f>(AA192/AA191)-AA190</f>
        <v>5.3336162309722046E-2</v>
      </c>
    </row>
    <row r="191" spans="1:32" ht="26.25" x14ac:dyDescent="0.45">
      <c r="A191" s="6" t="s">
        <v>38</v>
      </c>
      <c r="B191" s="7">
        <v>0.84000868272823959</v>
      </c>
      <c r="C191" s="7">
        <v>6.5933157962881336E-2</v>
      </c>
      <c r="D191" s="8">
        <v>0</v>
      </c>
      <c r="E191" s="8">
        <v>1</v>
      </c>
      <c r="F191" s="8">
        <v>34</v>
      </c>
      <c r="G191" s="7">
        <v>0.8757010716140059</v>
      </c>
      <c r="H191" s="7">
        <v>5.3035240634634946E-2</v>
      </c>
      <c r="I191" s="8">
        <v>0</v>
      </c>
      <c r="J191" s="8">
        <v>1</v>
      </c>
      <c r="K191" s="8">
        <v>42</v>
      </c>
      <c r="L191" s="7">
        <v>0.71102549516240099</v>
      </c>
      <c r="M191" s="7">
        <v>7.24518160292143E-2</v>
      </c>
      <c r="N191" s="8">
        <v>0</v>
      </c>
      <c r="O191" s="8">
        <v>1</v>
      </c>
      <c r="P191" s="8">
        <v>42</v>
      </c>
      <c r="Q191" s="7">
        <v>0.76619872916446996</v>
      </c>
      <c r="R191" s="7">
        <v>6.9319636379783084E-2</v>
      </c>
      <c r="S191" s="8">
        <v>0</v>
      </c>
      <c r="T191" s="8">
        <v>1</v>
      </c>
      <c r="U191" s="8">
        <v>40</v>
      </c>
      <c r="V191" s="7">
        <v>0.38621991000499384</v>
      </c>
      <c r="W191" s="7">
        <v>6.6639473541989111E-2</v>
      </c>
      <c r="X191" s="8">
        <v>0</v>
      </c>
      <c r="Y191" s="8">
        <v>1</v>
      </c>
      <c r="Z191" s="8">
        <v>100</v>
      </c>
      <c r="AA191" s="13">
        <v>0.7659232322798829</v>
      </c>
      <c r="AB191" s="7">
        <v>3.6756971234523643E-2</v>
      </c>
      <c r="AC191" s="8">
        <v>0</v>
      </c>
      <c r="AD191" s="8">
        <v>1</v>
      </c>
      <c r="AE191" s="8">
        <v>258</v>
      </c>
      <c r="AF191">
        <f>(AA192/AA190)-AA191</f>
        <v>7.2912285495473794E-2</v>
      </c>
    </row>
    <row r="192" spans="1:32" ht="26.25" x14ac:dyDescent="0.45">
      <c r="A192" s="6" t="s">
        <v>92</v>
      </c>
      <c r="B192" s="7">
        <v>0.72887043477485958</v>
      </c>
      <c r="C192" s="7">
        <v>8.248065938941615E-2</v>
      </c>
      <c r="D192" s="8">
        <v>0</v>
      </c>
      <c r="E192" s="8">
        <v>1</v>
      </c>
      <c r="F192" s="8">
        <v>34</v>
      </c>
      <c r="G192" s="7">
        <v>0.52932747653783541</v>
      </c>
      <c r="H192" s="7">
        <v>7.9248898398373305E-2</v>
      </c>
      <c r="I192" s="8">
        <v>0</v>
      </c>
      <c r="J192" s="8">
        <v>1</v>
      </c>
      <c r="K192" s="8">
        <v>42</v>
      </c>
      <c r="L192" s="7">
        <v>0.39848685284704244</v>
      </c>
      <c r="M192" s="7">
        <v>7.8682510923866175E-2</v>
      </c>
      <c r="N192" s="8">
        <v>0</v>
      </c>
      <c r="O192" s="8">
        <v>1</v>
      </c>
      <c r="P192" s="8">
        <v>42</v>
      </c>
      <c r="Q192" s="7">
        <v>0.50973644210744928</v>
      </c>
      <c r="R192" s="7">
        <v>8.23895890650614E-2</v>
      </c>
      <c r="S192" s="8">
        <v>0</v>
      </c>
      <c r="T192" s="8">
        <v>1</v>
      </c>
      <c r="U192" s="8">
        <v>40</v>
      </c>
      <c r="V192" s="7">
        <v>0.1067037606970592</v>
      </c>
      <c r="W192" s="7">
        <v>4.0714253340840667E-2</v>
      </c>
      <c r="X192" s="8">
        <v>0</v>
      </c>
      <c r="Y192" s="8">
        <v>1</v>
      </c>
      <c r="Z192" s="8">
        <v>100</v>
      </c>
      <c r="AA192" s="13">
        <v>0.46998403535796951</v>
      </c>
      <c r="AB192" s="7">
        <v>4.3169284073054738E-2</v>
      </c>
      <c r="AC192" s="8">
        <v>0</v>
      </c>
      <c r="AD192" s="8">
        <v>1</v>
      </c>
      <c r="AE192" s="8">
        <v>258</v>
      </c>
    </row>
    <row r="193" spans="1:32" x14ac:dyDescent="0.45">
      <c r="A193" s="6" t="s">
        <v>32</v>
      </c>
      <c r="B193" s="7">
        <v>0.88886175204661999</v>
      </c>
      <c r="C193" s="7">
        <v>6.1457033964244352E-2</v>
      </c>
      <c r="D193" s="8">
        <v>0</v>
      </c>
      <c r="E193" s="8">
        <v>1</v>
      </c>
      <c r="F193" s="8">
        <v>34</v>
      </c>
      <c r="G193" s="7">
        <v>0.60873909731901421</v>
      </c>
      <c r="H193" s="7">
        <v>7.7439164761967633E-2</v>
      </c>
      <c r="I193" s="8">
        <v>0</v>
      </c>
      <c r="J193" s="8">
        <v>1</v>
      </c>
      <c r="K193" s="8">
        <v>42</v>
      </c>
      <c r="L193" s="7">
        <v>0.46210236619269668</v>
      </c>
      <c r="M193" s="7">
        <v>7.9990935927138157E-2</v>
      </c>
      <c r="N193" s="8">
        <v>0</v>
      </c>
      <c r="O193" s="8">
        <v>1</v>
      </c>
      <c r="P193" s="8">
        <v>42</v>
      </c>
      <c r="Q193" s="7">
        <v>0.64300167798766439</v>
      </c>
      <c r="R193" s="7">
        <v>7.9764129090886995E-2</v>
      </c>
      <c r="S193" s="8">
        <v>0</v>
      </c>
      <c r="T193" s="8">
        <v>1</v>
      </c>
      <c r="U193" s="8">
        <v>40</v>
      </c>
      <c r="V193" s="7">
        <v>0.19224039367404611</v>
      </c>
      <c r="W193" s="7">
        <v>4.6779770209863396E-2</v>
      </c>
      <c r="X193" s="8">
        <v>0</v>
      </c>
      <c r="Y193" s="8">
        <v>1</v>
      </c>
      <c r="Z193" s="8">
        <v>100</v>
      </c>
      <c r="AA193" s="13">
        <v>0.56028151574267626</v>
      </c>
      <c r="AB193" s="7">
        <v>4.331019237972477E-2</v>
      </c>
      <c r="AC193" s="8">
        <v>0</v>
      </c>
      <c r="AD193" s="8">
        <v>1</v>
      </c>
      <c r="AE193" s="8">
        <v>258</v>
      </c>
      <c r="AF193">
        <f>(AA195/AA194)-AA193</f>
        <v>-1.7648295542552428E-2</v>
      </c>
    </row>
    <row r="194" spans="1:32" x14ac:dyDescent="0.45">
      <c r="A194" s="6" t="s">
        <v>40</v>
      </c>
      <c r="B194" s="7">
        <v>0.47314926338671726</v>
      </c>
      <c r="C194" s="7">
        <v>9.1986997587208227E-2</v>
      </c>
      <c r="D194" s="8">
        <v>0</v>
      </c>
      <c r="E194" s="8">
        <v>1</v>
      </c>
      <c r="F194" s="8">
        <v>34</v>
      </c>
      <c r="G194" s="7">
        <v>0.59916532039375925</v>
      </c>
      <c r="H194" s="7">
        <v>7.8188563211038412E-2</v>
      </c>
      <c r="I194" s="8">
        <v>0</v>
      </c>
      <c r="J194" s="8">
        <v>1</v>
      </c>
      <c r="K194" s="8">
        <v>42</v>
      </c>
      <c r="L194" s="7">
        <v>0.53311254311611167</v>
      </c>
      <c r="M194" s="7">
        <v>8.0040164750678475E-2</v>
      </c>
      <c r="N194" s="8">
        <v>0</v>
      </c>
      <c r="O194" s="8">
        <v>1</v>
      </c>
      <c r="P194" s="8">
        <v>42</v>
      </c>
      <c r="Q194" s="7">
        <v>0.89744052335873858</v>
      </c>
      <c r="R194" s="7">
        <v>4.9355060283969104E-2</v>
      </c>
      <c r="S194" s="8">
        <v>0</v>
      </c>
      <c r="T194" s="8">
        <v>1</v>
      </c>
      <c r="U194" s="8">
        <v>40</v>
      </c>
      <c r="V194" s="7">
        <v>0.62802955981828001</v>
      </c>
      <c r="W194" s="7">
        <v>6.9009852430896662E-2</v>
      </c>
      <c r="X194" s="8">
        <v>0</v>
      </c>
      <c r="Y194" s="8">
        <v>1</v>
      </c>
      <c r="Z194" s="8">
        <v>100</v>
      </c>
      <c r="AA194" s="13">
        <v>0.63371905921169658</v>
      </c>
      <c r="AB194" s="7">
        <v>4.2239621614603332E-2</v>
      </c>
      <c r="AC194" s="8">
        <v>0</v>
      </c>
      <c r="AD194" s="8">
        <v>1</v>
      </c>
      <c r="AE194" s="8">
        <v>258</v>
      </c>
      <c r="AF194">
        <f>(AA195/AA193)-AA194</f>
        <v>-1.9961503161658678E-2</v>
      </c>
    </row>
    <row r="195" spans="1:32" ht="26.25" x14ac:dyDescent="0.45">
      <c r="A195" s="6" t="s">
        <v>93</v>
      </c>
      <c r="B195" s="7">
        <v>0.39435514987335712</v>
      </c>
      <c r="C195" s="7">
        <v>9.0179373358262344E-2</v>
      </c>
      <c r="D195" s="8">
        <v>0</v>
      </c>
      <c r="E195" s="8">
        <v>1</v>
      </c>
      <c r="F195" s="8">
        <v>34</v>
      </c>
      <c r="G195" s="7">
        <v>0.35575042531208595</v>
      </c>
      <c r="H195" s="7">
        <v>7.5270237308818863E-2</v>
      </c>
      <c r="I195" s="8">
        <v>0</v>
      </c>
      <c r="J195" s="8">
        <v>1</v>
      </c>
      <c r="K195" s="8">
        <v>42</v>
      </c>
      <c r="L195" s="7">
        <v>0.20368601120815297</v>
      </c>
      <c r="M195" s="7">
        <v>6.591485319274161E-2</v>
      </c>
      <c r="N195" s="8">
        <v>0</v>
      </c>
      <c r="O195" s="8">
        <v>1</v>
      </c>
      <c r="P195" s="8">
        <v>42</v>
      </c>
      <c r="Q195" s="7">
        <v>0.59325570279528128</v>
      </c>
      <c r="R195" s="7">
        <v>8.1358112160604679E-2</v>
      </c>
      <c r="S195" s="8">
        <v>0</v>
      </c>
      <c r="T195" s="8">
        <v>1</v>
      </c>
      <c r="U195" s="8">
        <v>40</v>
      </c>
      <c r="V195" s="7">
        <v>0.15204462171025501</v>
      </c>
      <c r="W195" s="7">
        <v>4.3873325792196605E-2</v>
      </c>
      <c r="X195" s="8">
        <v>0</v>
      </c>
      <c r="Y195" s="8">
        <v>1</v>
      </c>
      <c r="Z195" s="8">
        <v>100</v>
      </c>
      <c r="AA195" s="13">
        <v>0.34387701380223584</v>
      </c>
      <c r="AB195" s="7">
        <v>4.0357731847331241E-2</v>
      </c>
      <c r="AC195" s="8">
        <v>0</v>
      </c>
      <c r="AD195" s="8">
        <v>1</v>
      </c>
      <c r="AE195" s="8">
        <v>258</v>
      </c>
    </row>
    <row r="196" spans="1:32" x14ac:dyDescent="0.45">
      <c r="A196" s="6" t="s">
        <v>32</v>
      </c>
      <c r="B196" s="7">
        <v>0.88886175204661999</v>
      </c>
      <c r="C196" s="7">
        <v>6.1457033964244352E-2</v>
      </c>
      <c r="D196" s="8">
        <v>0</v>
      </c>
      <c r="E196" s="8">
        <v>1</v>
      </c>
      <c r="F196" s="8">
        <v>34</v>
      </c>
      <c r="G196" s="7">
        <v>0.60873909731901421</v>
      </c>
      <c r="H196" s="7">
        <v>7.7439164761967633E-2</v>
      </c>
      <c r="I196" s="8">
        <v>0</v>
      </c>
      <c r="J196" s="8">
        <v>1</v>
      </c>
      <c r="K196" s="8">
        <v>42</v>
      </c>
      <c r="L196" s="7">
        <v>0.46210236619269668</v>
      </c>
      <c r="M196" s="7">
        <v>7.9990935927138157E-2</v>
      </c>
      <c r="N196" s="8">
        <v>0</v>
      </c>
      <c r="O196" s="8">
        <v>1</v>
      </c>
      <c r="P196" s="8">
        <v>42</v>
      </c>
      <c r="Q196" s="7">
        <v>0.64300167798766439</v>
      </c>
      <c r="R196" s="7">
        <v>7.9764129090886995E-2</v>
      </c>
      <c r="S196" s="8">
        <v>0</v>
      </c>
      <c r="T196" s="8">
        <v>1</v>
      </c>
      <c r="U196" s="8">
        <v>40</v>
      </c>
      <c r="V196" s="7">
        <v>0.19224039367404611</v>
      </c>
      <c r="W196" s="7">
        <v>4.6779770209863396E-2</v>
      </c>
      <c r="X196" s="8">
        <v>0</v>
      </c>
      <c r="Y196" s="8">
        <v>1</v>
      </c>
      <c r="Z196" s="8">
        <v>100</v>
      </c>
      <c r="AA196" s="13">
        <v>0.56028151574267626</v>
      </c>
      <c r="AB196" s="7">
        <v>4.331019237972477E-2</v>
      </c>
      <c r="AC196" s="8">
        <v>0</v>
      </c>
      <c r="AD196" s="8">
        <v>1</v>
      </c>
      <c r="AE196" s="8">
        <v>258</v>
      </c>
      <c r="AF196">
        <f>(AA198/AA197)-AA196</f>
        <v>4.0331700506744061E-2</v>
      </c>
    </row>
    <row r="197" spans="1:32" x14ac:dyDescent="0.45">
      <c r="A197" s="6" t="s">
        <v>42</v>
      </c>
      <c r="B197" s="7">
        <v>0.70676339075737993</v>
      </c>
      <c r="C197" s="7">
        <v>8.2311257529143506E-2</v>
      </c>
      <c r="D197" s="8">
        <v>0</v>
      </c>
      <c r="E197" s="8">
        <v>1</v>
      </c>
      <c r="F197" s="8">
        <v>34</v>
      </c>
      <c r="G197" s="7">
        <v>0.89745945595635757</v>
      </c>
      <c r="H197" s="7">
        <v>4.9322035621993304E-2</v>
      </c>
      <c r="I197" s="8">
        <v>0</v>
      </c>
      <c r="J197" s="8">
        <v>1</v>
      </c>
      <c r="K197" s="8">
        <v>42</v>
      </c>
      <c r="L197" s="7">
        <v>0.73410738154726995</v>
      </c>
      <c r="M197" s="7">
        <v>7.0289158801824597E-2</v>
      </c>
      <c r="N197" s="8">
        <v>0</v>
      </c>
      <c r="O197" s="8">
        <v>1</v>
      </c>
      <c r="P197" s="8">
        <v>42</v>
      </c>
      <c r="Q197" s="7">
        <v>0.87908303986713809</v>
      </c>
      <c r="R197" s="7">
        <v>5.2789569621478863E-2</v>
      </c>
      <c r="S197" s="8">
        <v>0</v>
      </c>
      <c r="T197" s="8">
        <v>1</v>
      </c>
      <c r="U197" s="8">
        <v>40</v>
      </c>
      <c r="V197" s="7">
        <v>0.56438823579629216</v>
      </c>
      <c r="W197" s="7">
        <v>7.0335671964889795E-2</v>
      </c>
      <c r="X197" s="8">
        <v>0</v>
      </c>
      <c r="Y197" s="8">
        <v>1</v>
      </c>
      <c r="Z197" s="8">
        <v>100</v>
      </c>
      <c r="AA197" s="13">
        <v>0.80480908326262457</v>
      </c>
      <c r="AB197" s="7">
        <v>3.4435137521316703E-2</v>
      </c>
      <c r="AC197" s="8">
        <v>0</v>
      </c>
      <c r="AD197" s="8">
        <v>1</v>
      </c>
      <c r="AE197" s="8">
        <v>258</v>
      </c>
      <c r="AF197">
        <f>(AA198/AA196)-AA197</f>
        <v>5.7933945702687062E-2</v>
      </c>
    </row>
    <row r="198" spans="1:32" ht="26.25" x14ac:dyDescent="0.45">
      <c r="A198" s="6" t="s">
        <v>94</v>
      </c>
      <c r="B198" s="7">
        <v>0.67441925631736011</v>
      </c>
      <c r="C198" s="7">
        <v>8.4974051164869821E-2</v>
      </c>
      <c r="D198" s="8">
        <v>0</v>
      </c>
      <c r="E198" s="8">
        <v>1</v>
      </c>
      <c r="F198" s="8">
        <v>34</v>
      </c>
      <c r="G198" s="7">
        <v>0.53224294979651343</v>
      </c>
      <c r="H198" s="7">
        <v>7.919809353085934E-2</v>
      </c>
      <c r="I198" s="8">
        <v>0</v>
      </c>
      <c r="J198" s="8">
        <v>1</v>
      </c>
      <c r="K198" s="8">
        <v>42</v>
      </c>
      <c r="L198" s="7">
        <v>0.39496360593635066</v>
      </c>
      <c r="M198" s="7">
        <v>7.8648279217117978E-2</v>
      </c>
      <c r="N198" s="8">
        <v>0</v>
      </c>
      <c r="O198" s="8">
        <v>1</v>
      </c>
      <c r="P198" s="8">
        <v>42</v>
      </c>
      <c r="Q198" s="7">
        <v>0.57934909865284878</v>
      </c>
      <c r="R198" s="7">
        <v>8.1490842091353766E-2</v>
      </c>
      <c r="S198" s="8">
        <v>0</v>
      </c>
      <c r="T198" s="8">
        <v>1</v>
      </c>
      <c r="U198" s="8">
        <v>40</v>
      </c>
      <c r="V198" s="7">
        <v>0.15044708642379986</v>
      </c>
      <c r="W198" s="7">
        <v>4.1269611648719916E-2</v>
      </c>
      <c r="X198" s="8">
        <v>0</v>
      </c>
      <c r="Y198" s="8">
        <v>1</v>
      </c>
      <c r="Z198" s="8">
        <v>100</v>
      </c>
      <c r="AA198" s="13">
        <v>0.48337897196511243</v>
      </c>
      <c r="AB198" s="7">
        <v>4.3270553256653299E-2</v>
      </c>
      <c r="AC198" s="8">
        <v>0</v>
      </c>
      <c r="AD198" s="8">
        <v>1</v>
      </c>
      <c r="AE198" s="8">
        <v>258</v>
      </c>
    </row>
    <row r="199" spans="1:32" x14ac:dyDescent="0.45">
      <c r="A199" s="6" t="s">
        <v>32</v>
      </c>
      <c r="B199" s="7">
        <v>0.88886175204661999</v>
      </c>
      <c r="C199" s="7">
        <v>6.1457033964244352E-2</v>
      </c>
      <c r="D199" s="8">
        <v>0</v>
      </c>
      <c r="E199" s="8">
        <v>1</v>
      </c>
      <c r="F199" s="8">
        <v>34</v>
      </c>
      <c r="G199" s="7">
        <v>0.60873909731901421</v>
      </c>
      <c r="H199" s="7">
        <v>7.7439164761967633E-2</v>
      </c>
      <c r="I199" s="8">
        <v>0</v>
      </c>
      <c r="J199" s="8">
        <v>1</v>
      </c>
      <c r="K199" s="8">
        <v>42</v>
      </c>
      <c r="L199" s="7">
        <v>0.46210236619269668</v>
      </c>
      <c r="M199" s="7">
        <v>7.9990935927138157E-2</v>
      </c>
      <c r="N199" s="8">
        <v>0</v>
      </c>
      <c r="O199" s="8">
        <v>1</v>
      </c>
      <c r="P199" s="8">
        <v>42</v>
      </c>
      <c r="Q199" s="7">
        <v>0.64300167798766439</v>
      </c>
      <c r="R199" s="7">
        <v>7.9764129090886995E-2</v>
      </c>
      <c r="S199" s="8">
        <v>0</v>
      </c>
      <c r="T199" s="8">
        <v>1</v>
      </c>
      <c r="U199" s="8">
        <v>40</v>
      </c>
      <c r="V199" s="7">
        <v>0.19224039367404611</v>
      </c>
      <c r="W199" s="7">
        <v>4.6779770209863396E-2</v>
      </c>
      <c r="X199" s="8">
        <v>0</v>
      </c>
      <c r="Y199" s="8">
        <v>1</v>
      </c>
      <c r="Z199" s="8">
        <v>100</v>
      </c>
      <c r="AA199" s="13">
        <v>0.56028151574267626</v>
      </c>
      <c r="AB199" s="7">
        <v>4.331019237972477E-2</v>
      </c>
      <c r="AC199" s="8">
        <v>0</v>
      </c>
      <c r="AD199" s="8">
        <v>1</v>
      </c>
      <c r="AE199" s="8">
        <v>258</v>
      </c>
      <c r="AF199">
        <f>(AA201/AA200)-AA199</f>
        <v>8.7735236971105524E-2</v>
      </c>
    </row>
    <row r="200" spans="1:32" x14ac:dyDescent="0.45">
      <c r="A200" s="6" t="s">
        <v>44</v>
      </c>
      <c r="B200" s="7">
        <v>0.26296232107028095</v>
      </c>
      <c r="C200" s="7">
        <v>8.0971230867118368E-2</v>
      </c>
      <c r="D200" s="8">
        <v>0</v>
      </c>
      <c r="E200" s="8">
        <v>1</v>
      </c>
      <c r="F200" s="8">
        <v>34</v>
      </c>
      <c r="G200" s="7">
        <v>0.35571464744938486</v>
      </c>
      <c r="H200" s="7">
        <v>7.5377725145722718E-2</v>
      </c>
      <c r="I200" s="8">
        <v>0</v>
      </c>
      <c r="J200" s="8">
        <v>1</v>
      </c>
      <c r="K200" s="8">
        <v>42</v>
      </c>
      <c r="L200" s="7">
        <v>0.32429932744398482</v>
      </c>
      <c r="M200" s="7">
        <v>7.5510042392919433E-2</v>
      </c>
      <c r="N200" s="8">
        <v>0</v>
      </c>
      <c r="O200" s="8">
        <v>1</v>
      </c>
      <c r="P200" s="8">
        <v>42</v>
      </c>
      <c r="Q200" s="7">
        <v>0.48486364033758289</v>
      </c>
      <c r="R200" s="7">
        <v>8.2351680282883519E-2</v>
      </c>
      <c r="S200" s="8">
        <v>0</v>
      </c>
      <c r="T200" s="8">
        <v>1</v>
      </c>
      <c r="U200" s="8">
        <v>40</v>
      </c>
      <c r="V200" s="7">
        <v>0.24605417111353658</v>
      </c>
      <c r="W200" s="7">
        <v>5.5580698511919616E-2</v>
      </c>
      <c r="X200" s="8">
        <v>0</v>
      </c>
      <c r="Y200" s="8">
        <v>1</v>
      </c>
      <c r="Z200" s="8">
        <v>100</v>
      </c>
      <c r="AA200" s="13">
        <v>0.36324676446651744</v>
      </c>
      <c r="AB200" s="7">
        <v>4.1670411595932391E-2</v>
      </c>
      <c r="AC200" s="8">
        <v>0</v>
      </c>
      <c r="AD200" s="8">
        <v>1</v>
      </c>
      <c r="AE200" s="8">
        <v>258</v>
      </c>
      <c r="AF200">
        <f>(AA201/AA199)-AA200</f>
        <v>5.6881299960811427E-2</v>
      </c>
    </row>
    <row r="201" spans="1:32" x14ac:dyDescent="0.45">
      <c r="A201" s="6" t="s">
        <v>95</v>
      </c>
      <c r="B201" s="7">
        <v>0.26296232107028095</v>
      </c>
      <c r="C201" s="7">
        <v>8.0971230867118368E-2</v>
      </c>
      <c r="D201" s="8">
        <v>0</v>
      </c>
      <c r="E201" s="8">
        <v>1</v>
      </c>
      <c r="F201" s="8">
        <v>34</v>
      </c>
      <c r="G201" s="7">
        <v>0.26141517440197665</v>
      </c>
      <c r="H201" s="7">
        <v>6.8986125291767883E-2</v>
      </c>
      <c r="I201" s="8">
        <v>0</v>
      </c>
      <c r="J201" s="8">
        <v>1</v>
      </c>
      <c r="K201" s="8">
        <v>42</v>
      </c>
      <c r="L201" s="7">
        <v>0.1770680172616651</v>
      </c>
      <c r="M201" s="7">
        <v>6.2515599398611704E-2</v>
      </c>
      <c r="N201" s="8">
        <v>0</v>
      </c>
      <c r="O201" s="8">
        <v>1</v>
      </c>
      <c r="P201" s="8">
        <v>42</v>
      </c>
      <c r="Q201" s="7">
        <v>0.32051020519108492</v>
      </c>
      <c r="R201" s="7">
        <v>7.6905404870332525E-2</v>
      </c>
      <c r="S201" s="8">
        <v>0</v>
      </c>
      <c r="T201" s="8">
        <v>1</v>
      </c>
      <c r="U201" s="8">
        <v>40</v>
      </c>
      <c r="V201" s="7">
        <v>9.6096873331374802E-2</v>
      </c>
      <c r="W201" s="7">
        <v>3.6905943548788553E-2</v>
      </c>
      <c r="X201" s="8">
        <v>0</v>
      </c>
      <c r="Y201" s="8">
        <v>1</v>
      </c>
      <c r="Z201" s="8">
        <v>100</v>
      </c>
      <c r="AA201" s="13">
        <v>0.23538998874338057</v>
      </c>
      <c r="AB201" s="7">
        <v>3.6404308081874906E-2</v>
      </c>
      <c r="AC201" s="8">
        <v>0</v>
      </c>
      <c r="AD201" s="8">
        <v>1</v>
      </c>
      <c r="AE201" s="8">
        <v>258</v>
      </c>
    </row>
    <row r="202" spans="1:32" x14ac:dyDescent="0.45">
      <c r="A202" s="6" t="s">
        <v>32</v>
      </c>
      <c r="B202" s="7">
        <v>0.88886175204661999</v>
      </c>
      <c r="C202" s="7">
        <v>6.1457033964244352E-2</v>
      </c>
      <c r="D202" s="8">
        <v>0</v>
      </c>
      <c r="E202" s="8">
        <v>1</v>
      </c>
      <c r="F202" s="8">
        <v>34</v>
      </c>
      <c r="G202" s="7">
        <v>0.60873909731901421</v>
      </c>
      <c r="H202" s="7">
        <v>7.7439164761967633E-2</v>
      </c>
      <c r="I202" s="8">
        <v>0</v>
      </c>
      <c r="J202" s="8">
        <v>1</v>
      </c>
      <c r="K202" s="8">
        <v>42</v>
      </c>
      <c r="L202" s="7">
        <v>0.46210236619269668</v>
      </c>
      <c r="M202" s="7">
        <v>7.9990935927138157E-2</v>
      </c>
      <c r="N202" s="8">
        <v>0</v>
      </c>
      <c r="O202" s="8">
        <v>1</v>
      </c>
      <c r="P202" s="8">
        <v>42</v>
      </c>
      <c r="Q202" s="7">
        <v>0.64300167798766439</v>
      </c>
      <c r="R202" s="7">
        <v>7.9764129090886995E-2</v>
      </c>
      <c r="S202" s="8">
        <v>0</v>
      </c>
      <c r="T202" s="8">
        <v>1</v>
      </c>
      <c r="U202" s="8">
        <v>40</v>
      </c>
      <c r="V202" s="7">
        <v>0.19224039367404611</v>
      </c>
      <c r="W202" s="7">
        <v>4.6779770209863396E-2</v>
      </c>
      <c r="X202" s="8">
        <v>0</v>
      </c>
      <c r="Y202" s="8">
        <v>1</v>
      </c>
      <c r="Z202" s="8">
        <v>100</v>
      </c>
      <c r="AA202" s="13">
        <v>0.56028151574267626</v>
      </c>
      <c r="AB202" s="7">
        <v>4.331019237972477E-2</v>
      </c>
      <c r="AC202" s="8">
        <v>0</v>
      </c>
      <c r="AD202" s="8">
        <v>1</v>
      </c>
      <c r="AE202" s="8">
        <v>258</v>
      </c>
      <c r="AF202">
        <f>(AA204/AA203)-AA202</f>
        <v>1.8234466431084395E-2</v>
      </c>
    </row>
    <row r="203" spans="1:32" ht="39.4" x14ac:dyDescent="0.45">
      <c r="A203" s="6" t="s">
        <v>16</v>
      </c>
      <c r="B203" s="7">
        <v>0.95226292316662886</v>
      </c>
      <c r="C203" s="7">
        <v>3.3757095360377097E-2</v>
      </c>
      <c r="D203" s="8">
        <v>0</v>
      </c>
      <c r="E203" s="8">
        <v>1</v>
      </c>
      <c r="F203" s="8">
        <v>34</v>
      </c>
      <c r="G203" s="7">
        <v>0.96979725445447418</v>
      </c>
      <c r="H203" s="7">
        <v>3.0016012175185333E-2</v>
      </c>
      <c r="I203" s="8">
        <v>0</v>
      </c>
      <c r="J203" s="8">
        <v>1</v>
      </c>
      <c r="K203" s="8">
        <v>42</v>
      </c>
      <c r="L203" s="7">
        <v>0.8651891068027362</v>
      </c>
      <c r="M203" s="7">
        <v>5.335387479096497E-2</v>
      </c>
      <c r="N203" s="8">
        <v>0</v>
      </c>
      <c r="O203" s="8">
        <v>1</v>
      </c>
      <c r="P203" s="8">
        <v>42</v>
      </c>
      <c r="Q203" s="7">
        <v>0.94904190046407078</v>
      </c>
      <c r="R203" s="7">
        <v>3.5591246809232757E-2</v>
      </c>
      <c r="S203" s="8">
        <v>0</v>
      </c>
      <c r="T203" s="8">
        <v>1</v>
      </c>
      <c r="U203" s="8">
        <v>40</v>
      </c>
      <c r="V203" s="7">
        <v>0.63213682862253961</v>
      </c>
      <c r="W203" s="7">
        <v>6.9040852741309167E-2</v>
      </c>
      <c r="X203" s="8">
        <v>0</v>
      </c>
      <c r="Y203" s="8">
        <v>1</v>
      </c>
      <c r="Z203" s="8">
        <v>100</v>
      </c>
      <c r="AA203" s="13">
        <v>0.91060279847159487</v>
      </c>
      <c r="AB203" s="7">
        <v>2.4747957456819576E-2</v>
      </c>
      <c r="AC203" s="8">
        <v>0</v>
      </c>
      <c r="AD203" s="8">
        <v>1</v>
      </c>
      <c r="AE203" s="8">
        <v>258</v>
      </c>
      <c r="AF203">
        <f>(AA204/AA202)-AA203</f>
        <v>2.9635737917878657E-2</v>
      </c>
    </row>
    <row r="204" spans="1:32" x14ac:dyDescent="0.45">
      <c r="A204" s="6" t="s">
        <v>96</v>
      </c>
      <c r="B204" s="7">
        <v>0.84112467521324863</v>
      </c>
      <c r="C204" s="7">
        <v>6.783017859392397E-2</v>
      </c>
      <c r="D204" s="8">
        <v>0</v>
      </c>
      <c r="E204" s="8">
        <v>1</v>
      </c>
      <c r="F204" s="8">
        <v>34</v>
      </c>
      <c r="G204" s="7">
        <v>0.57853635177348839</v>
      </c>
      <c r="H204" s="7">
        <v>7.8520379341991936E-2</v>
      </c>
      <c r="I204" s="8">
        <v>0</v>
      </c>
      <c r="J204" s="8">
        <v>1</v>
      </c>
      <c r="K204" s="8">
        <v>42</v>
      </c>
      <c r="L204" s="7">
        <v>0.42446143701059408</v>
      </c>
      <c r="M204" s="7">
        <v>7.9422550405560302E-2</v>
      </c>
      <c r="N204" s="8">
        <v>0</v>
      </c>
      <c r="O204" s="8">
        <v>1</v>
      </c>
      <c r="P204" s="8">
        <v>42</v>
      </c>
      <c r="Q204" s="7">
        <v>0.61707535559287408</v>
      </c>
      <c r="R204" s="7">
        <v>8.0729570165855913E-2</v>
      </c>
      <c r="S204" s="8">
        <v>0</v>
      </c>
      <c r="T204" s="8">
        <v>1</v>
      </c>
      <c r="U204" s="8">
        <v>40</v>
      </c>
      <c r="V204" s="7">
        <v>0.15615189051451456</v>
      </c>
      <c r="W204" s="7">
        <v>4.4055823888028388E-2</v>
      </c>
      <c r="X204" s="8">
        <v>0</v>
      </c>
      <c r="Y204" s="8">
        <v>1</v>
      </c>
      <c r="Z204" s="8">
        <v>100</v>
      </c>
      <c r="AA204" s="13">
        <v>0.52679827232796972</v>
      </c>
      <c r="AB204" s="7">
        <v>4.3398807779407522E-2</v>
      </c>
      <c r="AC204" s="8">
        <v>0</v>
      </c>
      <c r="AD204" s="8">
        <v>1</v>
      </c>
      <c r="AE204" s="8">
        <v>258</v>
      </c>
    </row>
    <row r="205" spans="1:32" x14ac:dyDescent="0.45">
      <c r="A205" s="6" t="s">
        <v>32</v>
      </c>
      <c r="B205" s="7">
        <v>0.88886175204661999</v>
      </c>
      <c r="C205" s="7">
        <v>6.1457033964244352E-2</v>
      </c>
      <c r="D205" s="8">
        <v>0</v>
      </c>
      <c r="E205" s="8">
        <v>1</v>
      </c>
      <c r="F205" s="8">
        <v>34</v>
      </c>
      <c r="G205" s="7">
        <v>0.60873909731901421</v>
      </c>
      <c r="H205" s="7">
        <v>7.7439164761967633E-2</v>
      </c>
      <c r="I205" s="8">
        <v>0</v>
      </c>
      <c r="J205" s="8">
        <v>1</v>
      </c>
      <c r="K205" s="8">
        <v>42</v>
      </c>
      <c r="L205" s="7">
        <v>0.46210236619269668</v>
      </c>
      <c r="M205" s="7">
        <v>7.9990935927138157E-2</v>
      </c>
      <c r="N205" s="8">
        <v>0</v>
      </c>
      <c r="O205" s="8">
        <v>1</v>
      </c>
      <c r="P205" s="8">
        <v>42</v>
      </c>
      <c r="Q205" s="7">
        <v>0.64300167798766439</v>
      </c>
      <c r="R205" s="7">
        <v>7.9764129090886995E-2</v>
      </c>
      <c r="S205" s="8">
        <v>0</v>
      </c>
      <c r="T205" s="8">
        <v>1</v>
      </c>
      <c r="U205" s="8">
        <v>40</v>
      </c>
      <c r="V205" s="7">
        <v>0.19224039367404611</v>
      </c>
      <c r="W205" s="7">
        <v>4.6779770209863396E-2</v>
      </c>
      <c r="X205" s="8">
        <v>0</v>
      </c>
      <c r="Y205" s="8">
        <v>1</v>
      </c>
      <c r="Z205" s="8">
        <v>100</v>
      </c>
      <c r="AA205" s="13">
        <v>0.56028151574267626</v>
      </c>
      <c r="AB205" s="7">
        <v>4.331019237972477E-2</v>
      </c>
      <c r="AC205" s="8">
        <v>0</v>
      </c>
      <c r="AD205" s="8">
        <v>1</v>
      </c>
      <c r="AE205" s="8">
        <v>258</v>
      </c>
      <c r="AF205">
        <f>(AA207/AA206)-AA205</f>
        <v>3.7039850771893423E-2</v>
      </c>
    </row>
    <row r="206" spans="1:32" ht="39.4" x14ac:dyDescent="0.45">
      <c r="A206" s="6" t="s">
        <v>18</v>
      </c>
      <c r="B206" s="7">
        <v>0.95343656614872163</v>
      </c>
      <c r="C206" s="7">
        <v>3.2998861160736311E-2</v>
      </c>
      <c r="D206" s="8">
        <v>0</v>
      </c>
      <c r="E206" s="8">
        <v>1</v>
      </c>
      <c r="F206" s="8">
        <v>34</v>
      </c>
      <c r="G206" s="7">
        <v>0.96979725445447418</v>
      </c>
      <c r="H206" s="7">
        <v>3.0016012175185333E-2</v>
      </c>
      <c r="I206" s="8">
        <v>0</v>
      </c>
      <c r="J206" s="8">
        <v>1</v>
      </c>
      <c r="K206" s="8">
        <v>42</v>
      </c>
      <c r="L206" s="7">
        <v>0.8699809970787199</v>
      </c>
      <c r="M206" s="7">
        <v>5.4941364171145674E-2</v>
      </c>
      <c r="N206" s="8">
        <v>0</v>
      </c>
      <c r="O206" s="8">
        <v>1</v>
      </c>
      <c r="P206" s="8">
        <v>42</v>
      </c>
      <c r="Q206" s="7">
        <v>0.9749682228588612</v>
      </c>
      <c r="R206" s="7">
        <v>2.5049499255806983E-2</v>
      </c>
      <c r="S206" s="8">
        <v>0</v>
      </c>
      <c r="T206" s="8">
        <v>1</v>
      </c>
      <c r="U206" s="8">
        <v>40</v>
      </c>
      <c r="V206" s="7">
        <v>0.63023599596706159</v>
      </c>
      <c r="W206" s="7">
        <v>6.9774465060460464E-2</v>
      </c>
      <c r="X206" s="8">
        <v>0</v>
      </c>
      <c r="Y206" s="8">
        <v>1</v>
      </c>
      <c r="Z206" s="8">
        <v>100</v>
      </c>
      <c r="AA206" s="13">
        <v>0.91845222109286739</v>
      </c>
      <c r="AB206" s="7">
        <v>2.4806962700400701E-2</v>
      </c>
      <c r="AC206" s="8">
        <v>0</v>
      </c>
      <c r="AD206" s="8">
        <v>1</v>
      </c>
      <c r="AE206" s="8">
        <v>258</v>
      </c>
      <c r="AF206">
        <f>(AA207/AA205)-AA206</f>
        <v>6.0718285816193318E-2</v>
      </c>
    </row>
    <row r="207" spans="1:32" x14ac:dyDescent="0.45">
      <c r="A207" s="6" t="s">
        <v>97</v>
      </c>
      <c r="B207" s="7">
        <v>0.84229831819534162</v>
      </c>
      <c r="C207" s="7">
        <v>6.7556063883341899E-2</v>
      </c>
      <c r="D207" s="8">
        <v>0</v>
      </c>
      <c r="E207" s="8">
        <v>1</v>
      </c>
      <c r="F207" s="8">
        <v>34</v>
      </c>
      <c r="G207" s="7">
        <v>0.57853635177348839</v>
      </c>
      <c r="H207" s="7">
        <v>7.8520379341991936E-2</v>
      </c>
      <c r="I207" s="8">
        <v>0</v>
      </c>
      <c r="J207" s="8">
        <v>1</v>
      </c>
      <c r="K207" s="8">
        <v>42</v>
      </c>
      <c r="L207" s="7">
        <v>0.46210236619269668</v>
      </c>
      <c r="M207" s="7">
        <v>7.9990935927138157E-2</v>
      </c>
      <c r="N207" s="8">
        <v>0</v>
      </c>
      <c r="O207" s="8">
        <v>1</v>
      </c>
      <c r="P207" s="8">
        <v>42</v>
      </c>
      <c r="Q207" s="7">
        <v>0.64300167798766439</v>
      </c>
      <c r="R207" s="7">
        <v>7.9764129090886995E-2</v>
      </c>
      <c r="S207" s="8">
        <v>0</v>
      </c>
      <c r="T207" s="8">
        <v>1</v>
      </c>
      <c r="U207" s="8">
        <v>40</v>
      </c>
      <c r="V207" s="7">
        <v>0.17449360335171088</v>
      </c>
      <c r="W207" s="7">
        <v>4.5306375980458474E-2</v>
      </c>
      <c r="X207" s="8">
        <v>0</v>
      </c>
      <c r="Y207" s="8">
        <v>1</v>
      </c>
      <c r="Z207" s="8">
        <v>100</v>
      </c>
      <c r="AA207" s="13">
        <v>0.5486111357815332</v>
      </c>
      <c r="AB207" s="7">
        <v>4.3349151236607264E-2</v>
      </c>
      <c r="AC207" s="8">
        <v>0</v>
      </c>
      <c r="AD207" s="8">
        <v>1</v>
      </c>
      <c r="AE207" s="8">
        <v>258</v>
      </c>
    </row>
    <row r="208" spans="1:32" x14ac:dyDescent="0.45">
      <c r="A208" s="6" t="s">
        <v>32</v>
      </c>
      <c r="B208" s="7">
        <v>0.88886175204661999</v>
      </c>
      <c r="C208" s="7">
        <v>6.1457033964244352E-2</v>
      </c>
      <c r="D208" s="8">
        <v>0</v>
      </c>
      <c r="E208" s="8">
        <v>1</v>
      </c>
      <c r="F208" s="8">
        <v>34</v>
      </c>
      <c r="G208" s="7">
        <v>0.60873909731901421</v>
      </c>
      <c r="H208" s="7">
        <v>7.7439164761967633E-2</v>
      </c>
      <c r="I208" s="8">
        <v>0</v>
      </c>
      <c r="J208" s="8">
        <v>1</v>
      </c>
      <c r="K208" s="8">
        <v>42</v>
      </c>
      <c r="L208" s="7">
        <v>0.46210236619269668</v>
      </c>
      <c r="M208" s="7">
        <v>7.9990935927138157E-2</v>
      </c>
      <c r="N208" s="8">
        <v>0</v>
      </c>
      <c r="O208" s="8">
        <v>1</v>
      </c>
      <c r="P208" s="8">
        <v>42</v>
      </c>
      <c r="Q208" s="7">
        <v>0.64300167798766439</v>
      </c>
      <c r="R208" s="7">
        <v>7.9764129090886995E-2</v>
      </c>
      <c r="S208" s="8">
        <v>0</v>
      </c>
      <c r="T208" s="8">
        <v>1</v>
      </c>
      <c r="U208" s="8">
        <v>40</v>
      </c>
      <c r="V208" s="7">
        <v>0.19224039367404611</v>
      </c>
      <c r="W208" s="7">
        <v>4.6779770209863396E-2</v>
      </c>
      <c r="X208" s="8">
        <v>0</v>
      </c>
      <c r="Y208" s="8">
        <v>1</v>
      </c>
      <c r="Z208" s="8">
        <v>100</v>
      </c>
      <c r="AA208" s="13">
        <v>0.56028151574267626</v>
      </c>
      <c r="AB208" s="7">
        <v>4.331019237972477E-2</v>
      </c>
      <c r="AC208" s="8">
        <v>0</v>
      </c>
      <c r="AD208" s="8">
        <v>1</v>
      </c>
      <c r="AE208" s="8">
        <v>258</v>
      </c>
      <c r="AF208">
        <f>(AA210/AA209)-AA208</f>
        <v>4.5011065899034808E-2</v>
      </c>
    </row>
    <row r="209" spans="1:32" ht="39.4" x14ac:dyDescent="0.45">
      <c r="A209" s="6" t="s">
        <v>20</v>
      </c>
      <c r="B209" s="7">
        <v>0.90678716876013998</v>
      </c>
      <c r="C209" s="7">
        <v>4.9177473357267902E-2</v>
      </c>
      <c r="D209" s="8">
        <v>0</v>
      </c>
      <c r="E209" s="8">
        <v>1</v>
      </c>
      <c r="F209" s="8">
        <v>34</v>
      </c>
      <c r="G209" s="7">
        <v>0.89891076629469935</v>
      </c>
      <c r="H209" s="7">
        <v>4.8893744591203998E-2</v>
      </c>
      <c r="I209" s="8">
        <v>0</v>
      </c>
      <c r="J209" s="8">
        <v>1</v>
      </c>
      <c r="K209" s="8">
        <v>42</v>
      </c>
      <c r="L209" s="7">
        <v>0.83274552255977152</v>
      </c>
      <c r="M209" s="7">
        <v>5.9834974582738454E-2</v>
      </c>
      <c r="N209" s="8">
        <v>0</v>
      </c>
      <c r="O209" s="8">
        <v>1</v>
      </c>
      <c r="P209" s="8">
        <v>42</v>
      </c>
      <c r="Q209" s="7">
        <v>0.94871856326789294</v>
      </c>
      <c r="R209" s="7">
        <v>3.5809222533905935E-2</v>
      </c>
      <c r="S209" s="8">
        <v>0</v>
      </c>
      <c r="T209" s="8">
        <v>1</v>
      </c>
      <c r="U209" s="8">
        <v>40</v>
      </c>
      <c r="V209" s="7">
        <v>0.46705017304122987</v>
      </c>
      <c r="W209" s="7">
        <v>6.8874379217115159E-2</v>
      </c>
      <c r="X209" s="8">
        <v>0</v>
      </c>
      <c r="Y209" s="8">
        <v>1</v>
      </c>
      <c r="Z209" s="8">
        <v>100</v>
      </c>
      <c r="AA209" s="13">
        <v>0.86977609404131639</v>
      </c>
      <c r="AB209" s="7">
        <v>2.9171246830362617E-2</v>
      </c>
      <c r="AC209" s="8">
        <v>0</v>
      </c>
      <c r="AD209" s="8">
        <v>1</v>
      </c>
      <c r="AE209" s="8">
        <v>258</v>
      </c>
      <c r="AF209">
        <f>(AA210/AA208)-AA209</f>
        <v>6.9874782562484583E-2</v>
      </c>
    </row>
    <row r="210" spans="1:32" x14ac:dyDescent="0.45">
      <c r="A210" s="6" t="s">
        <v>98</v>
      </c>
      <c r="B210" s="7">
        <v>0.79564892080675997</v>
      </c>
      <c r="C210" s="7">
        <v>7.4218927024787176E-2</v>
      </c>
      <c r="D210" s="8">
        <v>0</v>
      </c>
      <c r="E210" s="8">
        <v>1</v>
      </c>
      <c r="F210" s="8">
        <v>34</v>
      </c>
      <c r="G210" s="7">
        <v>0.55253717121852897</v>
      </c>
      <c r="H210" s="7">
        <v>7.902652442212843E-2</v>
      </c>
      <c r="I210" s="8">
        <v>0</v>
      </c>
      <c r="J210" s="8">
        <v>1</v>
      </c>
      <c r="K210" s="8">
        <v>42</v>
      </c>
      <c r="L210" s="7">
        <v>0.45033701894760408</v>
      </c>
      <c r="M210" s="7">
        <v>7.9921144023695267E-2</v>
      </c>
      <c r="N210" s="8">
        <v>0</v>
      </c>
      <c r="O210" s="8">
        <v>1</v>
      </c>
      <c r="P210" s="8">
        <v>42</v>
      </c>
      <c r="Q210" s="7">
        <v>0.61675201839669624</v>
      </c>
      <c r="R210" s="7">
        <v>8.0752754790836337E-2</v>
      </c>
      <c r="S210" s="8">
        <v>0</v>
      </c>
      <c r="T210" s="8">
        <v>1</v>
      </c>
      <c r="U210" s="8">
        <v>40</v>
      </c>
      <c r="V210" s="7">
        <v>0.12978885548981209</v>
      </c>
      <c r="W210" s="7">
        <v>4.206990305768394E-2</v>
      </c>
      <c r="X210" s="8">
        <v>0</v>
      </c>
      <c r="Y210" s="8">
        <v>1</v>
      </c>
      <c r="Z210" s="8">
        <v>100</v>
      </c>
      <c r="AA210" s="13">
        <v>0.52646901741251206</v>
      </c>
      <c r="AB210" s="7">
        <v>4.3365114336807523E-2</v>
      </c>
      <c r="AC210" s="8">
        <v>0</v>
      </c>
      <c r="AD210" s="8">
        <v>1</v>
      </c>
      <c r="AE210" s="8">
        <v>258</v>
      </c>
    </row>
    <row r="211" spans="1:32" x14ac:dyDescent="0.45">
      <c r="A211" s="6" t="s">
        <v>32</v>
      </c>
      <c r="B211" s="7">
        <v>0.88886175204661999</v>
      </c>
      <c r="C211" s="7">
        <v>6.1457033964244352E-2</v>
      </c>
      <c r="D211" s="8">
        <v>0</v>
      </c>
      <c r="E211" s="8">
        <v>1</v>
      </c>
      <c r="F211" s="8">
        <v>34</v>
      </c>
      <c r="G211" s="7">
        <v>0.60873909731901421</v>
      </c>
      <c r="H211" s="7">
        <v>7.7439164761967633E-2</v>
      </c>
      <c r="I211" s="8">
        <v>0</v>
      </c>
      <c r="J211" s="8">
        <v>1</v>
      </c>
      <c r="K211" s="8">
        <v>42</v>
      </c>
      <c r="L211" s="7">
        <v>0.46210236619269668</v>
      </c>
      <c r="M211" s="7">
        <v>7.9990935927138157E-2</v>
      </c>
      <c r="N211" s="8">
        <v>0</v>
      </c>
      <c r="O211" s="8">
        <v>1</v>
      </c>
      <c r="P211" s="8">
        <v>42</v>
      </c>
      <c r="Q211" s="7">
        <v>0.64300167798766439</v>
      </c>
      <c r="R211" s="7">
        <v>7.9764129090886995E-2</v>
      </c>
      <c r="S211" s="8">
        <v>0</v>
      </c>
      <c r="T211" s="8">
        <v>1</v>
      </c>
      <c r="U211" s="8">
        <v>40</v>
      </c>
      <c r="V211" s="7">
        <v>0.19224039367404611</v>
      </c>
      <c r="W211" s="7">
        <v>4.6779770209863396E-2</v>
      </c>
      <c r="X211" s="8">
        <v>0</v>
      </c>
      <c r="Y211" s="8">
        <v>1</v>
      </c>
      <c r="Z211" s="8">
        <v>100</v>
      </c>
      <c r="AA211" s="13">
        <v>0.56028151574267626</v>
      </c>
      <c r="AB211" s="7">
        <v>4.331019237972477E-2</v>
      </c>
      <c r="AC211" s="8">
        <v>0</v>
      </c>
      <c r="AD211" s="8">
        <v>1</v>
      </c>
      <c r="AE211" s="8">
        <v>258</v>
      </c>
      <c r="AF211">
        <f>(AA213/AA212)-AA211</f>
        <v>1.7684359485616419E-2</v>
      </c>
    </row>
    <row r="212" spans="1:32" ht="26.25" x14ac:dyDescent="0.45">
      <c r="A212" s="6" t="s">
        <v>22</v>
      </c>
      <c r="B212" s="7">
        <v>0.84952162550522947</v>
      </c>
      <c r="C212" s="7">
        <v>6.1545774275045921E-2</v>
      </c>
      <c r="D212" s="8">
        <v>0</v>
      </c>
      <c r="E212" s="8">
        <v>1</v>
      </c>
      <c r="F212" s="8">
        <v>34</v>
      </c>
      <c r="G212" s="7">
        <v>0.96979725445447418</v>
      </c>
      <c r="H212" s="7">
        <v>3.0016012175185333E-2</v>
      </c>
      <c r="I212" s="8">
        <v>0</v>
      </c>
      <c r="J212" s="8">
        <v>1</v>
      </c>
      <c r="K212" s="8">
        <v>42</v>
      </c>
      <c r="L212" s="7">
        <v>0.8581968674576721</v>
      </c>
      <c r="M212" s="7">
        <v>5.4732643111864598E-2</v>
      </c>
      <c r="N212" s="8">
        <v>0</v>
      </c>
      <c r="O212" s="8">
        <v>1</v>
      </c>
      <c r="P212" s="8">
        <v>42</v>
      </c>
      <c r="Q212" s="7">
        <v>0.9749682228588612</v>
      </c>
      <c r="R212" s="7">
        <v>2.5049499255806983E-2</v>
      </c>
      <c r="S212" s="8">
        <v>0</v>
      </c>
      <c r="T212" s="8">
        <v>1</v>
      </c>
      <c r="U212" s="8">
        <v>40</v>
      </c>
      <c r="V212" s="7">
        <v>0.65979065777482815</v>
      </c>
      <c r="W212" s="7">
        <v>6.9173406705135554E-2</v>
      </c>
      <c r="X212" s="8">
        <v>0</v>
      </c>
      <c r="Y212" s="8">
        <v>1</v>
      </c>
      <c r="Z212" s="8">
        <v>100</v>
      </c>
      <c r="AA212" s="13">
        <v>0.90843054717269422</v>
      </c>
      <c r="AB212" s="7">
        <v>2.4885705943311916E-2</v>
      </c>
      <c r="AC212" s="8">
        <v>0</v>
      </c>
      <c r="AD212" s="8">
        <v>1</v>
      </c>
      <c r="AE212" s="8">
        <v>258</v>
      </c>
      <c r="AF212">
        <f>(AA213/AA211)-AA212</f>
        <v>2.8673107915441975E-2</v>
      </c>
    </row>
    <row r="213" spans="1:32" x14ac:dyDescent="0.45">
      <c r="A213" s="6" t="s">
        <v>99</v>
      </c>
      <c r="B213" s="7">
        <v>0.73838337755184946</v>
      </c>
      <c r="C213" s="7">
        <v>8.0198198341351709E-2</v>
      </c>
      <c r="D213" s="8">
        <v>0</v>
      </c>
      <c r="E213" s="8">
        <v>1</v>
      </c>
      <c r="F213" s="8">
        <v>34</v>
      </c>
      <c r="G213" s="7">
        <v>0.57853635177348839</v>
      </c>
      <c r="H213" s="7">
        <v>7.8520379341991936E-2</v>
      </c>
      <c r="I213" s="8">
        <v>0</v>
      </c>
      <c r="J213" s="8">
        <v>1</v>
      </c>
      <c r="K213" s="8">
        <v>42</v>
      </c>
      <c r="L213" s="7">
        <v>0.41953633599181983</v>
      </c>
      <c r="M213" s="7">
        <v>7.9329335887297583E-2</v>
      </c>
      <c r="N213" s="8">
        <v>0</v>
      </c>
      <c r="O213" s="8">
        <v>1</v>
      </c>
      <c r="P213" s="8">
        <v>42</v>
      </c>
      <c r="Q213" s="7">
        <v>0.64300167798766439</v>
      </c>
      <c r="R213" s="7">
        <v>7.9764129090886995E-2</v>
      </c>
      <c r="S213" s="8">
        <v>0</v>
      </c>
      <c r="T213" s="8">
        <v>1</v>
      </c>
      <c r="U213" s="8">
        <v>40</v>
      </c>
      <c r="V213" s="7">
        <v>0.17095704222052949</v>
      </c>
      <c r="W213" s="7">
        <v>4.5127975591012719E-2</v>
      </c>
      <c r="X213" s="8">
        <v>0</v>
      </c>
      <c r="Y213" s="8">
        <v>1</v>
      </c>
      <c r="Z213" s="8">
        <v>100</v>
      </c>
      <c r="AA213" s="13">
        <v>0.52504185628078304</v>
      </c>
      <c r="AB213" s="7">
        <v>4.3386855942217667E-2</v>
      </c>
      <c r="AC213" s="8">
        <v>0</v>
      </c>
      <c r="AD213" s="8">
        <v>1</v>
      </c>
      <c r="AE213" s="8">
        <v>258</v>
      </c>
    </row>
    <row r="214" spans="1:32" x14ac:dyDescent="0.45">
      <c r="A214" s="6" t="s">
        <v>32</v>
      </c>
      <c r="B214" s="7">
        <v>0.88886175204661999</v>
      </c>
      <c r="C214" s="7">
        <v>6.1457033964244352E-2</v>
      </c>
      <c r="D214" s="8">
        <v>0</v>
      </c>
      <c r="E214" s="8">
        <v>1</v>
      </c>
      <c r="F214" s="8">
        <v>34</v>
      </c>
      <c r="G214" s="7">
        <v>0.60873909731901421</v>
      </c>
      <c r="H214" s="7">
        <v>7.7439164761967633E-2</v>
      </c>
      <c r="I214" s="8">
        <v>0</v>
      </c>
      <c r="J214" s="8">
        <v>1</v>
      </c>
      <c r="K214" s="8">
        <v>42</v>
      </c>
      <c r="L214" s="7">
        <v>0.46210236619269668</v>
      </c>
      <c r="M214" s="7">
        <v>7.9990935927138157E-2</v>
      </c>
      <c r="N214" s="8">
        <v>0</v>
      </c>
      <c r="O214" s="8">
        <v>1</v>
      </c>
      <c r="P214" s="8">
        <v>42</v>
      </c>
      <c r="Q214" s="7">
        <v>0.64300167798766439</v>
      </c>
      <c r="R214" s="7">
        <v>7.9764129090886995E-2</v>
      </c>
      <c r="S214" s="8">
        <v>0</v>
      </c>
      <c r="T214" s="8">
        <v>1</v>
      </c>
      <c r="U214" s="8">
        <v>40</v>
      </c>
      <c r="V214" s="7">
        <v>0.19224039367404611</v>
      </c>
      <c r="W214" s="7">
        <v>4.6779770209863396E-2</v>
      </c>
      <c r="X214" s="8">
        <v>0</v>
      </c>
      <c r="Y214" s="8">
        <v>1</v>
      </c>
      <c r="Z214" s="8">
        <v>100</v>
      </c>
      <c r="AA214" s="13">
        <v>0.56028151574267626</v>
      </c>
      <c r="AB214" s="7">
        <v>4.331019237972477E-2</v>
      </c>
      <c r="AC214" s="8">
        <v>0</v>
      </c>
      <c r="AD214" s="8">
        <v>1</v>
      </c>
      <c r="AE214" s="8">
        <v>258</v>
      </c>
      <c r="AF214">
        <f>(AA216/AA215)-AA214</f>
        <v>1.2242617360239683E-2</v>
      </c>
    </row>
    <row r="215" spans="1:32" ht="26.25" x14ac:dyDescent="0.45">
      <c r="A215" s="6" t="s">
        <v>24</v>
      </c>
      <c r="B215" s="7">
        <v>0.59113064078982813</v>
      </c>
      <c r="C215" s="7">
        <v>8.9609791547363538E-2</v>
      </c>
      <c r="D215" s="8">
        <v>0</v>
      </c>
      <c r="E215" s="8">
        <v>1</v>
      </c>
      <c r="F215" s="8">
        <v>34</v>
      </c>
      <c r="G215" s="7">
        <v>0.71909384928754405</v>
      </c>
      <c r="H215" s="7">
        <v>7.2403474018022274E-2</v>
      </c>
      <c r="I215" s="8">
        <v>0</v>
      </c>
      <c r="J215" s="8">
        <v>1</v>
      </c>
      <c r="K215" s="8">
        <v>42</v>
      </c>
      <c r="L215" s="7">
        <v>0.68288377049228632</v>
      </c>
      <c r="M215" s="7">
        <v>7.4547087275515955E-2</v>
      </c>
      <c r="N215" s="8">
        <v>0</v>
      </c>
      <c r="O215" s="8">
        <v>1</v>
      </c>
      <c r="P215" s="8">
        <v>42</v>
      </c>
      <c r="Q215" s="7">
        <v>0.9233668457535289</v>
      </c>
      <c r="R215" s="7">
        <v>4.3202567197263397E-2</v>
      </c>
      <c r="S215" s="8">
        <v>0</v>
      </c>
      <c r="T215" s="8">
        <v>1</v>
      </c>
      <c r="U215" s="8">
        <v>40</v>
      </c>
      <c r="V215" s="7">
        <v>0.63320079073355351</v>
      </c>
      <c r="W215" s="7">
        <v>6.9028775174729731E-2</v>
      </c>
      <c r="X215" s="8">
        <v>0</v>
      </c>
      <c r="Y215" s="8">
        <v>1</v>
      </c>
      <c r="Z215" s="8">
        <v>100</v>
      </c>
      <c r="AA215" s="13">
        <v>0.74045598075499264</v>
      </c>
      <c r="AB215" s="7">
        <v>3.837948723925233E-2</v>
      </c>
      <c r="AC215" s="8">
        <v>0</v>
      </c>
      <c r="AD215" s="8">
        <v>1</v>
      </c>
      <c r="AE215" s="8">
        <v>258</v>
      </c>
      <c r="AF215">
        <f>(AA216/AA214)-AA215</f>
        <v>1.6179579353904128E-2</v>
      </c>
    </row>
    <row r="216" spans="1:32" x14ac:dyDescent="0.45">
      <c r="A216" s="6" t="s">
        <v>100</v>
      </c>
      <c r="B216" s="7">
        <v>0.51233652727646795</v>
      </c>
      <c r="C216" s="7">
        <v>9.1805706191912473E-2</v>
      </c>
      <c r="D216" s="8">
        <v>0</v>
      </c>
      <c r="E216" s="8">
        <v>1</v>
      </c>
      <c r="F216" s="8">
        <v>34</v>
      </c>
      <c r="G216" s="7">
        <v>0.45120913721296785</v>
      </c>
      <c r="H216" s="7">
        <v>7.8712101672945747E-2</v>
      </c>
      <c r="I216" s="8">
        <v>0</v>
      </c>
      <c r="J216" s="8">
        <v>1</v>
      </c>
      <c r="K216" s="8">
        <v>42</v>
      </c>
      <c r="L216" s="7">
        <v>0.30416176180638399</v>
      </c>
      <c r="M216" s="7">
        <v>7.4631024160383239E-2</v>
      </c>
      <c r="N216" s="8">
        <v>0</v>
      </c>
      <c r="O216" s="8">
        <v>1</v>
      </c>
      <c r="P216" s="8">
        <v>42</v>
      </c>
      <c r="Q216" s="7">
        <v>0.61918202519007171</v>
      </c>
      <c r="R216" s="7">
        <v>8.0583577359132769E-2</v>
      </c>
      <c r="S216" s="8">
        <v>0</v>
      </c>
      <c r="T216" s="8">
        <v>1</v>
      </c>
      <c r="U216" s="8">
        <v>40</v>
      </c>
      <c r="V216" s="7">
        <v>0.15721585262552853</v>
      </c>
      <c r="W216" s="7">
        <v>4.4186808908798683E-2</v>
      </c>
      <c r="X216" s="8">
        <v>0</v>
      </c>
      <c r="Y216" s="8">
        <v>1</v>
      </c>
      <c r="Z216" s="8">
        <v>100</v>
      </c>
      <c r="AA216" s="13">
        <v>0.42392891848262154</v>
      </c>
      <c r="AB216" s="7">
        <v>4.2533465337906279E-2</v>
      </c>
      <c r="AC216" s="8">
        <v>0</v>
      </c>
      <c r="AD216" s="8">
        <v>1</v>
      </c>
      <c r="AE216" s="8">
        <v>258</v>
      </c>
    </row>
    <row r="217" spans="1:32" x14ac:dyDescent="0.45">
      <c r="A217" s="6" t="s">
        <v>34</v>
      </c>
      <c r="B217" s="7">
        <v>0.19862121171774996</v>
      </c>
      <c r="C217" s="7">
        <v>7.0449908333518482E-2</v>
      </c>
      <c r="D217" s="8">
        <v>0</v>
      </c>
      <c r="E217" s="8">
        <v>1</v>
      </c>
      <c r="F217" s="8">
        <v>34</v>
      </c>
      <c r="G217" s="7">
        <v>0.27373543444507736</v>
      </c>
      <c r="H217" s="7">
        <v>7.1059953576424029E-2</v>
      </c>
      <c r="I217" s="8">
        <v>0</v>
      </c>
      <c r="J217" s="8">
        <v>1</v>
      </c>
      <c r="K217" s="8">
        <v>42</v>
      </c>
      <c r="L217" s="7">
        <v>0.16792280545098798</v>
      </c>
      <c r="M217" s="7">
        <v>5.8618243579727093E-2</v>
      </c>
      <c r="N217" s="8">
        <v>0</v>
      </c>
      <c r="O217" s="8">
        <v>1</v>
      </c>
      <c r="P217" s="8">
        <v>42</v>
      </c>
      <c r="Q217" s="7">
        <v>0.27853232036598929</v>
      </c>
      <c r="R217" s="7">
        <v>7.2602815976202259E-2</v>
      </c>
      <c r="S217" s="8">
        <v>0</v>
      </c>
      <c r="T217" s="8">
        <v>1</v>
      </c>
      <c r="U217" s="8">
        <v>40</v>
      </c>
      <c r="V217" s="7">
        <v>3.9845505914107161E-2</v>
      </c>
      <c r="W217" s="7">
        <v>2.1780217848510454E-2</v>
      </c>
      <c r="X217" s="8">
        <v>0</v>
      </c>
      <c r="Y217" s="8">
        <v>1</v>
      </c>
      <c r="Z217" s="8">
        <v>100</v>
      </c>
      <c r="AA217" s="13">
        <v>0.21982448140548122</v>
      </c>
      <c r="AB217" s="7">
        <v>3.5153365318010749E-2</v>
      </c>
      <c r="AC217" s="8">
        <v>0</v>
      </c>
      <c r="AD217" s="8">
        <v>1</v>
      </c>
      <c r="AE217" s="8">
        <v>258</v>
      </c>
      <c r="AF217">
        <f>(AA219/AA218)-AA217</f>
        <v>-2.298305637714515E-2</v>
      </c>
    </row>
    <row r="218" spans="1:32" x14ac:dyDescent="0.45">
      <c r="A218" s="6" t="s">
        <v>36</v>
      </c>
      <c r="B218" s="7">
        <v>0.76064468833586119</v>
      </c>
      <c r="C218" s="7">
        <v>7.7815769808775942E-2</v>
      </c>
      <c r="D218" s="8">
        <v>0</v>
      </c>
      <c r="E218" s="8">
        <v>1</v>
      </c>
      <c r="F218" s="8">
        <v>34</v>
      </c>
      <c r="G218" s="7">
        <v>0.47021854293445042</v>
      </c>
      <c r="H218" s="7">
        <v>7.9243117363754292E-2</v>
      </c>
      <c r="I218" s="8">
        <v>0</v>
      </c>
      <c r="J218" s="8">
        <v>1</v>
      </c>
      <c r="K218" s="8">
        <v>42</v>
      </c>
      <c r="L218" s="7">
        <v>0.2445206682606792</v>
      </c>
      <c r="M218" s="7">
        <v>6.7154542896761538E-2</v>
      </c>
      <c r="N218" s="8">
        <v>0</v>
      </c>
      <c r="O218" s="8">
        <v>1</v>
      </c>
      <c r="P218" s="8">
        <v>42</v>
      </c>
      <c r="Q218" s="7">
        <v>0.35160809189742964</v>
      </c>
      <c r="R218" s="7">
        <v>7.902438279457083E-2</v>
      </c>
      <c r="S218" s="8">
        <v>0</v>
      </c>
      <c r="T218" s="8">
        <v>1</v>
      </c>
      <c r="U218" s="8">
        <v>40</v>
      </c>
      <c r="V218" s="7">
        <v>0.42925514319553509</v>
      </c>
      <c r="W218" s="7">
        <v>6.917480911456024E-2</v>
      </c>
      <c r="X218" s="8">
        <v>0</v>
      </c>
      <c r="Y218" s="8">
        <v>1</v>
      </c>
      <c r="Z218" s="8">
        <v>100</v>
      </c>
      <c r="AA218" s="13">
        <v>0.36787839094902408</v>
      </c>
      <c r="AB218" s="7">
        <v>4.0690017630809268E-2</v>
      </c>
      <c r="AC218" s="8">
        <v>0</v>
      </c>
      <c r="AD218" s="8">
        <v>1</v>
      </c>
      <c r="AE218" s="8">
        <v>258</v>
      </c>
      <c r="AF218">
        <f>(AA219/AA217)-AA218</f>
        <v>-3.8462366634765766E-2</v>
      </c>
    </row>
    <row r="219" spans="1:32" ht="26.25" x14ac:dyDescent="0.45">
      <c r="A219" s="6" t="s">
        <v>101</v>
      </c>
      <c r="B219" s="7">
        <v>0.15317770080495155</v>
      </c>
      <c r="C219" s="7">
        <v>6.3234824106543089E-2</v>
      </c>
      <c r="D219" s="8">
        <v>0</v>
      </c>
      <c r="E219" s="8">
        <v>1</v>
      </c>
      <c r="F219" s="8">
        <v>34</v>
      </c>
      <c r="G219" s="7">
        <v>0.14995778743988825</v>
      </c>
      <c r="H219" s="7">
        <v>5.7099699444664198E-2</v>
      </c>
      <c r="I219" s="8">
        <v>0</v>
      </c>
      <c r="J219" s="8">
        <v>1</v>
      </c>
      <c r="K219" s="8">
        <v>42</v>
      </c>
      <c r="L219" s="7">
        <v>2.2400761520905949E-2</v>
      </c>
      <c r="M219" s="7">
        <v>2.2448272304873625E-2</v>
      </c>
      <c r="N219" s="8">
        <v>0</v>
      </c>
      <c r="O219" s="8">
        <v>1</v>
      </c>
      <c r="P219" s="8">
        <v>42</v>
      </c>
      <c r="Q219" s="7">
        <v>5.5535674863364852E-2</v>
      </c>
      <c r="R219" s="7">
        <v>3.7141409469103014E-2</v>
      </c>
      <c r="S219" s="8">
        <v>0</v>
      </c>
      <c r="T219" s="8">
        <v>1</v>
      </c>
      <c r="U219" s="8">
        <v>40</v>
      </c>
      <c r="V219" s="7">
        <v>9.6392048860199624E-3</v>
      </c>
      <c r="W219" s="7">
        <v>6.3375456466821028E-3</v>
      </c>
      <c r="X219" s="8">
        <v>0</v>
      </c>
      <c r="Y219" s="8">
        <v>1</v>
      </c>
      <c r="Z219" s="8">
        <v>100</v>
      </c>
      <c r="AA219" s="13">
        <v>7.2413706711537226E-2</v>
      </c>
      <c r="AB219" s="7">
        <v>2.0755439311122812E-2</v>
      </c>
      <c r="AC219" s="8">
        <v>0</v>
      </c>
      <c r="AD219" s="8">
        <v>1</v>
      </c>
      <c r="AE219" s="8">
        <v>258</v>
      </c>
    </row>
    <row r="220" spans="1:32" x14ac:dyDescent="0.45">
      <c r="A220" s="6" t="s">
        <v>34</v>
      </c>
      <c r="B220" s="7">
        <v>0.19862121171774996</v>
      </c>
      <c r="C220" s="7">
        <v>7.0449908333518482E-2</v>
      </c>
      <c r="D220" s="8">
        <v>0</v>
      </c>
      <c r="E220" s="8">
        <v>1</v>
      </c>
      <c r="F220" s="8">
        <v>34</v>
      </c>
      <c r="G220" s="7">
        <v>0.27373543444507736</v>
      </c>
      <c r="H220" s="7">
        <v>7.1059953576424029E-2</v>
      </c>
      <c r="I220" s="8">
        <v>0</v>
      </c>
      <c r="J220" s="8">
        <v>1</v>
      </c>
      <c r="K220" s="8">
        <v>42</v>
      </c>
      <c r="L220" s="7">
        <v>0.16792280545098798</v>
      </c>
      <c r="M220" s="7">
        <v>5.8618243579727093E-2</v>
      </c>
      <c r="N220" s="8">
        <v>0</v>
      </c>
      <c r="O220" s="8">
        <v>1</v>
      </c>
      <c r="P220" s="8">
        <v>42</v>
      </c>
      <c r="Q220" s="7">
        <v>0.27853232036598929</v>
      </c>
      <c r="R220" s="7">
        <v>7.2602815976202259E-2</v>
      </c>
      <c r="S220" s="8">
        <v>0</v>
      </c>
      <c r="T220" s="8">
        <v>1</v>
      </c>
      <c r="U220" s="8">
        <v>40</v>
      </c>
      <c r="V220" s="7">
        <v>3.9845505914107161E-2</v>
      </c>
      <c r="W220" s="7">
        <v>2.1780217848510454E-2</v>
      </c>
      <c r="X220" s="8">
        <v>0</v>
      </c>
      <c r="Y220" s="8">
        <v>1</v>
      </c>
      <c r="Z220" s="8">
        <v>100</v>
      </c>
      <c r="AA220" s="13">
        <v>0.21982448140548122</v>
      </c>
      <c r="AB220" s="7">
        <v>3.5153365318010749E-2</v>
      </c>
      <c r="AC220" s="8">
        <v>0</v>
      </c>
      <c r="AD220" s="8">
        <v>1</v>
      </c>
      <c r="AE220" s="8">
        <v>258</v>
      </c>
      <c r="AF220">
        <f>(AA222/AA221)-AA220</f>
        <v>5.3778947511986308E-2</v>
      </c>
    </row>
    <row r="221" spans="1:32" ht="26.25" x14ac:dyDescent="0.45">
      <c r="A221" s="6" t="s">
        <v>38</v>
      </c>
      <c r="B221" s="7">
        <v>0.84000868272823959</v>
      </c>
      <c r="C221" s="7">
        <v>6.5933157962881336E-2</v>
      </c>
      <c r="D221" s="8">
        <v>0</v>
      </c>
      <c r="E221" s="8">
        <v>1</v>
      </c>
      <c r="F221" s="8">
        <v>34</v>
      </c>
      <c r="G221" s="7">
        <v>0.8757010716140059</v>
      </c>
      <c r="H221" s="7">
        <v>5.3035240634634946E-2</v>
      </c>
      <c r="I221" s="8">
        <v>0</v>
      </c>
      <c r="J221" s="8">
        <v>1</v>
      </c>
      <c r="K221" s="8">
        <v>42</v>
      </c>
      <c r="L221" s="7">
        <v>0.71102549516240099</v>
      </c>
      <c r="M221" s="7">
        <v>7.24518160292143E-2</v>
      </c>
      <c r="N221" s="8">
        <v>0</v>
      </c>
      <c r="O221" s="8">
        <v>1</v>
      </c>
      <c r="P221" s="8">
        <v>42</v>
      </c>
      <c r="Q221" s="7">
        <v>0.76619872916446996</v>
      </c>
      <c r="R221" s="7">
        <v>6.9319636379783084E-2</v>
      </c>
      <c r="S221" s="8">
        <v>0</v>
      </c>
      <c r="T221" s="8">
        <v>1</v>
      </c>
      <c r="U221" s="8">
        <v>40</v>
      </c>
      <c r="V221" s="7">
        <v>0.38621991000499384</v>
      </c>
      <c r="W221" s="7">
        <v>6.6639473541989111E-2</v>
      </c>
      <c r="X221" s="8">
        <v>0</v>
      </c>
      <c r="Y221" s="8">
        <v>1</v>
      </c>
      <c r="Z221" s="8">
        <v>100</v>
      </c>
      <c r="AA221" s="13">
        <v>0.7659232322798829</v>
      </c>
      <c r="AB221" s="7">
        <v>3.6756971234523643E-2</v>
      </c>
      <c r="AC221" s="8">
        <v>0</v>
      </c>
      <c r="AD221" s="8">
        <v>1</v>
      </c>
      <c r="AE221" s="8">
        <v>258</v>
      </c>
      <c r="AF221">
        <f>(AA222/AA220)-AA221</f>
        <v>0.18737924476670076</v>
      </c>
    </row>
    <row r="222" spans="1:32" ht="39.4" x14ac:dyDescent="0.45">
      <c r="A222" s="6" t="s">
        <v>102</v>
      </c>
      <c r="B222" s="7">
        <v>0.14097912584981692</v>
      </c>
      <c r="C222" s="7">
        <v>6.3883868424885484E-2</v>
      </c>
      <c r="D222" s="8">
        <v>0</v>
      </c>
      <c r="E222" s="8">
        <v>1</v>
      </c>
      <c r="F222" s="8">
        <v>34</v>
      </c>
      <c r="G222" s="7">
        <v>0.25052573976438386</v>
      </c>
      <c r="H222" s="7">
        <v>6.9228535582045239E-2</v>
      </c>
      <c r="I222" s="8">
        <v>0</v>
      </c>
      <c r="J222" s="8">
        <v>1</v>
      </c>
      <c r="K222" s="8">
        <v>42</v>
      </c>
      <c r="L222" s="7">
        <v>0.16792280545098798</v>
      </c>
      <c r="M222" s="7">
        <v>5.8618243579727093E-2</v>
      </c>
      <c r="N222" s="8">
        <v>0</v>
      </c>
      <c r="O222" s="8">
        <v>1</v>
      </c>
      <c r="P222" s="8">
        <v>42</v>
      </c>
      <c r="Q222" s="7">
        <v>0.27853232036598929</v>
      </c>
      <c r="R222" s="7">
        <v>7.2602815976202259E-2</v>
      </c>
      <c r="S222" s="8">
        <v>0</v>
      </c>
      <c r="T222" s="8">
        <v>1</v>
      </c>
      <c r="U222" s="8">
        <v>40</v>
      </c>
      <c r="V222" s="7">
        <v>2.6551619133684964E-2</v>
      </c>
      <c r="W222" s="7">
        <v>2.0482208695823803E-2</v>
      </c>
      <c r="X222" s="8">
        <v>0</v>
      </c>
      <c r="Y222" s="8">
        <v>1</v>
      </c>
      <c r="Z222" s="8">
        <v>100</v>
      </c>
      <c r="AA222" s="13">
        <v>0.20955922263932591</v>
      </c>
      <c r="AB222" s="7">
        <v>3.4760027825286671E-2</v>
      </c>
      <c r="AC222" s="8">
        <v>0</v>
      </c>
      <c r="AD222" s="8">
        <v>1</v>
      </c>
      <c r="AE222" s="8">
        <v>258</v>
      </c>
    </row>
    <row r="223" spans="1:32" x14ac:dyDescent="0.45">
      <c r="A223" s="6" t="s">
        <v>34</v>
      </c>
      <c r="B223" s="7">
        <v>0.19862121171774996</v>
      </c>
      <c r="C223" s="7">
        <v>7.0449908333518482E-2</v>
      </c>
      <c r="D223" s="8">
        <v>0</v>
      </c>
      <c r="E223" s="8">
        <v>1</v>
      </c>
      <c r="F223" s="8">
        <v>34</v>
      </c>
      <c r="G223" s="7">
        <v>0.27373543444507736</v>
      </c>
      <c r="H223" s="7">
        <v>7.1059953576424029E-2</v>
      </c>
      <c r="I223" s="8">
        <v>0</v>
      </c>
      <c r="J223" s="8">
        <v>1</v>
      </c>
      <c r="K223" s="8">
        <v>42</v>
      </c>
      <c r="L223" s="7">
        <v>0.16792280545098798</v>
      </c>
      <c r="M223" s="7">
        <v>5.8618243579727093E-2</v>
      </c>
      <c r="N223" s="8">
        <v>0</v>
      </c>
      <c r="O223" s="8">
        <v>1</v>
      </c>
      <c r="P223" s="8">
        <v>42</v>
      </c>
      <c r="Q223" s="7">
        <v>0.27853232036598929</v>
      </c>
      <c r="R223" s="7">
        <v>7.2602815976202259E-2</v>
      </c>
      <c r="S223" s="8">
        <v>0</v>
      </c>
      <c r="T223" s="8">
        <v>1</v>
      </c>
      <c r="U223" s="8">
        <v>40</v>
      </c>
      <c r="V223" s="7">
        <v>3.9845505914107161E-2</v>
      </c>
      <c r="W223" s="7">
        <v>2.1780217848510454E-2</v>
      </c>
      <c r="X223" s="8">
        <v>0</v>
      </c>
      <c r="Y223" s="8">
        <v>1</v>
      </c>
      <c r="Z223" s="8">
        <v>100</v>
      </c>
      <c r="AA223" s="13">
        <v>0.21982448140548122</v>
      </c>
      <c r="AB223" s="7">
        <v>3.5153365318010749E-2</v>
      </c>
      <c r="AC223" s="8">
        <v>0</v>
      </c>
      <c r="AD223" s="8">
        <v>1</v>
      </c>
      <c r="AE223" s="8">
        <v>258</v>
      </c>
      <c r="AF223">
        <f>(AA225/AA224)-AA223</f>
        <v>-1.3484160874201595E-2</v>
      </c>
    </row>
    <row r="224" spans="1:32" x14ac:dyDescent="0.45">
      <c r="A224" s="6" t="s">
        <v>40</v>
      </c>
      <c r="B224" s="7">
        <v>0.47314926338671726</v>
      </c>
      <c r="C224" s="7">
        <v>9.1986997587208227E-2</v>
      </c>
      <c r="D224" s="8">
        <v>0</v>
      </c>
      <c r="E224" s="8">
        <v>1</v>
      </c>
      <c r="F224" s="8">
        <v>34</v>
      </c>
      <c r="G224" s="7">
        <v>0.59916532039375925</v>
      </c>
      <c r="H224" s="7">
        <v>7.8188563211038412E-2</v>
      </c>
      <c r="I224" s="8">
        <v>0</v>
      </c>
      <c r="J224" s="8">
        <v>1</v>
      </c>
      <c r="K224" s="8">
        <v>42</v>
      </c>
      <c r="L224" s="7">
        <v>0.53311254311611167</v>
      </c>
      <c r="M224" s="7">
        <v>8.0040164750678475E-2</v>
      </c>
      <c r="N224" s="8">
        <v>0</v>
      </c>
      <c r="O224" s="8">
        <v>1</v>
      </c>
      <c r="P224" s="8">
        <v>42</v>
      </c>
      <c r="Q224" s="7">
        <v>0.89744052335873858</v>
      </c>
      <c r="R224" s="7">
        <v>4.9355060283969104E-2</v>
      </c>
      <c r="S224" s="8">
        <v>0</v>
      </c>
      <c r="T224" s="8">
        <v>1</v>
      </c>
      <c r="U224" s="8">
        <v>40</v>
      </c>
      <c r="V224" s="7">
        <v>0.62802955981828001</v>
      </c>
      <c r="W224" s="7">
        <v>6.9009852430896662E-2</v>
      </c>
      <c r="X224" s="8">
        <v>0</v>
      </c>
      <c r="Y224" s="8">
        <v>1</v>
      </c>
      <c r="Z224" s="8">
        <v>100</v>
      </c>
      <c r="AA224" s="13">
        <v>0.63371905921169658</v>
      </c>
      <c r="AB224" s="7">
        <v>4.2239621614603332E-2</v>
      </c>
      <c r="AC224" s="8">
        <v>0</v>
      </c>
      <c r="AD224" s="8">
        <v>1</v>
      </c>
      <c r="AE224" s="8">
        <v>258</v>
      </c>
      <c r="AF224">
        <f>(AA225/AA223)-AA224</f>
        <v>-3.8872693745589104E-2</v>
      </c>
    </row>
    <row r="225" spans="1:32" ht="26.25" x14ac:dyDescent="0.45">
      <c r="A225" s="6" t="s">
        <v>103</v>
      </c>
      <c r="B225" s="7">
        <v>7.7687290664993289E-2</v>
      </c>
      <c r="C225" s="7">
        <v>4.4357262662701999E-2</v>
      </c>
      <c r="D225" s="8">
        <v>0</v>
      </c>
      <c r="E225" s="8">
        <v>1</v>
      </c>
      <c r="F225" s="8">
        <v>34</v>
      </c>
      <c r="G225" s="7">
        <v>0.14499239810939205</v>
      </c>
      <c r="H225" s="7">
        <v>5.5504520507700085E-2</v>
      </c>
      <c r="I225" s="8">
        <v>0</v>
      </c>
      <c r="J225" s="8">
        <v>1</v>
      </c>
      <c r="K225" s="8">
        <v>42</v>
      </c>
      <c r="L225" s="7">
        <v>5.3710885367145647E-2</v>
      </c>
      <c r="M225" s="7">
        <v>3.7452615632785298E-2</v>
      </c>
      <c r="N225" s="8">
        <v>0</v>
      </c>
      <c r="O225" s="8">
        <v>1</v>
      </c>
      <c r="P225" s="8">
        <v>42</v>
      </c>
      <c r="Q225" s="7">
        <v>0.27853232036598929</v>
      </c>
      <c r="R225" s="7">
        <v>7.2602815976202259E-2</v>
      </c>
      <c r="S225" s="8">
        <v>0</v>
      </c>
      <c r="T225" s="8">
        <v>1</v>
      </c>
      <c r="U225" s="8">
        <v>40</v>
      </c>
      <c r="V225" s="7">
        <v>3.3916494092853453E-2</v>
      </c>
      <c r="W225" s="7">
        <v>2.1378971991854272E-2</v>
      </c>
      <c r="X225" s="8">
        <v>0</v>
      </c>
      <c r="Y225" s="8">
        <v>1</v>
      </c>
      <c r="Z225" s="8">
        <v>100</v>
      </c>
      <c r="AA225" s="13">
        <v>0.13076179380452244</v>
      </c>
      <c r="AB225" s="7">
        <v>2.7840123537632502E-2</v>
      </c>
      <c r="AC225" s="8">
        <v>0</v>
      </c>
      <c r="AD225" s="8">
        <v>1</v>
      </c>
      <c r="AE225" s="8">
        <v>258</v>
      </c>
    </row>
    <row r="226" spans="1:32" x14ac:dyDescent="0.45">
      <c r="A226" s="6" t="s">
        <v>34</v>
      </c>
      <c r="B226" s="7">
        <v>0.19862121171774996</v>
      </c>
      <c r="C226" s="7">
        <v>7.0449908333518482E-2</v>
      </c>
      <c r="D226" s="8">
        <v>0</v>
      </c>
      <c r="E226" s="8">
        <v>1</v>
      </c>
      <c r="F226" s="8">
        <v>34</v>
      </c>
      <c r="G226" s="7">
        <v>0.27373543444507736</v>
      </c>
      <c r="H226" s="7">
        <v>7.1059953576424029E-2</v>
      </c>
      <c r="I226" s="8">
        <v>0</v>
      </c>
      <c r="J226" s="8">
        <v>1</v>
      </c>
      <c r="K226" s="8">
        <v>42</v>
      </c>
      <c r="L226" s="7">
        <v>0.16792280545098798</v>
      </c>
      <c r="M226" s="7">
        <v>5.8618243579727093E-2</v>
      </c>
      <c r="N226" s="8">
        <v>0</v>
      </c>
      <c r="O226" s="8">
        <v>1</v>
      </c>
      <c r="P226" s="8">
        <v>42</v>
      </c>
      <c r="Q226" s="7">
        <v>0.27853232036598929</v>
      </c>
      <c r="R226" s="7">
        <v>7.2602815976202259E-2</v>
      </c>
      <c r="S226" s="8">
        <v>0</v>
      </c>
      <c r="T226" s="8">
        <v>1</v>
      </c>
      <c r="U226" s="8">
        <v>40</v>
      </c>
      <c r="V226" s="7">
        <v>3.9845505914107161E-2</v>
      </c>
      <c r="W226" s="7">
        <v>2.1780217848510454E-2</v>
      </c>
      <c r="X226" s="8">
        <v>0</v>
      </c>
      <c r="Y226" s="8">
        <v>1</v>
      </c>
      <c r="Z226" s="8">
        <v>100</v>
      </c>
      <c r="AA226" s="13">
        <v>0.21982448140548122</v>
      </c>
      <c r="AB226" s="7">
        <v>3.5153365318010749E-2</v>
      </c>
      <c r="AC226" s="8">
        <v>0</v>
      </c>
      <c r="AD226" s="8">
        <v>1</v>
      </c>
      <c r="AE226" s="8">
        <v>258</v>
      </c>
      <c r="AF226">
        <f>(AA228/AA227)-AA226</f>
        <v>-6.0952533183476765E-3</v>
      </c>
    </row>
    <row r="227" spans="1:32" x14ac:dyDescent="0.45">
      <c r="A227" s="6" t="s">
        <v>42</v>
      </c>
      <c r="B227" s="7">
        <v>0.70676339075737993</v>
      </c>
      <c r="C227" s="7">
        <v>8.2311257529143506E-2</v>
      </c>
      <c r="D227" s="8">
        <v>0</v>
      </c>
      <c r="E227" s="8">
        <v>1</v>
      </c>
      <c r="F227" s="8">
        <v>34</v>
      </c>
      <c r="G227" s="7">
        <v>0.89745945595635757</v>
      </c>
      <c r="H227" s="7">
        <v>4.9322035621993304E-2</v>
      </c>
      <c r="I227" s="8">
        <v>0</v>
      </c>
      <c r="J227" s="8">
        <v>1</v>
      </c>
      <c r="K227" s="8">
        <v>42</v>
      </c>
      <c r="L227" s="7">
        <v>0.73410738154726995</v>
      </c>
      <c r="M227" s="7">
        <v>7.0289158801824597E-2</v>
      </c>
      <c r="N227" s="8">
        <v>0</v>
      </c>
      <c r="O227" s="8">
        <v>1</v>
      </c>
      <c r="P227" s="8">
        <v>42</v>
      </c>
      <c r="Q227" s="7">
        <v>0.87908303986713809</v>
      </c>
      <c r="R227" s="7">
        <v>5.2789569621478863E-2</v>
      </c>
      <c r="S227" s="8">
        <v>0</v>
      </c>
      <c r="T227" s="8">
        <v>1</v>
      </c>
      <c r="U227" s="8">
        <v>40</v>
      </c>
      <c r="V227" s="7">
        <v>0.56438823579629216</v>
      </c>
      <c r="W227" s="7">
        <v>7.0335671964889795E-2</v>
      </c>
      <c r="X227" s="8">
        <v>0</v>
      </c>
      <c r="Y227" s="8">
        <v>1</v>
      </c>
      <c r="Z227" s="8">
        <v>100</v>
      </c>
      <c r="AA227" s="13">
        <v>0.80480908326262457</v>
      </c>
      <c r="AB227" s="7">
        <v>3.4435137521316703E-2</v>
      </c>
      <c r="AC227" s="8">
        <v>0</v>
      </c>
      <c r="AD227" s="8">
        <v>1</v>
      </c>
      <c r="AE227" s="8">
        <v>258</v>
      </c>
      <c r="AF227">
        <f>(AA228/AA226)-AA227</f>
        <v>-2.2315600173505312E-2</v>
      </c>
    </row>
    <row r="228" spans="1:32" ht="26.25" x14ac:dyDescent="0.45">
      <c r="A228" s="6" t="s">
        <v>104</v>
      </c>
      <c r="B228" s="7">
        <v>0.13218692265680593</v>
      </c>
      <c r="C228" s="7">
        <v>6.009790649331171E-2</v>
      </c>
      <c r="D228" s="8">
        <v>0</v>
      </c>
      <c r="E228" s="8">
        <v>1</v>
      </c>
      <c r="F228" s="8">
        <v>34</v>
      </c>
      <c r="G228" s="7">
        <v>0.25011194194967334</v>
      </c>
      <c r="H228" s="7">
        <v>6.9157689093998317E-2</v>
      </c>
      <c r="I228" s="8">
        <v>0</v>
      </c>
      <c r="J228" s="8">
        <v>1</v>
      </c>
      <c r="K228" s="8">
        <v>42</v>
      </c>
      <c r="L228" s="7">
        <v>0.10078404519464203</v>
      </c>
      <c r="M228" s="7">
        <v>4.7776853333004313E-2</v>
      </c>
      <c r="N228" s="8">
        <v>0</v>
      </c>
      <c r="O228" s="8">
        <v>1</v>
      </c>
      <c r="P228" s="8">
        <v>42</v>
      </c>
      <c r="Q228" s="7">
        <v>0.23474805678986377</v>
      </c>
      <c r="R228" s="7">
        <v>6.8820740040652348E-2</v>
      </c>
      <c r="S228" s="8">
        <v>0</v>
      </c>
      <c r="T228" s="8">
        <v>1</v>
      </c>
      <c r="U228" s="8">
        <v>40</v>
      </c>
      <c r="V228" s="7">
        <v>3.3916494092853453E-2</v>
      </c>
      <c r="W228" s="7">
        <v>2.1378971991854272E-2</v>
      </c>
      <c r="X228" s="8">
        <v>0</v>
      </c>
      <c r="Y228" s="8">
        <v>1</v>
      </c>
      <c r="Z228" s="8">
        <v>100</v>
      </c>
      <c r="AA228" s="13">
        <v>0.17201122412323433</v>
      </c>
      <c r="AB228" s="7">
        <v>3.1842183570331591E-2</v>
      </c>
      <c r="AC228" s="8">
        <v>0</v>
      </c>
      <c r="AD228" s="8">
        <v>1</v>
      </c>
      <c r="AE228" s="8">
        <v>258</v>
      </c>
    </row>
    <row r="229" spans="1:32" x14ac:dyDescent="0.45">
      <c r="A229" s="6" t="s">
        <v>34</v>
      </c>
      <c r="B229" s="7">
        <v>0.19862121171774996</v>
      </c>
      <c r="C229" s="7">
        <v>7.0449908333518482E-2</v>
      </c>
      <c r="D229" s="8">
        <v>0</v>
      </c>
      <c r="E229" s="8">
        <v>1</v>
      </c>
      <c r="F229" s="8">
        <v>34</v>
      </c>
      <c r="G229" s="7">
        <v>0.27373543444507736</v>
      </c>
      <c r="H229" s="7">
        <v>7.1059953576424029E-2</v>
      </c>
      <c r="I229" s="8">
        <v>0</v>
      </c>
      <c r="J229" s="8">
        <v>1</v>
      </c>
      <c r="K229" s="8">
        <v>42</v>
      </c>
      <c r="L229" s="7">
        <v>0.16792280545098798</v>
      </c>
      <c r="M229" s="7">
        <v>5.8618243579727093E-2</v>
      </c>
      <c r="N229" s="8">
        <v>0</v>
      </c>
      <c r="O229" s="8">
        <v>1</v>
      </c>
      <c r="P229" s="8">
        <v>42</v>
      </c>
      <c r="Q229" s="7">
        <v>0.27853232036598929</v>
      </c>
      <c r="R229" s="7">
        <v>7.2602815976202259E-2</v>
      </c>
      <c r="S229" s="8">
        <v>0</v>
      </c>
      <c r="T229" s="8">
        <v>1</v>
      </c>
      <c r="U229" s="8">
        <v>40</v>
      </c>
      <c r="V229" s="7">
        <v>3.9845505914107161E-2</v>
      </c>
      <c r="W229" s="7">
        <v>2.1780217848510454E-2</v>
      </c>
      <c r="X229" s="8">
        <v>0</v>
      </c>
      <c r="Y229" s="8">
        <v>1</v>
      </c>
      <c r="Z229" s="8">
        <v>100</v>
      </c>
      <c r="AA229" s="13">
        <v>0.21982448140548122</v>
      </c>
      <c r="AB229" s="7">
        <v>3.5153365318010749E-2</v>
      </c>
      <c r="AC229" s="8">
        <v>0</v>
      </c>
      <c r="AD229" s="8">
        <v>1</v>
      </c>
      <c r="AE229" s="8">
        <v>258</v>
      </c>
      <c r="AF229">
        <f>(AA231/AA230)-AA229</f>
        <v>2.5038251477050494E-2</v>
      </c>
    </row>
    <row r="230" spans="1:32" x14ac:dyDescent="0.45">
      <c r="A230" s="6" t="s">
        <v>44</v>
      </c>
      <c r="B230" s="7">
        <v>0.26296232107028095</v>
      </c>
      <c r="C230" s="7">
        <v>8.0971230867118368E-2</v>
      </c>
      <c r="D230" s="8">
        <v>0</v>
      </c>
      <c r="E230" s="8">
        <v>1</v>
      </c>
      <c r="F230" s="8">
        <v>34</v>
      </c>
      <c r="G230" s="7">
        <v>0.35571464744938486</v>
      </c>
      <c r="H230" s="7">
        <v>7.5377725145722718E-2</v>
      </c>
      <c r="I230" s="8">
        <v>0</v>
      </c>
      <c r="J230" s="8">
        <v>1</v>
      </c>
      <c r="K230" s="8">
        <v>42</v>
      </c>
      <c r="L230" s="7">
        <v>0.32429932744398482</v>
      </c>
      <c r="M230" s="7">
        <v>7.5510042392919433E-2</v>
      </c>
      <c r="N230" s="8">
        <v>0</v>
      </c>
      <c r="O230" s="8">
        <v>1</v>
      </c>
      <c r="P230" s="8">
        <v>42</v>
      </c>
      <c r="Q230" s="7">
        <v>0.48486364033758289</v>
      </c>
      <c r="R230" s="7">
        <v>8.2351680282883519E-2</v>
      </c>
      <c r="S230" s="8">
        <v>0</v>
      </c>
      <c r="T230" s="8">
        <v>1</v>
      </c>
      <c r="U230" s="8">
        <v>40</v>
      </c>
      <c r="V230" s="7">
        <v>0.24605417111353658</v>
      </c>
      <c r="W230" s="7">
        <v>5.5580698511919616E-2</v>
      </c>
      <c r="X230" s="8">
        <v>0</v>
      </c>
      <c r="Y230" s="8">
        <v>1</v>
      </c>
      <c r="Z230" s="8">
        <v>100</v>
      </c>
      <c r="AA230" s="13">
        <v>0.36324676446651744</v>
      </c>
      <c r="AB230" s="7">
        <v>4.1670411595932391E-2</v>
      </c>
      <c r="AC230" s="8">
        <v>0</v>
      </c>
      <c r="AD230" s="8">
        <v>1</v>
      </c>
      <c r="AE230" s="8">
        <v>258</v>
      </c>
      <c r="AF230">
        <f>(AA231/AA229)-AA230</f>
        <v>4.1374208089958509E-2</v>
      </c>
    </row>
    <row r="231" spans="1:32" ht="26.25" x14ac:dyDescent="0.45">
      <c r="A231" s="6" t="s">
        <v>105</v>
      </c>
      <c r="B231" s="7">
        <v>2.3220275994504668E-2</v>
      </c>
      <c r="C231" s="7">
        <v>2.3407598160628439E-2</v>
      </c>
      <c r="D231" s="8">
        <v>0</v>
      </c>
      <c r="E231" s="8">
        <v>1</v>
      </c>
      <c r="F231" s="8">
        <v>34</v>
      </c>
      <c r="G231" s="7">
        <v>0.17468676464026398</v>
      </c>
      <c r="H231" s="7">
        <v>6.0669882069190682E-2</v>
      </c>
      <c r="I231" s="8">
        <v>0</v>
      </c>
      <c r="J231" s="8">
        <v>1</v>
      </c>
      <c r="K231" s="8">
        <v>42</v>
      </c>
      <c r="L231" s="7">
        <v>2.2400761520905949E-2</v>
      </c>
      <c r="M231" s="7">
        <v>2.2448272304873625E-2</v>
      </c>
      <c r="N231" s="8">
        <v>0</v>
      </c>
      <c r="O231" s="8">
        <v>1</v>
      </c>
      <c r="P231" s="8">
        <v>42</v>
      </c>
      <c r="Q231" s="7">
        <v>0.13020488169005762</v>
      </c>
      <c r="R231" s="7">
        <v>5.4481978902732708E-2</v>
      </c>
      <c r="S231" s="8">
        <v>0</v>
      </c>
      <c r="T231" s="8">
        <v>1</v>
      </c>
      <c r="U231" s="8">
        <v>40</v>
      </c>
      <c r="V231" s="7">
        <v>2.5385769560793081E-2</v>
      </c>
      <c r="W231" s="7">
        <v>2.0641869904138996E-2</v>
      </c>
      <c r="X231" s="8">
        <v>0</v>
      </c>
      <c r="Y231" s="8">
        <v>1</v>
      </c>
      <c r="Z231" s="8">
        <v>100</v>
      </c>
      <c r="AA231" s="13">
        <v>8.8945595458008772E-2</v>
      </c>
      <c r="AB231" s="7">
        <v>2.3307795350376265E-2</v>
      </c>
      <c r="AC231" s="8">
        <v>0</v>
      </c>
      <c r="AD231" s="8">
        <v>1</v>
      </c>
      <c r="AE231" s="8">
        <v>258</v>
      </c>
    </row>
    <row r="232" spans="1:32" x14ac:dyDescent="0.45">
      <c r="A232" s="6" t="s">
        <v>34</v>
      </c>
      <c r="B232" s="7">
        <v>0.19862121171774996</v>
      </c>
      <c r="C232" s="7">
        <v>7.0449908333518482E-2</v>
      </c>
      <c r="D232" s="8">
        <v>0</v>
      </c>
      <c r="E232" s="8">
        <v>1</v>
      </c>
      <c r="F232" s="8">
        <v>34</v>
      </c>
      <c r="G232" s="7">
        <v>0.27373543444507736</v>
      </c>
      <c r="H232" s="7">
        <v>7.1059953576424029E-2</v>
      </c>
      <c r="I232" s="8">
        <v>0</v>
      </c>
      <c r="J232" s="8">
        <v>1</v>
      </c>
      <c r="K232" s="8">
        <v>42</v>
      </c>
      <c r="L232" s="7">
        <v>0.16792280545098798</v>
      </c>
      <c r="M232" s="7">
        <v>5.8618243579727093E-2</v>
      </c>
      <c r="N232" s="8">
        <v>0</v>
      </c>
      <c r="O232" s="8">
        <v>1</v>
      </c>
      <c r="P232" s="8">
        <v>42</v>
      </c>
      <c r="Q232" s="7">
        <v>0.27853232036598929</v>
      </c>
      <c r="R232" s="7">
        <v>7.2602815976202259E-2</v>
      </c>
      <c r="S232" s="8">
        <v>0</v>
      </c>
      <c r="T232" s="8">
        <v>1</v>
      </c>
      <c r="U232" s="8">
        <v>40</v>
      </c>
      <c r="V232" s="7">
        <v>3.9845505914107161E-2</v>
      </c>
      <c r="W232" s="7">
        <v>2.1780217848510454E-2</v>
      </c>
      <c r="X232" s="8">
        <v>0</v>
      </c>
      <c r="Y232" s="8">
        <v>1</v>
      </c>
      <c r="Z232" s="8">
        <v>100</v>
      </c>
      <c r="AA232" s="13">
        <v>0.21982448140548122</v>
      </c>
      <c r="AB232" s="7">
        <v>3.5153365318010749E-2</v>
      </c>
      <c r="AC232" s="8">
        <v>0</v>
      </c>
      <c r="AD232" s="8">
        <v>1</v>
      </c>
      <c r="AE232" s="8">
        <v>258</v>
      </c>
      <c r="AF232">
        <f>(AA234/AA233)-AA232</f>
        <v>1.8357397150552512E-2</v>
      </c>
    </row>
    <row r="233" spans="1:32" ht="39.4" x14ac:dyDescent="0.45">
      <c r="A233" s="6" t="s">
        <v>16</v>
      </c>
      <c r="B233" s="7">
        <v>0.95226292316662886</v>
      </c>
      <c r="C233" s="7">
        <v>3.3757095360377097E-2</v>
      </c>
      <c r="D233" s="8">
        <v>0</v>
      </c>
      <c r="E233" s="8">
        <v>1</v>
      </c>
      <c r="F233" s="8">
        <v>34</v>
      </c>
      <c r="G233" s="7">
        <v>0.96979725445447418</v>
      </c>
      <c r="H233" s="7">
        <v>3.0016012175185333E-2</v>
      </c>
      <c r="I233" s="8">
        <v>0</v>
      </c>
      <c r="J233" s="8">
        <v>1</v>
      </c>
      <c r="K233" s="8">
        <v>42</v>
      </c>
      <c r="L233" s="7">
        <v>0.8651891068027362</v>
      </c>
      <c r="M233" s="7">
        <v>5.335387479096497E-2</v>
      </c>
      <c r="N233" s="8">
        <v>0</v>
      </c>
      <c r="O233" s="8">
        <v>1</v>
      </c>
      <c r="P233" s="8">
        <v>42</v>
      </c>
      <c r="Q233" s="7">
        <v>0.94904190046407078</v>
      </c>
      <c r="R233" s="7">
        <v>3.5591246809232757E-2</v>
      </c>
      <c r="S233" s="8">
        <v>0</v>
      </c>
      <c r="T233" s="8">
        <v>1</v>
      </c>
      <c r="U233" s="8">
        <v>40</v>
      </c>
      <c r="V233" s="7">
        <v>0.63213682862253961</v>
      </c>
      <c r="W233" s="7">
        <v>6.9040852741309167E-2</v>
      </c>
      <c r="X233" s="8">
        <v>0</v>
      </c>
      <c r="Y233" s="8">
        <v>1</v>
      </c>
      <c r="Z233" s="8">
        <v>100</v>
      </c>
      <c r="AA233" s="13">
        <v>0.91060279847159487</v>
      </c>
      <c r="AB233" s="7">
        <v>2.4747957456819576E-2</v>
      </c>
      <c r="AC233" s="8">
        <v>0</v>
      </c>
      <c r="AD233" s="8">
        <v>1</v>
      </c>
      <c r="AE233" s="8">
        <v>258</v>
      </c>
      <c r="AF233">
        <f>(AA234/AA232)-AA233</f>
        <v>7.6043837843125628E-2</v>
      </c>
    </row>
    <row r="234" spans="1:32" ht="26.25" x14ac:dyDescent="0.45">
      <c r="A234" s="6" t="s">
        <v>106</v>
      </c>
      <c r="B234" s="7">
        <v>0.1508841348843788</v>
      </c>
      <c r="C234" s="7">
        <v>6.4460743760861833E-2</v>
      </c>
      <c r="D234" s="8">
        <v>0</v>
      </c>
      <c r="E234" s="8">
        <v>1</v>
      </c>
      <c r="F234" s="8">
        <v>34</v>
      </c>
      <c r="G234" s="7">
        <v>0.27373543444507736</v>
      </c>
      <c r="H234" s="7">
        <v>7.1059953576424029E-2</v>
      </c>
      <c r="I234" s="8">
        <v>0</v>
      </c>
      <c r="J234" s="8">
        <v>1</v>
      </c>
      <c r="K234" s="8">
        <v>42</v>
      </c>
      <c r="L234" s="7">
        <v>0.16792280545098798</v>
      </c>
      <c r="M234" s="7">
        <v>5.8618243579727093E-2</v>
      </c>
      <c r="N234" s="8">
        <v>0</v>
      </c>
      <c r="O234" s="8">
        <v>1</v>
      </c>
      <c r="P234" s="8">
        <v>42</v>
      </c>
      <c r="Q234" s="7">
        <v>0.27853232036598929</v>
      </c>
      <c r="R234" s="7">
        <v>7.2602815976202259E-2</v>
      </c>
      <c r="S234" s="8">
        <v>0</v>
      </c>
      <c r="T234" s="8">
        <v>1</v>
      </c>
      <c r="U234" s="8">
        <v>40</v>
      </c>
      <c r="V234" s="7">
        <v>3.7453055224034838E-2</v>
      </c>
      <c r="W234" s="7">
        <v>2.1687461321267837E-2</v>
      </c>
      <c r="X234" s="8">
        <v>0</v>
      </c>
      <c r="Y234" s="8">
        <v>1</v>
      </c>
      <c r="Z234" s="8">
        <v>100</v>
      </c>
      <c r="AA234" s="13">
        <v>0.21688908515834587</v>
      </c>
      <c r="AB234" s="7">
        <v>3.5113339612715025E-2</v>
      </c>
      <c r="AC234" s="8">
        <v>0</v>
      </c>
      <c r="AD234" s="8">
        <v>1</v>
      </c>
      <c r="AE234" s="8">
        <v>258</v>
      </c>
    </row>
    <row r="235" spans="1:32" x14ac:dyDescent="0.45">
      <c r="A235" s="6" t="s">
        <v>34</v>
      </c>
      <c r="B235" s="7">
        <v>0.19862121171774996</v>
      </c>
      <c r="C235" s="7">
        <v>7.0449908333518482E-2</v>
      </c>
      <c r="D235" s="8">
        <v>0</v>
      </c>
      <c r="E235" s="8">
        <v>1</v>
      </c>
      <c r="F235" s="8">
        <v>34</v>
      </c>
      <c r="G235" s="7">
        <v>0.27373543444507736</v>
      </c>
      <c r="H235" s="7">
        <v>7.1059953576424029E-2</v>
      </c>
      <c r="I235" s="8">
        <v>0</v>
      </c>
      <c r="J235" s="8">
        <v>1</v>
      </c>
      <c r="K235" s="8">
        <v>42</v>
      </c>
      <c r="L235" s="7">
        <v>0.16792280545098798</v>
      </c>
      <c r="M235" s="7">
        <v>5.8618243579727093E-2</v>
      </c>
      <c r="N235" s="8">
        <v>0</v>
      </c>
      <c r="O235" s="8">
        <v>1</v>
      </c>
      <c r="P235" s="8">
        <v>42</v>
      </c>
      <c r="Q235" s="7">
        <v>0.27853232036598929</v>
      </c>
      <c r="R235" s="7">
        <v>7.2602815976202259E-2</v>
      </c>
      <c r="S235" s="8">
        <v>0</v>
      </c>
      <c r="T235" s="8">
        <v>1</v>
      </c>
      <c r="U235" s="8">
        <v>40</v>
      </c>
      <c r="V235" s="7">
        <v>3.9845505914107161E-2</v>
      </c>
      <c r="W235" s="7">
        <v>2.1780217848510454E-2</v>
      </c>
      <c r="X235" s="8">
        <v>0</v>
      </c>
      <c r="Y235" s="8">
        <v>1</v>
      </c>
      <c r="Z235" s="8">
        <v>100</v>
      </c>
      <c r="AA235" s="13">
        <v>0.21982448140548122</v>
      </c>
      <c r="AB235" s="7">
        <v>3.5153365318010749E-2</v>
      </c>
      <c r="AC235" s="8">
        <v>0</v>
      </c>
      <c r="AD235" s="8">
        <v>1</v>
      </c>
      <c r="AE235" s="8">
        <v>258</v>
      </c>
      <c r="AF235">
        <f>(AA237/AA236)-AA235</f>
        <v>1.7834892513289957E-2</v>
      </c>
    </row>
    <row r="236" spans="1:32" ht="39.4" x14ac:dyDescent="0.45">
      <c r="A236" s="6" t="s">
        <v>18</v>
      </c>
      <c r="B236" s="7">
        <v>0.95343656614872163</v>
      </c>
      <c r="C236" s="7">
        <v>3.2998861160736311E-2</v>
      </c>
      <c r="D236" s="8">
        <v>0</v>
      </c>
      <c r="E236" s="8">
        <v>1</v>
      </c>
      <c r="F236" s="8">
        <v>34</v>
      </c>
      <c r="G236" s="7">
        <v>0.96979725445447418</v>
      </c>
      <c r="H236" s="7">
        <v>3.0016012175185333E-2</v>
      </c>
      <c r="I236" s="8">
        <v>0</v>
      </c>
      <c r="J236" s="8">
        <v>1</v>
      </c>
      <c r="K236" s="8">
        <v>42</v>
      </c>
      <c r="L236" s="7">
        <v>0.8699809970787199</v>
      </c>
      <c r="M236" s="7">
        <v>5.4941364171145674E-2</v>
      </c>
      <c r="N236" s="8">
        <v>0</v>
      </c>
      <c r="O236" s="8">
        <v>1</v>
      </c>
      <c r="P236" s="8">
        <v>42</v>
      </c>
      <c r="Q236" s="7">
        <v>0.9749682228588612</v>
      </c>
      <c r="R236" s="7">
        <v>2.5049499255806983E-2</v>
      </c>
      <c r="S236" s="8">
        <v>0</v>
      </c>
      <c r="T236" s="8">
        <v>1</v>
      </c>
      <c r="U236" s="8">
        <v>40</v>
      </c>
      <c r="V236" s="7">
        <v>0.63023599596706159</v>
      </c>
      <c r="W236" s="7">
        <v>6.9774465060460464E-2</v>
      </c>
      <c r="X236" s="8">
        <v>0</v>
      </c>
      <c r="Y236" s="8">
        <v>1</v>
      </c>
      <c r="Z236" s="8">
        <v>100</v>
      </c>
      <c r="AA236" s="13">
        <v>0.91845222109286739</v>
      </c>
      <c r="AB236" s="7">
        <v>2.4806962700400701E-2</v>
      </c>
      <c r="AC236" s="8">
        <v>0</v>
      </c>
      <c r="AD236" s="8">
        <v>1</v>
      </c>
      <c r="AE236" s="8">
        <v>258</v>
      </c>
      <c r="AF236">
        <f>(AA237/AA235)-AA236</f>
        <v>7.4516252862522503E-2</v>
      </c>
    </row>
    <row r="237" spans="1:32" ht="26.25" x14ac:dyDescent="0.45">
      <c r="A237" s="6" t="s">
        <v>107</v>
      </c>
      <c r="B237" s="7">
        <v>0.17410441087888343</v>
      </c>
      <c r="C237" s="7">
        <v>6.7428798945978016E-2</v>
      </c>
      <c r="D237" s="8">
        <v>0</v>
      </c>
      <c r="E237" s="8">
        <v>1</v>
      </c>
      <c r="F237" s="8">
        <v>34</v>
      </c>
      <c r="G237" s="7">
        <v>0.27373543444507736</v>
      </c>
      <c r="H237" s="7">
        <v>7.1059953576424029E-2</v>
      </c>
      <c r="I237" s="8">
        <v>0</v>
      </c>
      <c r="J237" s="8">
        <v>1</v>
      </c>
      <c r="K237" s="8">
        <v>42</v>
      </c>
      <c r="L237" s="7">
        <v>0.16792280545098798</v>
      </c>
      <c r="M237" s="7">
        <v>5.8618243579727093E-2</v>
      </c>
      <c r="N237" s="8">
        <v>0</v>
      </c>
      <c r="O237" s="8">
        <v>1</v>
      </c>
      <c r="P237" s="8">
        <v>42</v>
      </c>
      <c r="Q237" s="7">
        <v>0.27853232036598929</v>
      </c>
      <c r="R237" s="7">
        <v>7.2602815976202259E-2</v>
      </c>
      <c r="S237" s="8">
        <v>0</v>
      </c>
      <c r="T237" s="8">
        <v>1</v>
      </c>
      <c r="U237" s="8">
        <v>40</v>
      </c>
      <c r="V237" s="7">
        <v>3.7453055224034838E-2</v>
      </c>
      <c r="W237" s="7">
        <v>2.1687461321267837E-2</v>
      </c>
      <c r="X237" s="8">
        <v>0</v>
      </c>
      <c r="Y237" s="8">
        <v>1</v>
      </c>
      <c r="Z237" s="8">
        <v>100</v>
      </c>
      <c r="AA237" s="13">
        <v>0.21827877983923566</v>
      </c>
      <c r="AB237" s="7">
        <v>3.5132119627444537E-2</v>
      </c>
      <c r="AC237" s="8">
        <v>0</v>
      </c>
      <c r="AD237" s="8">
        <v>1</v>
      </c>
      <c r="AE237" s="8">
        <v>258</v>
      </c>
    </row>
    <row r="238" spans="1:32" x14ac:dyDescent="0.45">
      <c r="A238" s="6" t="s">
        <v>34</v>
      </c>
      <c r="B238" s="7">
        <v>0.19862121171774996</v>
      </c>
      <c r="C238" s="7">
        <v>7.0449908333518482E-2</v>
      </c>
      <c r="D238" s="8">
        <v>0</v>
      </c>
      <c r="E238" s="8">
        <v>1</v>
      </c>
      <c r="F238" s="8">
        <v>34</v>
      </c>
      <c r="G238" s="7">
        <v>0.27373543444507736</v>
      </c>
      <c r="H238" s="7">
        <v>7.1059953576424029E-2</v>
      </c>
      <c r="I238" s="8">
        <v>0</v>
      </c>
      <c r="J238" s="8">
        <v>1</v>
      </c>
      <c r="K238" s="8">
        <v>42</v>
      </c>
      <c r="L238" s="7">
        <v>0.16792280545098798</v>
      </c>
      <c r="M238" s="7">
        <v>5.8618243579727093E-2</v>
      </c>
      <c r="N238" s="8">
        <v>0</v>
      </c>
      <c r="O238" s="8">
        <v>1</v>
      </c>
      <c r="P238" s="8">
        <v>42</v>
      </c>
      <c r="Q238" s="7">
        <v>0.27853232036598929</v>
      </c>
      <c r="R238" s="7">
        <v>7.2602815976202259E-2</v>
      </c>
      <c r="S238" s="8">
        <v>0</v>
      </c>
      <c r="T238" s="8">
        <v>1</v>
      </c>
      <c r="U238" s="8">
        <v>40</v>
      </c>
      <c r="V238" s="7">
        <v>3.9845505914107161E-2</v>
      </c>
      <c r="W238" s="7">
        <v>2.1780217848510454E-2</v>
      </c>
      <c r="X238" s="8">
        <v>0</v>
      </c>
      <c r="Y238" s="8">
        <v>1</v>
      </c>
      <c r="Z238" s="8">
        <v>100</v>
      </c>
      <c r="AA238" s="13">
        <v>0.21982448140548122</v>
      </c>
      <c r="AB238" s="7">
        <v>3.5153365318010749E-2</v>
      </c>
      <c r="AC238" s="8">
        <v>0</v>
      </c>
      <c r="AD238" s="8">
        <v>1</v>
      </c>
      <c r="AE238" s="8">
        <v>258</v>
      </c>
      <c r="AF238">
        <f>(AA240/AA239)-AA238</f>
        <v>3.0242860016333639E-2</v>
      </c>
    </row>
    <row r="239" spans="1:32" ht="39.4" x14ac:dyDescent="0.45">
      <c r="A239" s="6" t="s">
        <v>20</v>
      </c>
      <c r="B239" s="7">
        <v>0.90678716876013998</v>
      </c>
      <c r="C239" s="7">
        <v>4.9177473357267902E-2</v>
      </c>
      <c r="D239" s="8">
        <v>0</v>
      </c>
      <c r="E239" s="8">
        <v>1</v>
      </c>
      <c r="F239" s="8">
        <v>34</v>
      </c>
      <c r="G239" s="7">
        <v>0.89891076629469935</v>
      </c>
      <c r="H239" s="7">
        <v>4.8893744591203998E-2</v>
      </c>
      <c r="I239" s="8">
        <v>0</v>
      </c>
      <c r="J239" s="8">
        <v>1</v>
      </c>
      <c r="K239" s="8">
        <v>42</v>
      </c>
      <c r="L239" s="7">
        <v>0.83274552255977152</v>
      </c>
      <c r="M239" s="7">
        <v>5.9834974582738454E-2</v>
      </c>
      <c r="N239" s="8">
        <v>0</v>
      </c>
      <c r="O239" s="8">
        <v>1</v>
      </c>
      <c r="P239" s="8">
        <v>42</v>
      </c>
      <c r="Q239" s="7">
        <v>0.94871856326789294</v>
      </c>
      <c r="R239" s="7">
        <v>3.5809222533905935E-2</v>
      </c>
      <c r="S239" s="8">
        <v>0</v>
      </c>
      <c r="T239" s="8">
        <v>1</v>
      </c>
      <c r="U239" s="8">
        <v>40</v>
      </c>
      <c r="V239" s="7">
        <v>0.46705017304122987</v>
      </c>
      <c r="W239" s="7">
        <v>6.8874379217115159E-2</v>
      </c>
      <c r="X239" s="8">
        <v>0</v>
      </c>
      <c r="Y239" s="8">
        <v>1</v>
      </c>
      <c r="Z239" s="8">
        <v>100</v>
      </c>
      <c r="AA239" s="13">
        <v>0.86977609404131639</v>
      </c>
      <c r="AB239" s="7">
        <v>2.9171246830362617E-2</v>
      </c>
      <c r="AC239" s="8">
        <v>0</v>
      </c>
      <c r="AD239" s="8">
        <v>1</v>
      </c>
      <c r="AE239" s="8">
        <v>258</v>
      </c>
      <c r="AF239">
        <f>(AA240/AA238)-AA239</f>
        <v>0.11966145212518209</v>
      </c>
    </row>
    <row r="240" spans="1:32" ht="26.25" x14ac:dyDescent="0.45">
      <c r="A240" s="6" t="s">
        <v>108</v>
      </c>
      <c r="B240" s="7">
        <v>0.16419940184432161</v>
      </c>
      <c r="C240" s="7">
        <v>6.6878853946608363E-2</v>
      </c>
      <c r="D240" s="8">
        <v>0</v>
      </c>
      <c r="E240" s="8">
        <v>1</v>
      </c>
      <c r="F240" s="8">
        <v>34</v>
      </c>
      <c r="G240" s="7">
        <v>0.27373543444507736</v>
      </c>
      <c r="H240" s="7">
        <v>7.1059953576424029E-2</v>
      </c>
      <c r="I240" s="8">
        <v>0</v>
      </c>
      <c r="J240" s="8">
        <v>1</v>
      </c>
      <c r="K240" s="8">
        <v>42</v>
      </c>
      <c r="L240" s="7">
        <v>0.16792280545098798</v>
      </c>
      <c r="M240" s="7">
        <v>5.8618243579727093E-2</v>
      </c>
      <c r="N240" s="8">
        <v>0</v>
      </c>
      <c r="O240" s="8">
        <v>1</v>
      </c>
      <c r="P240" s="8">
        <v>42</v>
      </c>
      <c r="Q240" s="7">
        <v>0.27853232036598929</v>
      </c>
      <c r="R240" s="7">
        <v>7.2602815976202259E-2</v>
      </c>
      <c r="S240" s="8">
        <v>0</v>
      </c>
      <c r="T240" s="8">
        <v>1</v>
      </c>
      <c r="U240" s="8">
        <v>40</v>
      </c>
      <c r="V240" s="7">
        <v>3.1857711690686824E-2</v>
      </c>
      <c r="W240" s="7">
        <v>2.1156854873506766E-2</v>
      </c>
      <c r="X240" s="8">
        <v>0</v>
      </c>
      <c r="Y240" s="8">
        <v>1</v>
      </c>
      <c r="Z240" s="8">
        <v>100</v>
      </c>
      <c r="AA240" s="13">
        <v>0.21750259546916242</v>
      </c>
      <c r="AB240" s="7">
        <v>3.5127282881265098E-2</v>
      </c>
      <c r="AC240" s="8">
        <v>0</v>
      </c>
      <c r="AD240" s="8">
        <v>1</v>
      </c>
      <c r="AE240" s="8">
        <v>258</v>
      </c>
    </row>
    <row r="241" spans="1:32" x14ac:dyDescent="0.45">
      <c r="A241" s="6" t="s">
        <v>34</v>
      </c>
      <c r="B241" s="7">
        <v>0.19862121171774996</v>
      </c>
      <c r="C241" s="7">
        <v>7.0449908333518482E-2</v>
      </c>
      <c r="D241" s="8">
        <v>0</v>
      </c>
      <c r="E241" s="8">
        <v>1</v>
      </c>
      <c r="F241" s="8">
        <v>34</v>
      </c>
      <c r="G241" s="7">
        <v>0.27373543444507736</v>
      </c>
      <c r="H241" s="7">
        <v>7.1059953576424029E-2</v>
      </c>
      <c r="I241" s="8">
        <v>0</v>
      </c>
      <c r="J241" s="8">
        <v>1</v>
      </c>
      <c r="K241" s="8">
        <v>42</v>
      </c>
      <c r="L241" s="7">
        <v>0.16792280545098798</v>
      </c>
      <c r="M241" s="7">
        <v>5.8618243579727093E-2</v>
      </c>
      <c r="N241" s="8">
        <v>0</v>
      </c>
      <c r="O241" s="8">
        <v>1</v>
      </c>
      <c r="P241" s="8">
        <v>42</v>
      </c>
      <c r="Q241" s="7">
        <v>0.27853232036598929</v>
      </c>
      <c r="R241" s="7">
        <v>7.2602815976202259E-2</v>
      </c>
      <c r="S241" s="8">
        <v>0</v>
      </c>
      <c r="T241" s="8">
        <v>1</v>
      </c>
      <c r="U241" s="8">
        <v>40</v>
      </c>
      <c r="V241" s="7">
        <v>3.9845505914107161E-2</v>
      </c>
      <c r="W241" s="7">
        <v>2.1780217848510454E-2</v>
      </c>
      <c r="X241" s="8">
        <v>0</v>
      </c>
      <c r="Y241" s="8">
        <v>1</v>
      </c>
      <c r="Z241" s="8">
        <v>100</v>
      </c>
      <c r="AA241" s="13">
        <v>0.21982448140548122</v>
      </c>
      <c r="AB241" s="7">
        <v>3.5153365318010749E-2</v>
      </c>
      <c r="AC241" s="8">
        <v>0</v>
      </c>
      <c r="AD241" s="8">
        <v>1</v>
      </c>
      <c r="AE241" s="8">
        <v>258</v>
      </c>
      <c r="AF241">
        <f>(AA243/AA242)-AA241</f>
        <v>1.3576842064442485E-3</v>
      </c>
    </row>
    <row r="242" spans="1:32" ht="26.25" x14ac:dyDescent="0.45">
      <c r="A242" s="6" t="s">
        <v>22</v>
      </c>
      <c r="B242" s="7">
        <v>0.84952162550522947</v>
      </c>
      <c r="C242" s="7">
        <v>6.1545774275045921E-2</v>
      </c>
      <c r="D242" s="8">
        <v>0</v>
      </c>
      <c r="E242" s="8">
        <v>1</v>
      </c>
      <c r="F242" s="8">
        <v>34</v>
      </c>
      <c r="G242" s="7">
        <v>0.96979725445447418</v>
      </c>
      <c r="H242" s="7">
        <v>3.0016012175185333E-2</v>
      </c>
      <c r="I242" s="8">
        <v>0</v>
      </c>
      <c r="J242" s="8">
        <v>1</v>
      </c>
      <c r="K242" s="8">
        <v>42</v>
      </c>
      <c r="L242" s="7">
        <v>0.8581968674576721</v>
      </c>
      <c r="M242" s="7">
        <v>5.4732643111864598E-2</v>
      </c>
      <c r="N242" s="8">
        <v>0</v>
      </c>
      <c r="O242" s="8">
        <v>1</v>
      </c>
      <c r="P242" s="8">
        <v>42</v>
      </c>
      <c r="Q242" s="7">
        <v>0.9749682228588612</v>
      </c>
      <c r="R242" s="7">
        <v>2.5049499255806983E-2</v>
      </c>
      <c r="S242" s="8">
        <v>0</v>
      </c>
      <c r="T242" s="8">
        <v>1</v>
      </c>
      <c r="U242" s="8">
        <v>40</v>
      </c>
      <c r="V242" s="7">
        <v>0.65979065777482815</v>
      </c>
      <c r="W242" s="7">
        <v>6.9173406705135554E-2</v>
      </c>
      <c r="X242" s="8">
        <v>0</v>
      </c>
      <c r="Y242" s="8">
        <v>1</v>
      </c>
      <c r="Z242" s="8">
        <v>100</v>
      </c>
      <c r="AA242" s="13">
        <v>0.90843054717269422</v>
      </c>
      <c r="AB242" s="7">
        <v>2.4885705943311916E-2</v>
      </c>
      <c r="AC242" s="8">
        <v>0</v>
      </c>
      <c r="AD242" s="8">
        <v>1</v>
      </c>
      <c r="AE242" s="8">
        <v>258</v>
      </c>
      <c r="AF242">
        <f>(AA243/AA241)-AA242</f>
        <v>5.6106662854937817E-3</v>
      </c>
    </row>
    <row r="243" spans="1:32" ht="26.25" x14ac:dyDescent="0.45">
      <c r="A243" s="6" t="s">
        <v>109</v>
      </c>
      <c r="B243" s="7">
        <v>0.17410441087888343</v>
      </c>
      <c r="C243" s="7">
        <v>6.7428798945978016E-2</v>
      </c>
      <c r="D243" s="8">
        <v>0</v>
      </c>
      <c r="E243" s="8">
        <v>1</v>
      </c>
      <c r="F243" s="8">
        <v>34</v>
      </c>
      <c r="G243" s="7">
        <v>0.27373543444507736</v>
      </c>
      <c r="H243" s="7">
        <v>7.1059953576424029E-2</v>
      </c>
      <c r="I243" s="8">
        <v>0</v>
      </c>
      <c r="J243" s="8">
        <v>1</v>
      </c>
      <c r="K243" s="8">
        <v>42</v>
      </c>
      <c r="L243" s="7">
        <v>0.12535677525011113</v>
      </c>
      <c r="M243" s="7">
        <v>5.2581237252121119E-2</v>
      </c>
      <c r="N243" s="8">
        <v>0</v>
      </c>
      <c r="O243" s="8">
        <v>1</v>
      </c>
      <c r="P243" s="8">
        <v>42</v>
      </c>
      <c r="Q243" s="7">
        <v>0.27853232036598929</v>
      </c>
      <c r="R243" s="7">
        <v>7.2602815976202259E-2</v>
      </c>
      <c r="S243" s="8">
        <v>0</v>
      </c>
      <c r="T243" s="8">
        <v>1</v>
      </c>
      <c r="U243" s="8">
        <v>40</v>
      </c>
      <c r="V243" s="7">
        <v>3.3916494092853453E-2</v>
      </c>
      <c r="W243" s="7">
        <v>2.1378971991854272E-2</v>
      </c>
      <c r="X243" s="8">
        <v>0</v>
      </c>
      <c r="Y243" s="8">
        <v>1</v>
      </c>
      <c r="Z243" s="8">
        <v>100</v>
      </c>
      <c r="AA243" s="13">
        <v>0.20092863573168293</v>
      </c>
      <c r="AB243" s="7">
        <v>3.3825431370609595E-2</v>
      </c>
      <c r="AC243" s="8">
        <v>0</v>
      </c>
      <c r="AD243" s="8">
        <v>1</v>
      </c>
      <c r="AE243" s="8">
        <v>258</v>
      </c>
    </row>
    <row r="244" spans="1:32" x14ac:dyDescent="0.45">
      <c r="A244" s="6" t="s">
        <v>34</v>
      </c>
      <c r="B244" s="7">
        <v>0.19862121171774996</v>
      </c>
      <c r="C244" s="7">
        <v>7.0449908333518482E-2</v>
      </c>
      <c r="D244" s="8">
        <v>0</v>
      </c>
      <c r="E244" s="8">
        <v>1</v>
      </c>
      <c r="F244" s="8">
        <v>34</v>
      </c>
      <c r="G244" s="7">
        <v>0.27373543444507736</v>
      </c>
      <c r="H244" s="7">
        <v>7.1059953576424029E-2</v>
      </c>
      <c r="I244" s="8">
        <v>0</v>
      </c>
      <c r="J244" s="8">
        <v>1</v>
      </c>
      <c r="K244" s="8">
        <v>42</v>
      </c>
      <c r="L244" s="7">
        <v>0.16792280545098798</v>
      </c>
      <c r="M244" s="7">
        <v>5.8618243579727093E-2</v>
      </c>
      <c r="N244" s="8">
        <v>0</v>
      </c>
      <c r="O244" s="8">
        <v>1</v>
      </c>
      <c r="P244" s="8">
        <v>42</v>
      </c>
      <c r="Q244" s="7">
        <v>0.27853232036598929</v>
      </c>
      <c r="R244" s="7">
        <v>7.2602815976202259E-2</v>
      </c>
      <c r="S244" s="8">
        <v>0</v>
      </c>
      <c r="T244" s="8">
        <v>1</v>
      </c>
      <c r="U244" s="8">
        <v>40</v>
      </c>
      <c r="V244" s="7">
        <v>3.9845505914107161E-2</v>
      </c>
      <c r="W244" s="7">
        <v>2.1780217848510454E-2</v>
      </c>
      <c r="X244" s="8">
        <v>0</v>
      </c>
      <c r="Y244" s="8">
        <v>1</v>
      </c>
      <c r="Z244" s="8">
        <v>100</v>
      </c>
      <c r="AA244" s="13">
        <v>0.21982448140548122</v>
      </c>
      <c r="AB244" s="7">
        <v>3.5153365318010749E-2</v>
      </c>
      <c r="AC244" s="8">
        <v>0</v>
      </c>
      <c r="AD244" s="8">
        <v>1</v>
      </c>
      <c r="AE244" s="8">
        <v>258</v>
      </c>
      <c r="AF244">
        <f>(AA246/AA245)-AA244</f>
        <v>-4.9060473006318217E-5</v>
      </c>
    </row>
    <row r="245" spans="1:32" ht="26.25" x14ac:dyDescent="0.45">
      <c r="A245" s="6" t="s">
        <v>24</v>
      </c>
      <c r="B245" s="7">
        <v>0.59113064078982813</v>
      </c>
      <c r="C245" s="7">
        <v>8.9609791547363538E-2</v>
      </c>
      <c r="D245" s="8">
        <v>0</v>
      </c>
      <c r="E245" s="8">
        <v>1</v>
      </c>
      <c r="F245" s="8">
        <v>34</v>
      </c>
      <c r="G245" s="7">
        <v>0.71909384928754405</v>
      </c>
      <c r="H245" s="7">
        <v>7.2403474018022274E-2</v>
      </c>
      <c r="I245" s="8">
        <v>0</v>
      </c>
      <c r="J245" s="8">
        <v>1</v>
      </c>
      <c r="K245" s="8">
        <v>42</v>
      </c>
      <c r="L245" s="7">
        <v>0.68288377049228632</v>
      </c>
      <c r="M245" s="7">
        <v>7.4547087275515955E-2</v>
      </c>
      <c r="N245" s="8">
        <v>0</v>
      </c>
      <c r="O245" s="8">
        <v>1</v>
      </c>
      <c r="P245" s="8">
        <v>42</v>
      </c>
      <c r="Q245" s="7">
        <v>0.9233668457535289</v>
      </c>
      <c r="R245" s="7">
        <v>4.3202567197263397E-2</v>
      </c>
      <c r="S245" s="8">
        <v>0</v>
      </c>
      <c r="T245" s="8">
        <v>1</v>
      </c>
      <c r="U245" s="8">
        <v>40</v>
      </c>
      <c r="V245" s="7">
        <v>0.63320079073355351</v>
      </c>
      <c r="W245" s="7">
        <v>6.9028775174729731E-2</v>
      </c>
      <c r="X245" s="8">
        <v>0</v>
      </c>
      <c r="Y245" s="8">
        <v>1</v>
      </c>
      <c r="Z245" s="8">
        <v>100</v>
      </c>
      <c r="AA245" s="13">
        <v>0.74045598075499264</v>
      </c>
      <c r="AB245" s="7">
        <v>3.837948723925233E-2</v>
      </c>
      <c r="AC245" s="8">
        <v>0</v>
      </c>
      <c r="AD245" s="8">
        <v>1</v>
      </c>
      <c r="AE245" s="8">
        <v>258</v>
      </c>
      <c r="AF245">
        <f>(AA246/AA244)-AA245</f>
        <v>-1.6525511819220906E-4</v>
      </c>
    </row>
    <row r="246" spans="1:32" ht="26.25" x14ac:dyDescent="0.45">
      <c r="A246" s="6" t="s">
        <v>110</v>
      </c>
      <c r="B246" s="7">
        <v>0.10090756665949795</v>
      </c>
      <c r="C246" s="7">
        <v>4.9537122287339801E-2</v>
      </c>
      <c r="D246" s="8">
        <v>0</v>
      </c>
      <c r="E246" s="8">
        <v>1</v>
      </c>
      <c r="F246" s="8">
        <v>34</v>
      </c>
      <c r="G246" s="7">
        <v>0.22325647764524686</v>
      </c>
      <c r="H246" s="7">
        <v>6.6343790174843487E-2</v>
      </c>
      <c r="I246" s="8">
        <v>0</v>
      </c>
      <c r="J246" s="8">
        <v>1</v>
      </c>
      <c r="K246" s="8">
        <v>42</v>
      </c>
      <c r="L246" s="7">
        <v>7.6111646888051582E-2</v>
      </c>
      <c r="M246" s="7">
        <v>4.2973147719213407E-2</v>
      </c>
      <c r="N246" s="8">
        <v>0</v>
      </c>
      <c r="O246" s="8">
        <v>1</v>
      </c>
      <c r="P246" s="8">
        <v>42</v>
      </c>
      <c r="Q246" s="7">
        <v>0.27853232036598929</v>
      </c>
      <c r="R246" s="7">
        <v>7.2602815976202259E-2</v>
      </c>
      <c r="S246" s="8">
        <v>0</v>
      </c>
      <c r="T246" s="8">
        <v>1</v>
      </c>
      <c r="U246" s="8">
        <v>40</v>
      </c>
      <c r="V246" s="7">
        <v>3.3916494092853453E-2</v>
      </c>
      <c r="W246" s="7">
        <v>2.1378971991854272E-2</v>
      </c>
      <c r="X246" s="8">
        <v>0</v>
      </c>
      <c r="Y246" s="8">
        <v>1</v>
      </c>
      <c r="Z246" s="8">
        <v>100</v>
      </c>
      <c r="AA246" s="13">
        <v>0.16273402485239705</v>
      </c>
      <c r="AB246" s="7">
        <v>3.0840046182475888E-2</v>
      </c>
      <c r="AC246" s="8">
        <v>0</v>
      </c>
      <c r="AD246" s="8">
        <v>1</v>
      </c>
      <c r="AE246" s="8">
        <v>258</v>
      </c>
    </row>
    <row r="247" spans="1:32" x14ac:dyDescent="0.45">
      <c r="A247" s="6" t="s">
        <v>36</v>
      </c>
      <c r="B247" s="7">
        <v>0.76064468833586119</v>
      </c>
      <c r="C247" s="7">
        <v>7.7815769808775942E-2</v>
      </c>
      <c r="D247" s="8">
        <v>0</v>
      </c>
      <c r="E247" s="8">
        <v>1</v>
      </c>
      <c r="F247" s="8">
        <v>34</v>
      </c>
      <c r="G247" s="7">
        <v>0.47021854293445042</v>
      </c>
      <c r="H247" s="7">
        <v>7.9243117363754292E-2</v>
      </c>
      <c r="I247" s="8">
        <v>0</v>
      </c>
      <c r="J247" s="8">
        <v>1</v>
      </c>
      <c r="K247" s="8">
        <v>42</v>
      </c>
      <c r="L247" s="7">
        <v>0.2445206682606792</v>
      </c>
      <c r="M247" s="7">
        <v>6.7154542896761538E-2</v>
      </c>
      <c r="N247" s="8">
        <v>0</v>
      </c>
      <c r="O247" s="8">
        <v>1</v>
      </c>
      <c r="P247" s="8">
        <v>42</v>
      </c>
      <c r="Q247" s="7">
        <v>0.35160809189742964</v>
      </c>
      <c r="R247" s="7">
        <v>7.902438279457083E-2</v>
      </c>
      <c r="S247" s="8">
        <v>0</v>
      </c>
      <c r="T247" s="8">
        <v>1</v>
      </c>
      <c r="U247" s="8">
        <v>40</v>
      </c>
      <c r="V247" s="7">
        <v>0.42925514319553509</v>
      </c>
      <c r="W247" s="7">
        <v>6.917480911456024E-2</v>
      </c>
      <c r="X247" s="8">
        <v>0</v>
      </c>
      <c r="Y247" s="8">
        <v>1</v>
      </c>
      <c r="Z247" s="8">
        <v>100</v>
      </c>
      <c r="AA247" s="13">
        <v>0.36787839094902408</v>
      </c>
      <c r="AB247" s="7">
        <v>4.0690017630809268E-2</v>
      </c>
      <c r="AC247" s="8">
        <v>0</v>
      </c>
      <c r="AD247" s="8">
        <v>1</v>
      </c>
      <c r="AE247" s="8">
        <v>258</v>
      </c>
      <c r="AF247">
        <f>(AA249/AA248)-AA247</f>
        <v>3.0977633365637636E-2</v>
      </c>
    </row>
    <row r="248" spans="1:32" ht="26.25" x14ac:dyDescent="0.45">
      <c r="A248" s="6" t="s">
        <v>38</v>
      </c>
      <c r="B248" s="7">
        <v>0.84000868272823959</v>
      </c>
      <c r="C248" s="7">
        <v>6.5933157962881336E-2</v>
      </c>
      <c r="D248" s="8">
        <v>0</v>
      </c>
      <c r="E248" s="8">
        <v>1</v>
      </c>
      <c r="F248" s="8">
        <v>34</v>
      </c>
      <c r="G248" s="7">
        <v>0.8757010716140059</v>
      </c>
      <c r="H248" s="7">
        <v>5.3035240634634946E-2</v>
      </c>
      <c r="I248" s="8">
        <v>0</v>
      </c>
      <c r="J248" s="8">
        <v>1</v>
      </c>
      <c r="K248" s="8">
        <v>42</v>
      </c>
      <c r="L248" s="7">
        <v>0.71102549516240099</v>
      </c>
      <c r="M248" s="7">
        <v>7.24518160292143E-2</v>
      </c>
      <c r="N248" s="8">
        <v>0</v>
      </c>
      <c r="O248" s="8">
        <v>1</v>
      </c>
      <c r="P248" s="8">
        <v>42</v>
      </c>
      <c r="Q248" s="7">
        <v>0.76619872916446996</v>
      </c>
      <c r="R248" s="7">
        <v>6.9319636379783084E-2</v>
      </c>
      <c r="S248" s="8">
        <v>0</v>
      </c>
      <c r="T248" s="8">
        <v>1</v>
      </c>
      <c r="U248" s="8">
        <v>40</v>
      </c>
      <c r="V248" s="7">
        <v>0.38621991000499384</v>
      </c>
      <c r="W248" s="7">
        <v>6.6639473541989111E-2</v>
      </c>
      <c r="X248" s="8">
        <v>0</v>
      </c>
      <c r="Y248" s="8">
        <v>1</v>
      </c>
      <c r="Z248" s="8">
        <v>100</v>
      </c>
      <c r="AA248" s="13">
        <v>0.7659232322798829</v>
      </c>
      <c r="AB248" s="7">
        <v>3.6756971234523643E-2</v>
      </c>
      <c r="AC248" s="8">
        <v>0</v>
      </c>
      <c r="AD248" s="8">
        <v>1</v>
      </c>
      <c r="AE248" s="8">
        <v>258</v>
      </c>
      <c r="AF248">
        <f>(AA249/AA247)-AA248</f>
        <v>6.449546822954888E-2</v>
      </c>
    </row>
    <row r="249" spans="1:32" ht="26.25" x14ac:dyDescent="0.45">
      <c r="A249" s="6" t="s">
        <v>111</v>
      </c>
      <c r="B249" s="7">
        <v>0.64730276845268242</v>
      </c>
      <c r="C249" s="7">
        <v>8.7159243483336243E-2</v>
      </c>
      <c r="D249" s="8">
        <v>0</v>
      </c>
      <c r="E249" s="8">
        <v>1</v>
      </c>
      <c r="F249" s="8">
        <v>34</v>
      </c>
      <c r="G249" s="7">
        <v>0.44700884825375697</v>
      </c>
      <c r="H249" s="7">
        <v>7.9015477430289277E-2</v>
      </c>
      <c r="I249" s="8">
        <v>0</v>
      </c>
      <c r="J249" s="8">
        <v>1</v>
      </c>
      <c r="K249" s="8">
        <v>42</v>
      </c>
      <c r="L249" s="7">
        <v>0.19650598951841372</v>
      </c>
      <c r="M249" s="7">
        <v>6.166594158882318E-2</v>
      </c>
      <c r="N249" s="8">
        <v>0</v>
      </c>
      <c r="O249" s="8">
        <v>1</v>
      </c>
      <c r="P249" s="8">
        <v>42</v>
      </c>
      <c r="Q249" s="7">
        <v>0.2728921622168583</v>
      </c>
      <c r="R249" s="7">
        <v>7.404730760680571E-2</v>
      </c>
      <c r="S249" s="8">
        <v>0</v>
      </c>
      <c r="T249" s="8">
        <v>1</v>
      </c>
      <c r="U249" s="8">
        <v>40</v>
      </c>
      <c r="V249" s="7">
        <v>6.7249837647207641E-2</v>
      </c>
      <c r="W249" s="7">
        <v>2.5374599058167691E-2</v>
      </c>
      <c r="X249" s="8">
        <v>0</v>
      </c>
      <c r="Y249" s="8">
        <v>1</v>
      </c>
      <c r="Z249" s="8">
        <v>100</v>
      </c>
      <c r="AA249" s="13">
        <v>0.30549309535738928</v>
      </c>
      <c r="AB249" s="7">
        <v>3.875084942680259E-2</v>
      </c>
      <c r="AC249" s="8">
        <v>0</v>
      </c>
      <c r="AD249" s="8">
        <v>1</v>
      </c>
      <c r="AE249" s="8">
        <v>258</v>
      </c>
    </row>
    <row r="250" spans="1:32" x14ac:dyDescent="0.45">
      <c r="A250" s="6" t="s">
        <v>36</v>
      </c>
      <c r="B250" s="7">
        <v>0.76064468833586119</v>
      </c>
      <c r="C250" s="7">
        <v>7.7815769808775942E-2</v>
      </c>
      <c r="D250" s="8">
        <v>0</v>
      </c>
      <c r="E250" s="8">
        <v>1</v>
      </c>
      <c r="F250" s="8">
        <v>34</v>
      </c>
      <c r="G250" s="7">
        <v>0.47021854293445042</v>
      </c>
      <c r="H250" s="7">
        <v>7.9243117363754292E-2</v>
      </c>
      <c r="I250" s="8">
        <v>0</v>
      </c>
      <c r="J250" s="8">
        <v>1</v>
      </c>
      <c r="K250" s="8">
        <v>42</v>
      </c>
      <c r="L250" s="7">
        <v>0.2445206682606792</v>
      </c>
      <c r="M250" s="7">
        <v>6.7154542896761538E-2</v>
      </c>
      <c r="N250" s="8">
        <v>0</v>
      </c>
      <c r="O250" s="8">
        <v>1</v>
      </c>
      <c r="P250" s="8">
        <v>42</v>
      </c>
      <c r="Q250" s="7">
        <v>0.35160809189742964</v>
      </c>
      <c r="R250" s="7">
        <v>7.902438279457083E-2</v>
      </c>
      <c r="S250" s="8">
        <v>0</v>
      </c>
      <c r="T250" s="8">
        <v>1</v>
      </c>
      <c r="U250" s="8">
        <v>40</v>
      </c>
      <c r="V250" s="7">
        <v>0.42925514319553509</v>
      </c>
      <c r="W250" s="7">
        <v>6.917480911456024E-2</v>
      </c>
      <c r="X250" s="8">
        <v>0</v>
      </c>
      <c r="Y250" s="8">
        <v>1</v>
      </c>
      <c r="Z250" s="8">
        <v>100</v>
      </c>
      <c r="AA250" s="13">
        <v>0.36787839094902408</v>
      </c>
      <c r="AB250" s="7">
        <v>4.0690017630809268E-2</v>
      </c>
      <c r="AC250" s="8">
        <v>0</v>
      </c>
      <c r="AD250" s="8">
        <v>1</v>
      </c>
      <c r="AE250" s="8">
        <v>258</v>
      </c>
      <c r="AF250">
        <f>(AA252/AA251)-AA250</f>
        <v>-1.1594538033008528E-2</v>
      </c>
    </row>
    <row r="251" spans="1:32" x14ac:dyDescent="0.45">
      <c r="A251" s="6" t="s">
        <v>40</v>
      </c>
      <c r="B251" s="7">
        <v>0.47314926338671726</v>
      </c>
      <c r="C251" s="7">
        <v>9.1986997587208227E-2</v>
      </c>
      <c r="D251" s="8">
        <v>0</v>
      </c>
      <c r="E251" s="8">
        <v>1</v>
      </c>
      <c r="F251" s="8">
        <v>34</v>
      </c>
      <c r="G251" s="7">
        <v>0.59916532039375925</v>
      </c>
      <c r="H251" s="7">
        <v>7.8188563211038412E-2</v>
      </c>
      <c r="I251" s="8">
        <v>0</v>
      </c>
      <c r="J251" s="8">
        <v>1</v>
      </c>
      <c r="K251" s="8">
        <v>42</v>
      </c>
      <c r="L251" s="7">
        <v>0.53311254311611167</v>
      </c>
      <c r="M251" s="7">
        <v>8.0040164750678475E-2</v>
      </c>
      <c r="N251" s="8">
        <v>0</v>
      </c>
      <c r="O251" s="8">
        <v>1</v>
      </c>
      <c r="P251" s="8">
        <v>42</v>
      </c>
      <c r="Q251" s="7">
        <v>0.89744052335873858</v>
      </c>
      <c r="R251" s="7">
        <v>4.9355060283969104E-2</v>
      </c>
      <c r="S251" s="8">
        <v>0</v>
      </c>
      <c r="T251" s="8">
        <v>1</v>
      </c>
      <c r="U251" s="8">
        <v>40</v>
      </c>
      <c r="V251" s="7">
        <v>0.62802955981828001</v>
      </c>
      <c r="W251" s="7">
        <v>6.9009852430896662E-2</v>
      </c>
      <c r="X251" s="8">
        <v>0</v>
      </c>
      <c r="Y251" s="8">
        <v>1</v>
      </c>
      <c r="Z251" s="8">
        <v>100</v>
      </c>
      <c r="AA251" s="13">
        <v>0.63371905921169658</v>
      </c>
      <c r="AB251" s="7">
        <v>4.2239621614603332E-2</v>
      </c>
      <c r="AC251" s="8">
        <v>0</v>
      </c>
      <c r="AD251" s="8">
        <v>1</v>
      </c>
      <c r="AE251" s="8">
        <v>258</v>
      </c>
      <c r="AF251">
        <f>(AA252/AA250)-AA251</f>
        <v>-1.9973121322286458E-2</v>
      </c>
    </row>
    <row r="252" spans="1:32" ht="26.25" x14ac:dyDescent="0.45">
      <c r="A252" s="6" t="s">
        <v>112</v>
      </c>
      <c r="B252" s="7">
        <v>0.37317190398622863</v>
      </c>
      <c r="C252" s="7">
        <v>8.9602630246076356E-2</v>
      </c>
      <c r="D252" s="8">
        <v>0</v>
      </c>
      <c r="E252" s="8">
        <v>1</v>
      </c>
      <c r="F252" s="8">
        <v>34</v>
      </c>
      <c r="G252" s="7">
        <v>0.2632991194196706</v>
      </c>
      <c r="H252" s="7">
        <v>6.9417799506215544E-2</v>
      </c>
      <c r="I252" s="8">
        <v>0</v>
      </c>
      <c r="J252" s="8">
        <v>1</v>
      </c>
      <c r="K252" s="8">
        <v>42</v>
      </c>
      <c r="L252" s="7">
        <v>0.12299615539187561</v>
      </c>
      <c r="M252" s="7">
        <v>4.9750911272573063E-2</v>
      </c>
      <c r="N252" s="8">
        <v>0</v>
      </c>
      <c r="O252" s="8">
        <v>1</v>
      </c>
      <c r="P252" s="8">
        <v>42</v>
      </c>
      <c r="Q252" s="7">
        <v>0.32778843909983685</v>
      </c>
      <c r="R252" s="7">
        <v>7.7908113944837334E-2</v>
      </c>
      <c r="S252" s="8">
        <v>0</v>
      </c>
      <c r="T252" s="8">
        <v>1</v>
      </c>
      <c r="U252" s="8">
        <v>40</v>
      </c>
      <c r="V252" s="7">
        <v>0.20338200115365787</v>
      </c>
      <c r="W252" s="7">
        <v>5.7234203087656595E-2</v>
      </c>
      <c r="X252" s="8">
        <v>0</v>
      </c>
      <c r="Y252" s="8">
        <v>1</v>
      </c>
      <c r="Z252" s="8">
        <v>100</v>
      </c>
      <c r="AA252" s="13">
        <v>0.22578386808225587</v>
      </c>
      <c r="AB252" s="7">
        <v>3.4246695309772951E-2</v>
      </c>
      <c r="AC252" s="8">
        <v>0</v>
      </c>
      <c r="AD252" s="8">
        <v>1</v>
      </c>
      <c r="AE252" s="8">
        <v>258</v>
      </c>
    </row>
    <row r="253" spans="1:32" x14ac:dyDescent="0.45">
      <c r="A253" s="6" t="s">
        <v>36</v>
      </c>
      <c r="B253" s="7">
        <v>0.76064468833586119</v>
      </c>
      <c r="C253" s="7">
        <v>7.7815769808775942E-2</v>
      </c>
      <c r="D253" s="8">
        <v>0</v>
      </c>
      <c r="E253" s="8">
        <v>1</v>
      </c>
      <c r="F253" s="8">
        <v>34</v>
      </c>
      <c r="G253" s="7">
        <v>0.47021854293445042</v>
      </c>
      <c r="H253" s="7">
        <v>7.9243117363754292E-2</v>
      </c>
      <c r="I253" s="8">
        <v>0</v>
      </c>
      <c r="J253" s="8">
        <v>1</v>
      </c>
      <c r="K253" s="8">
        <v>42</v>
      </c>
      <c r="L253" s="7">
        <v>0.2445206682606792</v>
      </c>
      <c r="M253" s="7">
        <v>6.7154542896761538E-2</v>
      </c>
      <c r="N253" s="8">
        <v>0</v>
      </c>
      <c r="O253" s="8">
        <v>1</v>
      </c>
      <c r="P253" s="8">
        <v>42</v>
      </c>
      <c r="Q253" s="7">
        <v>0.35160809189742964</v>
      </c>
      <c r="R253" s="7">
        <v>7.902438279457083E-2</v>
      </c>
      <c r="S253" s="8">
        <v>0</v>
      </c>
      <c r="T253" s="8">
        <v>1</v>
      </c>
      <c r="U253" s="8">
        <v>40</v>
      </c>
      <c r="V253" s="7">
        <v>0.42925514319553509</v>
      </c>
      <c r="W253" s="7">
        <v>6.917480911456024E-2</v>
      </c>
      <c r="X253" s="8">
        <v>0</v>
      </c>
      <c r="Y253" s="8">
        <v>1</v>
      </c>
      <c r="Z253" s="8">
        <v>100</v>
      </c>
      <c r="AA253" s="13">
        <v>0.36787839094902408</v>
      </c>
      <c r="AB253" s="7">
        <v>4.0690017630809268E-2</v>
      </c>
      <c r="AC253" s="8">
        <v>0</v>
      </c>
      <c r="AD253" s="8">
        <v>1</v>
      </c>
      <c r="AE253" s="8">
        <v>258</v>
      </c>
      <c r="AF253">
        <f>(AA255/AA254)-AA253</f>
        <v>-2.3607962131106386E-3</v>
      </c>
    </row>
    <row r="254" spans="1:32" x14ac:dyDescent="0.45">
      <c r="A254" s="6" t="s">
        <v>42</v>
      </c>
      <c r="B254" s="7">
        <v>0.70676339075737993</v>
      </c>
      <c r="C254" s="7">
        <v>8.2311257529143506E-2</v>
      </c>
      <c r="D254" s="8">
        <v>0</v>
      </c>
      <c r="E254" s="8">
        <v>1</v>
      </c>
      <c r="F254" s="8">
        <v>34</v>
      </c>
      <c r="G254" s="7">
        <v>0.89745945595635757</v>
      </c>
      <c r="H254" s="7">
        <v>4.9322035621993304E-2</v>
      </c>
      <c r="I254" s="8">
        <v>0</v>
      </c>
      <c r="J254" s="8">
        <v>1</v>
      </c>
      <c r="K254" s="8">
        <v>42</v>
      </c>
      <c r="L254" s="7">
        <v>0.73410738154726995</v>
      </c>
      <c r="M254" s="7">
        <v>7.0289158801824597E-2</v>
      </c>
      <c r="N254" s="8">
        <v>0</v>
      </c>
      <c r="O254" s="8">
        <v>1</v>
      </c>
      <c r="P254" s="8">
        <v>42</v>
      </c>
      <c r="Q254" s="7">
        <v>0.87908303986713809</v>
      </c>
      <c r="R254" s="7">
        <v>5.2789569621478863E-2</v>
      </c>
      <c r="S254" s="8">
        <v>0</v>
      </c>
      <c r="T254" s="8">
        <v>1</v>
      </c>
      <c r="U254" s="8">
        <v>40</v>
      </c>
      <c r="V254" s="7">
        <v>0.56438823579629216</v>
      </c>
      <c r="W254" s="7">
        <v>7.0335671964889795E-2</v>
      </c>
      <c r="X254" s="8">
        <v>0</v>
      </c>
      <c r="Y254" s="8">
        <v>1</v>
      </c>
      <c r="Z254" s="8">
        <v>100</v>
      </c>
      <c r="AA254" s="13">
        <v>0.80480908326262457</v>
      </c>
      <c r="AB254" s="7">
        <v>3.4435137521316703E-2</v>
      </c>
      <c r="AC254" s="8">
        <v>0</v>
      </c>
      <c r="AD254" s="8">
        <v>1</v>
      </c>
      <c r="AE254" s="8">
        <v>258</v>
      </c>
      <c r="AF254">
        <f>(AA255/AA253)-AA254</f>
        <v>-5.1647236771423799E-3</v>
      </c>
    </row>
    <row r="255" spans="1:32" x14ac:dyDescent="0.45">
      <c r="A255" s="6" t="s">
        <v>113</v>
      </c>
      <c r="B255" s="7">
        <v>0.48908716888610748</v>
      </c>
      <c r="C255" s="7">
        <v>9.1879635543991062E-2</v>
      </c>
      <c r="D255" s="8">
        <v>0</v>
      </c>
      <c r="E255" s="8">
        <v>1</v>
      </c>
      <c r="F255" s="8">
        <v>34</v>
      </c>
      <c r="G255" s="7">
        <v>0.42392514095747569</v>
      </c>
      <c r="H255" s="7">
        <v>7.8638872762664583E-2</v>
      </c>
      <c r="I255" s="8">
        <v>0</v>
      </c>
      <c r="J255" s="8">
        <v>1</v>
      </c>
      <c r="K255" s="8">
        <v>42</v>
      </c>
      <c r="L255" s="7">
        <v>0.19857062191874139</v>
      </c>
      <c r="M255" s="7">
        <v>6.2121444109439615E-2</v>
      </c>
      <c r="N255" s="8">
        <v>0</v>
      </c>
      <c r="O255" s="8">
        <v>1</v>
      </c>
      <c r="P255" s="8">
        <v>42</v>
      </c>
      <c r="Q255" s="7">
        <v>0.27237311718235524</v>
      </c>
      <c r="R255" s="7">
        <v>7.3720604327794079E-2</v>
      </c>
      <c r="S255" s="8">
        <v>0</v>
      </c>
      <c r="T255" s="8">
        <v>1</v>
      </c>
      <c r="U255" s="8">
        <v>40</v>
      </c>
      <c r="V255" s="7">
        <v>0.18243220896592593</v>
      </c>
      <c r="W255" s="7">
        <v>5.4572694382061936E-2</v>
      </c>
      <c r="X255" s="8">
        <v>0</v>
      </c>
      <c r="Y255" s="8">
        <v>1</v>
      </c>
      <c r="Z255" s="8">
        <v>100</v>
      </c>
      <c r="AA255" s="13">
        <v>0.29417188033577002</v>
      </c>
      <c r="AB255" s="7">
        <v>3.8445941692275595E-2</v>
      </c>
      <c r="AC255" s="8">
        <v>0</v>
      </c>
      <c r="AD255" s="8">
        <v>1</v>
      </c>
      <c r="AE255" s="8">
        <v>258</v>
      </c>
    </row>
    <row r="256" spans="1:32" x14ac:dyDescent="0.45">
      <c r="A256" s="6" t="s">
        <v>36</v>
      </c>
      <c r="B256" s="7">
        <v>0.76064468833586119</v>
      </c>
      <c r="C256" s="7">
        <v>7.7815769808775942E-2</v>
      </c>
      <c r="D256" s="8">
        <v>0</v>
      </c>
      <c r="E256" s="8">
        <v>1</v>
      </c>
      <c r="F256" s="8">
        <v>34</v>
      </c>
      <c r="G256" s="7">
        <v>0.47021854293445042</v>
      </c>
      <c r="H256" s="7">
        <v>7.9243117363754292E-2</v>
      </c>
      <c r="I256" s="8">
        <v>0</v>
      </c>
      <c r="J256" s="8">
        <v>1</v>
      </c>
      <c r="K256" s="8">
        <v>42</v>
      </c>
      <c r="L256" s="7">
        <v>0.2445206682606792</v>
      </c>
      <c r="M256" s="7">
        <v>6.7154542896761538E-2</v>
      </c>
      <c r="N256" s="8">
        <v>0</v>
      </c>
      <c r="O256" s="8">
        <v>1</v>
      </c>
      <c r="P256" s="8">
        <v>42</v>
      </c>
      <c r="Q256" s="7">
        <v>0.35160809189742964</v>
      </c>
      <c r="R256" s="7">
        <v>7.902438279457083E-2</v>
      </c>
      <c r="S256" s="8">
        <v>0</v>
      </c>
      <c r="T256" s="8">
        <v>1</v>
      </c>
      <c r="U256" s="8">
        <v>40</v>
      </c>
      <c r="V256" s="7">
        <v>0.42925514319553509</v>
      </c>
      <c r="W256" s="7">
        <v>6.917480911456024E-2</v>
      </c>
      <c r="X256" s="8">
        <v>0</v>
      </c>
      <c r="Y256" s="8">
        <v>1</v>
      </c>
      <c r="Z256" s="8">
        <v>100</v>
      </c>
      <c r="AA256" s="13">
        <v>0.36787839094902408</v>
      </c>
      <c r="AB256" s="7">
        <v>4.0690017630809268E-2</v>
      </c>
      <c r="AC256" s="8">
        <v>0</v>
      </c>
      <c r="AD256" s="8">
        <v>1</v>
      </c>
      <c r="AE256" s="8">
        <v>258</v>
      </c>
      <c r="AF256">
        <f>(AA258/AA257)-AA256</f>
        <v>1.2619229579702906E-2</v>
      </c>
    </row>
    <row r="257" spans="1:32" x14ac:dyDescent="0.45">
      <c r="A257" s="6" t="s">
        <v>44</v>
      </c>
      <c r="B257" s="7">
        <v>0.26296232107028095</v>
      </c>
      <c r="C257" s="7">
        <v>8.0971230867118368E-2</v>
      </c>
      <c r="D257" s="8">
        <v>0</v>
      </c>
      <c r="E257" s="8">
        <v>1</v>
      </c>
      <c r="F257" s="8">
        <v>34</v>
      </c>
      <c r="G257" s="7">
        <v>0.35571464744938486</v>
      </c>
      <c r="H257" s="7">
        <v>7.5377725145722718E-2</v>
      </c>
      <c r="I257" s="8">
        <v>0</v>
      </c>
      <c r="J257" s="8">
        <v>1</v>
      </c>
      <c r="K257" s="8">
        <v>42</v>
      </c>
      <c r="L257" s="7">
        <v>0.32429932744398482</v>
      </c>
      <c r="M257" s="7">
        <v>7.5510042392919433E-2</v>
      </c>
      <c r="N257" s="8">
        <v>0</v>
      </c>
      <c r="O257" s="8">
        <v>1</v>
      </c>
      <c r="P257" s="8">
        <v>42</v>
      </c>
      <c r="Q257" s="7">
        <v>0.48486364033758289</v>
      </c>
      <c r="R257" s="7">
        <v>8.2351680282883519E-2</v>
      </c>
      <c r="S257" s="8">
        <v>0</v>
      </c>
      <c r="T257" s="8">
        <v>1</v>
      </c>
      <c r="U257" s="8">
        <v>40</v>
      </c>
      <c r="V257" s="7">
        <v>0.24605417111353658</v>
      </c>
      <c r="W257" s="7">
        <v>5.5580698511919616E-2</v>
      </c>
      <c r="X257" s="8">
        <v>0</v>
      </c>
      <c r="Y257" s="8">
        <v>1</v>
      </c>
      <c r="Z257" s="8">
        <v>100</v>
      </c>
      <c r="AA257" s="13">
        <v>0.36324676446651744</v>
      </c>
      <c r="AB257" s="7">
        <v>4.1670411595932391E-2</v>
      </c>
      <c r="AC257" s="8">
        <v>0</v>
      </c>
      <c r="AD257" s="8">
        <v>1</v>
      </c>
      <c r="AE257" s="8">
        <v>258</v>
      </c>
      <c r="AF257">
        <f>(AA258/AA256)-AA257</f>
        <v>1.2460352191554613E-2</v>
      </c>
    </row>
    <row r="258" spans="1:32" x14ac:dyDescent="0.45">
      <c r="A258" s="6" t="s">
        <v>114</v>
      </c>
      <c r="B258" s="7">
        <v>0.23256841034523718</v>
      </c>
      <c r="C258" s="7">
        <v>7.9105548197188305E-2</v>
      </c>
      <c r="D258" s="8">
        <v>0</v>
      </c>
      <c r="E258" s="8">
        <v>1</v>
      </c>
      <c r="F258" s="8">
        <v>34</v>
      </c>
      <c r="G258" s="7">
        <v>0.19145961654387292</v>
      </c>
      <c r="H258" s="7">
        <v>6.1949225521737782E-2</v>
      </c>
      <c r="I258" s="8">
        <v>0</v>
      </c>
      <c r="J258" s="8">
        <v>1</v>
      </c>
      <c r="K258" s="8">
        <v>42</v>
      </c>
      <c r="L258" s="7">
        <v>9.4969785413182267E-2</v>
      </c>
      <c r="M258" s="7">
        <v>4.5973175155094158E-2</v>
      </c>
      <c r="N258" s="8">
        <v>0</v>
      </c>
      <c r="O258" s="8">
        <v>1</v>
      </c>
      <c r="P258" s="8">
        <v>42</v>
      </c>
      <c r="Q258" s="7">
        <v>0.13808839332514214</v>
      </c>
      <c r="R258" s="7">
        <v>5.7153649845300518E-2</v>
      </c>
      <c r="S258" s="8">
        <v>0</v>
      </c>
      <c r="T258" s="8">
        <v>1</v>
      </c>
      <c r="U258" s="8">
        <v>40</v>
      </c>
      <c r="V258" s="7">
        <v>5.4463007375959202E-2</v>
      </c>
      <c r="W258" s="7">
        <v>2.6790318322450535E-2</v>
      </c>
      <c r="X258" s="8">
        <v>0</v>
      </c>
      <c r="Y258" s="8">
        <v>1</v>
      </c>
      <c r="Z258" s="8">
        <v>100</v>
      </c>
      <c r="AA258" s="13">
        <v>0.13821452954426883</v>
      </c>
      <c r="AB258" s="7">
        <v>2.8766140833572137E-2</v>
      </c>
      <c r="AC258" s="8">
        <v>0</v>
      </c>
      <c r="AD258" s="8">
        <v>1</v>
      </c>
      <c r="AE258" s="8">
        <v>258</v>
      </c>
    </row>
    <row r="259" spans="1:32" x14ac:dyDescent="0.45">
      <c r="A259" s="6" t="s">
        <v>36</v>
      </c>
      <c r="B259" s="7">
        <v>0.76064468833586119</v>
      </c>
      <c r="C259" s="7">
        <v>7.7815769808775942E-2</v>
      </c>
      <c r="D259" s="8">
        <v>0</v>
      </c>
      <c r="E259" s="8">
        <v>1</v>
      </c>
      <c r="F259" s="8">
        <v>34</v>
      </c>
      <c r="G259" s="7">
        <v>0.47021854293445042</v>
      </c>
      <c r="H259" s="7">
        <v>7.9243117363754292E-2</v>
      </c>
      <c r="I259" s="8">
        <v>0</v>
      </c>
      <c r="J259" s="8">
        <v>1</v>
      </c>
      <c r="K259" s="8">
        <v>42</v>
      </c>
      <c r="L259" s="7">
        <v>0.2445206682606792</v>
      </c>
      <c r="M259" s="7">
        <v>6.7154542896761538E-2</v>
      </c>
      <c r="N259" s="8">
        <v>0</v>
      </c>
      <c r="O259" s="8">
        <v>1</v>
      </c>
      <c r="P259" s="8">
        <v>42</v>
      </c>
      <c r="Q259" s="7">
        <v>0.35160809189742964</v>
      </c>
      <c r="R259" s="7">
        <v>7.902438279457083E-2</v>
      </c>
      <c r="S259" s="8">
        <v>0</v>
      </c>
      <c r="T259" s="8">
        <v>1</v>
      </c>
      <c r="U259" s="8">
        <v>40</v>
      </c>
      <c r="V259" s="7">
        <v>0.42925514319553509</v>
      </c>
      <c r="W259" s="7">
        <v>6.917480911456024E-2</v>
      </c>
      <c r="X259" s="8">
        <v>0</v>
      </c>
      <c r="Y259" s="8">
        <v>1</v>
      </c>
      <c r="Z259" s="8">
        <v>100</v>
      </c>
      <c r="AA259" s="13">
        <v>0.36787839094902408</v>
      </c>
      <c r="AB259" s="7">
        <v>4.0690017630809268E-2</v>
      </c>
      <c r="AC259" s="8">
        <v>0</v>
      </c>
      <c r="AD259" s="8">
        <v>1</v>
      </c>
      <c r="AE259" s="8">
        <v>258</v>
      </c>
      <c r="AF259">
        <f>(AA261/AA260)-AA259</f>
        <v>3.4999634447043793E-3</v>
      </c>
    </row>
    <row r="260" spans="1:32" ht="39.4" x14ac:dyDescent="0.45">
      <c r="A260" s="6" t="s">
        <v>16</v>
      </c>
      <c r="B260" s="7">
        <v>0.95226292316662886</v>
      </c>
      <c r="C260" s="7">
        <v>3.3757095360377097E-2</v>
      </c>
      <c r="D260" s="8">
        <v>0</v>
      </c>
      <c r="E260" s="8">
        <v>1</v>
      </c>
      <c r="F260" s="8">
        <v>34</v>
      </c>
      <c r="G260" s="7">
        <v>0.96979725445447418</v>
      </c>
      <c r="H260" s="7">
        <v>3.0016012175185333E-2</v>
      </c>
      <c r="I260" s="8">
        <v>0</v>
      </c>
      <c r="J260" s="8">
        <v>1</v>
      </c>
      <c r="K260" s="8">
        <v>42</v>
      </c>
      <c r="L260" s="7">
        <v>0.8651891068027362</v>
      </c>
      <c r="M260" s="7">
        <v>5.335387479096497E-2</v>
      </c>
      <c r="N260" s="8">
        <v>0</v>
      </c>
      <c r="O260" s="8">
        <v>1</v>
      </c>
      <c r="P260" s="8">
        <v>42</v>
      </c>
      <c r="Q260" s="7">
        <v>0.94904190046407078</v>
      </c>
      <c r="R260" s="7">
        <v>3.5591246809232757E-2</v>
      </c>
      <c r="S260" s="8">
        <v>0</v>
      </c>
      <c r="T260" s="8">
        <v>1</v>
      </c>
      <c r="U260" s="8">
        <v>40</v>
      </c>
      <c r="V260" s="7">
        <v>0.63213682862253961</v>
      </c>
      <c r="W260" s="7">
        <v>6.9040852741309167E-2</v>
      </c>
      <c r="X260" s="8">
        <v>0</v>
      </c>
      <c r="Y260" s="8">
        <v>1</v>
      </c>
      <c r="Z260" s="8">
        <v>100</v>
      </c>
      <c r="AA260" s="13">
        <v>0.91060279847159487</v>
      </c>
      <c r="AB260" s="7">
        <v>2.4747957456819576E-2</v>
      </c>
      <c r="AC260" s="8">
        <v>0</v>
      </c>
      <c r="AD260" s="8">
        <v>1</v>
      </c>
      <c r="AE260" s="8">
        <v>258</v>
      </c>
      <c r="AF260">
        <f>(AA261/AA259)-AA260</f>
        <v>8.663396887961583E-3</v>
      </c>
    </row>
    <row r="261" spans="1:32" x14ac:dyDescent="0.45">
      <c r="A261" s="6" t="s">
        <v>115</v>
      </c>
      <c r="B261" s="7">
        <v>0.71290761150248982</v>
      </c>
      <c r="C261" s="7">
        <v>8.1539072535684209E-2</v>
      </c>
      <c r="D261" s="8">
        <v>0</v>
      </c>
      <c r="E261" s="8">
        <v>1</v>
      </c>
      <c r="F261" s="8">
        <v>34</v>
      </c>
      <c r="G261" s="7">
        <v>0.47021854293445042</v>
      </c>
      <c r="H261" s="7">
        <v>7.9243117363754292E-2</v>
      </c>
      <c r="I261" s="8">
        <v>0</v>
      </c>
      <c r="J261" s="8">
        <v>1</v>
      </c>
      <c r="K261" s="8">
        <v>42</v>
      </c>
      <c r="L261" s="7">
        <v>0.19650598951841372</v>
      </c>
      <c r="M261" s="7">
        <v>6.166594158882318E-2</v>
      </c>
      <c r="N261" s="8">
        <v>0</v>
      </c>
      <c r="O261" s="8">
        <v>1</v>
      </c>
      <c r="P261" s="8">
        <v>42</v>
      </c>
      <c r="Q261" s="7">
        <v>0.35160809189742964</v>
      </c>
      <c r="R261" s="7">
        <v>7.902438279457083E-2</v>
      </c>
      <c r="S261" s="8">
        <v>0</v>
      </c>
      <c r="T261" s="8">
        <v>1</v>
      </c>
      <c r="U261" s="8">
        <v>40</v>
      </c>
      <c r="V261" s="7">
        <v>0.20338200115365787</v>
      </c>
      <c r="W261" s="7">
        <v>5.7234203087656595E-2</v>
      </c>
      <c r="X261" s="8">
        <v>0</v>
      </c>
      <c r="Y261" s="8">
        <v>1</v>
      </c>
      <c r="Z261" s="8">
        <v>100</v>
      </c>
      <c r="AA261" s="13">
        <v>0.33817816880270485</v>
      </c>
      <c r="AB261" s="7">
        <v>3.9713996814818901E-2</v>
      </c>
      <c r="AC261" s="8">
        <v>0</v>
      </c>
      <c r="AD261" s="8">
        <v>1</v>
      </c>
      <c r="AE261" s="8">
        <v>258</v>
      </c>
    </row>
    <row r="262" spans="1:32" x14ac:dyDescent="0.45">
      <c r="A262" s="6" t="s">
        <v>36</v>
      </c>
      <c r="B262" s="7">
        <v>0.76064468833586119</v>
      </c>
      <c r="C262" s="7">
        <v>7.7815769808775942E-2</v>
      </c>
      <c r="D262" s="8">
        <v>0</v>
      </c>
      <c r="E262" s="8">
        <v>1</v>
      </c>
      <c r="F262" s="8">
        <v>34</v>
      </c>
      <c r="G262" s="7">
        <v>0.47021854293445042</v>
      </c>
      <c r="H262" s="7">
        <v>7.9243117363754292E-2</v>
      </c>
      <c r="I262" s="8">
        <v>0</v>
      </c>
      <c r="J262" s="8">
        <v>1</v>
      </c>
      <c r="K262" s="8">
        <v>42</v>
      </c>
      <c r="L262" s="7">
        <v>0.2445206682606792</v>
      </c>
      <c r="M262" s="7">
        <v>6.7154542896761538E-2</v>
      </c>
      <c r="N262" s="8">
        <v>0</v>
      </c>
      <c r="O262" s="8">
        <v>1</v>
      </c>
      <c r="P262" s="8">
        <v>42</v>
      </c>
      <c r="Q262" s="7">
        <v>0.35160809189742964</v>
      </c>
      <c r="R262" s="7">
        <v>7.902438279457083E-2</v>
      </c>
      <c r="S262" s="8">
        <v>0</v>
      </c>
      <c r="T262" s="8">
        <v>1</v>
      </c>
      <c r="U262" s="8">
        <v>40</v>
      </c>
      <c r="V262" s="7">
        <v>0.42925514319553509</v>
      </c>
      <c r="W262" s="7">
        <v>6.917480911456024E-2</v>
      </c>
      <c r="X262" s="8">
        <v>0</v>
      </c>
      <c r="Y262" s="8">
        <v>1</v>
      </c>
      <c r="Z262" s="8">
        <v>100</v>
      </c>
      <c r="AA262" s="13">
        <v>0.36787839094902408</v>
      </c>
      <c r="AB262" s="7">
        <v>4.0690017630809268E-2</v>
      </c>
      <c r="AC262" s="8">
        <v>0</v>
      </c>
      <c r="AD262" s="8">
        <v>1</v>
      </c>
      <c r="AE262" s="8">
        <v>258</v>
      </c>
      <c r="AF262">
        <f>(AA264/AA263)-AA262</f>
        <v>9.5289712146303107E-3</v>
      </c>
    </row>
    <row r="263" spans="1:32" ht="39.4" x14ac:dyDescent="0.45">
      <c r="A263" s="6" t="s">
        <v>18</v>
      </c>
      <c r="B263" s="7">
        <v>0.95343656614872163</v>
      </c>
      <c r="C263" s="7">
        <v>3.2998861160736311E-2</v>
      </c>
      <c r="D263" s="8">
        <v>0</v>
      </c>
      <c r="E263" s="8">
        <v>1</v>
      </c>
      <c r="F263" s="8">
        <v>34</v>
      </c>
      <c r="G263" s="7">
        <v>0.96979725445447418</v>
      </c>
      <c r="H263" s="7">
        <v>3.0016012175185333E-2</v>
      </c>
      <c r="I263" s="8">
        <v>0</v>
      </c>
      <c r="J263" s="8">
        <v>1</v>
      </c>
      <c r="K263" s="8">
        <v>42</v>
      </c>
      <c r="L263" s="7">
        <v>0.8699809970787199</v>
      </c>
      <c r="M263" s="7">
        <v>5.4941364171145674E-2</v>
      </c>
      <c r="N263" s="8">
        <v>0</v>
      </c>
      <c r="O263" s="8">
        <v>1</v>
      </c>
      <c r="P263" s="8">
        <v>42</v>
      </c>
      <c r="Q263" s="7">
        <v>0.9749682228588612</v>
      </c>
      <c r="R263" s="7">
        <v>2.5049499255806983E-2</v>
      </c>
      <c r="S263" s="8">
        <v>0</v>
      </c>
      <c r="T263" s="8">
        <v>1</v>
      </c>
      <c r="U263" s="8">
        <v>40</v>
      </c>
      <c r="V263" s="7">
        <v>0.63023599596706159</v>
      </c>
      <c r="W263" s="7">
        <v>6.9774465060460464E-2</v>
      </c>
      <c r="X263" s="8">
        <v>0</v>
      </c>
      <c r="Y263" s="8">
        <v>1</v>
      </c>
      <c r="Z263" s="8">
        <v>100</v>
      </c>
      <c r="AA263" s="13">
        <v>0.91845222109286739</v>
      </c>
      <c r="AB263" s="7">
        <v>2.4806962700400701E-2</v>
      </c>
      <c r="AC263" s="8">
        <v>0</v>
      </c>
      <c r="AD263" s="8">
        <v>1</v>
      </c>
      <c r="AE263" s="8">
        <v>258</v>
      </c>
      <c r="AF263">
        <f>(AA264/AA262)-AA263</f>
        <v>2.379021163550743E-2</v>
      </c>
    </row>
    <row r="264" spans="1:32" x14ac:dyDescent="0.45">
      <c r="A264" s="6" t="s">
        <v>116</v>
      </c>
      <c r="B264" s="7">
        <v>0.71408125448458282</v>
      </c>
      <c r="C264" s="7">
        <v>8.1386787579375203E-2</v>
      </c>
      <c r="D264" s="8">
        <v>0</v>
      </c>
      <c r="E264" s="8">
        <v>1</v>
      </c>
      <c r="F264" s="8">
        <v>34</v>
      </c>
      <c r="G264" s="7">
        <v>0.47021854293445042</v>
      </c>
      <c r="H264" s="7">
        <v>7.9243117363754292E-2</v>
      </c>
      <c r="I264" s="8">
        <v>0</v>
      </c>
      <c r="J264" s="8">
        <v>1</v>
      </c>
      <c r="K264" s="8">
        <v>42</v>
      </c>
      <c r="L264" s="7">
        <v>0.21890470754711744</v>
      </c>
      <c r="M264" s="7">
        <v>6.4218026552161939E-2</v>
      </c>
      <c r="N264" s="8">
        <v>0</v>
      </c>
      <c r="O264" s="8">
        <v>1</v>
      </c>
      <c r="P264" s="8">
        <v>42</v>
      </c>
      <c r="Q264" s="7">
        <v>0.35160809189742964</v>
      </c>
      <c r="R264" s="7">
        <v>7.902438279457083E-2</v>
      </c>
      <c r="S264" s="8">
        <v>0</v>
      </c>
      <c r="T264" s="8">
        <v>1</v>
      </c>
      <c r="U264" s="8">
        <v>40</v>
      </c>
      <c r="V264" s="7">
        <v>0.18243220896592593</v>
      </c>
      <c r="W264" s="7">
        <v>5.4572694382061936E-2</v>
      </c>
      <c r="X264" s="8">
        <v>0</v>
      </c>
      <c r="Y264" s="8">
        <v>1</v>
      </c>
      <c r="Z264" s="8">
        <v>100</v>
      </c>
      <c r="AA264" s="13">
        <v>0.34663063003600858</v>
      </c>
      <c r="AB264" s="7">
        <v>4.0105078856242177E-2</v>
      </c>
      <c r="AC264" s="8">
        <v>0</v>
      </c>
      <c r="AD264" s="8">
        <v>1</v>
      </c>
      <c r="AE264" s="8">
        <v>258</v>
      </c>
    </row>
    <row r="265" spans="1:32" x14ac:dyDescent="0.45">
      <c r="A265" s="6" t="s">
        <v>36</v>
      </c>
      <c r="B265" s="7">
        <v>0.76064468833586119</v>
      </c>
      <c r="C265" s="7">
        <v>7.7815769808775942E-2</v>
      </c>
      <c r="D265" s="8">
        <v>0</v>
      </c>
      <c r="E265" s="8">
        <v>1</v>
      </c>
      <c r="F265" s="8">
        <v>34</v>
      </c>
      <c r="G265" s="7">
        <v>0.47021854293445042</v>
      </c>
      <c r="H265" s="7">
        <v>7.9243117363754292E-2</v>
      </c>
      <c r="I265" s="8">
        <v>0</v>
      </c>
      <c r="J265" s="8">
        <v>1</v>
      </c>
      <c r="K265" s="8">
        <v>42</v>
      </c>
      <c r="L265" s="7">
        <v>0.2445206682606792</v>
      </c>
      <c r="M265" s="7">
        <v>6.7154542896761538E-2</v>
      </c>
      <c r="N265" s="8">
        <v>0</v>
      </c>
      <c r="O265" s="8">
        <v>1</v>
      </c>
      <c r="P265" s="8">
        <v>42</v>
      </c>
      <c r="Q265" s="7">
        <v>0.35160809189742964</v>
      </c>
      <c r="R265" s="7">
        <v>7.902438279457083E-2</v>
      </c>
      <c r="S265" s="8">
        <v>0</v>
      </c>
      <c r="T265" s="8">
        <v>1</v>
      </c>
      <c r="U265" s="8">
        <v>40</v>
      </c>
      <c r="V265" s="7">
        <v>0.42925514319553509</v>
      </c>
      <c r="W265" s="7">
        <v>6.917480911456024E-2</v>
      </c>
      <c r="X265" s="8">
        <v>0</v>
      </c>
      <c r="Y265" s="8">
        <v>1</v>
      </c>
      <c r="Z265" s="8">
        <v>100</v>
      </c>
      <c r="AA265" s="13">
        <v>0.36787839094902408</v>
      </c>
      <c r="AB265" s="7">
        <v>4.0690017630809268E-2</v>
      </c>
      <c r="AC265" s="8">
        <v>0</v>
      </c>
      <c r="AD265" s="8">
        <v>1</v>
      </c>
      <c r="AE265" s="8">
        <v>258</v>
      </c>
      <c r="AF265">
        <f>(AA267/AA266)-AA265</f>
        <v>2.0221584323361408E-2</v>
      </c>
    </row>
    <row r="266" spans="1:32" ht="39.4" x14ac:dyDescent="0.45">
      <c r="A266" s="6" t="s">
        <v>20</v>
      </c>
      <c r="B266" s="7">
        <v>0.90678716876013998</v>
      </c>
      <c r="C266" s="7">
        <v>4.9177473357267902E-2</v>
      </c>
      <c r="D266" s="8">
        <v>0</v>
      </c>
      <c r="E266" s="8">
        <v>1</v>
      </c>
      <c r="F266" s="8">
        <v>34</v>
      </c>
      <c r="G266" s="7">
        <v>0.89891076629469935</v>
      </c>
      <c r="H266" s="7">
        <v>4.8893744591203998E-2</v>
      </c>
      <c r="I266" s="8">
        <v>0</v>
      </c>
      <c r="J266" s="8">
        <v>1</v>
      </c>
      <c r="K266" s="8">
        <v>42</v>
      </c>
      <c r="L266" s="7">
        <v>0.83274552255977152</v>
      </c>
      <c r="M266" s="7">
        <v>5.9834974582738454E-2</v>
      </c>
      <c r="N266" s="8">
        <v>0</v>
      </c>
      <c r="O266" s="8">
        <v>1</v>
      </c>
      <c r="P266" s="8">
        <v>42</v>
      </c>
      <c r="Q266" s="7">
        <v>0.94871856326789294</v>
      </c>
      <c r="R266" s="7">
        <v>3.5809222533905935E-2</v>
      </c>
      <c r="S266" s="8">
        <v>0</v>
      </c>
      <c r="T266" s="8">
        <v>1</v>
      </c>
      <c r="U266" s="8">
        <v>40</v>
      </c>
      <c r="V266" s="7">
        <v>0.46705017304122987</v>
      </c>
      <c r="W266" s="7">
        <v>6.8874379217115159E-2</v>
      </c>
      <c r="X266" s="8">
        <v>0</v>
      </c>
      <c r="Y266" s="8">
        <v>1</v>
      </c>
      <c r="Z266" s="8">
        <v>100</v>
      </c>
      <c r="AA266" s="13">
        <v>0.86977609404131639</v>
      </c>
      <c r="AB266" s="7">
        <v>2.9171246830362617E-2</v>
      </c>
      <c r="AC266" s="8">
        <v>0</v>
      </c>
      <c r="AD266" s="8">
        <v>1</v>
      </c>
      <c r="AE266" s="8">
        <v>258</v>
      </c>
      <c r="AF266">
        <f>(AA267/AA265)-AA266</f>
        <v>4.7809958564642985E-2</v>
      </c>
    </row>
    <row r="267" spans="1:32" x14ac:dyDescent="0.45">
      <c r="A267" s="6" t="s">
        <v>117</v>
      </c>
      <c r="B267" s="7">
        <v>0.71408125448458282</v>
      </c>
      <c r="C267" s="7">
        <v>8.1386787579375203E-2</v>
      </c>
      <c r="D267" s="8">
        <v>0</v>
      </c>
      <c r="E267" s="8">
        <v>1</v>
      </c>
      <c r="F267" s="8">
        <v>34</v>
      </c>
      <c r="G267" s="7">
        <v>0.47021854293445042</v>
      </c>
      <c r="H267" s="7">
        <v>7.9243117363754292E-2</v>
      </c>
      <c r="I267" s="8">
        <v>0</v>
      </c>
      <c r="J267" s="8">
        <v>1</v>
      </c>
      <c r="K267" s="8">
        <v>42</v>
      </c>
      <c r="L267" s="7">
        <v>0.21890470754711744</v>
      </c>
      <c r="M267" s="7">
        <v>6.4218026552161939E-2</v>
      </c>
      <c r="N267" s="8">
        <v>0</v>
      </c>
      <c r="O267" s="8">
        <v>1</v>
      </c>
      <c r="P267" s="8">
        <v>42</v>
      </c>
      <c r="Q267" s="7">
        <v>0.32535843230646144</v>
      </c>
      <c r="R267" s="7">
        <v>7.7637397329492389E-2</v>
      </c>
      <c r="S267" s="8">
        <v>0</v>
      </c>
      <c r="T267" s="8">
        <v>1</v>
      </c>
      <c r="U267" s="8">
        <v>40</v>
      </c>
      <c r="V267" s="7">
        <v>8.7980860993806143E-2</v>
      </c>
      <c r="W267" s="7">
        <v>3.0019035047048642E-2</v>
      </c>
      <c r="X267" s="8">
        <v>0</v>
      </c>
      <c r="Y267" s="8">
        <v>1</v>
      </c>
      <c r="Z267" s="8">
        <v>100</v>
      </c>
      <c r="AA267" s="13">
        <v>0.33756008058994691</v>
      </c>
      <c r="AB267" s="7">
        <v>3.9886308615649367E-2</v>
      </c>
      <c r="AC267" s="8">
        <v>0</v>
      </c>
      <c r="AD267" s="8">
        <v>1</v>
      </c>
      <c r="AE267" s="8">
        <v>258</v>
      </c>
    </row>
    <row r="268" spans="1:32" x14ac:dyDescent="0.45">
      <c r="A268" s="6" t="s">
        <v>36</v>
      </c>
      <c r="B268" s="7">
        <v>0.76064468833586119</v>
      </c>
      <c r="C268" s="7">
        <v>7.7815769808775942E-2</v>
      </c>
      <c r="D268" s="8">
        <v>0</v>
      </c>
      <c r="E268" s="8">
        <v>1</v>
      </c>
      <c r="F268" s="8">
        <v>34</v>
      </c>
      <c r="G268" s="7">
        <v>0.47021854293445042</v>
      </c>
      <c r="H268" s="7">
        <v>7.9243117363754292E-2</v>
      </c>
      <c r="I268" s="8">
        <v>0</v>
      </c>
      <c r="J268" s="8">
        <v>1</v>
      </c>
      <c r="K268" s="8">
        <v>42</v>
      </c>
      <c r="L268" s="7">
        <v>0.2445206682606792</v>
      </c>
      <c r="M268" s="7">
        <v>6.7154542896761538E-2</v>
      </c>
      <c r="N268" s="8">
        <v>0</v>
      </c>
      <c r="O268" s="8">
        <v>1</v>
      </c>
      <c r="P268" s="8">
        <v>42</v>
      </c>
      <c r="Q268" s="7">
        <v>0.35160809189742964</v>
      </c>
      <c r="R268" s="7">
        <v>7.902438279457083E-2</v>
      </c>
      <c r="S268" s="8">
        <v>0</v>
      </c>
      <c r="T268" s="8">
        <v>1</v>
      </c>
      <c r="U268" s="8">
        <v>40</v>
      </c>
      <c r="V268" s="7">
        <v>0.42925514319553509</v>
      </c>
      <c r="W268" s="7">
        <v>6.917480911456024E-2</v>
      </c>
      <c r="X268" s="8">
        <v>0</v>
      </c>
      <c r="Y268" s="8">
        <v>1</v>
      </c>
      <c r="Z268" s="8">
        <v>100</v>
      </c>
      <c r="AA268" s="13">
        <v>0.36787839094902408</v>
      </c>
      <c r="AB268" s="7">
        <v>4.0690017630809268E-2</v>
      </c>
      <c r="AC268" s="8">
        <v>0</v>
      </c>
      <c r="AD268" s="8">
        <v>1</v>
      </c>
      <c r="AE268" s="8">
        <v>258</v>
      </c>
      <c r="AF268">
        <f>(AA270/AA269)-AA268</f>
        <v>9.4685735307493135E-3</v>
      </c>
    </row>
    <row r="269" spans="1:32" ht="26.25" x14ac:dyDescent="0.45">
      <c r="A269" s="6" t="s">
        <v>22</v>
      </c>
      <c r="B269" s="7">
        <v>0.84952162550522947</v>
      </c>
      <c r="C269" s="7">
        <v>6.1545774275045921E-2</v>
      </c>
      <c r="D269" s="8">
        <v>0</v>
      </c>
      <c r="E269" s="8">
        <v>1</v>
      </c>
      <c r="F269" s="8">
        <v>34</v>
      </c>
      <c r="G269" s="7">
        <v>0.96979725445447418</v>
      </c>
      <c r="H269" s="7">
        <v>3.0016012175185333E-2</v>
      </c>
      <c r="I269" s="8">
        <v>0</v>
      </c>
      <c r="J269" s="8">
        <v>1</v>
      </c>
      <c r="K269" s="8">
        <v>42</v>
      </c>
      <c r="L269" s="7">
        <v>0.8581968674576721</v>
      </c>
      <c r="M269" s="7">
        <v>5.4732643111864598E-2</v>
      </c>
      <c r="N269" s="8">
        <v>0</v>
      </c>
      <c r="O269" s="8">
        <v>1</v>
      </c>
      <c r="P269" s="8">
        <v>42</v>
      </c>
      <c r="Q269" s="7">
        <v>0.9749682228588612</v>
      </c>
      <c r="R269" s="7">
        <v>2.5049499255806983E-2</v>
      </c>
      <c r="S269" s="8">
        <v>0</v>
      </c>
      <c r="T269" s="8">
        <v>1</v>
      </c>
      <c r="U269" s="8">
        <v>40</v>
      </c>
      <c r="V269" s="7">
        <v>0.65979065777482815</v>
      </c>
      <c r="W269" s="7">
        <v>6.9173406705135554E-2</v>
      </c>
      <c r="X269" s="8">
        <v>0</v>
      </c>
      <c r="Y269" s="8">
        <v>1</v>
      </c>
      <c r="Z269" s="8">
        <v>100</v>
      </c>
      <c r="AA269" s="13">
        <v>0.90843054717269422</v>
      </c>
      <c r="AB269" s="7">
        <v>2.4885705943311916E-2</v>
      </c>
      <c r="AC269" s="8">
        <v>0</v>
      </c>
      <c r="AD269" s="8">
        <v>1</v>
      </c>
      <c r="AE269" s="8">
        <v>258</v>
      </c>
      <c r="AF269">
        <f>(AA270/AA268)-AA269</f>
        <v>2.3381480524838349E-2</v>
      </c>
    </row>
    <row r="270" spans="1:32" x14ac:dyDescent="0.45">
      <c r="A270" s="6" t="s">
        <v>118</v>
      </c>
      <c r="B270" s="7">
        <v>0.63184540363395703</v>
      </c>
      <c r="C270" s="7">
        <v>8.7588084848681191E-2</v>
      </c>
      <c r="D270" s="8">
        <v>0</v>
      </c>
      <c r="E270" s="8">
        <v>1</v>
      </c>
      <c r="F270" s="8">
        <v>34</v>
      </c>
      <c r="G270" s="7">
        <v>0.47021854293445042</v>
      </c>
      <c r="H270" s="7">
        <v>7.9243117363754292E-2</v>
      </c>
      <c r="I270" s="8">
        <v>0</v>
      </c>
      <c r="J270" s="8">
        <v>1</v>
      </c>
      <c r="K270" s="8">
        <v>42</v>
      </c>
      <c r="L270" s="7">
        <v>0.21890470754711744</v>
      </c>
      <c r="M270" s="7">
        <v>6.4218026552161939E-2</v>
      </c>
      <c r="N270" s="8">
        <v>0</v>
      </c>
      <c r="O270" s="8">
        <v>1</v>
      </c>
      <c r="P270" s="8">
        <v>42</v>
      </c>
      <c r="Q270" s="7">
        <v>0.35160809189742964</v>
      </c>
      <c r="R270" s="7">
        <v>7.902438279457083E-2</v>
      </c>
      <c r="S270" s="8">
        <v>0</v>
      </c>
      <c r="T270" s="8">
        <v>1</v>
      </c>
      <c r="U270" s="8">
        <v>40</v>
      </c>
      <c r="V270" s="7">
        <v>0.21552343190487386</v>
      </c>
      <c r="W270" s="7">
        <v>5.7592739252108976E-2</v>
      </c>
      <c r="X270" s="8">
        <v>0</v>
      </c>
      <c r="Y270" s="8">
        <v>1</v>
      </c>
      <c r="Z270" s="8">
        <v>100</v>
      </c>
      <c r="AA270" s="13">
        <v>0.34279350941631576</v>
      </c>
      <c r="AB270" s="7">
        <v>4.0042483796722921E-2</v>
      </c>
      <c r="AC270" s="8">
        <v>0</v>
      </c>
      <c r="AD270" s="8">
        <v>1</v>
      </c>
      <c r="AE270" s="8">
        <v>258</v>
      </c>
    </row>
    <row r="271" spans="1:32" x14ac:dyDescent="0.45">
      <c r="A271" s="6" t="s">
        <v>36</v>
      </c>
      <c r="B271" s="7">
        <v>0.76064468833586119</v>
      </c>
      <c r="C271" s="7">
        <v>7.7815769808775942E-2</v>
      </c>
      <c r="D271" s="8">
        <v>0</v>
      </c>
      <c r="E271" s="8">
        <v>1</v>
      </c>
      <c r="F271" s="8">
        <v>34</v>
      </c>
      <c r="G271" s="7">
        <v>0.47021854293445042</v>
      </c>
      <c r="H271" s="7">
        <v>7.9243117363754292E-2</v>
      </c>
      <c r="I271" s="8">
        <v>0</v>
      </c>
      <c r="J271" s="8">
        <v>1</v>
      </c>
      <c r="K271" s="8">
        <v>42</v>
      </c>
      <c r="L271" s="7">
        <v>0.2445206682606792</v>
      </c>
      <c r="M271" s="7">
        <v>6.7154542896761538E-2</v>
      </c>
      <c r="N271" s="8">
        <v>0</v>
      </c>
      <c r="O271" s="8">
        <v>1</v>
      </c>
      <c r="P271" s="8">
        <v>42</v>
      </c>
      <c r="Q271" s="7">
        <v>0.35160809189742964</v>
      </c>
      <c r="R271" s="7">
        <v>7.902438279457083E-2</v>
      </c>
      <c r="S271" s="8">
        <v>0</v>
      </c>
      <c r="T271" s="8">
        <v>1</v>
      </c>
      <c r="U271" s="8">
        <v>40</v>
      </c>
      <c r="V271" s="7">
        <v>0.42925514319553509</v>
      </c>
      <c r="W271" s="7">
        <v>6.917480911456024E-2</v>
      </c>
      <c r="X271" s="8">
        <v>0</v>
      </c>
      <c r="Y271" s="8">
        <v>1</v>
      </c>
      <c r="Z271" s="8">
        <v>100</v>
      </c>
      <c r="AA271" s="13">
        <v>0.36787839094902408</v>
      </c>
      <c r="AB271" s="7">
        <v>4.0690017630809268E-2</v>
      </c>
      <c r="AC271" s="8">
        <v>0</v>
      </c>
      <c r="AD271" s="8">
        <v>1</v>
      </c>
      <c r="AE271" s="8">
        <v>258</v>
      </c>
      <c r="AF271">
        <f>(AA273/AA272)-AA271</f>
        <v>1.0560795386587218E-2</v>
      </c>
    </row>
    <row r="272" spans="1:32" ht="26.25" x14ac:dyDescent="0.45">
      <c r="A272" s="6" t="s">
        <v>24</v>
      </c>
      <c r="B272" s="7">
        <v>0.59113064078982813</v>
      </c>
      <c r="C272" s="7">
        <v>8.9609791547363538E-2</v>
      </c>
      <c r="D272" s="8">
        <v>0</v>
      </c>
      <c r="E272" s="8">
        <v>1</v>
      </c>
      <c r="F272" s="8">
        <v>34</v>
      </c>
      <c r="G272" s="7">
        <v>0.71909384928754405</v>
      </c>
      <c r="H272" s="7">
        <v>7.2403474018022274E-2</v>
      </c>
      <c r="I272" s="8">
        <v>0</v>
      </c>
      <c r="J272" s="8">
        <v>1</v>
      </c>
      <c r="K272" s="8">
        <v>42</v>
      </c>
      <c r="L272" s="7">
        <v>0.68288377049228632</v>
      </c>
      <c r="M272" s="7">
        <v>7.4547087275515955E-2</v>
      </c>
      <c r="N272" s="8">
        <v>0</v>
      </c>
      <c r="O272" s="8">
        <v>1</v>
      </c>
      <c r="P272" s="8">
        <v>42</v>
      </c>
      <c r="Q272" s="7">
        <v>0.9233668457535289</v>
      </c>
      <c r="R272" s="7">
        <v>4.3202567197263397E-2</v>
      </c>
      <c r="S272" s="8">
        <v>0</v>
      </c>
      <c r="T272" s="8">
        <v>1</v>
      </c>
      <c r="U272" s="8">
        <v>40</v>
      </c>
      <c r="V272" s="7">
        <v>0.63320079073355351</v>
      </c>
      <c r="W272" s="7">
        <v>6.9028775174729731E-2</v>
      </c>
      <c r="X272" s="8">
        <v>0</v>
      </c>
      <c r="Y272" s="8">
        <v>1</v>
      </c>
      <c r="Z272" s="8">
        <v>100</v>
      </c>
      <c r="AA272" s="13">
        <v>0.74045598075499264</v>
      </c>
      <c r="AB272" s="7">
        <v>3.837948723925233E-2</v>
      </c>
      <c r="AC272" s="8">
        <v>0</v>
      </c>
      <c r="AD272" s="8">
        <v>1</v>
      </c>
      <c r="AE272" s="8">
        <v>258</v>
      </c>
      <c r="AF272">
        <f>(AA273/AA271)-AA272</f>
        <v>2.1256492085211409E-2</v>
      </c>
    </row>
    <row r="273" spans="1:32" x14ac:dyDescent="0.45">
      <c r="A273" s="6" t="s">
        <v>119</v>
      </c>
      <c r="B273" s="7">
        <v>0.4675776335238519</v>
      </c>
      <c r="C273" s="7">
        <v>9.1838013206899285E-2</v>
      </c>
      <c r="D273" s="8">
        <v>0</v>
      </c>
      <c r="E273" s="8">
        <v>1</v>
      </c>
      <c r="F273" s="8">
        <v>34</v>
      </c>
      <c r="G273" s="7">
        <v>0.34018381931036568</v>
      </c>
      <c r="H273" s="7">
        <v>7.5058153252302695E-2</v>
      </c>
      <c r="I273" s="8">
        <v>0</v>
      </c>
      <c r="J273" s="8">
        <v>1</v>
      </c>
      <c r="K273" s="8">
        <v>42</v>
      </c>
      <c r="L273" s="7">
        <v>0.19128749990280863</v>
      </c>
      <c r="M273" s="7">
        <v>6.0280867000327851E-2</v>
      </c>
      <c r="N273" s="8">
        <v>0</v>
      </c>
      <c r="O273" s="8">
        <v>1</v>
      </c>
      <c r="P273" s="8">
        <v>42</v>
      </c>
      <c r="Q273" s="7">
        <v>0.32778843909983685</v>
      </c>
      <c r="R273" s="7">
        <v>7.7908113944837334E-2</v>
      </c>
      <c r="S273" s="8">
        <v>0</v>
      </c>
      <c r="T273" s="8">
        <v>1</v>
      </c>
      <c r="U273" s="8">
        <v>40</v>
      </c>
      <c r="V273" s="7">
        <v>0.20338200115365787</v>
      </c>
      <c r="W273" s="7">
        <v>5.7234203087656595E-2</v>
      </c>
      <c r="X273" s="8">
        <v>0</v>
      </c>
      <c r="Y273" s="8">
        <v>1</v>
      </c>
      <c r="Z273" s="8">
        <v>100</v>
      </c>
      <c r="AA273" s="13">
        <v>0.28021755887425648</v>
      </c>
      <c r="AB273" s="7">
        <v>3.7499031688695075E-2</v>
      </c>
      <c r="AC273" s="8">
        <v>0</v>
      </c>
      <c r="AD273" s="8">
        <v>1</v>
      </c>
      <c r="AE273" s="8">
        <v>258</v>
      </c>
    </row>
    <row r="274" spans="1:32" ht="26.25" x14ac:dyDescent="0.45">
      <c r="A274" s="6" t="s">
        <v>38</v>
      </c>
      <c r="B274" s="7">
        <v>0.84000868272823959</v>
      </c>
      <c r="C274" s="7">
        <v>6.5933157962881336E-2</v>
      </c>
      <c r="D274" s="8">
        <v>0</v>
      </c>
      <c r="E274" s="8">
        <v>1</v>
      </c>
      <c r="F274" s="8">
        <v>34</v>
      </c>
      <c r="G274" s="7">
        <v>0.8757010716140059</v>
      </c>
      <c r="H274" s="7">
        <v>5.3035240634634946E-2</v>
      </c>
      <c r="I274" s="8">
        <v>0</v>
      </c>
      <c r="J274" s="8">
        <v>1</v>
      </c>
      <c r="K274" s="8">
        <v>42</v>
      </c>
      <c r="L274" s="7">
        <v>0.71102549516240099</v>
      </c>
      <c r="M274" s="7">
        <v>7.24518160292143E-2</v>
      </c>
      <c r="N274" s="8">
        <v>0</v>
      </c>
      <c r="O274" s="8">
        <v>1</v>
      </c>
      <c r="P274" s="8">
        <v>42</v>
      </c>
      <c r="Q274" s="7">
        <v>0.76619872916446996</v>
      </c>
      <c r="R274" s="7">
        <v>6.9319636379783084E-2</v>
      </c>
      <c r="S274" s="8">
        <v>0</v>
      </c>
      <c r="T274" s="8">
        <v>1</v>
      </c>
      <c r="U274" s="8">
        <v>40</v>
      </c>
      <c r="V274" s="7">
        <v>0.38621991000499384</v>
      </c>
      <c r="W274" s="7">
        <v>6.6639473541989111E-2</v>
      </c>
      <c r="X274" s="8">
        <v>0</v>
      </c>
      <c r="Y274" s="8">
        <v>1</v>
      </c>
      <c r="Z274" s="8">
        <v>100</v>
      </c>
      <c r="AA274" s="13">
        <v>0.7659232322798829</v>
      </c>
      <c r="AB274" s="7">
        <v>3.6756971234523643E-2</v>
      </c>
      <c r="AC274" s="8">
        <v>0</v>
      </c>
      <c r="AD274" s="8">
        <v>1</v>
      </c>
      <c r="AE274" s="8">
        <v>258</v>
      </c>
      <c r="AF274">
        <f>(AA276/AA275)-AA274</f>
        <v>5.7743928922497911E-3</v>
      </c>
    </row>
    <row r="275" spans="1:32" x14ac:dyDescent="0.45">
      <c r="A275" s="6" t="s">
        <v>40</v>
      </c>
      <c r="B275" s="7">
        <v>0.47314926338671726</v>
      </c>
      <c r="C275" s="7">
        <v>9.1986997587208227E-2</v>
      </c>
      <c r="D275" s="8">
        <v>0</v>
      </c>
      <c r="E275" s="8">
        <v>1</v>
      </c>
      <c r="F275" s="8">
        <v>34</v>
      </c>
      <c r="G275" s="7">
        <v>0.59916532039375925</v>
      </c>
      <c r="H275" s="7">
        <v>7.8188563211038412E-2</v>
      </c>
      <c r="I275" s="8">
        <v>0</v>
      </c>
      <c r="J275" s="8">
        <v>1</v>
      </c>
      <c r="K275" s="8">
        <v>42</v>
      </c>
      <c r="L275" s="7">
        <v>0.53311254311611167</v>
      </c>
      <c r="M275" s="7">
        <v>8.0040164750678475E-2</v>
      </c>
      <c r="N275" s="8">
        <v>0</v>
      </c>
      <c r="O275" s="8">
        <v>1</v>
      </c>
      <c r="P275" s="8">
        <v>42</v>
      </c>
      <c r="Q275" s="7">
        <v>0.89744052335873858</v>
      </c>
      <c r="R275" s="7">
        <v>4.9355060283969104E-2</v>
      </c>
      <c r="S275" s="8">
        <v>0</v>
      </c>
      <c r="T275" s="8">
        <v>1</v>
      </c>
      <c r="U275" s="8">
        <v>40</v>
      </c>
      <c r="V275" s="7">
        <v>0.62802955981828001</v>
      </c>
      <c r="W275" s="7">
        <v>6.9009852430896662E-2</v>
      </c>
      <c r="X275" s="8">
        <v>0</v>
      </c>
      <c r="Y275" s="8">
        <v>1</v>
      </c>
      <c r="Z275" s="8">
        <v>100</v>
      </c>
      <c r="AA275" s="13">
        <v>0.63371905921169658</v>
      </c>
      <c r="AB275" s="7">
        <v>4.2239621614603332E-2</v>
      </c>
      <c r="AC275" s="8">
        <v>0</v>
      </c>
      <c r="AD275" s="8">
        <v>1</v>
      </c>
      <c r="AE275" s="8">
        <v>258</v>
      </c>
      <c r="AF275">
        <f>(AA276/AA274)-AA275</f>
        <v>4.7776887773761656E-3</v>
      </c>
    </row>
    <row r="276" spans="1:32" ht="39.4" x14ac:dyDescent="0.45">
      <c r="A276" s="6" t="s">
        <v>120</v>
      </c>
      <c r="B276" s="7">
        <v>0.36089502294832831</v>
      </c>
      <c r="C276" s="7">
        <v>8.9426067205592735E-2</v>
      </c>
      <c r="D276" s="8">
        <v>0</v>
      </c>
      <c r="E276" s="8">
        <v>1</v>
      </c>
      <c r="F276" s="8">
        <v>34</v>
      </c>
      <c r="G276" s="7">
        <v>0.50506913755329086</v>
      </c>
      <c r="H276" s="7">
        <v>7.9325594856387918E-2</v>
      </c>
      <c r="I276" s="8">
        <v>0</v>
      </c>
      <c r="J276" s="8">
        <v>1</v>
      </c>
      <c r="K276" s="8">
        <v>42</v>
      </c>
      <c r="L276" s="7">
        <v>0.37894893147577641</v>
      </c>
      <c r="M276" s="7">
        <v>7.7736054663703577E-2</v>
      </c>
      <c r="N276" s="8">
        <v>0</v>
      </c>
      <c r="O276" s="8">
        <v>1</v>
      </c>
      <c r="P276" s="8">
        <v>42</v>
      </c>
      <c r="Q276" s="7">
        <v>0.71459735205913777</v>
      </c>
      <c r="R276" s="7">
        <v>7.4008899668613293E-2</v>
      </c>
      <c r="S276" s="8">
        <v>0</v>
      </c>
      <c r="T276" s="8">
        <v>1</v>
      </c>
      <c r="U276" s="8">
        <v>40</v>
      </c>
      <c r="V276" s="7">
        <v>0.38211264120073429</v>
      </c>
      <c r="W276" s="7">
        <v>6.6576063160910692E-2</v>
      </c>
      <c r="X276" s="8">
        <v>0</v>
      </c>
      <c r="Y276" s="8">
        <v>1</v>
      </c>
      <c r="Z276" s="8">
        <v>100</v>
      </c>
      <c r="AA276" s="13">
        <v>0.48903949301998439</v>
      </c>
      <c r="AB276" s="7">
        <v>4.3291000616762991E-2</v>
      </c>
      <c r="AC276" s="8">
        <v>0</v>
      </c>
      <c r="AD276" s="8">
        <v>1</v>
      </c>
      <c r="AE276" s="8">
        <v>258</v>
      </c>
    </row>
    <row r="277" spans="1:32" ht="26.25" x14ac:dyDescent="0.45">
      <c r="A277" s="6" t="s">
        <v>38</v>
      </c>
      <c r="B277" s="7">
        <v>0.84000868272823959</v>
      </c>
      <c r="C277" s="7">
        <v>6.5933157962881336E-2</v>
      </c>
      <c r="D277" s="8">
        <v>0</v>
      </c>
      <c r="E277" s="8">
        <v>1</v>
      </c>
      <c r="F277" s="8">
        <v>34</v>
      </c>
      <c r="G277" s="7">
        <v>0.8757010716140059</v>
      </c>
      <c r="H277" s="7">
        <v>5.3035240634634946E-2</v>
      </c>
      <c r="I277" s="8">
        <v>0</v>
      </c>
      <c r="J277" s="8">
        <v>1</v>
      </c>
      <c r="K277" s="8">
        <v>42</v>
      </c>
      <c r="L277" s="7">
        <v>0.71102549516240099</v>
      </c>
      <c r="M277" s="7">
        <v>7.24518160292143E-2</v>
      </c>
      <c r="N277" s="8">
        <v>0</v>
      </c>
      <c r="O277" s="8">
        <v>1</v>
      </c>
      <c r="P277" s="8">
        <v>42</v>
      </c>
      <c r="Q277" s="7">
        <v>0.76619872916446996</v>
      </c>
      <c r="R277" s="7">
        <v>6.9319636379783084E-2</v>
      </c>
      <c r="S277" s="8">
        <v>0</v>
      </c>
      <c r="T277" s="8">
        <v>1</v>
      </c>
      <c r="U277" s="8">
        <v>40</v>
      </c>
      <c r="V277" s="7">
        <v>0.38621991000499384</v>
      </c>
      <c r="W277" s="7">
        <v>6.6639473541989111E-2</v>
      </c>
      <c r="X277" s="8">
        <v>0</v>
      </c>
      <c r="Y277" s="8">
        <v>1</v>
      </c>
      <c r="Z277" s="8">
        <v>100</v>
      </c>
      <c r="AA277" s="13">
        <v>0.7659232322798829</v>
      </c>
      <c r="AB277" s="7">
        <v>3.6756971234523643E-2</v>
      </c>
      <c r="AC277" s="8">
        <v>0</v>
      </c>
      <c r="AD277" s="8">
        <v>1</v>
      </c>
      <c r="AE277" s="8">
        <v>258</v>
      </c>
      <c r="AF277">
        <f>(AA279/AA278)-AA277</f>
        <v>4.4554815265697378E-2</v>
      </c>
    </row>
    <row r="278" spans="1:32" x14ac:dyDescent="0.45">
      <c r="A278" s="6" t="s">
        <v>42</v>
      </c>
      <c r="B278" s="7">
        <v>0.70676339075737993</v>
      </c>
      <c r="C278" s="7">
        <v>8.2311257529143506E-2</v>
      </c>
      <c r="D278" s="8">
        <v>0</v>
      </c>
      <c r="E278" s="8">
        <v>1</v>
      </c>
      <c r="F278" s="8">
        <v>34</v>
      </c>
      <c r="G278" s="7">
        <v>0.89745945595635757</v>
      </c>
      <c r="H278" s="7">
        <v>4.9322035621993304E-2</v>
      </c>
      <c r="I278" s="8">
        <v>0</v>
      </c>
      <c r="J278" s="8">
        <v>1</v>
      </c>
      <c r="K278" s="8">
        <v>42</v>
      </c>
      <c r="L278" s="7">
        <v>0.73410738154726995</v>
      </c>
      <c r="M278" s="7">
        <v>7.0289158801824597E-2</v>
      </c>
      <c r="N278" s="8">
        <v>0</v>
      </c>
      <c r="O278" s="8">
        <v>1</v>
      </c>
      <c r="P278" s="8">
        <v>42</v>
      </c>
      <c r="Q278" s="7">
        <v>0.87908303986713809</v>
      </c>
      <c r="R278" s="7">
        <v>5.2789569621478863E-2</v>
      </c>
      <c r="S278" s="8">
        <v>0</v>
      </c>
      <c r="T278" s="8">
        <v>1</v>
      </c>
      <c r="U278" s="8">
        <v>40</v>
      </c>
      <c r="V278" s="7">
        <v>0.56438823579629216</v>
      </c>
      <c r="W278" s="7">
        <v>7.0335671964889795E-2</v>
      </c>
      <c r="X278" s="8">
        <v>0</v>
      </c>
      <c r="Y278" s="8">
        <v>1</v>
      </c>
      <c r="Z278" s="8">
        <v>100</v>
      </c>
      <c r="AA278" s="13">
        <v>0.80480908326262457</v>
      </c>
      <c r="AB278" s="7">
        <v>3.4435137521316703E-2</v>
      </c>
      <c r="AC278" s="8">
        <v>0</v>
      </c>
      <c r="AD278" s="8">
        <v>1</v>
      </c>
      <c r="AE278" s="8">
        <v>258</v>
      </c>
      <c r="AF278">
        <f>(AA279/AA277)-AA278</f>
        <v>4.6816859076313055E-2</v>
      </c>
    </row>
    <row r="279" spans="1:32" ht="39.4" x14ac:dyDescent="0.45">
      <c r="A279" s="6" t="s">
        <v>121</v>
      </c>
      <c r="B279" s="7">
        <v>0.59333550733689799</v>
      </c>
      <c r="C279" s="7">
        <v>8.9867708108030547E-2</v>
      </c>
      <c r="D279" s="8">
        <v>0</v>
      </c>
      <c r="E279" s="8">
        <v>1</v>
      </c>
      <c r="F279" s="8">
        <v>34</v>
      </c>
      <c r="G279" s="7">
        <v>0.80336327311588918</v>
      </c>
      <c r="H279" s="7">
        <v>6.3387860068947005E-2</v>
      </c>
      <c r="I279" s="8">
        <v>0</v>
      </c>
      <c r="J279" s="8">
        <v>1</v>
      </c>
      <c r="K279" s="8">
        <v>42</v>
      </c>
      <c r="L279" s="7">
        <v>0.57515187963095105</v>
      </c>
      <c r="M279" s="7">
        <v>7.8919704444838673E-2</v>
      </c>
      <c r="N279" s="8">
        <v>0</v>
      </c>
      <c r="O279" s="8">
        <v>1</v>
      </c>
      <c r="P279" s="8">
        <v>42</v>
      </c>
      <c r="Q279" s="7">
        <v>0.67031354617274685</v>
      </c>
      <c r="R279" s="7">
        <v>7.6998670895300783E-2</v>
      </c>
      <c r="S279" s="8">
        <v>0</v>
      </c>
      <c r="T279" s="8">
        <v>1</v>
      </c>
      <c r="U279" s="8">
        <v>40</v>
      </c>
      <c r="V279" s="7">
        <v>0.32037214983422446</v>
      </c>
      <c r="W279" s="7">
        <v>6.291999472199733E-2</v>
      </c>
      <c r="X279" s="8">
        <v>0</v>
      </c>
      <c r="Y279" s="8">
        <v>1</v>
      </c>
      <c r="Z279" s="8">
        <v>100</v>
      </c>
      <c r="AA279" s="13">
        <v>0.6522800944496403</v>
      </c>
      <c r="AB279" s="7">
        <v>4.1110102246346703E-2</v>
      </c>
      <c r="AC279" s="8">
        <v>0</v>
      </c>
      <c r="AD279" s="8">
        <v>1</v>
      </c>
      <c r="AE279" s="8">
        <v>258</v>
      </c>
    </row>
    <row r="280" spans="1:32" ht="26.25" x14ac:dyDescent="0.45">
      <c r="A280" s="6" t="s">
        <v>38</v>
      </c>
      <c r="B280" s="7">
        <v>0.84000868272823959</v>
      </c>
      <c r="C280" s="7">
        <v>6.5933157962881336E-2</v>
      </c>
      <c r="D280" s="8">
        <v>0</v>
      </c>
      <c r="E280" s="8">
        <v>1</v>
      </c>
      <c r="F280" s="8">
        <v>34</v>
      </c>
      <c r="G280" s="7">
        <v>0.8757010716140059</v>
      </c>
      <c r="H280" s="7">
        <v>5.3035240634634946E-2</v>
      </c>
      <c r="I280" s="8">
        <v>0</v>
      </c>
      <c r="J280" s="8">
        <v>1</v>
      </c>
      <c r="K280" s="8">
        <v>42</v>
      </c>
      <c r="L280" s="7">
        <v>0.71102549516240099</v>
      </c>
      <c r="M280" s="7">
        <v>7.24518160292143E-2</v>
      </c>
      <c r="N280" s="8">
        <v>0</v>
      </c>
      <c r="O280" s="8">
        <v>1</v>
      </c>
      <c r="P280" s="8">
        <v>42</v>
      </c>
      <c r="Q280" s="7">
        <v>0.76619872916446996</v>
      </c>
      <c r="R280" s="7">
        <v>6.9319636379783084E-2</v>
      </c>
      <c r="S280" s="8">
        <v>0</v>
      </c>
      <c r="T280" s="8">
        <v>1</v>
      </c>
      <c r="U280" s="8">
        <v>40</v>
      </c>
      <c r="V280" s="7">
        <v>0.38621991000499384</v>
      </c>
      <c r="W280" s="7">
        <v>6.6639473541989111E-2</v>
      </c>
      <c r="X280" s="8">
        <v>0</v>
      </c>
      <c r="Y280" s="8">
        <v>1</v>
      </c>
      <c r="Z280" s="8">
        <v>100</v>
      </c>
      <c r="AA280" s="13">
        <v>0.7659232322798829</v>
      </c>
      <c r="AB280" s="7">
        <v>3.6756971234523643E-2</v>
      </c>
      <c r="AC280" s="8">
        <v>0</v>
      </c>
      <c r="AD280" s="8">
        <v>1</v>
      </c>
      <c r="AE280" s="8">
        <v>258</v>
      </c>
      <c r="AF280">
        <f>(AA282/AA281)-AA280</f>
        <v>-5.1824916535644916E-2</v>
      </c>
    </row>
    <row r="281" spans="1:32" x14ac:dyDescent="0.45">
      <c r="A281" s="6" t="s">
        <v>44</v>
      </c>
      <c r="B281" s="7">
        <v>0.26296232107028095</v>
      </c>
      <c r="C281" s="7">
        <v>8.0971230867118368E-2</v>
      </c>
      <c r="D281" s="8">
        <v>0</v>
      </c>
      <c r="E281" s="8">
        <v>1</v>
      </c>
      <c r="F281" s="8">
        <v>34</v>
      </c>
      <c r="G281" s="7">
        <v>0.35571464744938486</v>
      </c>
      <c r="H281" s="7">
        <v>7.5377725145722718E-2</v>
      </c>
      <c r="I281" s="8">
        <v>0</v>
      </c>
      <c r="J281" s="8">
        <v>1</v>
      </c>
      <c r="K281" s="8">
        <v>42</v>
      </c>
      <c r="L281" s="7">
        <v>0.32429932744398482</v>
      </c>
      <c r="M281" s="7">
        <v>7.5510042392919433E-2</v>
      </c>
      <c r="N281" s="8">
        <v>0</v>
      </c>
      <c r="O281" s="8">
        <v>1</v>
      </c>
      <c r="P281" s="8">
        <v>42</v>
      </c>
      <c r="Q281" s="7">
        <v>0.48486364033758289</v>
      </c>
      <c r="R281" s="7">
        <v>8.2351680282883519E-2</v>
      </c>
      <c r="S281" s="8">
        <v>0</v>
      </c>
      <c r="T281" s="8">
        <v>1</v>
      </c>
      <c r="U281" s="8">
        <v>40</v>
      </c>
      <c r="V281" s="7">
        <v>0.24605417111353658</v>
      </c>
      <c r="W281" s="7">
        <v>5.5580698511919616E-2</v>
      </c>
      <c r="X281" s="8">
        <v>0</v>
      </c>
      <c r="Y281" s="8">
        <v>1</v>
      </c>
      <c r="Z281" s="8">
        <v>100</v>
      </c>
      <c r="AA281" s="13">
        <v>0.36324676446651744</v>
      </c>
      <c r="AB281" s="7">
        <v>4.1670411595932391E-2</v>
      </c>
      <c r="AC281" s="8">
        <v>0</v>
      </c>
      <c r="AD281" s="8">
        <v>1</v>
      </c>
      <c r="AE281" s="8">
        <v>258</v>
      </c>
      <c r="AF281">
        <f>(AA282/AA280)-AA281</f>
        <v>-2.4578485750176682E-2</v>
      </c>
    </row>
    <row r="282" spans="1:32" ht="26.25" x14ac:dyDescent="0.45">
      <c r="A282" s="6" t="s">
        <v>122</v>
      </c>
      <c r="B282" s="7">
        <v>0.19618383503838058</v>
      </c>
      <c r="C282" s="7">
        <v>7.2014166789937079E-2</v>
      </c>
      <c r="D282" s="8">
        <v>0</v>
      </c>
      <c r="E282" s="8">
        <v>1</v>
      </c>
      <c r="F282" s="8">
        <v>34</v>
      </c>
      <c r="G282" s="7">
        <v>0.3325049527686913</v>
      </c>
      <c r="H282" s="7">
        <v>7.4140856614995476E-2</v>
      </c>
      <c r="I282" s="8">
        <v>0</v>
      </c>
      <c r="J282" s="8">
        <v>1</v>
      </c>
      <c r="K282" s="8">
        <v>42</v>
      </c>
      <c r="L282" s="7">
        <v>0.2025793000466142</v>
      </c>
      <c r="M282" s="7">
        <v>6.5672051415773036E-2</v>
      </c>
      <c r="N282" s="8">
        <v>0</v>
      </c>
      <c r="O282" s="8">
        <v>1</v>
      </c>
      <c r="P282" s="8">
        <v>42</v>
      </c>
      <c r="Q282" s="7">
        <v>0.30234380623415991</v>
      </c>
      <c r="R282" s="7">
        <v>7.6421473579429897E-2</v>
      </c>
      <c r="S282" s="8">
        <v>0</v>
      </c>
      <c r="T282" s="8">
        <v>1</v>
      </c>
      <c r="U282" s="8">
        <v>40</v>
      </c>
      <c r="V282" s="7">
        <v>0.16522390807730061</v>
      </c>
      <c r="W282" s="7">
        <v>4.906945891651137E-2</v>
      </c>
      <c r="X282" s="8">
        <v>0</v>
      </c>
      <c r="Y282" s="8">
        <v>1</v>
      </c>
      <c r="Z282" s="8">
        <v>100</v>
      </c>
      <c r="AA282" s="13">
        <v>0.259393902705084</v>
      </c>
      <c r="AB282" s="7">
        <v>3.7910015996194396E-2</v>
      </c>
      <c r="AC282" s="8">
        <v>0</v>
      </c>
      <c r="AD282" s="8">
        <v>1</v>
      </c>
      <c r="AE282" s="8">
        <v>258</v>
      </c>
    </row>
    <row r="283" spans="1:32" x14ac:dyDescent="0.45">
      <c r="A283" s="6" t="s">
        <v>40</v>
      </c>
      <c r="B283" s="7">
        <v>0.47314926338671726</v>
      </c>
      <c r="C283" s="7">
        <v>9.1986997587208227E-2</v>
      </c>
      <c r="D283" s="8">
        <v>0</v>
      </c>
      <c r="E283" s="8">
        <v>1</v>
      </c>
      <c r="F283" s="8">
        <v>34</v>
      </c>
      <c r="G283" s="7">
        <v>0.59916532039375925</v>
      </c>
      <c r="H283" s="7">
        <v>7.8188563211038412E-2</v>
      </c>
      <c r="I283" s="8">
        <v>0</v>
      </c>
      <c r="J283" s="8">
        <v>1</v>
      </c>
      <c r="K283" s="8">
        <v>42</v>
      </c>
      <c r="L283" s="7">
        <v>0.53311254311611167</v>
      </c>
      <c r="M283" s="7">
        <v>8.0040164750678475E-2</v>
      </c>
      <c r="N283" s="8">
        <v>0</v>
      </c>
      <c r="O283" s="8">
        <v>1</v>
      </c>
      <c r="P283" s="8">
        <v>42</v>
      </c>
      <c r="Q283" s="7">
        <v>0.89744052335873858</v>
      </c>
      <c r="R283" s="7">
        <v>4.9355060283969104E-2</v>
      </c>
      <c r="S283" s="8">
        <v>0</v>
      </c>
      <c r="T283" s="8">
        <v>1</v>
      </c>
      <c r="U283" s="8">
        <v>40</v>
      </c>
      <c r="V283" s="7">
        <v>0.62802955981828001</v>
      </c>
      <c r="W283" s="7">
        <v>6.9009852430896662E-2</v>
      </c>
      <c r="X283" s="8">
        <v>0</v>
      </c>
      <c r="Y283" s="8">
        <v>1</v>
      </c>
      <c r="Z283" s="8">
        <v>100</v>
      </c>
      <c r="AA283" s="13">
        <v>0.63371905921169658</v>
      </c>
      <c r="AB283" s="7">
        <v>4.2239621614603332E-2</v>
      </c>
      <c r="AC283" s="8">
        <v>0</v>
      </c>
      <c r="AD283" s="8">
        <v>1</v>
      </c>
      <c r="AE283" s="8">
        <v>258</v>
      </c>
      <c r="AF283">
        <f>(AA285/AA284)-AA283</f>
        <v>2.4943481167020609E-2</v>
      </c>
    </row>
    <row r="284" spans="1:32" x14ac:dyDescent="0.45">
      <c r="A284" s="6" t="s">
        <v>42</v>
      </c>
      <c r="B284" s="7">
        <v>0.70676339075737993</v>
      </c>
      <c r="C284" s="7">
        <v>8.2311257529143506E-2</v>
      </c>
      <c r="D284" s="8">
        <v>0</v>
      </c>
      <c r="E284" s="8">
        <v>1</v>
      </c>
      <c r="F284" s="8">
        <v>34</v>
      </c>
      <c r="G284" s="7">
        <v>0.89745945595635757</v>
      </c>
      <c r="H284" s="7">
        <v>4.9322035621993304E-2</v>
      </c>
      <c r="I284" s="8">
        <v>0</v>
      </c>
      <c r="J284" s="8">
        <v>1</v>
      </c>
      <c r="K284" s="8">
        <v>42</v>
      </c>
      <c r="L284" s="7">
        <v>0.73410738154726995</v>
      </c>
      <c r="M284" s="7">
        <v>7.0289158801824597E-2</v>
      </c>
      <c r="N284" s="8">
        <v>0</v>
      </c>
      <c r="O284" s="8">
        <v>1</v>
      </c>
      <c r="P284" s="8">
        <v>42</v>
      </c>
      <c r="Q284" s="7">
        <v>0.87908303986713809</v>
      </c>
      <c r="R284" s="7">
        <v>5.2789569621478863E-2</v>
      </c>
      <c r="S284" s="8">
        <v>0</v>
      </c>
      <c r="T284" s="8">
        <v>1</v>
      </c>
      <c r="U284" s="8">
        <v>40</v>
      </c>
      <c r="V284" s="7">
        <v>0.56438823579629216</v>
      </c>
      <c r="W284" s="7">
        <v>7.0335671964889795E-2</v>
      </c>
      <c r="X284" s="8">
        <v>0</v>
      </c>
      <c r="Y284" s="8">
        <v>1</v>
      </c>
      <c r="Z284" s="8">
        <v>100</v>
      </c>
      <c r="AA284" s="13">
        <v>0.80480908326262457</v>
      </c>
      <c r="AB284" s="7">
        <v>3.4435137521316703E-2</v>
      </c>
      <c r="AC284" s="8">
        <v>0</v>
      </c>
      <c r="AD284" s="8">
        <v>1</v>
      </c>
      <c r="AE284" s="8">
        <v>258</v>
      </c>
      <c r="AF284">
        <f>(AA285/AA283)-AA284</f>
        <v>3.1677665236043206E-2</v>
      </c>
    </row>
    <row r="285" spans="1:32" ht="26.25" x14ac:dyDescent="0.45">
      <c r="A285" s="6" t="s">
        <v>123</v>
      </c>
      <c r="B285" s="7">
        <v>0.33039102863886777</v>
      </c>
      <c r="C285" s="7">
        <v>8.7774168371291636E-2</v>
      </c>
      <c r="D285" s="8">
        <v>0</v>
      </c>
      <c r="E285" s="8">
        <v>1</v>
      </c>
      <c r="F285" s="8">
        <v>34</v>
      </c>
      <c r="G285" s="7">
        <v>0.52682752189564253</v>
      </c>
      <c r="H285" s="7">
        <v>7.9308741709721436E-2</v>
      </c>
      <c r="I285" s="8">
        <v>0</v>
      </c>
      <c r="J285" s="8">
        <v>1</v>
      </c>
      <c r="K285" s="8">
        <v>42</v>
      </c>
      <c r="L285" s="7">
        <v>0.40902305720570969</v>
      </c>
      <c r="M285" s="7">
        <v>7.8935387046755026E-2</v>
      </c>
      <c r="N285" s="8">
        <v>0</v>
      </c>
      <c r="O285" s="8">
        <v>1</v>
      </c>
      <c r="P285" s="8">
        <v>42</v>
      </c>
      <c r="Q285" s="7">
        <v>0.80155534036701537</v>
      </c>
      <c r="R285" s="7">
        <v>6.4912559202061237E-2</v>
      </c>
      <c r="S285" s="8">
        <v>0</v>
      </c>
      <c r="T285" s="8">
        <v>1</v>
      </c>
      <c r="U285" s="8">
        <v>40</v>
      </c>
      <c r="V285" s="7">
        <v>0.53262713783974402</v>
      </c>
      <c r="W285" s="7">
        <v>6.9930889420316264E-2</v>
      </c>
      <c r="X285" s="8">
        <v>0</v>
      </c>
      <c r="Y285" s="8">
        <v>1</v>
      </c>
      <c r="Z285" s="8">
        <v>100</v>
      </c>
      <c r="AA285" s="13">
        <v>0.53009759530162681</v>
      </c>
      <c r="AB285" s="7">
        <v>4.3377631487999273E-2</v>
      </c>
      <c r="AC285" s="8">
        <v>0</v>
      </c>
      <c r="AD285" s="8">
        <v>1</v>
      </c>
      <c r="AE285" s="8">
        <v>258</v>
      </c>
    </row>
    <row r="286" spans="1:32" x14ac:dyDescent="0.45">
      <c r="A286" s="6" t="s">
        <v>40</v>
      </c>
      <c r="B286" s="7">
        <v>0.47314926338671726</v>
      </c>
      <c r="C286" s="7">
        <v>9.1986997587208227E-2</v>
      </c>
      <c r="D286" s="8">
        <v>0</v>
      </c>
      <c r="E286" s="8">
        <v>1</v>
      </c>
      <c r="F286" s="8">
        <v>34</v>
      </c>
      <c r="G286" s="7">
        <v>0.59916532039375925</v>
      </c>
      <c r="H286" s="7">
        <v>7.8188563211038412E-2</v>
      </c>
      <c r="I286" s="8">
        <v>0</v>
      </c>
      <c r="J286" s="8">
        <v>1</v>
      </c>
      <c r="K286" s="8">
        <v>42</v>
      </c>
      <c r="L286" s="7">
        <v>0.53311254311611167</v>
      </c>
      <c r="M286" s="7">
        <v>8.0040164750678475E-2</v>
      </c>
      <c r="N286" s="8">
        <v>0</v>
      </c>
      <c r="O286" s="8">
        <v>1</v>
      </c>
      <c r="P286" s="8">
        <v>42</v>
      </c>
      <c r="Q286" s="7">
        <v>0.89744052335873858</v>
      </c>
      <c r="R286" s="7">
        <v>4.9355060283969104E-2</v>
      </c>
      <c r="S286" s="8">
        <v>0</v>
      </c>
      <c r="T286" s="8">
        <v>1</v>
      </c>
      <c r="U286" s="8">
        <v>40</v>
      </c>
      <c r="V286" s="7">
        <v>0.62802955981828001</v>
      </c>
      <c r="W286" s="7">
        <v>6.9009852430896662E-2</v>
      </c>
      <c r="X286" s="8">
        <v>0</v>
      </c>
      <c r="Y286" s="8">
        <v>1</v>
      </c>
      <c r="Z286" s="8">
        <v>100</v>
      </c>
      <c r="AA286" s="13">
        <v>0.63371905921169658</v>
      </c>
      <c r="AB286" s="7">
        <v>4.2239621614603332E-2</v>
      </c>
      <c r="AC286" s="8">
        <v>0</v>
      </c>
      <c r="AD286" s="8">
        <v>1</v>
      </c>
      <c r="AE286" s="8">
        <v>258</v>
      </c>
      <c r="AF286">
        <f>(AA288/AA287)-AA286</f>
        <v>7.2439585587094513E-2</v>
      </c>
    </row>
    <row r="287" spans="1:32" x14ac:dyDescent="0.45">
      <c r="A287" s="6" t="s">
        <v>44</v>
      </c>
      <c r="B287" s="7">
        <v>0.26296232107028095</v>
      </c>
      <c r="C287" s="7">
        <v>8.0971230867118368E-2</v>
      </c>
      <c r="D287" s="8">
        <v>0</v>
      </c>
      <c r="E287" s="8">
        <v>1</v>
      </c>
      <c r="F287" s="8">
        <v>34</v>
      </c>
      <c r="G287" s="7">
        <v>0.35571464744938486</v>
      </c>
      <c r="H287" s="7">
        <v>7.5377725145722718E-2</v>
      </c>
      <c r="I287" s="8">
        <v>0</v>
      </c>
      <c r="J287" s="8">
        <v>1</v>
      </c>
      <c r="K287" s="8">
        <v>42</v>
      </c>
      <c r="L287" s="7">
        <v>0.32429932744398482</v>
      </c>
      <c r="M287" s="7">
        <v>7.5510042392919433E-2</v>
      </c>
      <c r="N287" s="8">
        <v>0</v>
      </c>
      <c r="O287" s="8">
        <v>1</v>
      </c>
      <c r="P287" s="8">
        <v>42</v>
      </c>
      <c r="Q287" s="7">
        <v>0.48486364033758289</v>
      </c>
      <c r="R287" s="7">
        <v>8.2351680282883519E-2</v>
      </c>
      <c r="S287" s="8">
        <v>0</v>
      </c>
      <c r="T287" s="8">
        <v>1</v>
      </c>
      <c r="U287" s="8">
        <v>40</v>
      </c>
      <c r="V287" s="7">
        <v>0.24605417111353658</v>
      </c>
      <c r="W287" s="7">
        <v>5.5580698511919616E-2</v>
      </c>
      <c r="X287" s="8">
        <v>0</v>
      </c>
      <c r="Y287" s="8">
        <v>1</v>
      </c>
      <c r="Z287" s="8">
        <v>100</v>
      </c>
      <c r="AA287" s="13">
        <v>0.36324676446651744</v>
      </c>
      <c r="AB287" s="7">
        <v>4.1670411595932391E-2</v>
      </c>
      <c r="AC287" s="8">
        <v>0</v>
      </c>
      <c r="AD287" s="8">
        <v>1</v>
      </c>
      <c r="AE287" s="8">
        <v>258</v>
      </c>
      <c r="AF287">
        <f>(AA288/AA286)-AA287</f>
        <v>4.1522256118570244E-2</v>
      </c>
    </row>
    <row r="288" spans="1:32" ht="26.25" x14ac:dyDescent="0.45">
      <c r="A288" s="6" t="s">
        <v>124</v>
      </c>
      <c r="B288" s="7">
        <v>0.14498094366717013</v>
      </c>
      <c r="C288" s="7">
        <v>6.6153251566500523E-2</v>
      </c>
      <c r="D288" s="8">
        <v>0</v>
      </c>
      <c r="E288" s="8">
        <v>1</v>
      </c>
      <c r="F288" s="8">
        <v>34</v>
      </c>
      <c r="G288" s="7">
        <v>0.23578611855560008</v>
      </c>
      <c r="H288" s="7">
        <v>6.6207142858973458E-2</v>
      </c>
      <c r="I288" s="8">
        <v>0</v>
      </c>
      <c r="J288" s="8">
        <v>1</v>
      </c>
      <c r="K288" s="8">
        <v>42</v>
      </c>
      <c r="L288" s="7">
        <v>0.17452810006781025</v>
      </c>
      <c r="M288" s="7">
        <v>6.1759253400739546E-2</v>
      </c>
      <c r="N288" s="8">
        <v>0</v>
      </c>
      <c r="O288" s="8">
        <v>1</v>
      </c>
      <c r="P288" s="8">
        <v>42</v>
      </c>
      <c r="Q288" s="7">
        <v>0.45893731794279247</v>
      </c>
      <c r="R288" s="7">
        <v>8.2194831626479198E-2</v>
      </c>
      <c r="S288" s="8">
        <v>0</v>
      </c>
      <c r="T288" s="8">
        <v>1</v>
      </c>
      <c r="U288" s="8">
        <v>40</v>
      </c>
      <c r="V288" s="7">
        <v>0.24088294019826303</v>
      </c>
      <c r="W288" s="7">
        <v>5.5365593582945627E-2</v>
      </c>
      <c r="X288" s="8">
        <v>0</v>
      </c>
      <c r="Y288" s="8">
        <v>1</v>
      </c>
      <c r="Z288" s="8">
        <v>100</v>
      </c>
      <c r="AA288" s="13">
        <v>0.2565098429232216</v>
      </c>
      <c r="AB288" s="7">
        <v>3.7237554888690204E-2</v>
      </c>
      <c r="AC288" s="8">
        <v>0</v>
      </c>
      <c r="AD288" s="8">
        <v>1</v>
      </c>
      <c r="AE288" s="8">
        <v>258</v>
      </c>
    </row>
    <row r="289" spans="1:31" ht="26.65" thickBot="1" x14ac:dyDescent="0.5">
      <c r="A289" s="9" t="s">
        <v>125</v>
      </c>
      <c r="B289" s="10">
        <v>34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42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42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40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100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4">
        <v>258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4.65" thickTop="1" x14ac:dyDescent="0.45">
      <c r="A290" s="12" t="s">
        <v>127</v>
      </c>
    </row>
    <row r="291" spans="1:31" x14ac:dyDescent="0.45">
      <c r="A291" s="12" t="s">
        <v>128</v>
      </c>
    </row>
    <row r="292" spans="1:31" x14ac:dyDescent="0.45">
      <c r="A292" s="12" t="s">
        <v>129</v>
      </c>
    </row>
    <row r="293" spans="1:31" x14ac:dyDescent="0.45">
      <c r="A293" s="12" t="s">
        <v>22</v>
      </c>
    </row>
    <row r="294" spans="1:31" x14ac:dyDescent="0.45">
      <c r="A294" s="12" t="s">
        <v>130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4"/>
  <sheetViews>
    <sheetView workbookViewId="0">
      <pane xSplit="1" ySplit="3" topLeftCell="AF270" activePane="bottomRight" state="frozen"/>
      <selection pane="topRight" activeCell="B1" sqref="B1"/>
      <selection pane="bottomLeft" activeCell="A4" sqref="A4"/>
      <selection pane="bottomRight" activeCell="AL293" sqref="AL293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7" ht="12.75" customHeight="1" x14ac:dyDescent="0.4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7" x14ac:dyDescent="0.45">
      <c r="A2" s="2" t="s">
        <v>1</v>
      </c>
      <c r="B2" s="4" t="s">
        <v>132</v>
      </c>
      <c r="C2" s="4"/>
      <c r="D2" s="4"/>
      <c r="E2" s="4"/>
      <c r="F2" s="4"/>
      <c r="G2" s="4" t="s">
        <v>133</v>
      </c>
      <c r="H2" s="4"/>
      <c r="I2" s="4"/>
      <c r="J2" s="4"/>
      <c r="K2" s="4"/>
      <c r="L2" s="4" t="s">
        <v>134</v>
      </c>
      <c r="M2" s="4"/>
      <c r="N2" s="4"/>
      <c r="O2" s="4"/>
      <c r="P2" s="4"/>
      <c r="Q2" s="4" t="s">
        <v>135</v>
      </c>
      <c r="R2" s="4"/>
      <c r="S2" s="4"/>
      <c r="T2" s="4"/>
      <c r="U2" s="4"/>
      <c r="V2" s="4" t="s">
        <v>136</v>
      </c>
      <c r="W2" s="4"/>
      <c r="X2" s="4"/>
      <c r="Y2" s="4"/>
      <c r="Z2" s="4"/>
      <c r="AA2" s="4" t="s">
        <v>137</v>
      </c>
      <c r="AB2" s="4"/>
      <c r="AC2" s="4"/>
      <c r="AD2" s="4"/>
      <c r="AE2" s="4"/>
      <c r="AF2" s="4" t="s">
        <v>6</v>
      </c>
      <c r="AG2" s="4"/>
      <c r="AH2" s="4"/>
      <c r="AI2" s="4"/>
      <c r="AJ2" s="4"/>
    </row>
    <row r="3" spans="1:37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  <c r="AF3" s="5" t="s">
        <v>8</v>
      </c>
      <c r="AG3" s="5" t="s">
        <v>9</v>
      </c>
      <c r="AH3" s="3" t="s">
        <v>10</v>
      </c>
      <c r="AI3" s="3" t="s">
        <v>11</v>
      </c>
      <c r="AJ3" s="3" t="s">
        <v>12</v>
      </c>
    </row>
    <row r="4" spans="1:37" x14ac:dyDescent="0.45">
      <c r="A4" s="6" t="s">
        <v>13</v>
      </c>
      <c r="B4" s="7">
        <v>0.31222570804996269</v>
      </c>
      <c r="C4" s="7">
        <v>0.10484180402410716</v>
      </c>
      <c r="D4" s="8">
        <v>0</v>
      </c>
      <c r="E4" s="8">
        <v>1</v>
      </c>
      <c r="F4" s="8">
        <v>28</v>
      </c>
      <c r="G4" s="7">
        <v>0.30661429145553415</v>
      </c>
      <c r="H4" s="7">
        <v>0.26350898869548067</v>
      </c>
      <c r="I4" s="8">
        <v>0</v>
      </c>
      <c r="J4" s="8">
        <v>1</v>
      </c>
      <c r="K4" s="8">
        <v>5</v>
      </c>
      <c r="L4" s="7">
        <v>0.91823199844349412</v>
      </c>
      <c r="M4" s="7">
        <v>8.0199208093523724E-2</v>
      </c>
      <c r="N4" s="8">
        <v>0</v>
      </c>
      <c r="O4" s="8">
        <v>1</v>
      </c>
      <c r="P4" s="8">
        <v>16</v>
      </c>
      <c r="Q4" s="7">
        <v>0.34856431510481672</v>
      </c>
      <c r="R4" s="7">
        <v>0.13428004597101759</v>
      </c>
      <c r="S4" s="8">
        <v>0</v>
      </c>
      <c r="T4" s="8">
        <v>1</v>
      </c>
      <c r="U4" s="8">
        <v>19</v>
      </c>
      <c r="V4" s="7">
        <v>1</v>
      </c>
      <c r="W4" s="7">
        <v>0</v>
      </c>
      <c r="X4" s="8">
        <v>1</v>
      </c>
      <c r="Y4" s="8">
        <v>1</v>
      </c>
      <c r="Z4" s="8">
        <v>18</v>
      </c>
      <c r="AA4" s="7">
        <v>0.81077648414690529</v>
      </c>
      <c r="AB4" s="7">
        <v>0.11363495123652066</v>
      </c>
      <c r="AC4" s="8">
        <v>0</v>
      </c>
      <c r="AD4" s="8">
        <v>1</v>
      </c>
      <c r="AE4" s="8">
        <v>14</v>
      </c>
      <c r="AF4" s="7">
        <v>0.58404564746449028</v>
      </c>
      <c r="AG4" s="7">
        <v>6.9636386003461587E-2</v>
      </c>
      <c r="AH4" s="8">
        <v>0</v>
      </c>
      <c r="AI4" s="8">
        <v>1</v>
      </c>
      <c r="AJ4" s="8">
        <v>100</v>
      </c>
      <c r="AK4">
        <f>(AF6/AF5)-AF4</f>
        <v>0.18127485472419202</v>
      </c>
    </row>
    <row r="5" spans="1:37" x14ac:dyDescent="0.45">
      <c r="A5" s="6" t="s">
        <v>14</v>
      </c>
      <c r="B5" s="7">
        <v>0</v>
      </c>
      <c r="C5" s="7">
        <v>0</v>
      </c>
      <c r="D5" s="8">
        <v>0</v>
      </c>
      <c r="E5" s="8">
        <v>0</v>
      </c>
      <c r="F5" s="8">
        <v>28</v>
      </c>
      <c r="G5" s="7">
        <v>0</v>
      </c>
      <c r="H5" s="7">
        <v>0</v>
      </c>
      <c r="I5" s="8">
        <v>0</v>
      </c>
      <c r="J5" s="8">
        <v>0</v>
      </c>
      <c r="K5" s="8">
        <v>5</v>
      </c>
      <c r="L5" s="7">
        <v>0.48303138462270878</v>
      </c>
      <c r="M5" s="7">
        <v>0.13204392306270368</v>
      </c>
      <c r="N5" s="8">
        <v>0</v>
      </c>
      <c r="O5" s="8">
        <v>1</v>
      </c>
      <c r="P5" s="8">
        <v>16</v>
      </c>
      <c r="Q5" s="7">
        <v>0.12263212807622212</v>
      </c>
      <c r="R5" s="7">
        <v>7.1298614074622915E-2</v>
      </c>
      <c r="S5" s="8">
        <v>0</v>
      </c>
      <c r="T5" s="8">
        <v>1</v>
      </c>
      <c r="U5" s="8">
        <v>19</v>
      </c>
      <c r="V5" s="7">
        <v>7.3028961692628513E-2</v>
      </c>
      <c r="W5" s="7">
        <v>7.1910419319821686E-2</v>
      </c>
      <c r="X5" s="8">
        <v>0</v>
      </c>
      <c r="Y5" s="8">
        <v>1</v>
      </c>
      <c r="Z5" s="8">
        <v>18</v>
      </c>
      <c r="AA5" s="7">
        <v>0.3983711258467082</v>
      </c>
      <c r="AB5" s="7">
        <v>0.15635659849892011</v>
      </c>
      <c r="AC5" s="8">
        <v>0</v>
      </c>
      <c r="AD5" s="8">
        <v>1</v>
      </c>
      <c r="AE5" s="8">
        <v>14</v>
      </c>
      <c r="AF5" s="7">
        <v>0.1974768254828736</v>
      </c>
      <c r="AG5" s="7">
        <v>5.4071909528840917E-2</v>
      </c>
      <c r="AH5" s="8">
        <v>0</v>
      </c>
      <c r="AI5" s="8">
        <v>1</v>
      </c>
      <c r="AJ5" s="8">
        <v>100</v>
      </c>
      <c r="AK5">
        <f>(AF6/AF4)-AF5</f>
        <v>6.1292440079315946E-2</v>
      </c>
    </row>
    <row r="6" spans="1:37" x14ac:dyDescent="0.45">
      <c r="A6" s="6" t="s">
        <v>15</v>
      </c>
      <c r="B6" s="7">
        <v>0</v>
      </c>
      <c r="C6" s="7">
        <v>0</v>
      </c>
      <c r="D6" s="8">
        <v>0</v>
      </c>
      <c r="E6" s="8">
        <v>0</v>
      </c>
      <c r="F6" s="8">
        <v>28</v>
      </c>
      <c r="G6" s="7">
        <v>0</v>
      </c>
      <c r="H6" s="7">
        <v>0</v>
      </c>
      <c r="I6" s="8">
        <v>0</v>
      </c>
      <c r="J6" s="8">
        <v>0</v>
      </c>
      <c r="K6" s="8">
        <v>5</v>
      </c>
      <c r="L6" s="7">
        <v>0.40126338306620279</v>
      </c>
      <c r="M6" s="7">
        <v>0.12868437894900175</v>
      </c>
      <c r="N6" s="8">
        <v>0</v>
      </c>
      <c r="O6" s="8">
        <v>1</v>
      </c>
      <c r="P6" s="8">
        <v>16</v>
      </c>
      <c r="Q6" s="7">
        <v>0</v>
      </c>
      <c r="R6" s="7">
        <v>0</v>
      </c>
      <c r="S6" s="8">
        <v>0</v>
      </c>
      <c r="T6" s="8">
        <v>0</v>
      </c>
      <c r="U6" s="8">
        <v>19</v>
      </c>
      <c r="V6" s="7">
        <v>7.3028961692628513E-2</v>
      </c>
      <c r="W6" s="7">
        <v>7.1910419319821686E-2</v>
      </c>
      <c r="X6" s="8">
        <v>0</v>
      </c>
      <c r="Y6" s="8">
        <v>1</v>
      </c>
      <c r="Z6" s="8">
        <v>18</v>
      </c>
      <c r="AA6" s="7">
        <v>0.29324346443231486</v>
      </c>
      <c r="AB6" s="7">
        <v>0.14605644865585138</v>
      </c>
      <c r="AC6" s="8">
        <v>0</v>
      </c>
      <c r="AD6" s="8">
        <v>1</v>
      </c>
      <c r="AE6" s="8">
        <v>14</v>
      </c>
      <c r="AF6" s="7">
        <v>0.15113306324917961</v>
      </c>
      <c r="AG6" s="7">
        <v>4.8790602577456051E-2</v>
      </c>
      <c r="AH6" s="8">
        <v>0</v>
      </c>
      <c r="AI6" s="8">
        <v>1</v>
      </c>
      <c r="AJ6" s="8">
        <v>100</v>
      </c>
    </row>
    <row r="7" spans="1:37" x14ac:dyDescent="0.45">
      <c r="A7" s="6" t="s">
        <v>13</v>
      </c>
      <c r="B7" s="7">
        <v>0.31222570804996269</v>
      </c>
      <c r="C7" s="7">
        <v>0.10484180402410716</v>
      </c>
      <c r="D7" s="8">
        <v>0</v>
      </c>
      <c r="E7" s="8">
        <v>1</v>
      </c>
      <c r="F7" s="8">
        <v>28</v>
      </c>
      <c r="G7" s="7">
        <v>0.30661429145553415</v>
      </c>
      <c r="H7" s="7">
        <v>0.26350898869548067</v>
      </c>
      <c r="I7" s="8">
        <v>0</v>
      </c>
      <c r="J7" s="8">
        <v>1</v>
      </c>
      <c r="K7" s="8">
        <v>5</v>
      </c>
      <c r="L7" s="7">
        <v>0.91823199844349412</v>
      </c>
      <c r="M7" s="7">
        <v>8.0199208093523724E-2</v>
      </c>
      <c r="N7" s="8">
        <v>0</v>
      </c>
      <c r="O7" s="8">
        <v>1</v>
      </c>
      <c r="P7" s="8">
        <v>16</v>
      </c>
      <c r="Q7" s="7">
        <v>0.34856431510481672</v>
      </c>
      <c r="R7" s="7">
        <v>0.13428004597101759</v>
      </c>
      <c r="S7" s="8">
        <v>0</v>
      </c>
      <c r="T7" s="8">
        <v>1</v>
      </c>
      <c r="U7" s="8">
        <v>19</v>
      </c>
      <c r="V7" s="7">
        <v>1</v>
      </c>
      <c r="W7" s="7">
        <v>0</v>
      </c>
      <c r="X7" s="8">
        <v>1</v>
      </c>
      <c r="Y7" s="8">
        <v>1</v>
      </c>
      <c r="Z7" s="8">
        <v>18</v>
      </c>
      <c r="AA7" s="7">
        <v>0.81077648414690529</v>
      </c>
      <c r="AB7" s="7">
        <v>0.11363495123652066</v>
      </c>
      <c r="AC7" s="8">
        <v>0</v>
      </c>
      <c r="AD7" s="8">
        <v>1</v>
      </c>
      <c r="AE7" s="8">
        <v>14</v>
      </c>
      <c r="AF7" s="7">
        <v>0.58404564746449028</v>
      </c>
      <c r="AG7" s="7">
        <v>6.9636386003461587E-2</v>
      </c>
      <c r="AH7" s="8">
        <v>0</v>
      </c>
      <c r="AI7" s="8">
        <v>1</v>
      </c>
      <c r="AJ7" s="8">
        <v>100</v>
      </c>
      <c r="AK7">
        <f>(AF9/AF8)-AF7</f>
        <v>0.27434822940570958</v>
      </c>
    </row>
    <row r="8" spans="1:37" ht="39.4" x14ac:dyDescent="0.45">
      <c r="A8" s="6" t="s">
        <v>16</v>
      </c>
      <c r="B8" s="7">
        <v>0.24021275260760397</v>
      </c>
      <c r="C8" s="7">
        <v>9.9804594593725232E-2</v>
      </c>
      <c r="D8" s="8">
        <v>0</v>
      </c>
      <c r="E8" s="8">
        <v>1</v>
      </c>
      <c r="F8" s="8">
        <v>28</v>
      </c>
      <c r="G8" s="7">
        <v>0.28413340654229741</v>
      </c>
      <c r="H8" s="7">
        <v>0.2635701019519151</v>
      </c>
      <c r="I8" s="8">
        <v>0</v>
      </c>
      <c r="J8" s="8">
        <v>1</v>
      </c>
      <c r="K8" s="8">
        <v>5</v>
      </c>
      <c r="L8" s="7">
        <v>1</v>
      </c>
      <c r="M8" s="7">
        <v>0</v>
      </c>
      <c r="N8" s="8">
        <v>1</v>
      </c>
      <c r="O8" s="8">
        <v>1</v>
      </c>
      <c r="P8" s="8">
        <v>16</v>
      </c>
      <c r="Q8" s="7">
        <v>0.85289731615094222</v>
      </c>
      <c r="R8" s="7">
        <v>0.10368836461541529</v>
      </c>
      <c r="S8" s="8">
        <v>0</v>
      </c>
      <c r="T8" s="8">
        <v>1</v>
      </c>
      <c r="U8" s="8">
        <v>19</v>
      </c>
      <c r="V8" s="7">
        <v>0.92129013297297091</v>
      </c>
      <c r="W8" s="7">
        <v>7.2142407889520602E-2</v>
      </c>
      <c r="X8" s="8">
        <v>0</v>
      </c>
      <c r="Y8" s="8">
        <v>1</v>
      </c>
      <c r="Z8" s="8">
        <v>18</v>
      </c>
      <c r="AA8" s="7">
        <v>0.69525614240739586</v>
      </c>
      <c r="AB8" s="7">
        <v>0.14429635514835867</v>
      </c>
      <c r="AC8" s="8">
        <v>0</v>
      </c>
      <c r="AD8" s="8">
        <v>1</v>
      </c>
      <c r="AE8" s="8">
        <v>14</v>
      </c>
      <c r="AF8" s="7">
        <v>0.63213682862253961</v>
      </c>
      <c r="AG8" s="7">
        <v>6.9040852741309167E-2</v>
      </c>
      <c r="AH8" s="8">
        <v>0</v>
      </c>
      <c r="AI8" s="8">
        <v>1</v>
      </c>
      <c r="AJ8" s="8">
        <v>100</v>
      </c>
      <c r="AK8">
        <f>(AF9/AF7)-AF8</f>
        <v>0.29693846778522293</v>
      </c>
    </row>
    <row r="9" spans="1:37" x14ac:dyDescent="0.45">
      <c r="A9" s="6" t="s">
        <v>17</v>
      </c>
      <c r="B9" s="7">
        <v>0.24021275260760397</v>
      </c>
      <c r="C9" s="7">
        <v>9.9804594593725232E-2</v>
      </c>
      <c r="D9" s="8">
        <v>0</v>
      </c>
      <c r="E9" s="8">
        <v>1</v>
      </c>
      <c r="F9" s="8">
        <v>28</v>
      </c>
      <c r="G9" s="7">
        <v>0.28413340654229741</v>
      </c>
      <c r="H9" s="7">
        <v>0.2635701019519151</v>
      </c>
      <c r="I9" s="8">
        <v>0</v>
      </c>
      <c r="J9" s="8">
        <v>1</v>
      </c>
      <c r="K9" s="8">
        <v>5</v>
      </c>
      <c r="L9" s="7">
        <v>0.91823199844349412</v>
      </c>
      <c r="M9" s="7">
        <v>8.0199208093523724E-2</v>
      </c>
      <c r="N9" s="8">
        <v>0</v>
      </c>
      <c r="O9" s="8">
        <v>1</v>
      </c>
      <c r="P9" s="8">
        <v>16</v>
      </c>
      <c r="Q9" s="7">
        <v>0.34856431510481672</v>
      </c>
      <c r="R9" s="7">
        <v>0.13428004597101759</v>
      </c>
      <c r="S9" s="8">
        <v>0</v>
      </c>
      <c r="T9" s="8">
        <v>1</v>
      </c>
      <c r="U9" s="8">
        <v>19</v>
      </c>
      <c r="V9" s="7">
        <v>0.92129013297297091</v>
      </c>
      <c r="W9" s="7">
        <v>7.2142407889520602E-2</v>
      </c>
      <c r="X9" s="8">
        <v>0</v>
      </c>
      <c r="Y9" s="8">
        <v>1</v>
      </c>
      <c r="Z9" s="8">
        <v>18</v>
      </c>
      <c r="AA9" s="7">
        <v>0.59012848099300264</v>
      </c>
      <c r="AB9" s="7">
        <v>0.15543794127437505</v>
      </c>
      <c r="AC9" s="8">
        <v>0</v>
      </c>
      <c r="AD9" s="8">
        <v>1</v>
      </c>
      <c r="AE9" s="8">
        <v>14</v>
      </c>
      <c r="AF9" s="7">
        <v>0.54262238303373489</v>
      </c>
      <c r="AG9" s="7">
        <v>6.957386769964409E-2</v>
      </c>
      <c r="AH9" s="8">
        <v>0</v>
      </c>
      <c r="AI9" s="8">
        <v>1</v>
      </c>
      <c r="AJ9" s="8">
        <v>100</v>
      </c>
    </row>
    <row r="10" spans="1:37" x14ac:dyDescent="0.45">
      <c r="A10" s="6" t="s">
        <v>13</v>
      </c>
      <c r="B10" s="7">
        <v>0.31222570804996269</v>
      </c>
      <c r="C10" s="7">
        <v>0.10484180402410716</v>
      </c>
      <c r="D10" s="8">
        <v>0</v>
      </c>
      <c r="E10" s="8">
        <v>1</v>
      </c>
      <c r="F10" s="8">
        <v>28</v>
      </c>
      <c r="G10" s="7">
        <v>0.30661429145553415</v>
      </c>
      <c r="H10" s="7">
        <v>0.26350898869548067</v>
      </c>
      <c r="I10" s="8">
        <v>0</v>
      </c>
      <c r="J10" s="8">
        <v>1</v>
      </c>
      <c r="K10" s="8">
        <v>5</v>
      </c>
      <c r="L10" s="7">
        <v>0.91823199844349412</v>
      </c>
      <c r="M10" s="7">
        <v>8.0199208093523724E-2</v>
      </c>
      <c r="N10" s="8">
        <v>0</v>
      </c>
      <c r="O10" s="8">
        <v>1</v>
      </c>
      <c r="P10" s="8">
        <v>16</v>
      </c>
      <c r="Q10" s="7">
        <v>0.34856431510481672</v>
      </c>
      <c r="R10" s="7">
        <v>0.13428004597101759</v>
      </c>
      <c r="S10" s="8">
        <v>0</v>
      </c>
      <c r="T10" s="8">
        <v>1</v>
      </c>
      <c r="U10" s="8">
        <v>19</v>
      </c>
      <c r="V10" s="7">
        <v>1</v>
      </c>
      <c r="W10" s="7">
        <v>0</v>
      </c>
      <c r="X10" s="8">
        <v>1</v>
      </c>
      <c r="Y10" s="8">
        <v>1</v>
      </c>
      <c r="Z10" s="8">
        <v>18</v>
      </c>
      <c r="AA10" s="7">
        <v>0.81077648414690529</v>
      </c>
      <c r="AB10" s="7">
        <v>0.11363495123652066</v>
      </c>
      <c r="AC10" s="8">
        <v>0</v>
      </c>
      <c r="AD10" s="8">
        <v>1</v>
      </c>
      <c r="AE10" s="8">
        <v>14</v>
      </c>
      <c r="AF10" s="7">
        <v>0.58404564746449028</v>
      </c>
      <c r="AG10" s="7">
        <v>6.9636386003461587E-2</v>
      </c>
      <c r="AH10" s="8">
        <v>0</v>
      </c>
      <c r="AI10" s="8">
        <v>1</v>
      </c>
      <c r="AJ10" s="8">
        <v>100</v>
      </c>
      <c r="AK10">
        <f>(AF12/AF11)-AF10</f>
        <v>0.26571590676284584</v>
      </c>
    </row>
    <row r="11" spans="1:37" ht="39.4" x14ac:dyDescent="0.45">
      <c r="A11" s="6" t="s">
        <v>18</v>
      </c>
      <c r="B11" s="7">
        <v>0.14941160928574393</v>
      </c>
      <c r="C11" s="7">
        <v>7.3542009243322798E-2</v>
      </c>
      <c r="D11" s="8">
        <v>0</v>
      </c>
      <c r="E11" s="8">
        <v>1</v>
      </c>
      <c r="F11" s="8">
        <v>28</v>
      </c>
      <c r="G11" s="7">
        <v>0.28413340654229741</v>
      </c>
      <c r="H11" s="7">
        <v>0.2635701019519151</v>
      </c>
      <c r="I11" s="8">
        <v>0</v>
      </c>
      <c r="J11" s="8">
        <v>1</v>
      </c>
      <c r="K11" s="8">
        <v>5</v>
      </c>
      <c r="L11" s="7">
        <v>1</v>
      </c>
      <c r="M11" s="7">
        <v>0</v>
      </c>
      <c r="N11" s="8">
        <v>1</v>
      </c>
      <c r="O11" s="8">
        <v>1</v>
      </c>
      <c r="P11" s="8">
        <v>16</v>
      </c>
      <c r="Q11" s="7">
        <v>0.89861962585941668</v>
      </c>
      <c r="R11" s="7">
        <v>9.6845778169611332E-2</v>
      </c>
      <c r="S11" s="8">
        <v>0</v>
      </c>
      <c r="T11" s="8">
        <v>1</v>
      </c>
      <c r="U11" s="8">
        <v>19</v>
      </c>
      <c r="V11" s="7">
        <v>1</v>
      </c>
      <c r="W11" s="7">
        <v>0</v>
      </c>
      <c r="X11" s="8">
        <v>1</v>
      </c>
      <c r="Y11" s="8">
        <v>1</v>
      </c>
      <c r="Z11" s="8">
        <v>18</v>
      </c>
      <c r="AA11" s="7">
        <v>0.91590414556129873</v>
      </c>
      <c r="AB11" s="7">
        <v>5.7720093761496942E-2</v>
      </c>
      <c r="AC11" s="8">
        <v>0</v>
      </c>
      <c r="AD11" s="8">
        <v>1</v>
      </c>
      <c r="AE11" s="8">
        <v>14</v>
      </c>
      <c r="AF11" s="7">
        <v>0.63023599596706159</v>
      </c>
      <c r="AG11" s="7">
        <v>6.9774465060460464E-2</v>
      </c>
      <c r="AH11" s="8">
        <v>0</v>
      </c>
      <c r="AI11" s="8">
        <v>1</v>
      </c>
      <c r="AJ11" s="8">
        <v>100</v>
      </c>
      <c r="AK11">
        <f>(AF12/AF10)-AF11</f>
        <v>0.28673054900756656</v>
      </c>
    </row>
    <row r="12" spans="1:37" x14ac:dyDescent="0.45">
      <c r="A12" s="6" t="s">
        <v>19</v>
      </c>
      <c r="B12" s="7">
        <v>0.14941160928574393</v>
      </c>
      <c r="C12" s="7">
        <v>7.3542009243322798E-2</v>
      </c>
      <c r="D12" s="8">
        <v>0</v>
      </c>
      <c r="E12" s="8">
        <v>1</v>
      </c>
      <c r="F12" s="8">
        <v>28</v>
      </c>
      <c r="G12" s="7">
        <v>0.28413340654229741</v>
      </c>
      <c r="H12" s="7">
        <v>0.2635701019519151</v>
      </c>
      <c r="I12" s="8">
        <v>0</v>
      </c>
      <c r="J12" s="8">
        <v>1</v>
      </c>
      <c r="K12" s="8">
        <v>5</v>
      </c>
      <c r="L12" s="7">
        <v>0.91823199844349412</v>
      </c>
      <c r="M12" s="7">
        <v>8.0199208093523724E-2</v>
      </c>
      <c r="N12" s="8">
        <v>0</v>
      </c>
      <c r="O12" s="8">
        <v>1</v>
      </c>
      <c r="P12" s="8">
        <v>16</v>
      </c>
      <c r="Q12" s="7">
        <v>0.34856431510481672</v>
      </c>
      <c r="R12" s="7">
        <v>0.13428004597101759</v>
      </c>
      <c r="S12" s="8">
        <v>0</v>
      </c>
      <c r="T12" s="8">
        <v>1</v>
      </c>
      <c r="U12" s="8">
        <v>19</v>
      </c>
      <c r="V12" s="7">
        <v>1</v>
      </c>
      <c r="W12" s="7">
        <v>0</v>
      </c>
      <c r="X12" s="8">
        <v>1</v>
      </c>
      <c r="Y12" s="8">
        <v>1</v>
      </c>
      <c r="Z12" s="8">
        <v>18</v>
      </c>
      <c r="AA12" s="7">
        <v>0.81077648414690529</v>
      </c>
      <c r="AB12" s="7">
        <v>0.11363495123652066</v>
      </c>
      <c r="AC12" s="8">
        <v>0</v>
      </c>
      <c r="AD12" s="8">
        <v>1</v>
      </c>
      <c r="AE12" s="8">
        <v>14</v>
      </c>
      <c r="AF12" s="7">
        <v>0.53555031946298337</v>
      </c>
      <c r="AG12" s="7">
        <v>6.9770945916823313E-2</v>
      </c>
      <c r="AH12" s="8">
        <v>0</v>
      </c>
      <c r="AI12" s="8">
        <v>1</v>
      </c>
      <c r="AJ12" s="8">
        <v>100</v>
      </c>
    </row>
    <row r="13" spans="1:37" x14ac:dyDescent="0.45">
      <c r="A13" s="6" t="s">
        <v>13</v>
      </c>
      <c r="B13" s="7">
        <v>0.31222570804996269</v>
      </c>
      <c r="C13" s="7">
        <v>0.10484180402410716</v>
      </c>
      <c r="D13" s="8">
        <v>0</v>
      </c>
      <c r="E13" s="8">
        <v>1</v>
      </c>
      <c r="F13" s="8">
        <v>28</v>
      </c>
      <c r="G13" s="7">
        <v>0.30661429145553415</v>
      </c>
      <c r="H13" s="7">
        <v>0.26350898869548067</v>
      </c>
      <c r="I13" s="8">
        <v>0</v>
      </c>
      <c r="J13" s="8">
        <v>1</v>
      </c>
      <c r="K13" s="8">
        <v>5</v>
      </c>
      <c r="L13" s="7">
        <v>0.91823199844349412</v>
      </c>
      <c r="M13" s="7">
        <v>8.0199208093523724E-2</v>
      </c>
      <c r="N13" s="8">
        <v>0</v>
      </c>
      <c r="O13" s="8">
        <v>1</v>
      </c>
      <c r="P13" s="8">
        <v>16</v>
      </c>
      <c r="Q13" s="7">
        <v>0.34856431510481672</v>
      </c>
      <c r="R13" s="7">
        <v>0.13428004597101759</v>
      </c>
      <c r="S13" s="8">
        <v>0</v>
      </c>
      <c r="T13" s="8">
        <v>1</v>
      </c>
      <c r="U13" s="8">
        <v>19</v>
      </c>
      <c r="V13" s="7">
        <v>1</v>
      </c>
      <c r="W13" s="7">
        <v>0</v>
      </c>
      <c r="X13" s="8">
        <v>1</v>
      </c>
      <c r="Y13" s="8">
        <v>1</v>
      </c>
      <c r="Z13" s="8">
        <v>18</v>
      </c>
      <c r="AA13" s="7">
        <v>0.81077648414690529</v>
      </c>
      <c r="AB13" s="7">
        <v>0.11363495123652066</v>
      </c>
      <c r="AC13" s="8">
        <v>0</v>
      </c>
      <c r="AD13" s="8">
        <v>1</v>
      </c>
      <c r="AE13" s="8">
        <v>14</v>
      </c>
      <c r="AF13" s="7">
        <v>0.58404564746449028</v>
      </c>
      <c r="AG13" s="7">
        <v>6.9636386003461587E-2</v>
      </c>
      <c r="AH13" s="8">
        <v>0</v>
      </c>
      <c r="AI13" s="8">
        <v>1</v>
      </c>
      <c r="AJ13" s="8">
        <v>100</v>
      </c>
      <c r="AK13">
        <f>(AF15/AF14)-AF13</f>
        <v>0.26772713881492038</v>
      </c>
    </row>
    <row r="14" spans="1:37" ht="39.4" x14ac:dyDescent="0.45">
      <c r="A14" s="6" t="s">
        <v>20</v>
      </c>
      <c r="B14" s="7">
        <v>0</v>
      </c>
      <c r="C14" s="7">
        <v>0</v>
      </c>
      <c r="D14" s="8">
        <v>0</v>
      </c>
      <c r="E14" s="8">
        <v>0</v>
      </c>
      <c r="F14" s="8">
        <v>28</v>
      </c>
      <c r="G14" s="7">
        <v>0</v>
      </c>
      <c r="H14" s="7">
        <v>0</v>
      </c>
      <c r="I14" s="8">
        <v>0</v>
      </c>
      <c r="J14" s="8">
        <v>0</v>
      </c>
      <c r="K14" s="8">
        <v>5</v>
      </c>
      <c r="L14" s="7">
        <v>1</v>
      </c>
      <c r="M14" s="7">
        <v>0</v>
      </c>
      <c r="N14" s="8">
        <v>1</v>
      </c>
      <c r="O14" s="8">
        <v>1</v>
      </c>
      <c r="P14" s="8">
        <v>16</v>
      </c>
      <c r="Q14" s="7">
        <v>0.61840113049179313</v>
      </c>
      <c r="R14" s="7">
        <v>0.13006566375416401</v>
      </c>
      <c r="S14" s="8">
        <v>0</v>
      </c>
      <c r="T14" s="8">
        <v>1</v>
      </c>
      <c r="U14" s="8">
        <v>19</v>
      </c>
      <c r="V14" s="7">
        <v>0.62484576595299168</v>
      </c>
      <c r="W14" s="7">
        <v>0.12235387804662534</v>
      </c>
      <c r="X14" s="8">
        <v>0</v>
      </c>
      <c r="Y14" s="8">
        <v>1</v>
      </c>
      <c r="Z14" s="8">
        <v>18</v>
      </c>
      <c r="AA14" s="7">
        <v>0.59238861673724996</v>
      </c>
      <c r="AB14" s="7">
        <v>0.15320552322461192</v>
      </c>
      <c r="AC14" s="8">
        <v>0</v>
      </c>
      <c r="AD14" s="8">
        <v>1</v>
      </c>
      <c r="AE14" s="8">
        <v>14</v>
      </c>
      <c r="AF14" s="7">
        <v>0.46705017304122987</v>
      </c>
      <c r="AG14" s="7">
        <v>6.8874379217115159E-2</v>
      </c>
      <c r="AH14" s="8">
        <v>0</v>
      </c>
      <c r="AI14" s="8">
        <v>1</v>
      </c>
      <c r="AJ14" s="8">
        <v>100</v>
      </c>
      <c r="AK14">
        <f>(AF15/AF13)-AF14</f>
        <v>0.21409629033995059</v>
      </c>
    </row>
    <row r="15" spans="1:37" x14ac:dyDescent="0.45">
      <c r="A15" s="6" t="s">
        <v>21</v>
      </c>
      <c r="B15" s="7">
        <v>0</v>
      </c>
      <c r="C15" s="7">
        <v>0</v>
      </c>
      <c r="D15" s="8">
        <v>0</v>
      </c>
      <c r="E15" s="8">
        <v>0</v>
      </c>
      <c r="F15" s="8">
        <v>28</v>
      </c>
      <c r="G15" s="7">
        <v>0</v>
      </c>
      <c r="H15" s="7">
        <v>0</v>
      </c>
      <c r="I15" s="8">
        <v>0</v>
      </c>
      <c r="J15" s="8">
        <v>0</v>
      </c>
      <c r="K15" s="8">
        <v>5</v>
      </c>
      <c r="L15" s="7">
        <v>0.91823199844349412</v>
      </c>
      <c r="M15" s="7">
        <v>8.0199208093523724E-2</v>
      </c>
      <c r="N15" s="8">
        <v>0</v>
      </c>
      <c r="O15" s="8">
        <v>1</v>
      </c>
      <c r="P15" s="8">
        <v>16</v>
      </c>
      <c r="Q15" s="7">
        <v>0.29342048963598616</v>
      </c>
      <c r="R15" s="7">
        <v>0.13272189381863247</v>
      </c>
      <c r="S15" s="8">
        <v>0</v>
      </c>
      <c r="T15" s="8">
        <v>1</v>
      </c>
      <c r="U15" s="8">
        <v>19</v>
      </c>
      <c r="V15" s="7">
        <v>0.62484576595299168</v>
      </c>
      <c r="W15" s="7">
        <v>0.12235387804662534</v>
      </c>
      <c r="X15" s="8">
        <v>0</v>
      </c>
      <c r="Y15" s="8">
        <v>1</v>
      </c>
      <c r="Z15" s="8">
        <v>18</v>
      </c>
      <c r="AA15" s="7">
        <v>0.48726095532285674</v>
      </c>
      <c r="AB15" s="7">
        <v>0.15746205493428006</v>
      </c>
      <c r="AC15" s="8">
        <v>0</v>
      </c>
      <c r="AD15" s="8">
        <v>1</v>
      </c>
      <c r="AE15" s="8">
        <v>14</v>
      </c>
      <c r="AF15" s="7">
        <v>0.39782062722360928</v>
      </c>
      <c r="AG15" s="7">
        <v>6.6835106175611073E-2</v>
      </c>
      <c r="AH15" s="8">
        <v>0</v>
      </c>
      <c r="AI15" s="8">
        <v>1</v>
      </c>
      <c r="AJ15" s="8">
        <v>100</v>
      </c>
    </row>
    <row r="16" spans="1:37" x14ac:dyDescent="0.45">
      <c r="A16" s="6" t="s">
        <v>13</v>
      </c>
      <c r="B16" s="7">
        <v>0.31222570804996269</v>
      </c>
      <c r="C16" s="7">
        <v>0.10484180402410716</v>
      </c>
      <c r="D16" s="8">
        <v>0</v>
      </c>
      <c r="E16" s="8">
        <v>1</v>
      </c>
      <c r="F16" s="8">
        <v>28</v>
      </c>
      <c r="G16" s="7">
        <v>0.30661429145553415</v>
      </c>
      <c r="H16" s="7">
        <v>0.26350898869548067</v>
      </c>
      <c r="I16" s="8">
        <v>0</v>
      </c>
      <c r="J16" s="8">
        <v>1</v>
      </c>
      <c r="K16" s="8">
        <v>5</v>
      </c>
      <c r="L16" s="7">
        <v>0.91823199844349412</v>
      </c>
      <c r="M16" s="7">
        <v>8.0199208093523724E-2</v>
      </c>
      <c r="N16" s="8">
        <v>0</v>
      </c>
      <c r="O16" s="8">
        <v>1</v>
      </c>
      <c r="P16" s="8">
        <v>16</v>
      </c>
      <c r="Q16" s="7">
        <v>0.34856431510481672</v>
      </c>
      <c r="R16" s="7">
        <v>0.13428004597101759</v>
      </c>
      <c r="S16" s="8">
        <v>0</v>
      </c>
      <c r="T16" s="8">
        <v>1</v>
      </c>
      <c r="U16" s="8">
        <v>19</v>
      </c>
      <c r="V16" s="7">
        <v>1</v>
      </c>
      <c r="W16" s="7">
        <v>0</v>
      </c>
      <c r="X16" s="8">
        <v>1</v>
      </c>
      <c r="Y16" s="8">
        <v>1</v>
      </c>
      <c r="Z16" s="8">
        <v>18</v>
      </c>
      <c r="AA16" s="7">
        <v>0.81077648414690529</v>
      </c>
      <c r="AB16" s="7">
        <v>0.11363495123652066</v>
      </c>
      <c r="AC16" s="8">
        <v>0</v>
      </c>
      <c r="AD16" s="8">
        <v>1</v>
      </c>
      <c r="AE16" s="8">
        <v>14</v>
      </c>
      <c r="AF16" s="7">
        <v>0.58404564746449028</v>
      </c>
      <c r="AG16" s="7">
        <v>6.9636386003461587E-2</v>
      </c>
      <c r="AH16" s="8">
        <v>0</v>
      </c>
      <c r="AI16" s="8">
        <v>1</v>
      </c>
      <c r="AJ16" s="8">
        <v>100</v>
      </c>
      <c r="AK16">
        <f>(AF18/AF17)-AF16</f>
        <v>0.27244568749407116</v>
      </c>
    </row>
    <row r="17" spans="1:37" ht="26.25" x14ac:dyDescent="0.45">
      <c r="A17" s="6" t="s">
        <v>22</v>
      </c>
      <c r="B17" s="7">
        <v>0.26984434576365129</v>
      </c>
      <c r="C17" s="7">
        <v>0.10088535446125156</v>
      </c>
      <c r="D17" s="8">
        <v>0</v>
      </c>
      <c r="E17" s="8">
        <v>1</v>
      </c>
      <c r="F17" s="8">
        <v>28</v>
      </c>
      <c r="G17" s="7">
        <v>0.28413340654229741</v>
      </c>
      <c r="H17" s="7">
        <v>0.2635701019519151</v>
      </c>
      <c r="I17" s="8">
        <v>0</v>
      </c>
      <c r="J17" s="8">
        <v>1</v>
      </c>
      <c r="K17" s="8">
        <v>5</v>
      </c>
      <c r="L17" s="7">
        <v>1</v>
      </c>
      <c r="M17" s="7">
        <v>0</v>
      </c>
      <c r="N17" s="8">
        <v>1</v>
      </c>
      <c r="O17" s="8">
        <v>1</v>
      </c>
      <c r="P17" s="8">
        <v>16</v>
      </c>
      <c r="Q17" s="7">
        <v>0.89861962585941668</v>
      </c>
      <c r="R17" s="7">
        <v>9.6845778169611332E-2</v>
      </c>
      <c r="S17" s="8">
        <v>0</v>
      </c>
      <c r="T17" s="8">
        <v>1</v>
      </c>
      <c r="U17" s="8">
        <v>19</v>
      </c>
      <c r="V17" s="7">
        <v>0.94505098249148323</v>
      </c>
      <c r="W17" s="7">
        <v>5.5165329624764066E-2</v>
      </c>
      <c r="X17" s="8">
        <v>0</v>
      </c>
      <c r="Y17" s="8">
        <v>1</v>
      </c>
      <c r="Z17" s="8">
        <v>18</v>
      </c>
      <c r="AA17" s="7">
        <v>0.91590414556129873</v>
      </c>
      <c r="AB17" s="7">
        <v>5.7720093761496942E-2</v>
      </c>
      <c r="AC17" s="8">
        <v>0</v>
      </c>
      <c r="AD17" s="8">
        <v>1</v>
      </c>
      <c r="AE17" s="8">
        <v>14</v>
      </c>
      <c r="AF17" s="7">
        <v>0.65979065777482815</v>
      </c>
      <c r="AG17" s="7">
        <v>6.9173406705135554E-2</v>
      </c>
      <c r="AH17" s="8">
        <v>0</v>
      </c>
      <c r="AI17" s="8">
        <v>1</v>
      </c>
      <c r="AJ17" s="8">
        <v>100</v>
      </c>
      <c r="AK17">
        <f>(AF18/AF16)-AF17</f>
        <v>0.30777922948318459</v>
      </c>
    </row>
    <row r="18" spans="1:37" x14ac:dyDescent="0.45">
      <c r="A18" s="6" t="s">
        <v>23</v>
      </c>
      <c r="B18" s="7">
        <v>0.26984434576365129</v>
      </c>
      <c r="C18" s="7">
        <v>0.10088535446125156</v>
      </c>
      <c r="D18" s="8">
        <v>0</v>
      </c>
      <c r="E18" s="8">
        <v>1</v>
      </c>
      <c r="F18" s="8">
        <v>28</v>
      </c>
      <c r="G18" s="7">
        <v>0.28413340654229741</v>
      </c>
      <c r="H18" s="7">
        <v>0.2635701019519151</v>
      </c>
      <c r="I18" s="8">
        <v>0</v>
      </c>
      <c r="J18" s="8">
        <v>1</v>
      </c>
      <c r="K18" s="8">
        <v>5</v>
      </c>
      <c r="L18" s="7">
        <v>0.91823199844349412</v>
      </c>
      <c r="M18" s="7">
        <v>8.0199208093523724E-2</v>
      </c>
      <c r="N18" s="8">
        <v>0</v>
      </c>
      <c r="O18" s="8">
        <v>1</v>
      </c>
      <c r="P18" s="8">
        <v>16</v>
      </c>
      <c r="Q18" s="7">
        <v>0.34856431510481672</v>
      </c>
      <c r="R18" s="7">
        <v>0.13428004597101759</v>
      </c>
      <c r="S18" s="8">
        <v>0</v>
      </c>
      <c r="T18" s="8">
        <v>1</v>
      </c>
      <c r="U18" s="8">
        <v>19</v>
      </c>
      <c r="V18" s="7">
        <v>0.94505098249148323</v>
      </c>
      <c r="W18" s="7">
        <v>5.5165329624764066E-2</v>
      </c>
      <c r="X18" s="8">
        <v>0</v>
      </c>
      <c r="Y18" s="8">
        <v>1</v>
      </c>
      <c r="Z18" s="8">
        <v>18</v>
      </c>
      <c r="AA18" s="7">
        <v>0.81077648414690529</v>
      </c>
      <c r="AB18" s="7">
        <v>0.11363495123652066</v>
      </c>
      <c r="AC18" s="8">
        <v>0</v>
      </c>
      <c r="AD18" s="8">
        <v>1</v>
      </c>
      <c r="AE18" s="8">
        <v>14</v>
      </c>
      <c r="AF18" s="7">
        <v>0.56510498127074993</v>
      </c>
      <c r="AG18" s="7">
        <v>6.9619719713580594E-2</v>
      </c>
      <c r="AH18" s="8">
        <v>0</v>
      </c>
      <c r="AI18" s="8">
        <v>1</v>
      </c>
      <c r="AJ18" s="8">
        <v>100</v>
      </c>
    </row>
    <row r="19" spans="1:37" x14ac:dyDescent="0.45">
      <c r="A19" s="6" t="s">
        <v>13</v>
      </c>
      <c r="B19" s="7">
        <v>0.31222570804996269</v>
      </c>
      <c r="C19" s="7">
        <v>0.10484180402410716</v>
      </c>
      <c r="D19" s="8">
        <v>0</v>
      </c>
      <c r="E19" s="8">
        <v>1</v>
      </c>
      <c r="F19" s="8">
        <v>28</v>
      </c>
      <c r="G19" s="7">
        <v>0.30661429145553415</v>
      </c>
      <c r="H19" s="7">
        <v>0.26350898869548067</v>
      </c>
      <c r="I19" s="8">
        <v>0</v>
      </c>
      <c r="J19" s="8">
        <v>1</v>
      </c>
      <c r="K19" s="8">
        <v>5</v>
      </c>
      <c r="L19" s="7">
        <v>0.91823199844349412</v>
      </c>
      <c r="M19" s="7">
        <v>8.0199208093523724E-2</v>
      </c>
      <c r="N19" s="8">
        <v>0</v>
      </c>
      <c r="O19" s="8">
        <v>1</v>
      </c>
      <c r="P19" s="8">
        <v>16</v>
      </c>
      <c r="Q19" s="7">
        <v>0.34856431510481672</v>
      </c>
      <c r="R19" s="7">
        <v>0.13428004597101759</v>
      </c>
      <c r="S19" s="8">
        <v>0</v>
      </c>
      <c r="T19" s="8">
        <v>1</v>
      </c>
      <c r="U19" s="8">
        <v>19</v>
      </c>
      <c r="V19" s="7">
        <v>1</v>
      </c>
      <c r="W19" s="7">
        <v>0</v>
      </c>
      <c r="X19" s="8">
        <v>1</v>
      </c>
      <c r="Y19" s="8">
        <v>1</v>
      </c>
      <c r="Z19" s="8">
        <v>18</v>
      </c>
      <c r="AA19" s="7">
        <v>0.81077648414690529</v>
      </c>
      <c r="AB19" s="7">
        <v>0.11363495123652066</v>
      </c>
      <c r="AC19" s="8">
        <v>0</v>
      </c>
      <c r="AD19" s="8">
        <v>1</v>
      </c>
      <c r="AE19" s="8">
        <v>14</v>
      </c>
      <c r="AF19" s="7">
        <v>0.58404564746449028</v>
      </c>
      <c r="AG19" s="7">
        <v>6.9636386003461587E-2</v>
      </c>
      <c r="AH19" s="8">
        <v>0</v>
      </c>
      <c r="AI19" s="8">
        <v>1</v>
      </c>
      <c r="AJ19" s="8">
        <v>100</v>
      </c>
      <c r="AK19">
        <f>(AF21/AF20)-AF19</f>
        <v>0.2664193584392669</v>
      </c>
    </row>
    <row r="20" spans="1:37" ht="26.25" x14ac:dyDescent="0.45">
      <c r="A20" s="6" t="s">
        <v>24</v>
      </c>
      <c r="B20" s="7">
        <v>0.24021275260760397</v>
      </c>
      <c r="C20" s="7">
        <v>9.9804594593725232E-2</v>
      </c>
      <c r="D20" s="8">
        <v>0</v>
      </c>
      <c r="E20" s="8">
        <v>1</v>
      </c>
      <c r="F20" s="8">
        <v>28</v>
      </c>
      <c r="G20" s="7">
        <v>0.28413340654229741</v>
      </c>
      <c r="H20" s="7">
        <v>0.2635701019519151</v>
      </c>
      <c r="I20" s="8">
        <v>0</v>
      </c>
      <c r="J20" s="8">
        <v>1</v>
      </c>
      <c r="K20" s="8">
        <v>5</v>
      </c>
      <c r="L20" s="7">
        <v>1</v>
      </c>
      <c r="M20" s="7">
        <v>0</v>
      </c>
      <c r="N20" s="8">
        <v>1</v>
      </c>
      <c r="O20" s="8">
        <v>1</v>
      </c>
      <c r="P20" s="8">
        <v>16</v>
      </c>
      <c r="Q20" s="7">
        <v>0.89861962585941668</v>
      </c>
      <c r="R20" s="7">
        <v>9.6845778169611332E-2</v>
      </c>
      <c r="S20" s="8">
        <v>0</v>
      </c>
      <c r="T20" s="8">
        <v>1</v>
      </c>
      <c r="U20" s="8">
        <v>19</v>
      </c>
      <c r="V20" s="7">
        <v>0.86634111546445414</v>
      </c>
      <c r="W20" s="7">
        <v>8.7661072043173624E-2</v>
      </c>
      <c r="X20" s="8">
        <v>0</v>
      </c>
      <c r="Y20" s="8">
        <v>1</v>
      </c>
      <c r="Z20" s="8">
        <v>18</v>
      </c>
      <c r="AA20" s="7">
        <v>0.68542702638902031</v>
      </c>
      <c r="AB20" s="7">
        <v>0.14449500923918335</v>
      </c>
      <c r="AC20" s="8">
        <v>0</v>
      </c>
      <c r="AD20" s="8">
        <v>1</v>
      </c>
      <c r="AE20" s="8">
        <v>14</v>
      </c>
      <c r="AF20" s="7">
        <v>0.63320079073355351</v>
      </c>
      <c r="AG20" s="7">
        <v>6.9028775174729731E-2</v>
      </c>
      <c r="AH20" s="8">
        <v>0</v>
      </c>
      <c r="AI20" s="8">
        <v>1</v>
      </c>
      <c r="AJ20" s="8">
        <v>100</v>
      </c>
      <c r="AK20">
        <f>(AF21/AF19)-AF20</f>
        <v>0.28884206082663511</v>
      </c>
    </row>
    <row r="21" spans="1:37" x14ac:dyDescent="0.45">
      <c r="A21" s="6" t="s">
        <v>25</v>
      </c>
      <c r="B21" s="7">
        <v>0.24021275260760397</v>
      </c>
      <c r="C21" s="7">
        <v>9.9804594593725232E-2</v>
      </c>
      <c r="D21" s="8">
        <v>0</v>
      </c>
      <c r="E21" s="8">
        <v>1</v>
      </c>
      <c r="F21" s="8">
        <v>28</v>
      </c>
      <c r="G21" s="7">
        <v>0.28413340654229741</v>
      </c>
      <c r="H21" s="7">
        <v>0.2635701019519151</v>
      </c>
      <c r="I21" s="8">
        <v>0</v>
      </c>
      <c r="J21" s="8">
        <v>1</v>
      </c>
      <c r="K21" s="8">
        <v>5</v>
      </c>
      <c r="L21" s="7">
        <v>0.91823199844349412</v>
      </c>
      <c r="M21" s="7">
        <v>8.0199208093523724E-2</v>
      </c>
      <c r="N21" s="8">
        <v>0</v>
      </c>
      <c r="O21" s="8">
        <v>1</v>
      </c>
      <c r="P21" s="8">
        <v>16</v>
      </c>
      <c r="Q21" s="7">
        <v>0.34856431510481672</v>
      </c>
      <c r="R21" s="7">
        <v>0.13428004597101759</v>
      </c>
      <c r="S21" s="8">
        <v>0</v>
      </c>
      <c r="T21" s="8">
        <v>1</v>
      </c>
      <c r="U21" s="8">
        <v>19</v>
      </c>
      <c r="V21" s="7">
        <v>0.86634111546445414</v>
      </c>
      <c r="W21" s="7">
        <v>8.7661072043173624E-2</v>
      </c>
      <c r="X21" s="8">
        <v>0</v>
      </c>
      <c r="Y21" s="8">
        <v>1</v>
      </c>
      <c r="Z21" s="8">
        <v>18</v>
      </c>
      <c r="AA21" s="7">
        <v>0.58029936497462697</v>
      </c>
      <c r="AB21" s="7">
        <v>0.15545852097425128</v>
      </c>
      <c r="AC21" s="8">
        <v>0</v>
      </c>
      <c r="AD21" s="8">
        <v>1</v>
      </c>
      <c r="AE21" s="8">
        <v>14</v>
      </c>
      <c r="AF21" s="7">
        <v>0.53851511422947529</v>
      </c>
      <c r="AG21" s="7">
        <v>6.9565826035088457E-2</v>
      </c>
      <c r="AH21" s="8">
        <v>0</v>
      </c>
      <c r="AI21" s="8">
        <v>1</v>
      </c>
      <c r="AJ21" s="8">
        <v>100</v>
      </c>
    </row>
    <row r="22" spans="1:37" x14ac:dyDescent="0.45">
      <c r="A22" s="6" t="s">
        <v>13</v>
      </c>
      <c r="B22" s="7">
        <v>0.31222570804996269</v>
      </c>
      <c r="C22" s="7">
        <v>0.10484180402410716</v>
      </c>
      <c r="D22" s="8">
        <v>0</v>
      </c>
      <c r="E22" s="8">
        <v>1</v>
      </c>
      <c r="F22" s="8">
        <v>28</v>
      </c>
      <c r="G22" s="7">
        <v>0.30661429145553415</v>
      </c>
      <c r="H22" s="7">
        <v>0.26350898869548067</v>
      </c>
      <c r="I22" s="8">
        <v>0</v>
      </c>
      <c r="J22" s="8">
        <v>1</v>
      </c>
      <c r="K22" s="8">
        <v>5</v>
      </c>
      <c r="L22" s="7">
        <v>0.91823199844349412</v>
      </c>
      <c r="M22" s="7">
        <v>8.0199208093523724E-2</v>
      </c>
      <c r="N22" s="8">
        <v>0</v>
      </c>
      <c r="O22" s="8">
        <v>1</v>
      </c>
      <c r="P22" s="8">
        <v>16</v>
      </c>
      <c r="Q22" s="7">
        <v>0.34856431510481672</v>
      </c>
      <c r="R22" s="7">
        <v>0.13428004597101759</v>
      </c>
      <c r="S22" s="8">
        <v>0</v>
      </c>
      <c r="T22" s="8">
        <v>1</v>
      </c>
      <c r="U22" s="8">
        <v>19</v>
      </c>
      <c r="V22" s="7">
        <v>1</v>
      </c>
      <c r="W22" s="7">
        <v>0</v>
      </c>
      <c r="X22" s="8">
        <v>1</v>
      </c>
      <c r="Y22" s="8">
        <v>1</v>
      </c>
      <c r="Z22" s="8">
        <v>18</v>
      </c>
      <c r="AA22" s="7">
        <v>0.81077648414690529</v>
      </c>
      <c r="AB22" s="7">
        <v>0.11363495123652066</v>
      </c>
      <c r="AC22" s="8">
        <v>0</v>
      </c>
      <c r="AD22" s="8">
        <v>1</v>
      </c>
      <c r="AE22" s="8">
        <v>14</v>
      </c>
      <c r="AF22" s="7">
        <v>0.58404564746449028</v>
      </c>
      <c r="AG22" s="7">
        <v>6.9636386003461587E-2</v>
      </c>
      <c r="AH22" s="8">
        <v>0</v>
      </c>
      <c r="AI22" s="8">
        <v>1</v>
      </c>
      <c r="AJ22" s="8">
        <v>100</v>
      </c>
      <c r="AK22">
        <f>(AF24/AF23)-AF22</f>
        <v>0.28788183825565228</v>
      </c>
    </row>
    <row r="23" spans="1:37" x14ac:dyDescent="0.45">
      <c r="A23" s="6" t="s">
        <v>26</v>
      </c>
      <c r="B23" s="7">
        <v>0</v>
      </c>
      <c r="C23" s="7">
        <v>0</v>
      </c>
      <c r="D23" s="8">
        <v>0</v>
      </c>
      <c r="E23" s="8">
        <v>0</v>
      </c>
      <c r="F23" s="8">
        <v>28</v>
      </c>
      <c r="G23" s="7">
        <v>0</v>
      </c>
      <c r="H23" s="7">
        <v>0</v>
      </c>
      <c r="I23" s="8">
        <v>0</v>
      </c>
      <c r="J23" s="8">
        <v>0</v>
      </c>
      <c r="K23" s="8">
        <v>5</v>
      </c>
      <c r="L23" s="7">
        <v>0.72175728374909986</v>
      </c>
      <c r="M23" s="7">
        <v>0.12119985411311994</v>
      </c>
      <c r="N23" s="8">
        <v>0</v>
      </c>
      <c r="O23" s="8">
        <v>1</v>
      </c>
      <c r="P23" s="8">
        <v>16</v>
      </c>
      <c r="Q23" s="7">
        <v>0.29374289139203691</v>
      </c>
      <c r="R23" s="7">
        <v>0.11283736420444235</v>
      </c>
      <c r="S23" s="8">
        <v>0</v>
      </c>
      <c r="T23" s="8">
        <v>1</v>
      </c>
      <c r="U23" s="8">
        <v>19</v>
      </c>
      <c r="V23" s="7">
        <v>0.36680645879208712</v>
      </c>
      <c r="W23" s="7">
        <v>0.12383916979165614</v>
      </c>
      <c r="X23" s="8">
        <v>0</v>
      </c>
      <c r="Y23" s="8">
        <v>1</v>
      </c>
      <c r="Z23" s="8">
        <v>18</v>
      </c>
      <c r="AA23" s="7">
        <v>0.30087795573298015</v>
      </c>
      <c r="AB23" s="7">
        <v>0.14549325187447498</v>
      </c>
      <c r="AC23" s="8">
        <v>0</v>
      </c>
      <c r="AD23" s="8">
        <v>1</v>
      </c>
      <c r="AE23" s="8">
        <v>14</v>
      </c>
      <c r="AF23" s="7">
        <v>0.3070650065631072</v>
      </c>
      <c r="AG23" s="7">
        <v>6.1930006435609156E-2</v>
      </c>
      <c r="AH23" s="8">
        <v>0</v>
      </c>
      <c r="AI23" s="8">
        <v>1</v>
      </c>
      <c r="AJ23" s="8">
        <v>100</v>
      </c>
      <c r="AK23">
        <f>(AF24/AF22)-AF23</f>
        <v>0.15135535884418316</v>
      </c>
    </row>
    <row r="24" spans="1:37" x14ac:dyDescent="0.45">
      <c r="A24" s="6" t="s">
        <v>27</v>
      </c>
      <c r="B24" s="7">
        <v>0</v>
      </c>
      <c r="C24" s="7">
        <v>0</v>
      </c>
      <c r="D24" s="8">
        <v>0</v>
      </c>
      <c r="E24" s="8">
        <v>0</v>
      </c>
      <c r="F24" s="8">
        <v>28</v>
      </c>
      <c r="G24" s="7">
        <v>0</v>
      </c>
      <c r="H24" s="7">
        <v>0</v>
      </c>
      <c r="I24" s="8">
        <v>0</v>
      </c>
      <c r="J24" s="8">
        <v>0</v>
      </c>
      <c r="K24" s="8">
        <v>5</v>
      </c>
      <c r="L24" s="7">
        <v>0.72175728374909986</v>
      </c>
      <c r="M24" s="7">
        <v>0.12119985411311994</v>
      </c>
      <c r="N24" s="8">
        <v>0</v>
      </c>
      <c r="O24" s="8">
        <v>1</v>
      </c>
      <c r="P24" s="8">
        <v>16</v>
      </c>
      <c r="Q24" s="7">
        <v>0</v>
      </c>
      <c r="R24" s="7">
        <v>0</v>
      </c>
      <c r="S24" s="8">
        <v>0</v>
      </c>
      <c r="T24" s="8">
        <v>0</v>
      </c>
      <c r="U24" s="8">
        <v>19</v>
      </c>
      <c r="V24" s="7">
        <v>0.36680645879208712</v>
      </c>
      <c r="W24" s="7">
        <v>0.12383916979165614</v>
      </c>
      <c r="X24" s="8">
        <v>0</v>
      </c>
      <c r="Y24" s="8">
        <v>1</v>
      </c>
      <c r="Z24" s="8">
        <v>18</v>
      </c>
      <c r="AA24" s="7">
        <v>0.19575029431858679</v>
      </c>
      <c r="AB24" s="7">
        <v>0.12323932251988755</v>
      </c>
      <c r="AC24" s="8">
        <v>0</v>
      </c>
      <c r="AD24" s="8">
        <v>1</v>
      </c>
      <c r="AE24" s="8">
        <v>14</v>
      </c>
      <c r="AF24" s="7">
        <v>0.26773841912520913</v>
      </c>
      <c r="AG24" s="7">
        <v>6.0803854871950481E-2</v>
      </c>
      <c r="AH24" s="8">
        <v>0</v>
      </c>
      <c r="AI24" s="8">
        <v>1</v>
      </c>
      <c r="AJ24" s="8">
        <v>100</v>
      </c>
    </row>
    <row r="25" spans="1:37" x14ac:dyDescent="0.45">
      <c r="A25" s="6" t="s">
        <v>13</v>
      </c>
      <c r="B25" s="7">
        <v>0.31222570804996269</v>
      </c>
      <c r="C25" s="7">
        <v>0.10484180402410716</v>
      </c>
      <c r="D25" s="8">
        <v>0</v>
      </c>
      <c r="E25" s="8">
        <v>1</v>
      </c>
      <c r="F25" s="8">
        <v>28</v>
      </c>
      <c r="G25" s="7">
        <v>0.30661429145553415</v>
      </c>
      <c r="H25" s="7">
        <v>0.26350898869548067</v>
      </c>
      <c r="I25" s="8">
        <v>0</v>
      </c>
      <c r="J25" s="8">
        <v>1</v>
      </c>
      <c r="K25" s="8">
        <v>5</v>
      </c>
      <c r="L25" s="7">
        <v>0.91823199844349412</v>
      </c>
      <c r="M25" s="7">
        <v>8.0199208093523724E-2</v>
      </c>
      <c r="N25" s="8">
        <v>0</v>
      </c>
      <c r="O25" s="8">
        <v>1</v>
      </c>
      <c r="P25" s="8">
        <v>16</v>
      </c>
      <c r="Q25" s="7">
        <v>0.34856431510481672</v>
      </c>
      <c r="R25" s="7">
        <v>0.13428004597101759</v>
      </c>
      <c r="S25" s="8">
        <v>0</v>
      </c>
      <c r="T25" s="8">
        <v>1</v>
      </c>
      <c r="U25" s="8">
        <v>19</v>
      </c>
      <c r="V25" s="7">
        <v>1</v>
      </c>
      <c r="W25" s="7">
        <v>0</v>
      </c>
      <c r="X25" s="8">
        <v>1</v>
      </c>
      <c r="Y25" s="8">
        <v>1</v>
      </c>
      <c r="Z25" s="8">
        <v>18</v>
      </c>
      <c r="AA25" s="7">
        <v>0.81077648414690529</v>
      </c>
      <c r="AB25" s="7">
        <v>0.11363495123652066</v>
      </c>
      <c r="AC25" s="8">
        <v>0</v>
      </c>
      <c r="AD25" s="8">
        <v>1</v>
      </c>
      <c r="AE25" s="8">
        <v>14</v>
      </c>
      <c r="AF25" s="7">
        <v>0.58404564746449028</v>
      </c>
      <c r="AG25" s="7">
        <v>6.9636386003461587E-2</v>
      </c>
      <c r="AH25" s="8">
        <v>0</v>
      </c>
      <c r="AI25" s="8">
        <v>1</v>
      </c>
      <c r="AJ25" s="8">
        <v>100</v>
      </c>
      <c r="AK25">
        <f>(AF27/AF26)-AF25</f>
        <v>0.2164781870338558</v>
      </c>
    </row>
    <row r="26" spans="1:37" x14ac:dyDescent="0.45">
      <c r="A26" s="6" t="s">
        <v>28</v>
      </c>
      <c r="B26" s="7">
        <v>0</v>
      </c>
      <c r="C26" s="7">
        <v>0</v>
      </c>
      <c r="D26" s="8">
        <v>0</v>
      </c>
      <c r="E26" s="8">
        <v>0</v>
      </c>
      <c r="F26" s="8">
        <v>28</v>
      </c>
      <c r="G26" s="7">
        <v>0</v>
      </c>
      <c r="H26" s="7">
        <v>0</v>
      </c>
      <c r="I26" s="8">
        <v>0</v>
      </c>
      <c r="J26" s="8">
        <v>0</v>
      </c>
      <c r="K26" s="8">
        <v>5</v>
      </c>
      <c r="L26" s="7">
        <v>0.73670174764328467</v>
      </c>
      <c r="M26" s="7">
        <v>0.11672516606515494</v>
      </c>
      <c r="N26" s="8">
        <v>0</v>
      </c>
      <c r="O26" s="8">
        <v>1</v>
      </c>
      <c r="P26" s="8">
        <v>16</v>
      </c>
      <c r="Q26" s="7">
        <v>0.63622677312988607</v>
      </c>
      <c r="R26" s="7">
        <v>0.12689047883012006</v>
      </c>
      <c r="S26" s="8">
        <v>0</v>
      </c>
      <c r="T26" s="8">
        <v>1</v>
      </c>
      <c r="U26" s="8">
        <v>19</v>
      </c>
      <c r="V26" s="7">
        <v>0.73611457017133053</v>
      </c>
      <c r="W26" s="7">
        <v>0.11141004702384433</v>
      </c>
      <c r="X26" s="8">
        <v>0</v>
      </c>
      <c r="Y26" s="8">
        <v>1</v>
      </c>
      <c r="Z26" s="8">
        <v>18</v>
      </c>
      <c r="AA26" s="7">
        <v>0.50250462712121191</v>
      </c>
      <c r="AB26" s="7">
        <v>0.15738307630952827</v>
      </c>
      <c r="AC26" s="8">
        <v>0</v>
      </c>
      <c r="AD26" s="8">
        <v>1</v>
      </c>
      <c r="AE26" s="8">
        <v>14</v>
      </c>
      <c r="AF26" s="7">
        <v>0.38609576035540805</v>
      </c>
      <c r="AG26" s="7">
        <v>6.5209352136426937E-2</v>
      </c>
      <c r="AH26" s="8">
        <v>0</v>
      </c>
      <c r="AI26" s="8">
        <v>1</v>
      </c>
      <c r="AJ26" s="8">
        <v>100</v>
      </c>
      <c r="AK26">
        <f>(AF27/AF25)-AF26</f>
        <v>0.14310749611104412</v>
      </c>
    </row>
    <row r="27" spans="1:37" x14ac:dyDescent="0.45">
      <c r="A27" s="6" t="s">
        <v>29</v>
      </c>
      <c r="B27" s="7">
        <v>0</v>
      </c>
      <c r="C27" s="7">
        <v>0</v>
      </c>
      <c r="D27" s="8">
        <v>0</v>
      </c>
      <c r="E27" s="8">
        <v>0</v>
      </c>
      <c r="F27" s="8">
        <v>28</v>
      </c>
      <c r="G27" s="7">
        <v>0</v>
      </c>
      <c r="H27" s="7">
        <v>0</v>
      </c>
      <c r="I27" s="8">
        <v>0</v>
      </c>
      <c r="J27" s="8">
        <v>0</v>
      </c>
      <c r="K27" s="8">
        <v>5</v>
      </c>
      <c r="L27" s="7">
        <v>0.65493374608677879</v>
      </c>
      <c r="M27" s="7">
        <v>0.12755175263485707</v>
      </c>
      <c r="N27" s="8">
        <v>0</v>
      </c>
      <c r="O27" s="8">
        <v>1</v>
      </c>
      <c r="P27" s="8">
        <v>16</v>
      </c>
      <c r="Q27" s="7">
        <v>0.24239291192656121</v>
      </c>
      <c r="R27" s="7">
        <v>0.13076079182844053</v>
      </c>
      <c r="S27" s="8">
        <v>0</v>
      </c>
      <c r="T27" s="8">
        <v>1</v>
      </c>
      <c r="U27" s="8">
        <v>19</v>
      </c>
      <c r="V27" s="7">
        <v>0.73611457017133053</v>
      </c>
      <c r="W27" s="7">
        <v>0.11141004702384433</v>
      </c>
      <c r="X27" s="8">
        <v>0</v>
      </c>
      <c r="Y27" s="8">
        <v>1</v>
      </c>
      <c r="Z27" s="8">
        <v>18</v>
      </c>
      <c r="AA27" s="7">
        <v>0.39737696570681863</v>
      </c>
      <c r="AB27" s="7">
        <v>0.15492687057336302</v>
      </c>
      <c r="AC27" s="8">
        <v>0</v>
      </c>
      <c r="AD27" s="8">
        <v>1</v>
      </c>
      <c r="AE27" s="8">
        <v>14</v>
      </c>
      <c r="AF27" s="7">
        <v>0.30907885856326578</v>
      </c>
      <c r="AG27" s="7">
        <v>6.1244479140423552E-2</v>
      </c>
      <c r="AH27" s="8">
        <v>0</v>
      </c>
      <c r="AI27" s="8">
        <v>1</v>
      </c>
      <c r="AJ27" s="8">
        <v>100</v>
      </c>
    </row>
    <row r="28" spans="1:37" x14ac:dyDescent="0.45">
      <c r="A28" s="6" t="s">
        <v>13</v>
      </c>
      <c r="B28" s="7">
        <v>0.31222570804996269</v>
      </c>
      <c r="C28" s="7">
        <v>0.10484180402410716</v>
      </c>
      <c r="D28" s="8">
        <v>0</v>
      </c>
      <c r="E28" s="8">
        <v>1</v>
      </c>
      <c r="F28" s="8">
        <v>28</v>
      </c>
      <c r="G28" s="7">
        <v>0.30661429145553415</v>
      </c>
      <c r="H28" s="7">
        <v>0.26350898869548067</v>
      </c>
      <c r="I28" s="8">
        <v>0</v>
      </c>
      <c r="J28" s="8">
        <v>1</v>
      </c>
      <c r="K28" s="8">
        <v>5</v>
      </c>
      <c r="L28" s="7">
        <v>0.91823199844349412</v>
      </c>
      <c r="M28" s="7">
        <v>8.0199208093523724E-2</v>
      </c>
      <c r="N28" s="8">
        <v>0</v>
      </c>
      <c r="O28" s="8">
        <v>1</v>
      </c>
      <c r="P28" s="8">
        <v>16</v>
      </c>
      <c r="Q28" s="7">
        <v>0.34856431510481672</v>
      </c>
      <c r="R28" s="7">
        <v>0.13428004597101759</v>
      </c>
      <c r="S28" s="8">
        <v>0</v>
      </c>
      <c r="T28" s="8">
        <v>1</v>
      </c>
      <c r="U28" s="8">
        <v>19</v>
      </c>
      <c r="V28" s="7">
        <v>1</v>
      </c>
      <c r="W28" s="7">
        <v>0</v>
      </c>
      <c r="X28" s="8">
        <v>1</v>
      </c>
      <c r="Y28" s="8">
        <v>1</v>
      </c>
      <c r="Z28" s="8">
        <v>18</v>
      </c>
      <c r="AA28" s="7">
        <v>0.81077648414690529</v>
      </c>
      <c r="AB28" s="7">
        <v>0.11363495123652066</v>
      </c>
      <c r="AC28" s="8">
        <v>0</v>
      </c>
      <c r="AD28" s="8">
        <v>1</v>
      </c>
      <c r="AE28" s="8">
        <v>14</v>
      </c>
      <c r="AF28" s="7">
        <v>0.58404564746449028</v>
      </c>
      <c r="AG28" s="7">
        <v>6.9636386003461587E-2</v>
      </c>
      <c r="AH28" s="8">
        <v>0</v>
      </c>
      <c r="AI28" s="8">
        <v>1</v>
      </c>
      <c r="AJ28" s="8">
        <v>100</v>
      </c>
      <c r="AK28">
        <f>(AF30/AF29)-AF28</f>
        <v>0.1595646962663555</v>
      </c>
    </row>
    <row r="29" spans="1:37" x14ac:dyDescent="0.45">
      <c r="A29" s="6" t="s">
        <v>30</v>
      </c>
      <c r="B29" s="7">
        <v>0.13606196371960469</v>
      </c>
      <c r="C29" s="7">
        <v>6.8769928396153993E-2</v>
      </c>
      <c r="D29" s="8">
        <v>0</v>
      </c>
      <c r="E29" s="8">
        <v>1</v>
      </c>
      <c r="F29" s="8">
        <v>28</v>
      </c>
      <c r="G29" s="7">
        <v>0</v>
      </c>
      <c r="H29" s="7">
        <v>0</v>
      </c>
      <c r="I29" s="8">
        <v>0</v>
      </c>
      <c r="J29" s="8">
        <v>0</v>
      </c>
      <c r="K29" s="8">
        <v>5</v>
      </c>
      <c r="L29" s="7">
        <v>6.229053999852549E-2</v>
      </c>
      <c r="M29" s="7">
        <v>6.2400951743931066E-2</v>
      </c>
      <c r="N29" s="8">
        <v>0</v>
      </c>
      <c r="O29" s="8">
        <v>1</v>
      </c>
      <c r="P29" s="8">
        <v>16</v>
      </c>
      <c r="Q29" s="7">
        <v>0</v>
      </c>
      <c r="R29" s="7">
        <v>0</v>
      </c>
      <c r="S29" s="8">
        <v>0</v>
      </c>
      <c r="T29" s="8">
        <v>0</v>
      </c>
      <c r="U29" s="8">
        <v>19</v>
      </c>
      <c r="V29" s="7">
        <v>0.15550626739573795</v>
      </c>
      <c r="W29" s="7">
        <v>8.6631727868310957E-2</v>
      </c>
      <c r="X29" s="8">
        <v>0</v>
      </c>
      <c r="Y29" s="8">
        <v>1</v>
      </c>
      <c r="Z29" s="8">
        <v>18</v>
      </c>
      <c r="AA29" s="7">
        <v>0.14494874528348178</v>
      </c>
      <c r="AB29" s="7">
        <v>0.10516460199040556</v>
      </c>
      <c r="AC29" s="8">
        <v>0</v>
      </c>
      <c r="AD29" s="8">
        <v>1</v>
      </c>
      <c r="AE29" s="8">
        <v>14</v>
      </c>
      <c r="AF29" s="7">
        <v>7.5898831644268056E-2</v>
      </c>
      <c r="AG29" s="7">
        <v>2.9028505479072871E-2</v>
      </c>
      <c r="AH29" s="8">
        <v>0</v>
      </c>
      <c r="AI29" s="8">
        <v>1</v>
      </c>
      <c r="AJ29" s="8">
        <v>100</v>
      </c>
      <c r="AK29">
        <f>(AF30/AF28)-AF29</f>
        <v>2.0736005945537345E-2</v>
      </c>
    </row>
    <row r="30" spans="1:37" ht="26.25" x14ac:dyDescent="0.45">
      <c r="A30" s="6" t="s">
        <v>31</v>
      </c>
      <c r="B30" s="7">
        <v>7.5307270729204137E-2</v>
      </c>
      <c r="C30" s="7">
        <v>5.2874876137547031E-2</v>
      </c>
      <c r="D30" s="8">
        <v>0</v>
      </c>
      <c r="E30" s="8">
        <v>1</v>
      </c>
      <c r="F30" s="8">
        <v>28</v>
      </c>
      <c r="G30" s="7">
        <v>0</v>
      </c>
      <c r="H30" s="7">
        <v>0</v>
      </c>
      <c r="I30" s="8">
        <v>0</v>
      </c>
      <c r="J30" s="8">
        <v>0</v>
      </c>
      <c r="K30" s="8">
        <v>5</v>
      </c>
      <c r="L30" s="7">
        <v>6.229053999852549E-2</v>
      </c>
      <c r="M30" s="7">
        <v>6.2400951743931066E-2</v>
      </c>
      <c r="N30" s="8">
        <v>0</v>
      </c>
      <c r="O30" s="8">
        <v>1</v>
      </c>
      <c r="P30" s="8">
        <v>16</v>
      </c>
      <c r="Q30" s="7">
        <v>0</v>
      </c>
      <c r="R30" s="7">
        <v>0</v>
      </c>
      <c r="S30" s="8">
        <v>0</v>
      </c>
      <c r="T30" s="8">
        <v>0</v>
      </c>
      <c r="U30" s="8">
        <v>19</v>
      </c>
      <c r="V30" s="7">
        <v>0.15550626739573795</v>
      </c>
      <c r="W30" s="7">
        <v>8.6631727868310957E-2</v>
      </c>
      <c r="X30" s="8">
        <v>0</v>
      </c>
      <c r="Y30" s="8">
        <v>1</v>
      </c>
      <c r="Z30" s="8">
        <v>18</v>
      </c>
      <c r="AA30" s="7">
        <v>9.7308248581917819E-2</v>
      </c>
      <c r="AB30" s="7">
        <v>9.5663044906004094E-2</v>
      </c>
      <c r="AC30" s="8">
        <v>0</v>
      </c>
      <c r="AD30" s="8">
        <v>1</v>
      </c>
      <c r="AE30" s="8">
        <v>14</v>
      </c>
      <c r="AF30" s="7">
        <v>5.6439156287763761E-2</v>
      </c>
      <c r="AG30" s="7">
        <v>2.5964086565883636E-2</v>
      </c>
      <c r="AH30" s="8">
        <v>0</v>
      </c>
      <c r="AI30" s="8">
        <v>1</v>
      </c>
      <c r="AJ30" s="8">
        <v>100</v>
      </c>
    </row>
    <row r="31" spans="1:37" x14ac:dyDescent="0.45">
      <c r="A31" s="6" t="s">
        <v>13</v>
      </c>
      <c r="B31" s="7">
        <v>0.31222570804996269</v>
      </c>
      <c r="C31" s="7">
        <v>0.10484180402410716</v>
      </c>
      <c r="D31" s="8">
        <v>0</v>
      </c>
      <c r="E31" s="8">
        <v>1</v>
      </c>
      <c r="F31" s="8">
        <v>28</v>
      </c>
      <c r="G31" s="7">
        <v>0.30661429145553415</v>
      </c>
      <c r="H31" s="7">
        <v>0.26350898869548067</v>
      </c>
      <c r="I31" s="8">
        <v>0</v>
      </c>
      <c r="J31" s="8">
        <v>1</v>
      </c>
      <c r="K31" s="8">
        <v>5</v>
      </c>
      <c r="L31" s="7">
        <v>0.91823199844349412</v>
      </c>
      <c r="M31" s="7">
        <v>8.0199208093523724E-2</v>
      </c>
      <c r="N31" s="8">
        <v>0</v>
      </c>
      <c r="O31" s="8">
        <v>1</v>
      </c>
      <c r="P31" s="8">
        <v>16</v>
      </c>
      <c r="Q31" s="7">
        <v>0.34856431510481672</v>
      </c>
      <c r="R31" s="7">
        <v>0.13428004597101759</v>
      </c>
      <c r="S31" s="8">
        <v>0</v>
      </c>
      <c r="T31" s="8">
        <v>1</v>
      </c>
      <c r="U31" s="8">
        <v>19</v>
      </c>
      <c r="V31" s="7">
        <v>1</v>
      </c>
      <c r="W31" s="7">
        <v>0</v>
      </c>
      <c r="X31" s="8">
        <v>1</v>
      </c>
      <c r="Y31" s="8">
        <v>1</v>
      </c>
      <c r="Z31" s="8">
        <v>18</v>
      </c>
      <c r="AA31" s="7">
        <v>0.81077648414690529</v>
      </c>
      <c r="AB31" s="7">
        <v>0.11363495123652066</v>
      </c>
      <c r="AC31" s="8">
        <v>0</v>
      </c>
      <c r="AD31" s="8">
        <v>1</v>
      </c>
      <c r="AE31" s="8">
        <v>14</v>
      </c>
      <c r="AF31" s="7">
        <v>0.58404564746449028</v>
      </c>
      <c r="AG31" s="7">
        <v>6.9636386003461587E-2</v>
      </c>
      <c r="AH31" s="8">
        <v>0</v>
      </c>
      <c r="AI31" s="8">
        <v>1</v>
      </c>
      <c r="AJ31" s="8">
        <v>100</v>
      </c>
      <c r="AK31">
        <f>(AF33/AF32)-AF31</f>
        <v>0.23147667378110726</v>
      </c>
    </row>
    <row r="32" spans="1:37" x14ac:dyDescent="0.45">
      <c r="A32" s="6" t="s">
        <v>32</v>
      </c>
      <c r="B32" s="7">
        <v>4.3768328287058816E-2</v>
      </c>
      <c r="C32" s="7">
        <v>3.9247563320719027E-2</v>
      </c>
      <c r="D32" s="8">
        <v>0</v>
      </c>
      <c r="E32" s="8">
        <v>1</v>
      </c>
      <c r="F32" s="8">
        <v>28</v>
      </c>
      <c r="G32" s="7">
        <v>0</v>
      </c>
      <c r="H32" s="7">
        <v>0</v>
      </c>
      <c r="I32" s="8">
        <v>0</v>
      </c>
      <c r="J32" s="8">
        <v>0</v>
      </c>
      <c r="K32" s="8">
        <v>5</v>
      </c>
      <c r="L32" s="7">
        <v>0.25436745431109598</v>
      </c>
      <c r="M32" s="7">
        <v>0.11399054354627695</v>
      </c>
      <c r="N32" s="8">
        <v>0</v>
      </c>
      <c r="O32" s="8">
        <v>1</v>
      </c>
      <c r="P32" s="8">
        <v>16</v>
      </c>
      <c r="Q32" s="7">
        <v>0.41381121420178746</v>
      </c>
      <c r="R32" s="7">
        <v>0.12969928853703966</v>
      </c>
      <c r="S32" s="8">
        <v>0</v>
      </c>
      <c r="T32" s="8">
        <v>1</v>
      </c>
      <c r="U32" s="8">
        <v>19</v>
      </c>
      <c r="V32" s="7">
        <v>0.23553150148432661</v>
      </c>
      <c r="W32" s="7">
        <v>0.10224133114104708</v>
      </c>
      <c r="X32" s="8">
        <v>0</v>
      </c>
      <c r="Y32" s="8">
        <v>1</v>
      </c>
      <c r="Z32" s="8">
        <v>18</v>
      </c>
      <c r="AA32" s="7">
        <v>0.62380644277621733</v>
      </c>
      <c r="AB32" s="7">
        <v>0.15335862727964425</v>
      </c>
      <c r="AC32" s="8">
        <v>0</v>
      </c>
      <c r="AD32" s="8">
        <v>1</v>
      </c>
      <c r="AE32" s="8">
        <v>14</v>
      </c>
      <c r="AF32" s="7">
        <v>0.19224039367404611</v>
      </c>
      <c r="AG32" s="7">
        <v>4.6779770209863396E-2</v>
      </c>
      <c r="AH32" s="8">
        <v>0</v>
      </c>
      <c r="AI32" s="8">
        <v>1</v>
      </c>
      <c r="AJ32" s="8">
        <v>100</v>
      </c>
      <c r="AK32">
        <f>(AF33/AF31)-AF32</f>
        <v>7.6191248213598461E-2</v>
      </c>
    </row>
    <row r="33" spans="1:37" x14ac:dyDescent="0.45">
      <c r="A33" s="6" t="s">
        <v>33</v>
      </c>
      <c r="B33" s="7">
        <v>3.8681402086712793E-2</v>
      </c>
      <c r="C33" s="7">
        <v>3.885572815340025E-2</v>
      </c>
      <c r="D33" s="8">
        <v>0</v>
      </c>
      <c r="E33" s="8">
        <v>1</v>
      </c>
      <c r="F33" s="8">
        <v>28</v>
      </c>
      <c r="G33" s="7">
        <v>0</v>
      </c>
      <c r="H33" s="7">
        <v>0</v>
      </c>
      <c r="I33" s="8">
        <v>0</v>
      </c>
      <c r="J33" s="8">
        <v>0</v>
      </c>
      <c r="K33" s="8">
        <v>5</v>
      </c>
      <c r="L33" s="7">
        <v>0.25436745431109598</v>
      </c>
      <c r="M33" s="7">
        <v>0.11399054354627695</v>
      </c>
      <c r="N33" s="8">
        <v>0</v>
      </c>
      <c r="O33" s="8">
        <v>1</v>
      </c>
      <c r="P33" s="8">
        <v>16</v>
      </c>
      <c r="Q33" s="7">
        <v>0.15578060005800187</v>
      </c>
      <c r="R33" s="7">
        <v>8.7256143398724159E-2</v>
      </c>
      <c r="S33" s="8">
        <v>0</v>
      </c>
      <c r="T33" s="8">
        <v>1</v>
      </c>
      <c r="U33" s="8">
        <v>19</v>
      </c>
      <c r="V33" s="7">
        <v>0.23553150148432661</v>
      </c>
      <c r="W33" s="7">
        <v>0.10224133114104708</v>
      </c>
      <c r="X33" s="8">
        <v>0</v>
      </c>
      <c r="Y33" s="8">
        <v>1</v>
      </c>
      <c r="Z33" s="8">
        <v>18</v>
      </c>
      <c r="AA33" s="7">
        <v>0.53971058833751606</v>
      </c>
      <c r="AB33" s="7">
        <v>0.15587888524556878</v>
      </c>
      <c r="AC33" s="8">
        <v>0</v>
      </c>
      <c r="AD33" s="8">
        <v>1</v>
      </c>
      <c r="AE33" s="8">
        <v>14</v>
      </c>
      <c r="AF33" s="7">
        <v>0.15677633208622557</v>
      </c>
      <c r="AG33" s="7">
        <v>4.4206195385476293E-2</v>
      </c>
      <c r="AH33" s="8">
        <v>0</v>
      </c>
      <c r="AI33" s="8">
        <v>1</v>
      </c>
      <c r="AJ33" s="8">
        <v>100</v>
      </c>
    </row>
    <row r="34" spans="1:37" x14ac:dyDescent="0.45">
      <c r="A34" s="6" t="s">
        <v>13</v>
      </c>
      <c r="B34" s="7">
        <v>0.31222570804996269</v>
      </c>
      <c r="C34" s="7">
        <v>0.10484180402410716</v>
      </c>
      <c r="D34" s="8">
        <v>0</v>
      </c>
      <c r="E34" s="8">
        <v>1</v>
      </c>
      <c r="F34" s="8">
        <v>28</v>
      </c>
      <c r="G34" s="7">
        <v>0.30661429145553415</v>
      </c>
      <c r="H34" s="7">
        <v>0.26350898869548067</v>
      </c>
      <c r="I34" s="8">
        <v>0</v>
      </c>
      <c r="J34" s="8">
        <v>1</v>
      </c>
      <c r="K34" s="8">
        <v>5</v>
      </c>
      <c r="L34" s="7">
        <v>0.91823199844349412</v>
      </c>
      <c r="M34" s="7">
        <v>8.0199208093523724E-2</v>
      </c>
      <c r="N34" s="8">
        <v>0</v>
      </c>
      <c r="O34" s="8">
        <v>1</v>
      </c>
      <c r="P34" s="8">
        <v>16</v>
      </c>
      <c r="Q34" s="7">
        <v>0.34856431510481672</v>
      </c>
      <c r="R34" s="7">
        <v>0.13428004597101759</v>
      </c>
      <c r="S34" s="8">
        <v>0</v>
      </c>
      <c r="T34" s="8">
        <v>1</v>
      </c>
      <c r="U34" s="8">
        <v>19</v>
      </c>
      <c r="V34" s="7">
        <v>1</v>
      </c>
      <c r="W34" s="7">
        <v>0</v>
      </c>
      <c r="X34" s="8">
        <v>1</v>
      </c>
      <c r="Y34" s="8">
        <v>1</v>
      </c>
      <c r="Z34" s="8">
        <v>18</v>
      </c>
      <c r="AA34" s="7">
        <v>0.81077648414690529</v>
      </c>
      <c r="AB34" s="7">
        <v>0.11363495123652066</v>
      </c>
      <c r="AC34" s="8">
        <v>0</v>
      </c>
      <c r="AD34" s="8">
        <v>1</v>
      </c>
      <c r="AE34" s="8">
        <v>14</v>
      </c>
      <c r="AF34" s="7">
        <v>0.58404564746449028</v>
      </c>
      <c r="AG34" s="7">
        <v>6.9636386003461587E-2</v>
      </c>
      <c r="AH34" s="8">
        <v>0</v>
      </c>
      <c r="AI34" s="8">
        <v>1</v>
      </c>
      <c r="AJ34" s="8">
        <v>100</v>
      </c>
      <c r="AK34">
        <f>(AF36/AF35)-AF34</f>
        <v>0.35591117739727451</v>
      </c>
    </row>
    <row r="35" spans="1:37" x14ac:dyDescent="0.45">
      <c r="A35" s="6" t="s">
        <v>34</v>
      </c>
      <c r="B35" s="7">
        <v>5.0869262003460196E-3</v>
      </c>
      <c r="C35" s="7">
        <v>5.2833334995758627E-3</v>
      </c>
      <c r="D35" s="8">
        <v>0</v>
      </c>
      <c r="E35" s="8">
        <v>1</v>
      </c>
      <c r="F35" s="8">
        <v>28</v>
      </c>
      <c r="G35" s="7">
        <v>0</v>
      </c>
      <c r="H35" s="7">
        <v>0</v>
      </c>
      <c r="I35" s="8">
        <v>0</v>
      </c>
      <c r="J35" s="8">
        <v>0</v>
      </c>
      <c r="K35" s="8">
        <v>5</v>
      </c>
      <c r="L35" s="7">
        <v>6.2263124728341786E-2</v>
      </c>
      <c r="M35" s="7">
        <v>6.2375305389036399E-2</v>
      </c>
      <c r="N35" s="8">
        <v>0</v>
      </c>
      <c r="O35" s="8">
        <v>1</v>
      </c>
      <c r="P35" s="8">
        <v>16</v>
      </c>
      <c r="Q35" s="7">
        <v>0</v>
      </c>
      <c r="R35" s="7">
        <v>0</v>
      </c>
      <c r="S35" s="8">
        <v>0</v>
      </c>
      <c r="T35" s="8">
        <v>0</v>
      </c>
      <c r="U35" s="8">
        <v>19</v>
      </c>
      <c r="V35" s="7">
        <v>0.18749442370539304</v>
      </c>
      <c r="W35" s="7">
        <v>9.5653225655299184E-2</v>
      </c>
      <c r="X35" s="8">
        <v>0</v>
      </c>
      <c r="Y35" s="8">
        <v>1</v>
      </c>
      <c r="Z35" s="8">
        <v>18</v>
      </c>
      <c r="AA35" s="7">
        <v>0.10851687170393783</v>
      </c>
      <c r="AB35" s="7">
        <v>9.1959813331468687E-2</v>
      </c>
      <c r="AC35" s="8">
        <v>0</v>
      </c>
      <c r="AD35" s="8">
        <v>1</v>
      </c>
      <c r="AE35" s="8">
        <v>14</v>
      </c>
      <c r="AF35" s="7">
        <v>3.9845505914107161E-2</v>
      </c>
      <c r="AG35" s="7">
        <v>2.1780217848510454E-2</v>
      </c>
      <c r="AH35" s="8">
        <v>0</v>
      </c>
      <c r="AI35" s="8">
        <v>1</v>
      </c>
      <c r="AJ35" s="8">
        <v>100</v>
      </c>
      <c r="AK35">
        <f>(AF36/AF34)-AF35</f>
        <v>2.4281425579397324E-2</v>
      </c>
    </row>
    <row r="36" spans="1:37" ht="26.25" x14ac:dyDescent="0.45">
      <c r="A36" s="6" t="s">
        <v>35</v>
      </c>
      <c r="B36" s="7">
        <v>0</v>
      </c>
      <c r="C36" s="7">
        <v>0</v>
      </c>
      <c r="D36" s="8">
        <v>0</v>
      </c>
      <c r="E36" s="8">
        <v>0</v>
      </c>
      <c r="F36" s="8">
        <v>28</v>
      </c>
      <c r="G36" s="7">
        <v>0</v>
      </c>
      <c r="H36" s="7">
        <v>0</v>
      </c>
      <c r="I36" s="8">
        <v>0</v>
      </c>
      <c r="J36" s="8">
        <v>0</v>
      </c>
      <c r="K36" s="8">
        <v>5</v>
      </c>
      <c r="L36" s="7">
        <v>6.2263124728341786E-2</v>
      </c>
      <c r="M36" s="7">
        <v>6.2375305389036399E-2</v>
      </c>
      <c r="N36" s="8">
        <v>0</v>
      </c>
      <c r="O36" s="8">
        <v>1</v>
      </c>
      <c r="P36" s="8">
        <v>16</v>
      </c>
      <c r="Q36" s="7">
        <v>0</v>
      </c>
      <c r="R36" s="7">
        <v>0</v>
      </c>
      <c r="S36" s="8">
        <v>0</v>
      </c>
      <c r="T36" s="8">
        <v>0</v>
      </c>
      <c r="U36" s="8">
        <v>19</v>
      </c>
      <c r="V36" s="7">
        <v>0.18749442370539304</v>
      </c>
      <c r="W36" s="7">
        <v>9.5653225655299184E-2</v>
      </c>
      <c r="X36" s="8">
        <v>0</v>
      </c>
      <c r="Y36" s="8">
        <v>1</v>
      </c>
      <c r="Z36" s="8">
        <v>18</v>
      </c>
      <c r="AA36" s="7">
        <v>9.1385137798670593E-2</v>
      </c>
      <c r="AB36" s="7">
        <v>9.0431079609862339E-2</v>
      </c>
      <c r="AC36" s="8">
        <v>0</v>
      </c>
      <c r="AD36" s="8">
        <v>1</v>
      </c>
      <c r="AE36" s="8">
        <v>14</v>
      </c>
      <c r="AF36" s="7">
        <v>3.7453055224034838E-2</v>
      </c>
      <c r="AG36" s="7">
        <v>2.1687461321267837E-2</v>
      </c>
      <c r="AH36" s="8">
        <v>0</v>
      </c>
      <c r="AI36" s="8">
        <v>1</v>
      </c>
      <c r="AJ36" s="8">
        <v>100</v>
      </c>
    </row>
    <row r="37" spans="1:37" x14ac:dyDescent="0.45">
      <c r="A37" s="6" t="s">
        <v>13</v>
      </c>
      <c r="B37" s="7">
        <v>0.31222570804996269</v>
      </c>
      <c r="C37" s="7">
        <v>0.10484180402410716</v>
      </c>
      <c r="D37" s="8">
        <v>0</v>
      </c>
      <c r="E37" s="8">
        <v>1</v>
      </c>
      <c r="F37" s="8">
        <v>28</v>
      </c>
      <c r="G37" s="7">
        <v>0.30661429145553415</v>
      </c>
      <c r="H37" s="7">
        <v>0.26350898869548067</v>
      </c>
      <c r="I37" s="8">
        <v>0</v>
      </c>
      <c r="J37" s="8">
        <v>1</v>
      </c>
      <c r="K37" s="8">
        <v>5</v>
      </c>
      <c r="L37" s="7">
        <v>0.91823199844349412</v>
      </c>
      <c r="M37" s="7">
        <v>8.0199208093523724E-2</v>
      </c>
      <c r="N37" s="8">
        <v>0</v>
      </c>
      <c r="O37" s="8">
        <v>1</v>
      </c>
      <c r="P37" s="8">
        <v>16</v>
      </c>
      <c r="Q37" s="7">
        <v>0.34856431510481672</v>
      </c>
      <c r="R37" s="7">
        <v>0.13428004597101759</v>
      </c>
      <c r="S37" s="8">
        <v>0</v>
      </c>
      <c r="T37" s="8">
        <v>1</v>
      </c>
      <c r="U37" s="8">
        <v>19</v>
      </c>
      <c r="V37" s="7">
        <v>1</v>
      </c>
      <c r="W37" s="7">
        <v>0</v>
      </c>
      <c r="X37" s="8">
        <v>1</v>
      </c>
      <c r="Y37" s="8">
        <v>1</v>
      </c>
      <c r="Z37" s="8">
        <v>18</v>
      </c>
      <c r="AA37" s="7">
        <v>0.81077648414690529</v>
      </c>
      <c r="AB37" s="7">
        <v>0.11363495123652066</v>
      </c>
      <c r="AC37" s="8">
        <v>0</v>
      </c>
      <c r="AD37" s="8">
        <v>1</v>
      </c>
      <c r="AE37" s="8">
        <v>14</v>
      </c>
      <c r="AF37" s="7">
        <v>0.58404564746449028</v>
      </c>
      <c r="AG37" s="7">
        <v>6.9636386003461587E-2</v>
      </c>
      <c r="AH37" s="8">
        <v>0</v>
      </c>
      <c r="AI37" s="8">
        <v>1</v>
      </c>
      <c r="AJ37" s="8">
        <v>100</v>
      </c>
      <c r="AK37">
        <f>(AF39/AF38)-AF37</f>
        <v>-6.9050056031729312E-2</v>
      </c>
    </row>
    <row r="38" spans="1:37" x14ac:dyDescent="0.45">
      <c r="A38" s="6" t="s">
        <v>36</v>
      </c>
      <c r="B38" s="7">
        <v>0.75033349718812381</v>
      </c>
      <c r="C38" s="7">
        <v>0.11113628937183456</v>
      </c>
      <c r="D38" s="8">
        <v>0</v>
      </c>
      <c r="E38" s="8">
        <v>1</v>
      </c>
      <c r="F38" s="8">
        <v>28</v>
      </c>
      <c r="G38" s="7">
        <v>0.69890286206955909</v>
      </c>
      <c r="H38" s="7">
        <v>0.26064905237909602</v>
      </c>
      <c r="I38" s="8">
        <v>0</v>
      </c>
      <c r="J38" s="8">
        <v>1</v>
      </c>
      <c r="K38" s="8">
        <v>5</v>
      </c>
      <c r="L38" s="7">
        <v>7.6528749224782755E-2</v>
      </c>
      <c r="M38" s="7">
        <v>6.4008315307330796E-2</v>
      </c>
      <c r="N38" s="8">
        <v>0</v>
      </c>
      <c r="O38" s="8">
        <v>1</v>
      </c>
      <c r="P38" s="8">
        <v>16</v>
      </c>
      <c r="Q38" s="7">
        <v>0.13638212532932661</v>
      </c>
      <c r="R38" s="7">
        <v>0.12489587163927413</v>
      </c>
      <c r="S38" s="8">
        <v>0</v>
      </c>
      <c r="T38" s="8">
        <v>1</v>
      </c>
      <c r="U38" s="8">
        <v>19</v>
      </c>
      <c r="V38" s="7">
        <v>0.35584441822330487</v>
      </c>
      <c r="W38" s="7">
        <v>0.12202753204157965</v>
      </c>
      <c r="X38" s="8">
        <v>0</v>
      </c>
      <c r="Y38" s="8">
        <v>1</v>
      </c>
      <c r="Z38" s="8">
        <v>18</v>
      </c>
      <c r="AA38" s="7">
        <v>0.74429546837714122</v>
      </c>
      <c r="AB38" s="7">
        <v>0.12930236493328284</v>
      </c>
      <c r="AC38" s="8">
        <v>0</v>
      </c>
      <c r="AD38" s="8">
        <v>1</v>
      </c>
      <c r="AE38" s="8">
        <v>14</v>
      </c>
      <c r="AF38" s="7">
        <v>0.42925514319553509</v>
      </c>
      <c r="AG38" s="7">
        <v>6.917480911456024E-2</v>
      </c>
      <c r="AH38" s="8">
        <v>0</v>
      </c>
      <c r="AI38" s="8">
        <v>1</v>
      </c>
      <c r="AJ38" s="8">
        <v>100</v>
      </c>
      <c r="AK38">
        <f>(AF39/AF37)-AF38</f>
        <v>-5.0749614894376571E-2</v>
      </c>
    </row>
    <row r="39" spans="1:37" x14ac:dyDescent="0.45">
      <c r="A39" s="6" t="s">
        <v>37</v>
      </c>
      <c r="B39" s="7">
        <v>0.27732846867742567</v>
      </c>
      <c r="C39" s="7">
        <v>0.103441489656173</v>
      </c>
      <c r="D39" s="8">
        <v>0</v>
      </c>
      <c r="E39" s="8">
        <v>1</v>
      </c>
      <c r="F39" s="8">
        <v>28</v>
      </c>
      <c r="G39" s="7">
        <v>0.28413340654229741</v>
      </c>
      <c r="H39" s="7">
        <v>0.2635701019519151</v>
      </c>
      <c r="I39" s="8">
        <v>0</v>
      </c>
      <c r="J39" s="8">
        <v>1</v>
      </c>
      <c r="K39" s="8">
        <v>5</v>
      </c>
      <c r="L39" s="7">
        <v>7.6528749224782755E-2</v>
      </c>
      <c r="M39" s="7">
        <v>6.4008315307330796E-2</v>
      </c>
      <c r="N39" s="8">
        <v>0</v>
      </c>
      <c r="O39" s="8">
        <v>1</v>
      </c>
      <c r="P39" s="8">
        <v>16</v>
      </c>
      <c r="Q39" s="7">
        <v>0.13638212532932661</v>
      </c>
      <c r="R39" s="7">
        <v>0.12489587163927413</v>
      </c>
      <c r="S39" s="8">
        <v>0</v>
      </c>
      <c r="T39" s="8">
        <v>1</v>
      </c>
      <c r="U39" s="8">
        <v>19</v>
      </c>
      <c r="V39" s="7">
        <v>0.35584441822330487</v>
      </c>
      <c r="W39" s="7">
        <v>0.12202753204157965</v>
      </c>
      <c r="X39" s="8">
        <v>0</v>
      </c>
      <c r="Y39" s="8">
        <v>1</v>
      </c>
      <c r="Z39" s="8">
        <v>18</v>
      </c>
      <c r="AA39" s="7">
        <v>0.59152731026118399</v>
      </c>
      <c r="AB39" s="7">
        <v>0.15166514368286213</v>
      </c>
      <c r="AC39" s="8">
        <v>0</v>
      </c>
      <c r="AD39" s="8">
        <v>1</v>
      </c>
      <c r="AE39" s="8">
        <v>14</v>
      </c>
      <c r="AF39" s="7">
        <v>0.22106450634553909</v>
      </c>
      <c r="AG39" s="7">
        <v>5.8070871316351469E-2</v>
      </c>
      <c r="AH39" s="8">
        <v>0</v>
      </c>
      <c r="AI39" s="8">
        <v>1</v>
      </c>
      <c r="AJ39" s="8">
        <v>100</v>
      </c>
    </row>
    <row r="40" spans="1:37" x14ac:dyDescent="0.45">
      <c r="A40" s="6" t="s">
        <v>13</v>
      </c>
      <c r="B40" s="7">
        <v>0.31222570804996269</v>
      </c>
      <c r="C40" s="7">
        <v>0.10484180402410716</v>
      </c>
      <c r="D40" s="8">
        <v>0</v>
      </c>
      <c r="E40" s="8">
        <v>1</v>
      </c>
      <c r="F40" s="8">
        <v>28</v>
      </c>
      <c r="G40" s="7">
        <v>0.30661429145553415</v>
      </c>
      <c r="H40" s="7">
        <v>0.26350898869548067</v>
      </c>
      <c r="I40" s="8">
        <v>0</v>
      </c>
      <c r="J40" s="8">
        <v>1</v>
      </c>
      <c r="K40" s="8">
        <v>5</v>
      </c>
      <c r="L40" s="7">
        <v>0.91823199844349412</v>
      </c>
      <c r="M40" s="7">
        <v>8.0199208093523724E-2</v>
      </c>
      <c r="N40" s="8">
        <v>0</v>
      </c>
      <c r="O40" s="8">
        <v>1</v>
      </c>
      <c r="P40" s="8">
        <v>16</v>
      </c>
      <c r="Q40" s="7">
        <v>0.34856431510481672</v>
      </c>
      <c r="R40" s="7">
        <v>0.13428004597101759</v>
      </c>
      <c r="S40" s="8">
        <v>0</v>
      </c>
      <c r="T40" s="8">
        <v>1</v>
      </c>
      <c r="U40" s="8">
        <v>19</v>
      </c>
      <c r="V40" s="7">
        <v>1</v>
      </c>
      <c r="W40" s="7">
        <v>0</v>
      </c>
      <c r="X40" s="8">
        <v>1</v>
      </c>
      <c r="Y40" s="8">
        <v>1</v>
      </c>
      <c r="Z40" s="8">
        <v>18</v>
      </c>
      <c r="AA40" s="7">
        <v>0.81077648414690529</v>
      </c>
      <c r="AB40" s="7">
        <v>0.11363495123652066</v>
      </c>
      <c r="AC40" s="8">
        <v>0</v>
      </c>
      <c r="AD40" s="8">
        <v>1</v>
      </c>
      <c r="AE40" s="8">
        <v>14</v>
      </c>
      <c r="AF40" s="7">
        <v>0.58404564746449028</v>
      </c>
      <c r="AG40" s="7">
        <v>6.9636386003461587E-2</v>
      </c>
      <c r="AH40" s="8">
        <v>0</v>
      </c>
      <c r="AI40" s="8">
        <v>1</v>
      </c>
      <c r="AJ40" s="8">
        <v>100</v>
      </c>
      <c r="AK40">
        <f>(AF42/AF41)-AF40</f>
        <v>0.28040405146551228</v>
      </c>
    </row>
    <row r="41" spans="1:37" ht="26.25" x14ac:dyDescent="0.45">
      <c r="A41" s="6" t="s">
        <v>38</v>
      </c>
      <c r="B41" s="7">
        <v>0</v>
      </c>
      <c r="C41" s="7">
        <v>0</v>
      </c>
      <c r="D41" s="8">
        <v>0</v>
      </c>
      <c r="E41" s="8">
        <v>0</v>
      </c>
      <c r="F41" s="8">
        <v>28</v>
      </c>
      <c r="G41" s="7">
        <v>0</v>
      </c>
      <c r="H41" s="7">
        <v>0</v>
      </c>
      <c r="I41" s="8">
        <v>0</v>
      </c>
      <c r="J41" s="8">
        <v>0</v>
      </c>
      <c r="K41" s="8">
        <v>5</v>
      </c>
      <c r="L41" s="7">
        <v>0.93129216535876924</v>
      </c>
      <c r="M41" s="7">
        <v>6.8358528251634604E-2</v>
      </c>
      <c r="N41" s="8">
        <v>0</v>
      </c>
      <c r="O41" s="8">
        <v>1</v>
      </c>
      <c r="P41" s="8">
        <v>16</v>
      </c>
      <c r="Q41" s="7">
        <v>0.23215855473296679</v>
      </c>
      <c r="R41" s="7">
        <v>9.9015389508305698E-2</v>
      </c>
      <c r="S41" s="8">
        <v>0</v>
      </c>
      <c r="T41" s="8">
        <v>1</v>
      </c>
      <c r="U41" s="8">
        <v>19</v>
      </c>
      <c r="V41" s="7">
        <v>0.47441656189365872</v>
      </c>
      <c r="W41" s="7">
        <v>0.1275876604219422</v>
      </c>
      <c r="X41" s="8">
        <v>0</v>
      </c>
      <c r="Y41" s="8">
        <v>1</v>
      </c>
      <c r="Z41" s="8">
        <v>18</v>
      </c>
      <c r="AA41" s="7">
        <v>0.50100347893857933</v>
      </c>
      <c r="AB41" s="7">
        <v>0.15741214876712428</v>
      </c>
      <c r="AC41" s="8">
        <v>0</v>
      </c>
      <c r="AD41" s="8">
        <v>1</v>
      </c>
      <c r="AE41" s="8">
        <v>14</v>
      </c>
      <c r="AF41" s="7">
        <v>0.38621991000499384</v>
      </c>
      <c r="AG41" s="7">
        <v>6.6639473541989111E-2</v>
      </c>
      <c r="AH41" s="8">
        <v>0</v>
      </c>
      <c r="AI41" s="8">
        <v>1</v>
      </c>
      <c r="AJ41" s="8">
        <v>100</v>
      </c>
      <c r="AK41">
        <f>(AF42/AF40)-AF41</f>
        <v>0.18542664942748383</v>
      </c>
    </row>
    <row r="42" spans="1:37" ht="26.25" x14ac:dyDescent="0.45">
      <c r="A42" s="6" t="s">
        <v>39</v>
      </c>
      <c r="B42" s="7">
        <v>0</v>
      </c>
      <c r="C42" s="7">
        <v>0</v>
      </c>
      <c r="D42" s="8">
        <v>0</v>
      </c>
      <c r="E42" s="8">
        <v>0</v>
      </c>
      <c r="F42" s="8">
        <v>28</v>
      </c>
      <c r="G42" s="7">
        <v>0</v>
      </c>
      <c r="H42" s="7">
        <v>0</v>
      </c>
      <c r="I42" s="8">
        <v>0</v>
      </c>
      <c r="J42" s="8">
        <v>0</v>
      </c>
      <c r="K42" s="8">
        <v>5</v>
      </c>
      <c r="L42" s="7">
        <v>0.84952416380226337</v>
      </c>
      <c r="M42" s="7">
        <v>0.10042526228390043</v>
      </c>
      <c r="N42" s="8">
        <v>0</v>
      </c>
      <c r="O42" s="8">
        <v>1</v>
      </c>
      <c r="P42" s="8">
        <v>16</v>
      </c>
      <c r="Q42" s="7">
        <v>5.640158971748821E-2</v>
      </c>
      <c r="R42" s="7">
        <v>5.25456185638144E-2</v>
      </c>
      <c r="S42" s="8">
        <v>0</v>
      </c>
      <c r="T42" s="8">
        <v>1</v>
      </c>
      <c r="U42" s="8">
        <v>19</v>
      </c>
      <c r="V42" s="7">
        <v>0.47441656189365872</v>
      </c>
      <c r="W42" s="7">
        <v>0.1275876604219422</v>
      </c>
      <c r="X42" s="8">
        <v>0</v>
      </c>
      <c r="Y42" s="8">
        <v>1</v>
      </c>
      <c r="Z42" s="8">
        <v>18</v>
      </c>
      <c r="AA42" s="7">
        <v>0.3958758175241861</v>
      </c>
      <c r="AB42" s="7">
        <v>0.15472386323655241</v>
      </c>
      <c r="AC42" s="8">
        <v>0</v>
      </c>
      <c r="AD42" s="8">
        <v>1</v>
      </c>
      <c r="AE42" s="8">
        <v>14</v>
      </c>
      <c r="AF42" s="7">
        <v>0.33386768492458962</v>
      </c>
      <c r="AG42" s="7">
        <v>6.4354213281487174E-2</v>
      </c>
      <c r="AH42" s="8">
        <v>0</v>
      </c>
      <c r="AI42" s="8">
        <v>1</v>
      </c>
      <c r="AJ42" s="8">
        <v>100</v>
      </c>
    </row>
    <row r="43" spans="1:37" x14ac:dyDescent="0.45">
      <c r="A43" s="6" t="s">
        <v>13</v>
      </c>
      <c r="B43" s="7">
        <v>0.31222570804996269</v>
      </c>
      <c r="C43" s="7">
        <v>0.10484180402410716</v>
      </c>
      <c r="D43" s="8">
        <v>0</v>
      </c>
      <c r="E43" s="8">
        <v>1</v>
      </c>
      <c r="F43" s="8">
        <v>28</v>
      </c>
      <c r="G43" s="7">
        <v>0.30661429145553415</v>
      </c>
      <c r="H43" s="7">
        <v>0.26350898869548067</v>
      </c>
      <c r="I43" s="8">
        <v>0</v>
      </c>
      <c r="J43" s="8">
        <v>1</v>
      </c>
      <c r="K43" s="8">
        <v>5</v>
      </c>
      <c r="L43" s="7">
        <v>0.91823199844349412</v>
      </c>
      <c r="M43" s="7">
        <v>8.0199208093523724E-2</v>
      </c>
      <c r="N43" s="8">
        <v>0</v>
      </c>
      <c r="O43" s="8">
        <v>1</v>
      </c>
      <c r="P43" s="8">
        <v>16</v>
      </c>
      <c r="Q43" s="7">
        <v>0.34856431510481672</v>
      </c>
      <c r="R43" s="7">
        <v>0.13428004597101759</v>
      </c>
      <c r="S43" s="8">
        <v>0</v>
      </c>
      <c r="T43" s="8">
        <v>1</v>
      </c>
      <c r="U43" s="8">
        <v>19</v>
      </c>
      <c r="V43" s="7">
        <v>1</v>
      </c>
      <c r="W43" s="7">
        <v>0</v>
      </c>
      <c r="X43" s="8">
        <v>1</v>
      </c>
      <c r="Y43" s="8">
        <v>1</v>
      </c>
      <c r="Z43" s="8">
        <v>18</v>
      </c>
      <c r="AA43" s="7">
        <v>0.81077648414690529</v>
      </c>
      <c r="AB43" s="7">
        <v>0.11363495123652066</v>
      </c>
      <c r="AC43" s="8">
        <v>0</v>
      </c>
      <c r="AD43" s="8">
        <v>1</v>
      </c>
      <c r="AE43" s="8">
        <v>14</v>
      </c>
      <c r="AF43" s="7">
        <v>0.58404564746449028</v>
      </c>
      <c r="AG43" s="7">
        <v>6.9636386003461587E-2</v>
      </c>
      <c r="AH43" s="8">
        <v>0</v>
      </c>
      <c r="AI43" s="8">
        <v>1</v>
      </c>
      <c r="AJ43" s="8">
        <v>100</v>
      </c>
      <c r="AK43">
        <f>(AF45/AF44)-AF43</f>
        <v>0.27342213539798255</v>
      </c>
    </row>
    <row r="44" spans="1:37" x14ac:dyDescent="0.45">
      <c r="A44" s="6" t="s">
        <v>40</v>
      </c>
      <c r="B44" s="7">
        <v>0.24021275260760397</v>
      </c>
      <c r="C44" s="7">
        <v>9.9804594593725232E-2</v>
      </c>
      <c r="D44" s="8">
        <v>0</v>
      </c>
      <c r="E44" s="8">
        <v>1</v>
      </c>
      <c r="F44" s="8">
        <v>28</v>
      </c>
      <c r="G44" s="7">
        <v>0.28413340654229741</v>
      </c>
      <c r="H44" s="7">
        <v>0.2635701019519151</v>
      </c>
      <c r="I44" s="8">
        <v>0</v>
      </c>
      <c r="J44" s="8">
        <v>1</v>
      </c>
      <c r="K44" s="8">
        <v>5</v>
      </c>
      <c r="L44" s="7">
        <v>1</v>
      </c>
      <c r="M44" s="7">
        <v>0</v>
      </c>
      <c r="N44" s="8">
        <v>1</v>
      </c>
      <c r="O44" s="8">
        <v>1</v>
      </c>
      <c r="P44" s="8">
        <v>16</v>
      </c>
      <c r="Q44" s="7">
        <v>0.85289731615094222</v>
      </c>
      <c r="R44" s="7">
        <v>0.10368836461541529</v>
      </c>
      <c r="S44" s="8">
        <v>0</v>
      </c>
      <c r="T44" s="8">
        <v>1</v>
      </c>
      <c r="U44" s="8">
        <v>19</v>
      </c>
      <c r="V44" s="7">
        <v>0.86634111546445414</v>
      </c>
      <c r="W44" s="7">
        <v>8.7661072043173624E-2</v>
      </c>
      <c r="X44" s="8">
        <v>0</v>
      </c>
      <c r="Y44" s="8">
        <v>1</v>
      </c>
      <c r="Z44" s="8">
        <v>18</v>
      </c>
      <c r="AA44" s="7">
        <v>0.68542702638902031</v>
      </c>
      <c r="AB44" s="7">
        <v>0.14449500923918335</v>
      </c>
      <c r="AC44" s="8">
        <v>0</v>
      </c>
      <c r="AD44" s="8">
        <v>1</v>
      </c>
      <c r="AE44" s="8">
        <v>14</v>
      </c>
      <c r="AF44" s="7">
        <v>0.62802955981828001</v>
      </c>
      <c r="AG44" s="7">
        <v>6.9009852430896662E-2</v>
      </c>
      <c r="AH44" s="8">
        <v>0</v>
      </c>
      <c r="AI44" s="8">
        <v>1</v>
      </c>
      <c r="AJ44" s="8">
        <v>100</v>
      </c>
      <c r="AK44">
        <f>(AF45/AF43)-AF44</f>
        <v>0.2940132917419086</v>
      </c>
    </row>
    <row r="45" spans="1:37" ht="26.25" x14ac:dyDescent="0.45">
      <c r="A45" s="6" t="s">
        <v>41</v>
      </c>
      <c r="B45" s="7">
        <v>0.24021275260760397</v>
      </c>
      <c r="C45" s="7">
        <v>9.9804594593725232E-2</v>
      </c>
      <c r="D45" s="8">
        <v>0</v>
      </c>
      <c r="E45" s="8">
        <v>1</v>
      </c>
      <c r="F45" s="8">
        <v>28</v>
      </c>
      <c r="G45" s="7">
        <v>0.28413340654229741</v>
      </c>
      <c r="H45" s="7">
        <v>0.2635701019519151</v>
      </c>
      <c r="I45" s="8">
        <v>0</v>
      </c>
      <c r="J45" s="8">
        <v>1</v>
      </c>
      <c r="K45" s="8">
        <v>5</v>
      </c>
      <c r="L45" s="7">
        <v>0.91823199844349412</v>
      </c>
      <c r="M45" s="7">
        <v>8.0199208093523724E-2</v>
      </c>
      <c r="N45" s="8">
        <v>0</v>
      </c>
      <c r="O45" s="8">
        <v>1</v>
      </c>
      <c r="P45" s="8">
        <v>16</v>
      </c>
      <c r="Q45" s="7">
        <v>0.34856431510481672</v>
      </c>
      <c r="R45" s="7">
        <v>0.13428004597101759</v>
      </c>
      <c r="S45" s="8">
        <v>0</v>
      </c>
      <c r="T45" s="8">
        <v>1</v>
      </c>
      <c r="U45" s="8">
        <v>19</v>
      </c>
      <c r="V45" s="7">
        <v>0.86634111546445414</v>
      </c>
      <c r="W45" s="7">
        <v>8.7661072043173624E-2</v>
      </c>
      <c r="X45" s="8">
        <v>0</v>
      </c>
      <c r="Y45" s="8">
        <v>1</v>
      </c>
      <c r="Z45" s="8">
        <v>18</v>
      </c>
      <c r="AA45" s="7">
        <v>0.58029936497462697</v>
      </c>
      <c r="AB45" s="7">
        <v>0.15545852097425128</v>
      </c>
      <c r="AC45" s="8">
        <v>0</v>
      </c>
      <c r="AD45" s="8">
        <v>1</v>
      </c>
      <c r="AE45" s="8">
        <v>14</v>
      </c>
      <c r="AF45" s="7">
        <v>0.53851511422947529</v>
      </c>
      <c r="AG45" s="7">
        <v>6.9565826035088457E-2</v>
      </c>
      <c r="AH45" s="8">
        <v>0</v>
      </c>
      <c r="AI45" s="8">
        <v>1</v>
      </c>
      <c r="AJ45" s="8">
        <v>100</v>
      </c>
    </row>
    <row r="46" spans="1:37" x14ac:dyDescent="0.45">
      <c r="A46" s="6" t="s">
        <v>13</v>
      </c>
      <c r="B46" s="7">
        <v>0.31222570804996269</v>
      </c>
      <c r="C46" s="7">
        <v>0.10484180402410716</v>
      </c>
      <c r="D46" s="8">
        <v>0</v>
      </c>
      <c r="E46" s="8">
        <v>1</v>
      </c>
      <c r="F46" s="8">
        <v>28</v>
      </c>
      <c r="G46" s="7">
        <v>0.30661429145553415</v>
      </c>
      <c r="H46" s="7">
        <v>0.26350898869548067</v>
      </c>
      <c r="I46" s="8">
        <v>0</v>
      </c>
      <c r="J46" s="8">
        <v>1</v>
      </c>
      <c r="K46" s="8">
        <v>5</v>
      </c>
      <c r="L46" s="7">
        <v>0.91823199844349412</v>
      </c>
      <c r="M46" s="7">
        <v>8.0199208093523724E-2</v>
      </c>
      <c r="N46" s="8">
        <v>0</v>
      </c>
      <c r="O46" s="8">
        <v>1</v>
      </c>
      <c r="P46" s="8">
        <v>16</v>
      </c>
      <c r="Q46" s="7">
        <v>0.34856431510481672</v>
      </c>
      <c r="R46" s="7">
        <v>0.13428004597101759</v>
      </c>
      <c r="S46" s="8">
        <v>0</v>
      </c>
      <c r="T46" s="8">
        <v>1</v>
      </c>
      <c r="U46" s="8">
        <v>19</v>
      </c>
      <c r="V46" s="7">
        <v>1</v>
      </c>
      <c r="W46" s="7">
        <v>0</v>
      </c>
      <c r="X46" s="8">
        <v>1</v>
      </c>
      <c r="Y46" s="8">
        <v>1</v>
      </c>
      <c r="Z46" s="8">
        <v>18</v>
      </c>
      <c r="AA46" s="7">
        <v>0.81077648414690529</v>
      </c>
      <c r="AB46" s="7">
        <v>0.11363495123652066</v>
      </c>
      <c r="AC46" s="8">
        <v>0</v>
      </c>
      <c r="AD46" s="8">
        <v>1</v>
      </c>
      <c r="AE46" s="8">
        <v>14</v>
      </c>
      <c r="AF46" s="7">
        <v>0.58404564746449028</v>
      </c>
      <c r="AG46" s="7">
        <v>6.9636386003461587E-2</v>
      </c>
      <c r="AH46" s="8">
        <v>0</v>
      </c>
      <c r="AI46" s="8">
        <v>1</v>
      </c>
      <c r="AJ46" s="8">
        <v>100</v>
      </c>
      <c r="AK46">
        <f>(AF48/AF47)-AF46</f>
        <v>0.24818743164906232</v>
      </c>
    </row>
    <row r="47" spans="1:37" x14ac:dyDescent="0.45">
      <c r="A47" s="6" t="s">
        <v>42</v>
      </c>
      <c r="B47" s="7">
        <v>0.14941160928574393</v>
      </c>
      <c r="C47" s="7">
        <v>7.3542009243322798E-2</v>
      </c>
      <c r="D47" s="8">
        <v>0</v>
      </c>
      <c r="E47" s="8">
        <v>1</v>
      </c>
      <c r="F47" s="8">
        <v>28</v>
      </c>
      <c r="G47" s="7">
        <v>0.28413340654229741</v>
      </c>
      <c r="H47" s="7">
        <v>0.2635701019519151</v>
      </c>
      <c r="I47" s="8">
        <v>0</v>
      </c>
      <c r="J47" s="8">
        <v>1</v>
      </c>
      <c r="K47" s="8">
        <v>5</v>
      </c>
      <c r="L47" s="7">
        <v>0.8067852407664784</v>
      </c>
      <c r="M47" s="7">
        <v>0.10368902289601112</v>
      </c>
      <c r="N47" s="8">
        <v>0</v>
      </c>
      <c r="O47" s="8">
        <v>1</v>
      </c>
      <c r="P47" s="8">
        <v>16</v>
      </c>
      <c r="Q47" s="7">
        <v>0.89861962585941668</v>
      </c>
      <c r="R47" s="7">
        <v>9.6845778169611332E-2</v>
      </c>
      <c r="S47" s="8">
        <v>0</v>
      </c>
      <c r="T47" s="8">
        <v>1</v>
      </c>
      <c r="U47" s="8">
        <v>19</v>
      </c>
      <c r="V47" s="7">
        <v>0.94505098249148323</v>
      </c>
      <c r="W47" s="7">
        <v>5.5165329624764066E-2</v>
      </c>
      <c r="X47" s="8">
        <v>0</v>
      </c>
      <c r="Y47" s="8">
        <v>1</v>
      </c>
      <c r="Z47" s="8">
        <v>18</v>
      </c>
      <c r="AA47" s="7">
        <v>0.91590414556129873</v>
      </c>
      <c r="AB47" s="7">
        <v>5.7720093761496942E-2</v>
      </c>
      <c r="AC47" s="8">
        <v>0</v>
      </c>
      <c r="AD47" s="8">
        <v>1</v>
      </c>
      <c r="AE47" s="8">
        <v>14</v>
      </c>
      <c r="AF47" s="7">
        <v>0.56438823579629216</v>
      </c>
      <c r="AG47" s="7">
        <v>7.0335671964889795E-2</v>
      </c>
      <c r="AH47" s="8">
        <v>0</v>
      </c>
      <c r="AI47" s="8">
        <v>1</v>
      </c>
      <c r="AJ47" s="8">
        <v>100</v>
      </c>
      <c r="AK47">
        <f>(AF48/AF46)-AF47</f>
        <v>0.23983410766492108</v>
      </c>
    </row>
    <row r="48" spans="1:37" ht="26.25" x14ac:dyDescent="0.45">
      <c r="A48" s="6" t="s">
        <v>43</v>
      </c>
      <c r="B48" s="7">
        <v>0.14941160928574393</v>
      </c>
      <c r="C48" s="7">
        <v>7.3542009243322798E-2</v>
      </c>
      <c r="D48" s="8">
        <v>0</v>
      </c>
      <c r="E48" s="8">
        <v>1</v>
      </c>
      <c r="F48" s="8">
        <v>28</v>
      </c>
      <c r="G48" s="7">
        <v>0.28413340654229741</v>
      </c>
      <c r="H48" s="7">
        <v>0.2635701019519151</v>
      </c>
      <c r="I48" s="8">
        <v>0</v>
      </c>
      <c r="J48" s="8">
        <v>1</v>
      </c>
      <c r="K48" s="8">
        <v>5</v>
      </c>
      <c r="L48" s="7">
        <v>0.72501723920997241</v>
      </c>
      <c r="M48" s="7">
        <v>0.12025190492996743</v>
      </c>
      <c r="N48" s="8">
        <v>0</v>
      </c>
      <c r="O48" s="8">
        <v>1</v>
      </c>
      <c r="P48" s="8">
        <v>16</v>
      </c>
      <c r="Q48" s="7">
        <v>0.34856431510481672</v>
      </c>
      <c r="R48" s="7">
        <v>0.13428004597101759</v>
      </c>
      <c r="S48" s="8">
        <v>0</v>
      </c>
      <c r="T48" s="8">
        <v>1</v>
      </c>
      <c r="U48" s="8">
        <v>19</v>
      </c>
      <c r="V48" s="7">
        <v>0.94505098249148323</v>
      </c>
      <c r="W48" s="7">
        <v>5.5165329624764066E-2</v>
      </c>
      <c r="X48" s="8">
        <v>0</v>
      </c>
      <c r="Y48" s="8">
        <v>1</v>
      </c>
      <c r="Z48" s="8">
        <v>18</v>
      </c>
      <c r="AA48" s="7">
        <v>0.81077648414690529</v>
      </c>
      <c r="AB48" s="7">
        <v>0.11363495123652066</v>
      </c>
      <c r="AC48" s="8">
        <v>0</v>
      </c>
      <c r="AD48" s="8">
        <v>1</v>
      </c>
      <c r="AE48" s="8">
        <v>14</v>
      </c>
      <c r="AF48" s="7">
        <v>0.46970255929221399</v>
      </c>
      <c r="AG48" s="7">
        <v>6.9239534490733626E-2</v>
      </c>
      <c r="AH48" s="8">
        <v>0</v>
      </c>
      <c r="AI48" s="8">
        <v>1</v>
      </c>
      <c r="AJ48" s="8">
        <v>100</v>
      </c>
    </row>
    <row r="49" spans="1:37" x14ac:dyDescent="0.45">
      <c r="A49" s="6" t="s">
        <v>13</v>
      </c>
      <c r="B49" s="7">
        <v>0.31222570804996269</v>
      </c>
      <c r="C49" s="7">
        <v>0.10484180402410716</v>
      </c>
      <c r="D49" s="8">
        <v>0</v>
      </c>
      <c r="E49" s="8">
        <v>1</v>
      </c>
      <c r="F49" s="8">
        <v>28</v>
      </c>
      <c r="G49" s="7">
        <v>0.30661429145553415</v>
      </c>
      <c r="H49" s="7">
        <v>0.26350898869548067</v>
      </c>
      <c r="I49" s="8">
        <v>0</v>
      </c>
      <c r="J49" s="8">
        <v>1</v>
      </c>
      <c r="K49" s="8">
        <v>5</v>
      </c>
      <c r="L49" s="7">
        <v>0.91823199844349412</v>
      </c>
      <c r="M49" s="7">
        <v>8.0199208093523724E-2</v>
      </c>
      <c r="N49" s="8">
        <v>0</v>
      </c>
      <c r="O49" s="8">
        <v>1</v>
      </c>
      <c r="P49" s="8">
        <v>16</v>
      </c>
      <c r="Q49" s="7">
        <v>0.34856431510481672</v>
      </c>
      <c r="R49" s="7">
        <v>0.13428004597101759</v>
      </c>
      <c r="S49" s="8">
        <v>0</v>
      </c>
      <c r="T49" s="8">
        <v>1</v>
      </c>
      <c r="U49" s="8">
        <v>19</v>
      </c>
      <c r="V49" s="7">
        <v>1</v>
      </c>
      <c r="W49" s="7">
        <v>0</v>
      </c>
      <c r="X49" s="8">
        <v>1</v>
      </c>
      <c r="Y49" s="8">
        <v>1</v>
      </c>
      <c r="Z49" s="8">
        <v>18</v>
      </c>
      <c r="AA49" s="7">
        <v>0.81077648414690529</v>
      </c>
      <c r="AB49" s="7">
        <v>0.11363495123652066</v>
      </c>
      <c r="AC49" s="8">
        <v>0</v>
      </c>
      <c r="AD49" s="8">
        <v>1</v>
      </c>
      <c r="AE49" s="8">
        <v>14</v>
      </c>
      <c r="AF49" s="7">
        <v>0.58404564746449028</v>
      </c>
      <c r="AG49" s="7">
        <v>6.9636386003461587E-2</v>
      </c>
      <c r="AH49" s="8">
        <v>0</v>
      </c>
      <c r="AI49" s="8">
        <v>1</v>
      </c>
      <c r="AJ49" s="8">
        <v>100</v>
      </c>
      <c r="AK49">
        <f>(AF51/AF50)-AF49</f>
        <v>0.28339927082398952</v>
      </c>
    </row>
    <row r="50" spans="1:37" x14ac:dyDescent="0.45">
      <c r="A50" s="6" t="s">
        <v>44</v>
      </c>
      <c r="B50" s="7">
        <v>0</v>
      </c>
      <c r="C50" s="7">
        <v>0</v>
      </c>
      <c r="D50" s="8">
        <v>0</v>
      </c>
      <c r="E50" s="8">
        <v>0</v>
      </c>
      <c r="F50" s="8">
        <v>28</v>
      </c>
      <c r="G50" s="7">
        <v>0</v>
      </c>
      <c r="H50" s="7">
        <v>0</v>
      </c>
      <c r="I50" s="8">
        <v>0</v>
      </c>
      <c r="J50" s="8">
        <v>0</v>
      </c>
      <c r="K50" s="8">
        <v>5</v>
      </c>
      <c r="L50" s="7">
        <v>0.45315303207398538</v>
      </c>
      <c r="M50" s="7">
        <v>0.1313901892098365</v>
      </c>
      <c r="N50" s="8">
        <v>0</v>
      </c>
      <c r="O50" s="8">
        <v>1</v>
      </c>
      <c r="P50" s="8">
        <v>16</v>
      </c>
      <c r="Q50" s="7">
        <v>0.58179797025751767</v>
      </c>
      <c r="R50" s="7">
        <v>0.13112718214255636</v>
      </c>
      <c r="S50" s="8">
        <v>0</v>
      </c>
      <c r="T50" s="8">
        <v>1</v>
      </c>
      <c r="U50" s="8">
        <v>19</v>
      </c>
      <c r="V50" s="7">
        <v>0.27840718326047831</v>
      </c>
      <c r="W50" s="7">
        <v>0.11962958289453833</v>
      </c>
      <c r="X50" s="8">
        <v>0</v>
      </c>
      <c r="Y50" s="8">
        <v>1</v>
      </c>
      <c r="Z50" s="8">
        <v>18</v>
      </c>
      <c r="AA50" s="7">
        <v>0.27889208014984646</v>
      </c>
      <c r="AB50" s="7">
        <v>0.14163420824029879</v>
      </c>
      <c r="AC50" s="8">
        <v>0</v>
      </c>
      <c r="AD50" s="8">
        <v>1</v>
      </c>
      <c r="AE50" s="8">
        <v>14</v>
      </c>
      <c r="AF50" s="7">
        <v>0.24605417111353658</v>
      </c>
      <c r="AG50" s="7">
        <v>5.5580698511919616E-2</v>
      </c>
      <c r="AH50" s="8">
        <v>0</v>
      </c>
      <c r="AI50" s="8">
        <v>1</v>
      </c>
      <c r="AJ50" s="8">
        <v>100</v>
      </c>
      <c r="AK50">
        <f>(AF51/AF49)-AF50</f>
        <v>0.11939404561869807</v>
      </c>
    </row>
    <row r="51" spans="1:37" x14ac:dyDescent="0.45">
      <c r="A51" s="6" t="s">
        <v>45</v>
      </c>
      <c r="B51" s="7">
        <v>0</v>
      </c>
      <c r="C51" s="7">
        <v>0</v>
      </c>
      <c r="D51" s="8">
        <v>0</v>
      </c>
      <c r="E51" s="8">
        <v>0</v>
      </c>
      <c r="F51" s="8">
        <v>28</v>
      </c>
      <c r="G51" s="7">
        <v>0</v>
      </c>
      <c r="H51" s="7">
        <v>0</v>
      </c>
      <c r="I51" s="8">
        <v>0</v>
      </c>
      <c r="J51" s="8">
        <v>0</v>
      </c>
      <c r="K51" s="8">
        <v>5</v>
      </c>
      <c r="L51" s="7">
        <v>0.45315303207398538</v>
      </c>
      <c r="M51" s="7">
        <v>0.1313901892098365</v>
      </c>
      <c r="N51" s="8">
        <v>0</v>
      </c>
      <c r="O51" s="8">
        <v>1</v>
      </c>
      <c r="P51" s="8">
        <v>16</v>
      </c>
      <c r="Q51" s="7">
        <v>0.29342048963598616</v>
      </c>
      <c r="R51" s="7">
        <v>0.13272189381863247</v>
      </c>
      <c r="S51" s="8">
        <v>0</v>
      </c>
      <c r="T51" s="8">
        <v>1</v>
      </c>
      <c r="U51" s="8">
        <v>19</v>
      </c>
      <c r="V51" s="7">
        <v>0.27840718326047831</v>
      </c>
      <c r="W51" s="7">
        <v>0.11962958289453833</v>
      </c>
      <c r="X51" s="8">
        <v>0</v>
      </c>
      <c r="Y51" s="8">
        <v>1</v>
      </c>
      <c r="Z51" s="8">
        <v>18</v>
      </c>
      <c r="AA51" s="7">
        <v>0.27889208014984646</v>
      </c>
      <c r="AB51" s="7">
        <v>0.14163420824029879</v>
      </c>
      <c r="AC51" s="8">
        <v>0</v>
      </c>
      <c r="AD51" s="8">
        <v>1</v>
      </c>
      <c r="AE51" s="8">
        <v>14</v>
      </c>
      <c r="AF51" s="7">
        <v>0.21343844035612136</v>
      </c>
      <c r="AG51" s="7">
        <v>5.4278890537639894E-2</v>
      </c>
      <c r="AH51" s="8">
        <v>0</v>
      </c>
      <c r="AI51" s="8">
        <v>1</v>
      </c>
      <c r="AJ51" s="8">
        <v>100</v>
      </c>
    </row>
    <row r="52" spans="1:37" x14ac:dyDescent="0.45">
      <c r="A52" s="6" t="s">
        <v>14</v>
      </c>
      <c r="B52" s="7">
        <v>0</v>
      </c>
      <c r="C52" s="7">
        <v>0</v>
      </c>
      <c r="D52" s="8">
        <v>0</v>
      </c>
      <c r="E52" s="8">
        <v>0</v>
      </c>
      <c r="F52" s="8">
        <v>28</v>
      </c>
      <c r="G52" s="7">
        <v>0</v>
      </c>
      <c r="H52" s="7">
        <v>0</v>
      </c>
      <c r="I52" s="8">
        <v>0</v>
      </c>
      <c r="J52" s="8">
        <v>0</v>
      </c>
      <c r="K52" s="8">
        <v>5</v>
      </c>
      <c r="L52" s="7">
        <v>0.48303138462270878</v>
      </c>
      <c r="M52" s="7">
        <v>0.13204392306270368</v>
      </c>
      <c r="N52" s="8">
        <v>0</v>
      </c>
      <c r="O52" s="8">
        <v>1</v>
      </c>
      <c r="P52" s="8">
        <v>16</v>
      </c>
      <c r="Q52" s="7">
        <v>0.12263212807622212</v>
      </c>
      <c r="R52" s="7">
        <v>7.1298614074622915E-2</v>
      </c>
      <c r="S52" s="8">
        <v>0</v>
      </c>
      <c r="T52" s="8">
        <v>1</v>
      </c>
      <c r="U52" s="8">
        <v>19</v>
      </c>
      <c r="V52" s="7">
        <v>7.3028961692628513E-2</v>
      </c>
      <c r="W52" s="7">
        <v>7.1910419319821686E-2</v>
      </c>
      <c r="X52" s="8">
        <v>0</v>
      </c>
      <c r="Y52" s="8">
        <v>1</v>
      </c>
      <c r="Z52" s="8">
        <v>18</v>
      </c>
      <c r="AA52" s="7">
        <v>0.3983711258467082</v>
      </c>
      <c r="AB52" s="7">
        <v>0.15635659849892011</v>
      </c>
      <c r="AC52" s="8">
        <v>0</v>
      </c>
      <c r="AD52" s="8">
        <v>1</v>
      </c>
      <c r="AE52" s="8">
        <v>14</v>
      </c>
      <c r="AF52" s="7">
        <v>0.1974768254828736</v>
      </c>
      <c r="AG52" s="7">
        <v>5.4071909528840917E-2</v>
      </c>
      <c r="AH52" s="8">
        <v>0</v>
      </c>
      <c r="AI52" s="8">
        <v>1</v>
      </c>
      <c r="AJ52" s="8">
        <v>100</v>
      </c>
      <c r="AK52">
        <f>(AF54/AF53)-AF52</f>
        <v>0.15357060870962763</v>
      </c>
    </row>
    <row r="53" spans="1:37" x14ac:dyDescent="0.45">
      <c r="A53" s="6" t="s">
        <v>26</v>
      </c>
      <c r="B53" s="7">
        <v>0</v>
      </c>
      <c r="C53" s="7">
        <v>0</v>
      </c>
      <c r="D53" s="8">
        <v>0</v>
      </c>
      <c r="E53" s="8">
        <v>0</v>
      </c>
      <c r="F53" s="8">
        <v>28</v>
      </c>
      <c r="G53" s="7">
        <v>0</v>
      </c>
      <c r="H53" s="7">
        <v>0</v>
      </c>
      <c r="I53" s="8">
        <v>0</v>
      </c>
      <c r="J53" s="8">
        <v>0</v>
      </c>
      <c r="K53" s="8">
        <v>5</v>
      </c>
      <c r="L53" s="7">
        <v>0.72175728374909986</v>
      </c>
      <c r="M53" s="7">
        <v>0.12119985411311994</v>
      </c>
      <c r="N53" s="8">
        <v>0</v>
      </c>
      <c r="O53" s="8">
        <v>1</v>
      </c>
      <c r="P53" s="8">
        <v>16</v>
      </c>
      <c r="Q53" s="7">
        <v>0.29374289139203691</v>
      </c>
      <c r="R53" s="7">
        <v>0.11283736420444235</v>
      </c>
      <c r="S53" s="8">
        <v>0</v>
      </c>
      <c r="T53" s="8">
        <v>1</v>
      </c>
      <c r="U53" s="8">
        <v>19</v>
      </c>
      <c r="V53" s="7">
        <v>0.36680645879208712</v>
      </c>
      <c r="W53" s="7">
        <v>0.12383916979165614</v>
      </c>
      <c r="X53" s="8">
        <v>0</v>
      </c>
      <c r="Y53" s="8">
        <v>1</v>
      </c>
      <c r="Z53" s="8">
        <v>18</v>
      </c>
      <c r="AA53" s="7">
        <v>0.30087795573298015</v>
      </c>
      <c r="AB53" s="7">
        <v>0.14549325187447498</v>
      </c>
      <c r="AC53" s="8">
        <v>0</v>
      </c>
      <c r="AD53" s="8">
        <v>1</v>
      </c>
      <c r="AE53" s="8">
        <v>14</v>
      </c>
      <c r="AF53" s="7">
        <v>0.3070650065631072</v>
      </c>
      <c r="AG53" s="7">
        <v>6.1930006435609156E-2</v>
      </c>
      <c r="AH53" s="8">
        <v>0</v>
      </c>
      <c r="AI53" s="8">
        <v>1</v>
      </c>
      <c r="AJ53" s="8">
        <v>100</v>
      </c>
      <c r="AK53">
        <f>(AF54/AF52)-AF53</f>
        <v>0.2387933867987555</v>
      </c>
    </row>
    <row r="54" spans="1:37" x14ac:dyDescent="0.45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28</v>
      </c>
      <c r="G54" s="7">
        <v>0</v>
      </c>
      <c r="H54" s="7">
        <v>0</v>
      </c>
      <c r="I54" s="8">
        <v>0</v>
      </c>
      <c r="J54" s="8">
        <v>0</v>
      </c>
      <c r="K54" s="8">
        <v>5</v>
      </c>
      <c r="L54" s="7">
        <v>0.26838600291575782</v>
      </c>
      <c r="M54" s="7">
        <v>0.11454554196231723</v>
      </c>
      <c r="N54" s="8">
        <v>0</v>
      </c>
      <c r="O54" s="8">
        <v>1</v>
      </c>
      <c r="P54" s="8">
        <v>16</v>
      </c>
      <c r="Q54" s="7">
        <v>8.6028967841946608E-2</v>
      </c>
      <c r="R54" s="7">
        <v>6.1316507590465301E-2</v>
      </c>
      <c r="S54" s="8">
        <v>0</v>
      </c>
      <c r="T54" s="8">
        <v>1</v>
      </c>
      <c r="U54" s="8">
        <v>19</v>
      </c>
      <c r="V54" s="7">
        <v>0</v>
      </c>
      <c r="W54" s="7">
        <v>0</v>
      </c>
      <c r="X54" s="8">
        <v>0</v>
      </c>
      <c r="Y54" s="8">
        <v>0</v>
      </c>
      <c r="Z54" s="8">
        <v>18</v>
      </c>
      <c r="AA54" s="7">
        <v>0.19824560264110891</v>
      </c>
      <c r="AB54" s="7">
        <v>0.12928507317232338</v>
      </c>
      <c r="AC54" s="8">
        <v>0</v>
      </c>
      <c r="AD54" s="8">
        <v>1</v>
      </c>
      <c r="AE54" s="8">
        <v>14</v>
      </c>
      <c r="AF54" s="7">
        <v>0.10779438268428233</v>
      </c>
      <c r="AG54" s="7">
        <v>4.0813335707267397E-2</v>
      </c>
      <c r="AH54" s="8">
        <v>0</v>
      </c>
      <c r="AI54" s="8">
        <v>1</v>
      </c>
      <c r="AJ54" s="8">
        <v>100</v>
      </c>
    </row>
    <row r="55" spans="1:37" x14ac:dyDescent="0.45">
      <c r="A55" s="6" t="s">
        <v>14</v>
      </c>
      <c r="B55" s="7">
        <v>0</v>
      </c>
      <c r="C55" s="7">
        <v>0</v>
      </c>
      <c r="D55" s="8">
        <v>0</v>
      </c>
      <c r="E55" s="8">
        <v>0</v>
      </c>
      <c r="F55" s="8">
        <v>28</v>
      </c>
      <c r="G55" s="7">
        <v>0</v>
      </c>
      <c r="H55" s="7">
        <v>0</v>
      </c>
      <c r="I55" s="8">
        <v>0</v>
      </c>
      <c r="J55" s="8">
        <v>0</v>
      </c>
      <c r="K55" s="8">
        <v>5</v>
      </c>
      <c r="L55" s="7">
        <v>0.48303138462270878</v>
      </c>
      <c r="M55" s="7">
        <v>0.13204392306270368</v>
      </c>
      <c r="N55" s="8">
        <v>0</v>
      </c>
      <c r="O55" s="8">
        <v>1</v>
      </c>
      <c r="P55" s="8">
        <v>16</v>
      </c>
      <c r="Q55" s="7">
        <v>0.12263212807622212</v>
      </c>
      <c r="R55" s="7">
        <v>7.1298614074622915E-2</v>
      </c>
      <c r="S55" s="8">
        <v>0</v>
      </c>
      <c r="T55" s="8">
        <v>1</v>
      </c>
      <c r="U55" s="8">
        <v>19</v>
      </c>
      <c r="V55" s="7">
        <v>7.3028961692628513E-2</v>
      </c>
      <c r="W55" s="7">
        <v>7.1910419319821686E-2</v>
      </c>
      <c r="X55" s="8">
        <v>0</v>
      </c>
      <c r="Y55" s="8">
        <v>1</v>
      </c>
      <c r="Z55" s="8">
        <v>18</v>
      </c>
      <c r="AA55" s="7">
        <v>0.3983711258467082</v>
      </c>
      <c r="AB55" s="7">
        <v>0.15635659849892011</v>
      </c>
      <c r="AC55" s="8">
        <v>0</v>
      </c>
      <c r="AD55" s="8">
        <v>1</v>
      </c>
      <c r="AE55" s="8">
        <v>14</v>
      </c>
      <c r="AF55" s="7">
        <v>0.1974768254828736</v>
      </c>
      <c r="AG55" s="7">
        <v>5.4071909528840917E-2</v>
      </c>
      <c r="AH55" s="8">
        <v>0</v>
      </c>
      <c r="AI55" s="8">
        <v>1</v>
      </c>
      <c r="AJ55" s="8">
        <v>100</v>
      </c>
      <c r="AK55">
        <f>(AF57/AF56)-AF55</f>
        <v>0.17741668037423369</v>
      </c>
    </row>
    <row r="56" spans="1:37" x14ac:dyDescent="0.45">
      <c r="A56" s="6" t="s">
        <v>28</v>
      </c>
      <c r="B56" s="7">
        <v>0</v>
      </c>
      <c r="C56" s="7">
        <v>0</v>
      </c>
      <c r="D56" s="8">
        <v>0</v>
      </c>
      <c r="E56" s="8">
        <v>0</v>
      </c>
      <c r="F56" s="8">
        <v>28</v>
      </c>
      <c r="G56" s="7">
        <v>0</v>
      </c>
      <c r="H56" s="7">
        <v>0</v>
      </c>
      <c r="I56" s="8">
        <v>0</v>
      </c>
      <c r="J56" s="8">
        <v>0</v>
      </c>
      <c r="K56" s="8">
        <v>5</v>
      </c>
      <c r="L56" s="7">
        <v>0.73670174764328467</v>
      </c>
      <c r="M56" s="7">
        <v>0.11672516606515494</v>
      </c>
      <c r="N56" s="8">
        <v>0</v>
      </c>
      <c r="O56" s="8">
        <v>1</v>
      </c>
      <c r="P56" s="8">
        <v>16</v>
      </c>
      <c r="Q56" s="7">
        <v>0.63622677312988607</v>
      </c>
      <c r="R56" s="7">
        <v>0.12689047883012006</v>
      </c>
      <c r="S56" s="8">
        <v>0</v>
      </c>
      <c r="T56" s="8">
        <v>1</v>
      </c>
      <c r="U56" s="8">
        <v>19</v>
      </c>
      <c r="V56" s="7">
        <v>0.73611457017133053</v>
      </c>
      <c r="W56" s="7">
        <v>0.11141004702384433</v>
      </c>
      <c r="X56" s="8">
        <v>0</v>
      </c>
      <c r="Y56" s="8">
        <v>1</v>
      </c>
      <c r="Z56" s="8">
        <v>18</v>
      </c>
      <c r="AA56" s="7">
        <v>0.50250462712121191</v>
      </c>
      <c r="AB56" s="7">
        <v>0.15738307630952827</v>
      </c>
      <c r="AC56" s="8">
        <v>0</v>
      </c>
      <c r="AD56" s="8">
        <v>1</v>
      </c>
      <c r="AE56" s="8">
        <v>14</v>
      </c>
      <c r="AF56" s="7">
        <v>0.38609576035540805</v>
      </c>
      <c r="AG56" s="7">
        <v>6.5209352136426937E-2</v>
      </c>
      <c r="AH56" s="8">
        <v>0</v>
      </c>
      <c r="AI56" s="8">
        <v>1</v>
      </c>
      <c r="AJ56" s="8">
        <v>100</v>
      </c>
      <c r="AK56">
        <f>(AF57/AF55)-AF56</f>
        <v>0.34687527481427372</v>
      </c>
    </row>
    <row r="57" spans="1:37" x14ac:dyDescent="0.45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28</v>
      </c>
      <c r="G57" s="7">
        <v>0</v>
      </c>
      <c r="H57" s="7">
        <v>0</v>
      </c>
      <c r="I57" s="8">
        <v>0</v>
      </c>
      <c r="J57" s="8">
        <v>0</v>
      </c>
      <c r="K57" s="8">
        <v>5</v>
      </c>
      <c r="L57" s="7">
        <v>0.34935055695556594</v>
      </c>
      <c r="M57" s="7">
        <v>0.1260861027222194</v>
      </c>
      <c r="N57" s="8">
        <v>0</v>
      </c>
      <c r="O57" s="8">
        <v>1</v>
      </c>
      <c r="P57" s="8">
        <v>16</v>
      </c>
      <c r="Q57" s="7">
        <v>8.6028967841946608E-2</v>
      </c>
      <c r="R57" s="7">
        <v>6.1316507590465301E-2</v>
      </c>
      <c r="S57" s="8">
        <v>0</v>
      </c>
      <c r="T57" s="8">
        <v>1</v>
      </c>
      <c r="U57" s="8">
        <v>19</v>
      </c>
      <c r="V57" s="7">
        <v>7.3028961692628513E-2</v>
      </c>
      <c r="W57" s="7">
        <v>7.1910419319821686E-2</v>
      </c>
      <c r="X57" s="8">
        <v>0</v>
      </c>
      <c r="Y57" s="8">
        <v>1</v>
      </c>
      <c r="Z57" s="8">
        <v>18</v>
      </c>
      <c r="AA57" s="7">
        <v>0.30398212472224795</v>
      </c>
      <c r="AB57" s="7">
        <v>0.14902226098887475</v>
      </c>
      <c r="AC57" s="8">
        <v>0</v>
      </c>
      <c r="AD57" s="8">
        <v>1</v>
      </c>
      <c r="AE57" s="8">
        <v>14</v>
      </c>
      <c r="AF57" s="7">
        <v>0.14474479319620445</v>
      </c>
      <c r="AG57" s="7">
        <v>4.7389464194751617E-2</v>
      </c>
      <c r="AH57" s="8">
        <v>0</v>
      </c>
      <c r="AI57" s="8">
        <v>1</v>
      </c>
      <c r="AJ57" s="8">
        <v>100</v>
      </c>
    </row>
    <row r="58" spans="1:37" x14ac:dyDescent="0.45">
      <c r="A58" s="6" t="s">
        <v>14</v>
      </c>
      <c r="B58" s="7">
        <v>0</v>
      </c>
      <c r="C58" s="7">
        <v>0</v>
      </c>
      <c r="D58" s="8">
        <v>0</v>
      </c>
      <c r="E58" s="8">
        <v>0</v>
      </c>
      <c r="F58" s="8">
        <v>28</v>
      </c>
      <c r="G58" s="7">
        <v>0</v>
      </c>
      <c r="H58" s="7">
        <v>0</v>
      </c>
      <c r="I58" s="8">
        <v>0</v>
      </c>
      <c r="J58" s="8">
        <v>0</v>
      </c>
      <c r="K58" s="8">
        <v>5</v>
      </c>
      <c r="L58" s="7">
        <v>0.48303138462270878</v>
      </c>
      <c r="M58" s="7">
        <v>0.13204392306270368</v>
      </c>
      <c r="N58" s="8">
        <v>0</v>
      </c>
      <c r="O58" s="8">
        <v>1</v>
      </c>
      <c r="P58" s="8">
        <v>16</v>
      </c>
      <c r="Q58" s="7">
        <v>0.12263212807622212</v>
      </c>
      <c r="R58" s="7">
        <v>7.1298614074622915E-2</v>
      </c>
      <c r="S58" s="8">
        <v>0</v>
      </c>
      <c r="T58" s="8">
        <v>1</v>
      </c>
      <c r="U58" s="8">
        <v>19</v>
      </c>
      <c r="V58" s="7">
        <v>7.3028961692628513E-2</v>
      </c>
      <c r="W58" s="7">
        <v>7.1910419319821686E-2</v>
      </c>
      <c r="X58" s="8">
        <v>0</v>
      </c>
      <c r="Y58" s="8">
        <v>1</v>
      </c>
      <c r="Z58" s="8">
        <v>18</v>
      </c>
      <c r="AA58" s="7">
        <v>0.3983711258467082</v>
      </c>
      <c r="AB58" s="7">
        <v>0.15635659849892011</v>
      </c>
      <c r="AC58" s="8">
        <v>0</v>
      </c>
      <c r="AD58" s="8">
        <v>1</v>
      </c>
      <c r="AE58" s="8">
        <v>14</v>
      </c>
      <c r="AF58" s="7">
        <v>0.1974768254828736</v>
      </c>
      <c r="AG58" s="7">
        <v>5.4071909528840917E-2</v>
      </c>
      <c r="AH58" s="8">
        <v>0</v>
      </c>
      <c r="AI58" s="8">
        <v>1</v>
      </c>
      <c r="AJ58" s="8">
        <v>100</v>
      </c>
      <c r="AK58">
        <f>(AF60/AF59)-AF58</f>
        <v>6.7198109738855816E-2</v>
      </c>
    </row>
    <row r="59" spans="1:37" x14ac:dyDescent="0.45">
      <c r="A59" s="6" t="s">
        <v>30</v>
      </c>
      <c r="B59" s="7">
        <v>0.13606196371960469</v>
      </c>
      <c r="C59" s="7">
        <v>6.8769928396153993E-2</v>
      </c>
      <c r="D59" s="8">
        <v>0</v>
      </c>
      <c r="E59" s="8">
        <v>1</v>
      </c>
      <c r="F59" s="8">
        <v>28</v>
      </c>
      <c r="G59" s="7">
        <v>0</v>
      </c>
      <c r="H59" s="7">
        <v>0</v>
      </c>
      <c r="I59" s="8">
        <v>0</v>
      </c>
      <c r="J59" s="8">
        <v>0</v>
      </c>
      <c r="K59" s="8">
        <v>5</v>
      </c>
      <c r="L59" s="7">
        <v>6.229053999852549E-2</v>
      </c>
      <c r="M59" s="7">
        <v>6.2400951743931066E-2</v>
      </c>
      <c r="N59" s="8">
        <v>0</v>
      </c>
      <c r="O59" s="8">
        <v>1</v>
      </c>
      <c r="P59" s="8">
        <v>16</v>
      </c>
      <c r="Q59" s="7">
        <v>0</v>
      </c>
      <c r="R59" s="7">
        <v>0</v>
      </c>
      <c r="S59" s="8">
        <v>0</v>
      </c>
      <c r="T59" s="8">
        <v>0</v>
      </c>
      <c r="U59" s="8">
        <v>19</v>
      </c>
      <c r="V59" s="7">
        <v>0.15550626739573795</v>
      </c>
      <c r="W59" s="7">
        <v>8.6631727868310957E-2</v>
      </c>
      <c r="X59" s="8">
        <v>0</v>
      </c>
      <c r="Y59" s="8">
        <v>1</v>
      </c>
      <c r="Z59" s="8">
        <v>18</v>
      </c>
      <c r="AA59" s="7">
        <v>0.14494874528348178</v>
      </c>
      <c r="AB59" s="7">
        <v>0.10516460199040556</v>
      </c>
      <c r="AC59" s="8">
        <v>0</v>
      </c>
      <c r="AD59" s="8">
        <v>1</v>
      </c>
      <c r="AE59" s="8">
        <v>14</v>
      </c>
      <c r="AF59" s="7">
        <v>7.5898831644268056E-2</v>
      </c>
      <c r="AG59" s="7">
        <v>2.9028505479072871E-2</v>
      </c>
      <c r="AH59" s="8">
        <v>0</v>
      </c>
      <c r="AI59" s="8">
        <v>1</v>
      </c>
      <c r="AJ59" s="8">
        <v>100</v>
      </c>
      <c r="AK59">
        <f>(AF60/AF58)-AF59</f>
        <v>2.5827121766876848E-2</v>
      </c>
    </row>
    <row r="60" spans="1:37" x14ac:dyDescent="0.45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28</v>
      </c>
      <c r="G60" s="7">
        <v>0</v>
      </c>
      <c r="H60" s="7">
        <v>0</v>
      </c>
      <c r="I60" s="8">
        <v>0</v>
      </c>
      <c r="J60" s="8">
        <v>0</v>
      </c>
      <c r="K60" s="8">
        <v>5</v>
      </c>
      <c r="L60" s="7">
        <v>6.229053999852549E-2</v>
      </c>
      <c r="M60" s="7">
        <v>6.2400951743931066E-2</v>
      </c>
      <c r="N60" s="8">
        <v>0</v>
      </c>
      <c r="O60" s="8">
        <v>1</v>
      </c>
      <c r="P60" s="8">
        <v>16</v>
      </c>
      <c r="Q60" s="7">
        <v>0</v>
      </c>
      <c r="R60" s="7">
        <v>0</v>
      </c>
      <c r="S60" s="8">
        <v>0</v>
      </c>
      <c r="T60" s="8">
        <v>0</v>
      </c>
      <c r="U60" s="8">
        <v>19</v>
      </c>
      <c r="V60" s="7">
        <v>0</v>
      </c>
      <c r="W60" s="7">
        <v>0</v>
      </c>
      <c r="X60" s="8">
        <v>0</v>
      </c>
      <c r="Y60" s="8">
        <v>0</v>
      </c>
      <c r="Z60" s="8">
        <v>18</v>
      </c>
      <c r="AA60" s="7">
        <v>0</v>
      </c>
      <c r="AB60" s="7">
        <v>0</v>
      </c>
      <c r="AC60" s="8">
        <v>0</v>
      </c>
      <c r="AD60" s="8">
        <v>0</v>
      </c>
      <c r="AE60" s="8">
        <v>14</v>
      </c>
      <c r="AF60" s="7">
        <v>2.0088518348851593E-2</v>
      </c>
      <c r="AG60" s="7">
        <v>1.997691537134471E-2</v>
      </c>
      <c r="AH60" s="8">
        <v>0</v>
      </c>
      <c r="AI60" s="8">
        <v>1</v>
      </c>
      <c r="AJ60" s="8">
        <v>100</v>
      </c>
    </row>
    <row r="61" spans="1:37" x14ac:dyDescent="0.45">
      <c r="A61" s="6" t="s">
        <v>14</v>
      </c>
      <c r="B61" s="7">
        <v>0</v>
      </c>
      <c r="C61" s="7">
        <v>0</v>
      </c>
      <c r="D61" s="8">
        <v>0</v>
      </c>
      <c r="E61" s="8">
        <v>0</v>
      </c>
      <c r="F61" s="8">
        <v>28</v>
      </c>
      <c r="G61" s="7">
        <v>0</v>
      </c>
      <c r="H61" s="7">
        <v>0</v>
      </c>
      <c r="I61" s="8">
        <v>0</v>
      </c>
      <c r="J61" s="8">
        <v>0</v>
      </c>
      <c r="K61" s="8">
        <v>5</v>
      </c>
      <c r="L61" s="7">
        <v>0.48303138462270878</v>
      </c>
      <c r="M61" s="7">
        <v>0.13204392306270368</v>
      </c>
      <c r="N61" s="8">
        <v>0</v>
      </c>
      <c r="O61" s="8">
        <v>1</v>
      </c>
      <c r="P61" s="8">
        <v>16</v>
      </c>
      <c r="Q61" s="7">
        <v>0.12263212807622212</v>
      </c>
      <c r="R61" s="7">
        <v>7.1298614074622915E-2</v>
      </c>
      <c r="S61" s="8">
        <v>0</v>
      </c>
      <c r="T61" s="8">
        <v>1</v>
      </c>
      <c r="U61" s="8">
        <v>19</v>
      </c>
      <c r="V61" s="7">
        <v>7.3028961692628513E-2</v>
      </c>
      <c r="W61" s="7">
        <v>7.1910419319821686E-2</v>
      </c>
      <c r="X61" s="8">
        <v>0</v>
      </c>
      <c r="Y61" s="8">
        <v>1</v>
      </c>
      <c r="Z61" s="8">
        <v>18</v>
      </c>
      <c r="AA61" s="7">
        <v>0.3983711258467082</v>
      </c>
      <c r="AB61" s="7">
        <v>0.15635659849892011</v>
      </c>
      <c r="AC61" s="8">
        <v>0</v>
      </c>
      <c r="AD61" s="8">
        <v>1</v>
      </c>
      <c r="AE61" s="8">
        <v>14</v>
      </c>
      <c r="AF61" s="7">
        <v>0.1974768254828736</v>
      </c>
      <c r="AG61" s="7">
        <v>5.4071909528840917E-2</v>
      </c>
      <c r="AH61" s="8">
        <v>0</v>
      </c>
      <c r="AI61" s="8">
        <v>1</v>
      </c>
      <c r="AJ61" s="8">
        <v>100</v>
      </c>
      <c r="AK61">
        <f>(AF63/AF62)-AF61</f>
        <v>-3.2581411250393127E-2</v>
      </c>
    </row>
    <row r="62" spans="1:37" x14ac:dyDescent="0.45">
      <c r="A62" s="6" t="s">
        <v>32</v>
      </c>
      <c r="B62" s="7">
        <v>4.3768328287058816E-2</v>
      </c>
      <c r="C62" s="7">
        <v>3.9247563320719027E-2</v>
      </c>
      <c r="D62" s="8">
        <v>0</v>
      </c>
      <c r="E62" s="8">
        <v>1</v>
      </c>
      <c r="F62" s="8">
        <v>28</v>
      </c>
      <c r="G62" s="7">
        <v>0</v>
      </c>
      <c r="H62" s="7">
        <v>0</v>
      </c>
      <c r="I62" s="8">
        <v>0</v>
      </c>
      <c r="J62" s="8">
        <v>0</v>
      </c>
      <c r="K62" s="8">
        <v>5</v>
      </c>
      <c r="L62" s="7">
        <v>0.25436745431109598</v>
      </c>
      <c r="M62" s="7">
        <v>0.11399054354627695</v>
      </c>
      <c r="N62" s="8">
        <v>0</v>
      </c>
      <c r="O62" s="8">
        <v>1</v>
      </c>
      <c r="P62" s="8">
        <v>16</v>
      </c>
      <c r="Q62" s="7">
        <v>0.41381121420178746</v>
      </c>
      <c r="R62" s="7">
        <v>0.12969928853703966</v>
      </c>
      <c r="S62" s="8">
        <v>0</v>
      </c>
      <c r="T62" s="8">
        <v>1</v>
      </c>
      <c r="U62" s="8">
        <v>19</v>
      </c>
      <c r="V62" s="7">
        <v>0.23553150148432661</v>
      </c>
      <c r="W62" s="7">
        <v>0.10224133114104708</v>
      </c>
      <c r="X62" s="8">
        <v>0</v>
      </c>
      <c r="Y62" s="8">
        <v>1</v>
      </c>
      <c r="Z62" s="8">
        <v>18</v>
      </c>
      <c r="AA62" s="7">
        <v>0.62380644277621733</v>
      </c>
      <c r="AB62" s="7">
        <v>0.15335862727964425</v>
      </c>
      <c r="AC62" s="8">
        <v>0</v>
      </c>
      <c r="AD62" s="8">
        <v>1</v>
      </c>
      <c r="AE62" s="8">
        <v>14</v>
      </c>
      <c r="AF62" s="7">
        <v>0.19224039367404611</v>
      </c>
      <c r="AG62" s="7">
        <v>4.6779770209863396E-2</v>
      </c>
      <c r="AH62" s="8">
        <v>0</v>
      </c>
      <c r="AI62" s="8">
        <v>1</v>
      </c>
      <c r="AJ62" s="8">
        <v>100</v>
      </c>
      <c r="AK62">
        <f>(AF63/AF61)-AF62</f>
        <v>-3.1717460061027658E-2</v>
      </c>
    </row>
    <row r="63" spans="1:37" x14ac:dyDescent="0.45">
      <c r="A63" s="6" t="s">
        <v>49</v>
      </c>
      <c r="B63" s="7">
        <v>0</v>
      </c>
      <c r="C63" s="7">
        <v>0</v>
      </c>
      <c r="D63" s="8">
        <v>0</v>
      </c>
      <c r="E63" s="8">
        <v>0</v>
      </c>
      <c r="F63" s="8">
        <v>28</v>
      </c>
      <c r="G63" s="7">
        <v>0</v>
      </c>
      <c r="H63" s="7">
        <v>0</v>
      </c>
      <c r="I63" s="8">
        <v>0</v>
      </c>
      <c r="J63" s="8">
        <v>0</v>
      </c>
      <c r="K63" s="8">
        <v>5</v>
      </c>
      <c r="L63" s="7">
        <v>6.2263124728341786E-2</v>
      </c>
      <c r="M63" s="7">
        <v>6.2375305389036399E-2</v>
      </c>
      <c r="N63" s="8">
        <v>0</v>
      </c>
      <c r="O63" s="8">
        <v>1</v>
      </c>
      <c r="P63" s="8">
        <v>16</v>
      </c>
      <c r="Q63" s="7">
        <v>0</v>
      </c>
      <c r="R63" s="7">
        <v>0</v>
      </c>
      <c r="S63" s="8">
        <v>0</v>
      </c>
      <c r="T63" s="8">
        <v>0</v>
      </c>
      <c r="U63" s="8">
        <v>19</v>
      </c>
      <c r="V63" s="7">
        <v>0</v>
      </c>
      <c r="W63" s="7">
        <v>0</v>
      </c>
      <c r="X63" s="8">
        <v>0</v>
      </c>
      <c r="Y63" s="8">
        <v>0</v>
      </c>
      <c r="Z63" s="8">
        <v>18</v>
      </c>
      <c r="AA63" s="7">
        <v>0.20012552320559931</v>
      </c>
      <c r="AB63" s="7">
        <v>0.13017631379082442</v>
      </c>
      <c r="AC63" s="8">
        <v>0</v>
      </c>
      <c r="AD63" s="8">
        <v>1</v>
      </c>
      <c r="AE63" s="8">
        <v>14</v>
      </c>
      <c r="AF63" s="7">
        <v>3.1699559347096951E-2</v>
      </c>
      <c r="AG63" s="7">
        <v>2.156424021396651E-2</v>
      </c>
      <c r="AH63" s="8">
        <v>0</v>
      </c>
      <c r="AI63" s="8">
        <v>1</v>
      </c>
      <c r="AJ63" s="8">
        <v>100</v>
      </c>
    </row>
    <row r="64" spans="1:37" x14ac:dyDescent="0.45">
      <c r="A64" s="6" t="s">
        <v>14</v>
      </c>
      <c r="B64" s="7">
        <v>0</v>
      </c>
      <c r="C64" s="7">
        <v>0</v>
      </c>
      <c r="D64" s="8">
        <v>0</v>
      </c>
      <c r="E64" s="8">
        <v>0</v>
      </c>
      <c r="F64" s="8">
        <v>28</v>
      </c>
      <c r="G64" s="7">
        <v>0</v>
      </c>
      <c r="H64" s="7">
        <v>0</v>
      </c>
      <c r="I64" s="8">
        <v>0</v>
      </c>
      <c r="J64" s="8">
        <v>0</v>
      </c>
      <c r="K64" s="8">
        <v>5</v>
      </c>
      <c r="L64" s="7">
        <v>0.48303138462270878</v>
      </c>
      <c r="M64" s="7">
        <v>0.13204392306270368</v>
      </c>
      <c r="N64" s="8">
        <v>0</v>
      </c>
      <c r="O64" s="8">
        <v>1</v>
      </c>
      <c r="P64" s="8">
        <v>16</v>
      </c>
      <c r="Q64" s="7">
        <v>0.12263212807622212</v>
      </c>
      <c r="R64" s="7">
        <v>7.1298614074622915E-2</v>
      </c>
      <c r="S64" s="8">
        <v>0</v>
      </c>
      <c r="T64" s="8">
        <v>1</v>
      </c>
      <c r="U64" s="8">
        <v>19</v>
      </c>
      <c r="V64" s="7">
        <v>7.3028961692628513E-2</v>
      </c>
      <c r="W64" s="7">
        <v>7.1910419319821686E-2</v>
      </c>
      <c r="X64" s="8">
        <v>0</v>
      </c>
      <c r="Y64" s="8">
        <v>1</v>
      </c>
      <c r="Z64" s="8">
        <v>18</v>
      </c>
      <c r="AA64" s="7">
        <v>0.3983711258467082</v>
      </c>
      <c r="AB64" s="7">
        <v>0.15635659849892011</v>
      </c>
      <c r="AC64" s="8">
        <v>0</v>
      </c>
      <c r="AD64" s="8">
        <v>1</v>
      </c>
      <c r="AE64" s="8">
        <v>14</v>
      </c>
      <c r="AF64" s="7">
        <v>0.1974768254828736</v>
      </c>
      <c r="AG64" s="7">
        <v>5.4071909528840917E-2</v>
      </c>
      <c r="AH64" s="8">
        <v>0</v>
      </c>
      <c r="AI64" s="8">
        <v>1</v>
      </c>
      <c r="AJ64" s="8">
        <v>100</v>
      </c>
      <c r="AK64">
        <f>(AF66/AF65)-AF64</f>
        <v>0.30646148683460361</v>
      </c>
    </row>
    <row r="65" spans="1:37" x14ac:dyDescent="0.45">
      <c r="A65" s="6" t="s">
        <v>34</v>
      </c>
      <c r="B65" s="7">
        <v>5.0869262003460196E-3</v>
      </c>
      <c r="C65" s="7">
        <v>5.2833334995758627E-3</v>
      </c>
      <c r="D65" s="8">
        <v>0</v>
      </c>
      <c r="E65" s="8">
        <v>1</v>
      </c>
      <c r="F65" s="8">
        <v>28</v>
      </c>
      <c r="G65" s="7">
        <v>0</v>
      </c>
      <c r="H65" s="7">
        <v>0</v>
      </c>
      <c r="I65" s="8">
        <v>0</v>
      </c>
      <c r="J65" s="8">
        <v>0</v>
      </c>
      <c r="K65" s="8">
        <v>5</v>
      </c>
      <c r="L65" s="7">
        <v>6.2263124728341786E-2</v>
      </c>
      <c r="M65" s="7">
        <v>6.2375305389036399E-2</v>
      </c>
      <c r="N65" s="8">
        <v>0</v>
      </c>
      <c r="O65" s="8">
        <v>1</v>
      </c>
      <c r="P65" s="8">
        <v>16</v>
      </c>
      <c r="Q65" s="7">
        <v>0</v>
      </c>
      <c r="R65" s="7">
        <v>0</v>
      </c>
      <c r="S65" s="8">
        <v>0</v>
      </c>
      <c r="T65" s="8">
        <v>0</v>
      </c>
      <c r="U65" s="8">
        <v>19</v>
      </c>
      <c r="V65" s="7">
        <v>0.18749442370539304</v>
      </c>
      <c r="W65" s="7">
        <v>9.5653225655299184E-2</v>
      </c>
      <c r="X65" s="8">
        <v>0</v>
      </c>
      <c r="Y65" s="8">
        <v>1</v>
      </c>
      <c r="Z65" s="8">
        <v>18</v>
      </c>
      <c r="AA65" s="7">
        <v>0.10851687170393783</v>
      </c>
      <c r="AB65" s="7">
        <v>9.1959813331468687E-2</v>
      </c>
      <c r="AC65" s="8">
        <v>0</v>
      </c>
      <c r="AD65" s="8">
        <v>1</v>
      </c>
      <c r="AE65" s="8">
        <v>14</v>
      </c>
      <c r="AF65" s="7">
        <v>3.9845505914107161E-2</v>
      </c>
      <c r="AG65" s="7">
        <v>2.1780217848510454E-2</v>
      </c>
      <c r="AH65" s="8">
        <v>0</v>
      </c>
      <c r="AI65" s="8">
        <v>1</v>
      </c>
      <c r="AJ65" s="8">
        <v>100</v>
      </c>
      <c r="AK65">
        <f>(AF66/AF64)-AF65</f>
        <v>6.183567593947014E-2</v>
      </c>
    </row>
    <row r="66" spans="1:37" ht="26.25" x14ac:dyDescent="0.45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28</v>
      </c>
      <c r="G66" s="7">
        <v>0</v>
      </c>
      <c r="H66" s="7">
        <v>0</v>
      </c>
      <c r="I66" s="8">
        <v>0</v>
      </c>
      <c r="J66" s="8">
        <v>0</v>
      </c>
      <c r="K66" s="8">
        <v>5</v>
      </c>
      <c r="L66" s="7">
        <v>6.2263124728341786E-2</v>
      </c>
      <c r="M66" s="7">
        <v>6.2375305389036399E-2</v>
      </c>
      <c r="N66" s="8">
        <v>0</v>
      </c>
      <c r="O66" s="8">
        <v>1</v>
      </c>
      <c r="P66" s="8">
        <v>16</v>
      </c>
      <c r="Q66" s="7">
        <v>0</v>
      </c>
      <c r="R66" s="7">
        <v>0</v>
      </c>
      <c r="S66" s="8">
        <v>0</v>
      </c>
      <c r="T66" s="8">
        <v>0</v>
      </c>
      <c r="U66" s="8">
        <v>19</v>
      </c>
      <c r="V66" s="7">
        <v>0</v>
      </c>
      <c r="W66" s="7">
        <v>0</v>
      </c>
      <c r="X66" s="8">
        <v>0</v>
      </c>
      <c r="Y66" s="8">
        <v>0</v>
      </c>
      <c r="Z66" s="8">
        <v>18</v>
      </c>
      <c r="AA66" s="7">
        <v>0</v>
      </c>
      <c r="AB66" s="7">
        <v>0</v>
      </c>
      <c r="AC66" s="8">
        <v>0</v>
      </c>
      <c r="AD66" s="8">
        <v>0</v>
      </c>
      <c r="AE66" s="8">
        <v>14</v>
      </c>
      <c r="AF66" s="7">
        <v>2.0079677003791218E-2</v>
      </c>
      <c r="AG66" s="7">
        <v>1.9968303470510179E-2</v>
      </c>
      <c r="AH66" s="8">
        <v>0</v>
      </c>
      <c r="AI66" s="8">
        <v>1</v>
      </c>
      <c r="AJ66" s="8">
        <v>100</v>
      </c>
    </row>
    <row r="67" spans="1:37" x14ac:dyDescent="0.45">
      <c r="A67" s="6" t="s">
        <v>14</v>
      </c>
      <c r="B67" s="7">
        <v>0</v>
      </c>
      <c r="C67" s="7">
        <v>0</v>
      </c>
      <c r="D67" s="8">
        <v>0</v>
      </c>
      <c r="E67" s="8">
        <v>0</v>
      </c>
      <c r="F67" s="8">
        <v>28</v>
      </c>
      <c r="G67" s="7">
        <v>0</v>
      </c>
      <c r="H67" s="7">
        <v>0</v>
      </c>
      <c r="I67" s="8">
        <v>0</v>
      </c>
      <c r="J67" s="8">
        <v>0</v>
      </c>
      <c r="K67" s="8">
        <v>5</v>
      </c>
      <c r="L67" s="7">
        <v>0.48303138462270878</v>
      </c>
      <c r="M67" s="7">
        <v>0.13204392306270368</v>
      </c>
      <c r="N67" s="8">
        <v>0</v>
      </c>
      <c r="O67" s="8">
        <v>1</v>
      </c>
      <c r="P67" s="8">
        <v>16</v>
      </c>
      <c r="Q67" s="7">
        <v>0.12263212807622212</v>
      </c>
      <c r="R67" s="7">
        <v>7.1298614074622915E-2</v>
      </c>
      <c r="S67" s="8">
        <v>0</v>
      </c>
      <c r="T67" s="8">
        <v>1</v>
      </c>
      <c r="U67" s="8">
        <v>19</v>
      </c>
      <c r="V67" s="7">
        <v>7.3028961692628513E-2</v>
      </c>
      <c r="W67" s="7">
        <v>7.1910419319821686E-2</v>
      </c>
      <c r="X67" s="8">
        <v>0</v>
      </c>
      <c r="Y67" s="8">
        <v>1</v>
      </c>
      <c r="Z67" s="8">
        <v>18</v>
      </c>
      <c r="AA67" s="7">
        <v>0.3983711258467082</v>
      </c>
      <c r="AB67" s="7">
        <v>0.15635659849892011</v>
      </c>
      <c r="AC67" s="8">
        <v>0</v>
      </c>
      <c r="AD67" s="8">
        <v>1</v>
      </c>
      <c r="AE67" s="8">
        <v>14</v>
      </c>
      <c r="AF67" s="7">
        <v>0.1974768254828736</v>
      </c>
      <c r="AG67" s="7">
        <v>5.4071909528840917E-2</v>
      </c>
      <c r="AH67" s="8">
        <v>0</v>
      </c>
      <c r="AI67" s="8">
        <v>1</v>
      </c>
      <c r="AJ67" s="8">
        <v>100</v>
      </c>
      <c r="AK67">
        <f>(AF69/AF68)-AF67</f>
        <v>-8.7913537422658158E-2</v>
      </c>
    </row>
    <row r="68" spans="1:37" x14ac:dyDescent="0.45">
      <c r="A68" s="6" t="s">
        <v>36</v>
      </c>
      <c r="B68" s="7">
        <v>0.75033349718812381</v>
      </c>
      <c r="C68" s="7">
        <v>0.11113628937183456</v>
      </c>
      <c r="D68" s="8">
        <v>0</v>
      </c>
      <c r="E68" s="8">
        <v>1</v>
      </c>
      <c r="F68" s="8">
        <v>28</v>
      </c>
      <c r="G68" s="7">
        <v>0.69890286206955909</v>
      </c>
      <c r="H68" s="7">
        <v>0.26064905237909602</v>
      </c>
      <c r="I68" s="8">
        <v>0</v>
      </c>
      <c r="J68" s="8">
        <v>1</v>
      </c>
      <c r="K68" s="8">
        <v>5</v>
      </c>
      <c r="L68" s="7">
        <v>7.6528749224782755E-2</v>
      </c>
      <c r="M68" s="7">
        <v>6.4008315307330796E-2</v>
      </c>
      <c r="N68" s="8">
        <v>0</v>
      </c>
      <c r="O68" s="8">
        <v>1</v>
      </c>
      <c r="P68" s="8">
        <v>16</v>
      </c>
      <c r="Q68" s="7">
        <v>0.13638212532932661</v>
      </c>
      <c r="R68" s="7">
        <v>0.12489587163927413</v>
      </c>
      <c r="S68" s="8">
        <v>0</v>
      </c>
      <c r="T68" s="8">
        <v>1</v>
      </c>
      <c r="U68" s="8">
        <v>19</v>
      </c>
      <c r="V68" s="7">
        <v>0.35584441822330487</v>
      </c>
      <c r="W68" s="7">
        <v>0.12202753204157965</v>
      </c>
      <c r="X68" s="8">
        <v>0</v>
      </c>
      <c r="Y68" s="8">
        <v>1</v>
      </c>
      <c r="Z68" s="8">
        <v>18</v>
      </c>
      <c r="AA68" s="7">
        <v>0.74429546837714122</v>
      </c>
      <c r="AB68" s="7">
        <v>0.12930236493328284</v>
      </c>
      <c r="AC68" s="8">
        <v>0</v>
      </c>
      <c r="AD68" s="8">
        <v>1</v>
      </c>
      <c r="AE68" s="8">
        <v>14</v>
      </c>
      <c r="AF68" s="7">
        <v>0.42925514319553509</v>
      </c>
      <c r="AG68" s="7">
        <v>6.917480911456024E-2</v>
      </c>
      <c r="AH68" s="8">
        <v>0</v>
      </c>
      <c r="AI68" s="8">
        <v>1</v>
      </c>
      <c r="AJ68" s="8">
        <v>100</v>
      </c>
      <c r="AK68">
        <f>(AF69/AF67)-AF68</f>
        <v>-0.19109755285418023</v>
      </c>
    </row>
    <row r="69" spans="1:37" x14ac:dyDescent="0.45">
      <c r="A69" s="6" t="s">
        <v>51</v>
      </c>
      <c r="B69" s="7">
        <v>0</v>
      </c>
      <c r="C69" s="7">
        <v>0</v>
      </c>
      <c r="D69" s="8">
        <v>0</v>
      </c>
      <c r="E69" s="8">
        <v>0</v>
      </c>
      <c r="F69" s="8">
        <v>28</v>
      </c>
      <c r="G69" s="7">
        <v>0</v>
      </c>
      <c r="H69" s="7">
        <v>0</v>
      </c>
      <c r="I69" s="8">
        <v>0</v>
      </c>
      <c r="J69" s="8">
        <v>0</v>
      </c>
      <c r="K69" s="8">
        <v>5</v>
      </c>
      <c r="L69" s="7">
        <v>7.6528749224782755E-2</v>
      </c>
      <c r="M69" s="7">
        <v>6.4008315307330796E-2</v>
      </c>
      <c r="N69" s="8">
        <v>0</v>
      </c>
      <c r="O69" s="8">
        <v>1</v>
      </c>
      <c r="P69" s="8">
        <v>16</v>
      </c>
      <c r="Q69" s="7">
        <v>0</v>
      </c>
      <c r="R69" s="7">
        <v>0</v>
      </c>
      <c r="S69" s="8">
        <v>0</v>
      </c>
      <c r="T69" s="8">
        <v>0</v>
      </c>
      <c r="U69" s="8">
        <v>19</v>
      </c>
      <c r="V69" s="7">
        <v>7.3028961692628513E-2</v>
      </c>
      <c r="W69" s="7">
        <v>7.1910419319821686E-2</v>
      </c>
      <c r="X69" s="8">
        <v>0</v>
      </c>
      <c r="Y69" s="8">
        <v>1</v>
      </c>
      <c r="Z69" s="8">
        <v>18</v>
      </c>
      <c r="AA69" s="7">
        <v>0.30398212472224795</v>
      </c>
      <c r="AB69" s="7">
        <v>0.14902226098887475</v>
      </c>
      <c r="AC69" s="8">
        <v>0</v>
      </c>
      <c r="AD69" s="8">
        <v>1</v>
      </c>
      <c r="AE69" s="8">
        <v>14</v>
      </c>
      <c r="AF69" s="7">
        <v>4.7030604905261439E-2</v>
      </c>
      <c r="AG69" s="7">
        <v>2.3388984029070074E-2</v>
      </c>
      <c r="AH69" s="8">
        <v>0</v>
      </c>
      <c r="AI69" s="8">
        <v>1</v>
      </c>
      <c r="AJ69" s="8">
        <v>100</v>
      </c>
    </row>
    <row r="70" spans="1:37" x14ac:dyDescent="0.45">
      <c r="A70" s="6" t="s">
        <v>26</v>
      </c>
      <c r="B70" s="7">
        <v>0</v>
      </c>
      <c r="C70" s="7">
        <v>0</v>
      </c>
      <c r="D70" s="8">
        <v>0</v>
      </c>
      <c r="E70" s="8">
        <v>0</v>
      </c>
      <c r="F70" s="8">
        <v>28</v>
      </c>
      <c r="G70" s="7">
        <v>0</v>
      </c>
      <c r="H70" s="7">
        <v>0</v>
      </c>
      <c r="I70" s="8">
        <v>0</v>
      </c>
      <c r="J70" s="8">
        <v>0</v>
      </c>
      <c r="K70" s="8">
        <v>5</v>
      </c>
      <c r="L70" s="7">
        <v>0.72175728374909986</v>
      </c>
      <c r="M70" s="7">
        <v>0.12119985411311994</v>
      </c>
      <c r="N70" s="8">
        <v>0</v>
      </c>
      <c r="O70" s="8">
        <v>1</v>
      </c>
      <c r="P70" s="8">
        <v>16</v>
      </c>
      <c r="Q70" s="7">
        <v>0.29374289139203691</v>
      </c>
      <c r="R70" s="7">
        <v>0.11283736420444235</v>
      </c>
      <c r="S70" s="8">
        <v>0</v>
      </c>
      <c r="T70" s="8">
        <v>1</v>
      </c>
      <c r="U70" s="8">
        <v>19</v>
      </c>
      <c r="V70" s="7">
        <v>0.36680645879208712</v>
      </c>
      <c r="W70" s="7">
        <v>0.12383916979165614</v>
      </c>
      <c r="X70" s="8">
        <v>0</v>
      </c>
      <c r="Y70" s="8">
        <v>1</v>
      </c>
      <c r="Z70" s="8">
        <v>18</v>
      </c>
      <c r="AA70" s="7">
        <v>0.30087795573298015</v>
      </c>
      <c r="AB70" s="7">
        <v>0.14549325187447498</v>
      </c>
      <c r="AC70" s="8">
        <v>0</v>
      </c>
      <c r="AD70" s="8">
        <v>1</v>
      </c>
      <c r="AE70" s="8">
        <v>14</v>
      </c>
      <c r="AF70" s="7">
        <v>0.3070650065631072</v>
      </c>
      <c r="AG70" s="7">
        <v>6.1930006435609156E-2</v>
      </c>
      <c r="AH70" s="8">
        <v>0</v>
      </c>
      <c r="AI70" s="8">
        <v>1</v>
      </c>
      <c r="AJ70" s="8">
        <v>100</v>
      </c>
      <c r="AK70">
        <f>(AF72/AF71)-AF70</f>
        <v>0.3487565210324155</v>
      </c>
    </row>
    <row r="71" spans="1:37" x14ac:dyDescent="0.45">
      <c r="A71" s="6" t="s">
        <v>28</v>
      </c>
      <c r="B71" s="7">
        <v>0</v>
      </c>
      <c r="C71" s="7">
        <v>0</v>
      </c>
      <c r="D71" s="8">
        <v>0</v>
      </c>
      <c r="E71" s="8">
        <v>0</v>
      </c>
      <c r="F71" s="8">
        <v>28</v>
      </c>
      <c r="G71" s="7">
        <v>0</v>
      </c>
      <c r="H71" s="7">
        <v>0</v>
      </c>
      <c r="I71" s="8">
        <v>0</v>
      </c>
      <c r="J71" s="8">
        <v>0</v>
      </c>
      <c r="K71" s="8">
        <v>5</v>
      </c>
      <c r="L71" s="7">
        <v>0.73670174764328467</v>
      </c>
      <c r="M71" s="7">
        <v>0.11672516606515494</v>
      </c>
      <c r="N71" s="8">
        <v>0</v>
      </c>
      <c r="O71" s="8">
        <v>1</v>
      </c>
      <c r="P71" s="8">
        <v>16</v>
      </c>
      <c r="Q71" s="7">
        <v>0.63622677312988607</v>
      </c>
      <c r="R71" s="7">
        <v>0.12689047883012006</v>
      </c>
      <c r="S71" s="8">
        <v>0</v>
      </c>
      <c r="T71" s="8">
        <v>1</v>
      </c>
      <c r="U71" s="8">
        <v>19</v>
      </c>
      <c r="V71" s="7">
        <v>0.73611457017133053</v>
      </c>
      <c r="W71" s="7">
        <v>0.11141004702384433</v>
      </c>
      <c r="X71" s="8">
        <v>0</v>
      </c>
      <c r="Y71" s="8">
        <v>1</v>
      </c>
      <c r="Z71" s="8">
        <v>18</v>
      </c>
      <c r="AA71" s="7">
        <v>0.50250462712121191</v>
      </c>
      <c r="AB71" s="7">
        <v>0.15738307630952827</v>
      </c>
      <c r="AC71" s="8">
        <v>0</v>
      </c>
      <c r="AD71" s="8">
        <v>1</v>
      </c>
      <c r="AE71" s="8">
        <v>14</v>
      </c>
      <c r="AF71" s="7">
        <v>0.38609576035540805</v>
      </c>
      <c r="AG71" s="7">
        <v>6.5209352136426937E-2</v>
      </c>
      <c r="AH71" s="8">
        <v>0</v>
      </c>
      <c r="AI71" s="8">
        <v>1</v>
      </c>
      <c r="AJ71" s="8">
        <v>100</v>
      </c>
      <c r="AK71">
        <f>(AF72/AF70)-AF71</f>
        <v>0.43851761447536908</v>
      </c>
    </row>
    <row r="72" spans="1:37" x14ac:dyDescent="0.45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28</v>
      </c>
      <c r="G72" s="7">
        <v>0</v>
      </c>
      <c r="H72" s="7">
        <v>0</v>
      </c>
      <c r="I72" s="8">
        <v>0</v>
      </c>
      <c r="J72" s="8">
        <v>0</v>
      </c>
      <c r="K72" s="8">
        <v>5</v>
      </c>
      <c r="L72" s="7">
        <v>0.5945859103881409</v>
      </c>
      <c r="M72" s="7">
        <v>0.13062463515032435</v>
      </c>
      <c r="N72" s="8">
        <v>0</v>
      </c>
      <c r="O72" s="8">
        <v>1</v>
      </c>
      <c r="P72" s="8">
        <v>16</v>
      </c>
      <c r="Q72" s="7">
        <v>0.29374289139203691</v>
      </c>
      <c r="R72" s="7">
        <v>0.11283736420444235</v>
      </c>
      <c r="S72" s="8">
        <v>0</v>
      </c>
      <c r="T72" s="8">
        <v>1</v>
      </c>
      <c r="U72" s="8">
        <v>19</v>
      </c>
      <c r="V72" s="7">
        <v>0.25098645394655406</v>
      </c>
      <c r="W72" s="7">
        <v>0.11309022700715959</v>
      </c>
      <c r="X72" s="8">
        <v>0</v>
      </c>
      <c r="Y72" s="8">
        <v>1</v>
      </c>
      <c r="Z72" s="8">
        <v>18</v>
      </c>
      <c r="AA72" s="7">
        <v>0.20807471865948446</v>
      </c>
      <c r="AB72" s="7">
        <v>0.12943632036264704</v>
      </c>
      <c r="AC72" s="8">
        <v>0</v>
      </c>
      <c r="AD72" s="8">
        <v>1</v>
      </c>
      <c r="AE72" s="8">
        <v>14</v>
      </c>
      <c r="AF72" s="7">
        <v>0.25320991135443854</v>
      </c>
      <c r="AG72" s="7">
        <v>5.7979050723744714E-2</v>
      </c>
      <c r="AH72" s="8">
        <v>0</v>
      </c>
      <c r="AI72" s="8">
        <v>1</v>
      </c>
      <c r="AJ72" s="8">
        <v>100</v>
      </c>
    </row>
    <row r="73" spans="1:37" x14ac:dyDescent="0.45">
      <c r="A73" s="6" t="s">
        <v>26</v>
      </c>
      <c r="B73" s="7">
        <v>0</v>
      </c>
      <c r="C73" s="7">
        <v>0</v>
      </c>
      <c r="D73" s="8">
        <v>0</v>
      </c>
      <c r="E73" s="8">
        <v>0</v>
      </c>
      <c r="F73" s="8">
        <v>28</v>
      </c>
      <c r="G73" s="7">
        <v>0</v>
      </c>
      <c r="H73" s="7">
        <v>0</v>
      </c>
      <c r="I73" s="8">
        <v>0</v>
      </c>
      <c r="J73" s="8">
        <v>0</v>
      </c>
      <c r="K73" s="8">
        <v>5</v>
      </c>
      <c r="L73" s="7">
        <v>0.72175728374909986</v>
      </c>
      <c r="M73" s="7">
        <v>0.12119985411311994</v>
      </c>
      <c r="N73" s="8">
        <v>0</v>
      </c>
      <c r="O73" s="8">
        <v>1</v>
      </c>
      <c r="P73" s="8">
        <v>16</v>
      </c>
      <c r="Q73" s="7">
        <v>0.29374289139203691</v>
      </c>
      <c r="R73" s="7">
        <v>0.11283736420444235</v>
      </c>
      <c r="S73" s="8">
        <v>0</v>
      </c>
      <c r="T73" s="8">
        <v>1</v>
      </c>
      <c r="U73" s="8">
        <v>19</v>
      </c>
      <c r="V73" s="7">
        <v>0.36680645879208712</v>
      </c>
      <c r="W73" s="7">
        <v>0.12383916979165614</v>
      </c>
      <c r="X73" s="8">
        <v>0</v>
      </c>
      <c r="Y73" s="8">
        <v>1</v>
      </c>
      <c r="Z73" s="8">
        <v>18</v>
      </c>
      <c r="AA73" s="7">
        <v>0.30087795573298015</v>
      </c>
      <c r="AB73" s="7">
        <v>0.14549325187447498</v>
      </c>
      <c r="AC73" s="8">
        <v>0</v>
      </c>
      <c r="AD73" s="8">
        <v>1</v>
      </c>
      <c r="AE73" s="8">
        <v>14</v>
      </c>
      <c r="AF73" s="7">
        <v>0.3070650065631072</v>
      </c>
      <c r="AG73" s="7">
        <v>6.1930006435609156E-2</v>
      </c>
      <c r="AH73" s="8">
        <v>0</v>
      </c>
      <c r="AI73" s="8">
        <v>1</v>
      </c>
      <c r="AJ73" s="8">
        <v>100</v>
      </c>
      <c r="AK73">
        <f>(AF75/AF74)-AF73</f>
        <v>8.9476296615170037E-2</v>
      </c>
    </row>
    <row r="74" spans="1:37" x14ac:dyDescent="0.45">
      <c r="A74" s="6" t="s">
        <v>30</v>
      </c>
      <c r="B74" s="7">
        <v>0.13606196371960469</v>
      </c>
      <c r="C74" s="7">
        <v>6.8769928396153993E-2</v>
      </c>
      <c r="D74" s="8">
        <v>0</v>
      </c>
      <c r="E74" s="8">
        <v>1</v>
      </c>
      <c r="F74" s="8">
        <v>28</v>
      </c>
      <c r="G74" s="7">
        <v>0</v>
      </c>
      <c r="H74" s="7">
        <v>0</v>
      </c>
      <c r="I74" s="8">
        <v>0</v>
      </c>
      <c r="J74" s="8">
        <v>0</v>
      </c>
      <c r="K74" s="8">
        <v>5</v>
      </c>
      <c r="L74" s="7">
        <v>6.229053999852549E-2</v>
      </c>
      <c r="M74" s="7">
        <v>6.2400951743931066E-2</v>
      </c>
      <c r="N74" s="8">
        <v>0</v>
      </c>
      <c r="O74" s="8">
        <v>1</v>
      </c>
      <c r="P74" s="8">
        <v>16</v>
      </c>
      <c r="Q74" s="7">
        <v>0</v>
      </c>
      <c r="R74" s="7">
        <v>0</v>
      </c>
      <c r="S74" s="8">
        <v>0</v>
      </c>
      <c r="T74" s="8">
        <v>0</v>
      </c>
      <c r="U74" s="8">
        <v>19</v>
      </c>
      <c r="V74" s="7">
        <v>0.15550626739573795</v>
      </c>
      <c r="W74" s="7">
        <v>8.6631727868310957E-2</v>
      </c>
      <c r="X74" s="8">
        <v>0</v>
      </c>
      <c r="Y74" s="8">
        <v>1</v>
      </c>
      <c r="Z74" s="8">
        <v>18</v>
      </c>
      <c r="AA74" s="7">
        <v>0.14494874528348178</v>
      </c>
      <c r="AB74" s="7">
        <v>0.10516460199040556</v>
      </c>
      <c r="AC74" s="8">
        <v>0</v>
      </c>
      <c r="AD74" s="8">
        <v>1</v>
      </c>
      <c r="AE74" s="8">
        <v>14</v>
      </c>
      <c r="AF74" s="7">
        <v>7.5898831644268056E-2</v>
      </c>
      <c r="AG74" s="7">
        <v>2.9028505479072871E-2</v>
      </c>
      <c r="AH74" s="8">
        <v>0</v>
      </c>
      <c r="AI74" s="8">
        <v>1</v>
      </c>
      <c r="AJ74" s="8">
        <v>100</v>
      </c>
      <c r="AK74">
        <f>(AF75/AF73)-AF74</f>
        <v>2.2116314877291904E-2</v>
      </c>
    </row>
    <row r="75" spans="1:37" ht="26.25" x14ac:dyDescent="0.45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28</v>
      </c>
      <c r="G75" s="7">
        <v>0</v>
      </c>
      <c r="H75" s="7">
        <v>0</v>
      </c>
      <c r="I75" s="8">
        <v>0</v>
      </c>
      <c r="J75" s="8">
        <v>0</v>
      </c>
      <c r="K75" s="8">
        <v>5</v>
      </c>
      <c r="L75" s="7">
        <v>6.229053999852549E-2</v>
      </c>
      <c r="M75" s="7">
        <v>6.2400951743931066E-2</v>
      </c>
      <c r="N75" s="8">
        <v>0</v>
      </c>
      <c r="O75" s="8">
        <v>1</v>
      </c>
      <c r="P75" s="8">
        <v>16</v>
      </c>
      <c r="Q75" s="7">
        <v>0</v>
      </c>
      <c r="R75" s="7">
        <v>0</v>
      </c>
      <c r="S75" s="8">
        <v>0</v>
      </c>
      <c r="T75" s="8">
        <v>0</v>
      </c>
      <c r="U75" s="8">
        <v>19</v>
      </c>
      <c r="V75" s="7">
        <v>0.15550626739573795</v>
      </c>
      <c r="W75" s="7">
        <v>8.6631727868310957E-2</v>
      </c>
      <c r="X75" s="8">
        <v>0</v>
      </c>
      <c r="Y75" s="8">
        <v>1</v>
      </c>
      <c r="Z75" s="8">
        <v>18</v>
      </c>
      <c r="AA75" s="7">
        <v>0</v>
      </c>
      <c r="AB75" s="7">
        <v>0</v>
      </c>
      <c r="AC75" s="8">
        <v>0</v>
      </c>
      <c r="AD75" s="8">
        <v>0</v>
      </c>
      <c r="AE75" s="8">
        <v>14</v>
      </c>
      <c r="AF75" s="7">
        <v>3.0097021609926722E-2</v>
      </c>
      <c r="AG75" s="7">
        <v>2.0798765824429265E-2</v>
      </c>
      <c r="AH75" s="8">
        <v>0</v>
      </c>
      <c r="AI75" s="8">
        <v>1</v>
      </c>
      <c r="AJ75" s="8">
        <v>100</v>
      </c>
    </row>
    <row r="76" spans="1:37" x14ac:dyDescent="0.45">
      <c r="A76" s="6" t="s">
        <v>26</v>
      </c>
      <c r="B76" s="7">
        <v>0</v>
      </c>
      <c r="C76" s="7">
        <v>0</v>
      </c>
      <c r="D76" s="8">
        <v>0</v>
      </c>
      <c r="E76" s="8">
        <v>0</v>
      </c>
      <c r="F76" s="8">
        <v>28</v>
      </c>
      <c r="G76" s="7">
        <v>0</v>
      </c>
      <c r="H76" s="7">
        <v>0</v>
      </c>
      <c r="I76" s="8">
        <v>0</v>
      </c>
      <c r="J76" s="8">
        <v>0</v>
      </c>
      <c r="K76" s="8">
        <v>5</v>
      </c>
      <c r="L76" s="7">
        <v>0.72175728374909986</v>
      </c>
      <c r="M76" s="7">
        <v>0.12119985411311994</v>
      </c>
      <c r="N76" s="8">
        <v>0</v>
      </c>
      <c r="O76" s="8">
        <v>1</v>
      </c>
      <c r="P76" s="8">
        <v>16</v>
      </c>
      <c r="Q76" s="7">
        <v>0.29374289139203691</v>
      </c>
      <c r="R76" s="7">
        <v>0.11283736420444235</v>
      </c>
      <c r="S76" s="8">
        <v>0</v>
      </c>
      <c r="T76" s="8">
        <v>1</v>
      </c>
      <c r="U76" s="8">
        <v>19</v>
      </c>
      <c r="V76" s="7">
        <v>0.36680645879208712</v>
      </c>
      <c r="W76" s="7">
        <v>0.12383916979165614</v>
      </c>
      <c r="X76" s="8">
        <v>0</v>
      </c>
      <c r="Y76" s="8">
        <v>1</v>
      </c>
      <c r="Z76" s="8">
        <v>18</v>
      </c>
      <c r="AA76" s="7">
        <v>0.30087795573298015</v>
      </c>
      <c r="AB76" s="7">
        <v>0.14549325187447498</v>
      </c>
      <c r="AC76" s="8">
        <v>0</v>
      </c>
      <c r="AD76" s="8">
        <v>1</v>
      </c>
      <c r="AE76" s="8">
        <v>14</v>
      </c>
      <c r="AF76" s="7">
        <v>0.3070650065631072</v>
      </c>
      <c r="AG76" s="7">
        <v>6.1930006435609156E-2</v>
      </c>
      <c r="AH76" s="8">
        <v>0</v>
      </c>
      <c r="AI76" s="8">
        <v>1</v>
      </c>
      <c r="AJ76" s="8">
        <v>100</v>
      </c>
      <c r="AK76">
        <f>(AF78/AF77)-AF76</f>
        <v>7.6500014379430159E-2</v>
      </c>
    </row>
    <row r="77" spans="1:37" x14ac:dyDescent="0.45">
      <c r="A77" s="6" t="s">
        <v>32</v>
      </c>
      <c r="B77" s="7">
        <v>4.3768328287058816E-2</v>
      </c>
      <c r="C77" s="7">
        <v>3.9247563320719027E-2</v>
      </c>
      <c r="D77" s="8">
        <v>0</v>
      </c>
      <c r="E77" s="8">
        <v>1</v>
      </c>
      <c r="F77" s="8">
        <v>28</v>
      </c>
      <c r="G77" s="7">
        <v>0</v>
      </c>
      <c r="H77" s="7">
        <v>0</v>
      </c>
      <c r="I77" s="8">
        <v>0</v>
      </c>
      <c r="J77" s="8">
        <v>0</v>
      </c>
      <c r="K77" s="8">
        <v>5</v>
      </c>
      <c r="L77" s="7">
        <v>0.25436745431109598</v>
      </c>
      <c r="M77" s="7">
        <v>0.11399054354627695</v>
      </c>
      <c r="N77" s="8">
        <v>0</v>
      </c>
      <c r="O77" s="8">
        <v>1</v>
      </c>
      <c r="P77" s="8">
        <v>16</v>
      </c>
      <c r="Q77" s="7">
        <v>0.41381121420178746</v>
      </c>
      <c r="R77" s="7">
        <v>0.12969928853703966</v>
      </c>
      <c r="S77" s="8">
        <v>0</v>
      </c>
      <c r="T77" s="8">
        <v>1</v>
      </c>
      <c r="U77" s="8">
        <v>19</v>
      </c>
      <c r="V77" s="7">
        <v>0.23553150148432661</v>
      </c>
      <c r="W77" s="7">
        <v>0.10224133114104708</v>
      </c>
      <c r="X77" s="8">
        <v>0</v>
      </c>
      <c r="Y77" s="8">
        <v>1</v>
      </c>
      <c r="Z77" s="8">
        <v>18</v>
      </c>
      <c r="AA77" s="7">
        <v>0.62380644277621733</v>
      </c>
      <c r="AB77" s="7">
        <v>0.15335862727964425</v>
      </c>
      <c r="AC77" s="8">
        <v>0</v>
      </c>
      <c r="AD77" s="8">
        <v>1</v>
      </c>
      <c r="AE77" s="8">
        <v>14</v>
      </c>
      <c r="AF77" s="7">
        <v>0.19224039367404611</v>
      </c>
      <c r="AG77" s="7">
        <v>4.6779770209863396E-2</v>
      </c>
      <c r="AH77" s="8">
        <v>0</v>
      </c>
      <c r="AI77" s="8">
        <v>1</v>
      </c>
      <c r="AJ77" s="8">
        <v>100</v>
      </c>
      <c r="AK77">
        <f>(AF78/AF76)-AF77</f>
        <v>4.7893418546699235E-2</v>
      </c>
    </row>
    <row r="78" spans="1:37" ht="26.25" x14ac:dyDescent="0.45">
      <c r="A78" s="6" t="s">
        <v>54</v>
      </c>
      <c r="B78" s="7">
        <v>0</v>
      </c>
      <c r="C78" s="7">
        <v>0</v>
      </c>
      <c r="D78" s="8">
        <v>0</v>
      </c>
      <c r="E78" s="8">
        <v>0</v>
      </c>
      <c r="F78" s="8">
        <v>28</v>
      </c>
      <c r="G78" s="7">
        <v>0</v>
      </c>
      <c r="H78" s="7">
        <v>0</v>
      </c>
      <c r="I78" s="8">
        <v>0</v>
      </c>
      <c r="J78" s="8">
        <v>0</v>
      </c>
      <c r="K78" s="8">
        <v>5</v>
      </c>
      <c r="L78" s="7">
        <v>0.19077011976714686</v>
      </c>
      <c r="M78" s="7">
        <v>0.10269388298777425</v>
      </c>
      <c r="N78" s="8">
        <v>0</v>
      </c>
      <c r="O78" s="8">
        <v>1</v>
      </c>
      <c r="P78" s="8">
        <v>16</v>
      </c>
      <c r="Q78" s="7">
        <v>4.5722309708474441E-2</v>
      </c>
      <c r="R78" s="7">
        <v>4.6404065730070082E-2</v>
      </c>
      <c r="S78" s="8">
        <v>0</v>
      </c>
      <c r="T78" s="8">
        <v>1</v>
      </c>
      <c r="U78" s="8">
        <v>19</v>
      </c>
      <c r="V78" s="7">
        <v>0.10055724988722109</v>
      </c>
      <c r="W78" s="7">
        <v>7.0534767449922611E-2</v>
      </c>
      <c r="X78" s="8">
        <v>0</v>
      </c>
      <c r="Y78" s="8">
        <v>1</v>
      </c>
      <c r="Z78" s="8">
        <v>18</v>
      </c>
      <c r="AA78" s="7">
        <v>9.8291160183755343E-3</v>
      </c>
      <c r="AB78" s="7">
        <v>1.0562930652329066E-2</v>
      </c>
      <c r="AC78" s="8">
        <v>0</v>
      </c>
      <c r="AD78" s="8">
        <v>1</v>
      </c>
      <c r="AE78" s="8">
        <v>14</v>
      </c>
      <c r="AF78" s="7">
        <v>7.3736690625587117E-2</v>
      </c>
      <c r="AG78" s="7">
        <v>3.5128934138676952E-2</v>
      </c>
      <c r="AH78" s="8">
        <v>0</v>
      </c>
      <c r="AI78" s="8">
        <v>1</v>
      </c>
      <c r="AJ78" s="8">
        <v>100</v>
      </c>
    </row>
    <row r="79" spans="1:37" x14ac:dyDescent="0.45">
      <c r="A79" s="6" t="s">
        <v>26</v>
      </c>
      <c r="B79" s="7">
        <v>0</v>
      </c>
      <c r="C79" s="7">
        <v>0</v>
      </c>
      <c r="D79" s="8">
        <v>0</v>
      </c>
      <c r="E79" s="8">
        <v>0</v>
      </c>
      <c r="F79" s="8">
        <v>28</v>
      </c>
      <c r="G79" s="7">
        <v>0</v>
      </c>
      <c r="H79" s="7">
        <v>0</v>
      </c>
      <c r="I79" s="8">
        <v>0</v>
      </c>
      <c r="J79" s="8">
        <v>0</v>
      </c>
      <c r="K79" s="8">
        <v>5</v>
      </c>
      <c r="L79" s="7">
        <v>0.72175728374909986</v>
      </c>
      <c r="M79" s="7">
        <v>0.12119985411311994</v>
      </c>
      <c r="N79" s="8">
        <v>0</v>
      </c>
      <c r="O79" s="8">
        <v>1</v>
      </c>
      <c r="P79" s="8">
        <v>16</v>
      </c>
      <c r="Q79" s="7">
        <v>0.29374289139203691</v>
      </c>
      <c r="R79" s="7">
        <v>0.11283736420444235</v>
      </c>
      <c r="S79" s="8">
        <v>0</v>
      </c>
      <c r="T79" s="8">
        <v>1</v>
      </c>
      <c r="U79" s="8">
        <v>19</v>
      </c>
      <c r="V79" s="7">
        <v>0.36680645879208712</v>
      </c>
      <c r="W79" s="7">
        <v>0.12383916979165614</v>
      </c>
      <c r="X79" s="8">
        <v>0</v>
      </c>
      <c r="Y79" s="8">
        <v>1</v>
      </c>
      <c r="Z79" s="8">
        <v>18</v>
      </c>
      <c r="AA79" s="7">
        <v>0.30087795573298015</v>
      </c>
      <c r="AB79" s="7">
        <v>0.14549325187447498</v>
      </c>
      <c r="AC79" s="8">
        <v>0</v>
      </c>
      <c r="AD79" s="8">
        <v>1</v>
      </c>
      <c r="AE79" s="8">
        <v>14</v>
      </c>
      <c r="AF79" s="7">
        <v>0.3070650065631072</v>
      </c>
      <c r="AG79" s="7">
        <v>6.1930006435609156E-2</v>
      </c>
      <c r="AH79" s="8">
        <v>0</v>
      </c>
      <c r="AI79" s="8">
        <v>1</v>
      </c>
      <c r="AJ79" s="8">
        <v>100</v>
      </c>
      <c r="AK79">
        <f>(AF81/AF80)-AF79</f>
        <v>0.35929920502253254</v>
      </c>
    </row>
    <row r="80" spans="1:37" x14ac:dyDescent="0.45">
      <c r="A80" s="6" t="s">
        <v>34</v>
      </c>
      <c r="B80" s="7">
        <v>5.0869262003460196E-3</v>
      </c>
      <c r="C80" s="7">
        <v>5.2833334995758627E-3</v>
      </c>
      <c r="D80" s="8">
        <v>0</v>
      </c>
      <c r="E80" s="8">
        <v>1</v>
      </c>
      <c r="F80" s="8">
        <v>28</v>
      </c>
      <c r="G80" s="7">
        <v>0</v>
      </c>
      <c r="H80" s="7">
        <v>0</v>
      </c>
      <c r="I80" s="8">
        <v>0</v>
      </c>
      <c r="J80" s="8">
        <v>0</v>
      </c>
      <c r="K80" s="8">
        <v>5</v>
      </c>
      <c r="L80" s="7">
        <v>6.2263124728341786E-2</v>
      </c>
      <c r="M80" s="7">
        <v>6.2375305389036399E-2</v>
      </c>
      <c r="N80" s="8">
        <v>0</v>
      </c>
      <c r="O80" s="8">
        <v>1</v>
      </c>
      <c r="P80" s="8">
        <v>16</v>
      </c>
      <c r="Q80" s="7">
        <v>0</v>
      </c>
      <c r="R80" s="7">
        <v>0</v>
      </c>
      <c r="S80" s="8">
        <v>0</v>
      </c>
      <c r="T80" s="8">
        <v>0</v>
      </c>
      <c r="U80" s="8">
        <v>19</v>
      </c>
      <c r="V80" s="7">
        <v>0.18749442370539304</v>
      </c>
      <c r="W80" s="7">
        <v>9.5653225655299184E-2</v>
      </c>
      <c r="X80" s="8">
        <v>0</v>
      </c>
      <c r="Y80" s="8">
        <v>1</v>
      </c>
      <c r="Z80" s="8">
        <v>18</v>
      </c>
      <c r="AA80" s="7">
        <v>0.10851687170393783</v>
      </c>
      <c r="AB80" s="7">
        <v>9.1959813331468687E-2</v>
      </c>
      <c r="AC80" s="8">
        <v>0</v>
      </c>
      <c r="AD80" s="8">
        <v>1</v>
      </c>
      <c r="AE80" s="8">
        <v>14</v>
      </c>
      <c r="AF80" s="7">
        <v>3.9845505914107161E-2</v>
      </c>
      <c r="AG80" s="7">
        <v>2.1780217848510454E-2</v>
      </c>
      <c r="AH80" s="8">
        <v>0</v>
      </c>
      <c r="AI80" s="8">
        <v>1</v>
      </c>
      <c r="AJ80" s="8">
        <v>100</v>
      </c>
      <c r="AK80">
        <f>(AF81/AF79)-AF80</f>
        <v>4.6623543199856739E-2</v>
      </c>
    </row>
    <row r="81" spans="1:37" ht="26.25" x14ac:dyDescent="0.45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28</v>
      </c>
      <c r="G81" s="7">
        <v>0</v>
      </c>
      <c r="H81" s="7">
        <v>0</v>
      </c>
      <c r="I81" s="8">
        <v>0</v>
      </c>
      <c r="J81" s="8">
        <v>0</v>
      </c>
      <c r="K81" s="8">
        <v>5</v>
      </c>
      <c r="L81" s="7">
        <v>6.2263124728341786E-2</v>
      </c>
      <c r="M81" s="7">
        <v>6.2375305389036399E-2</v>
      </c>
      <c r="N81" s="8">
        <v>0</v>
      </c>
      <c r="O81" s="8">
        <v>1</v>
      </c>
      <c r="P81" s="8">
        <v>16</v>
      </c>
      <c r="Q81" s="7">
        <v>0</v>
      </c>
      <c r="R81" s="7">
        <v>0</v>
      </c>
      <c r="S81" s="8">
        <v>0</v>
      </c>
      <c r="T81" s="8">
        <v>0</v>
      </c>
      <c r="U81" s="8">
        <v>19</v>
      </c>
      <c r="V81" s="7">
        <v>0.10055724988722109</v>
      </c>
      <c r="W81" s="7">
        <v>7.0534767449922611E-2</v>
      </c>
      <c r="X81" s="8">
        <v>0</v>
      </c>
      <c r="Y81" s="8">
        <v>1</v>
      </c>
      <c r="Z81" s="8">
        <v>18</v>
      </c>
      <c r="AA81" s="7">
        <v>0</v>
      </c>
      <c r="AB81" s="7">
        <v>0</v>
      </c>
      <c r="AC81" s="8">
        <v>0</v>
      </c>
      <c r="AD81" s="8">
        <v>0</v>
      </c>
      <c r="AE81" s="8">
        <v>14</v>
      </c>
      <c r="AF81" s="7">
        <v>2.6551619133684964E-2</v>
      </c>
      <c r="AG81" s="7">
        <v>2.0482208695823803E-2</v>
      </c>
      <c r="AH81" s="8">
        <v>0</v>
      </c>
      <c r="AI81" s="8">
        <v>1</v>
      </c>
      <c r="AJ81" s="8">
        <v>100</v>
      </c>
    </row>
    <row r="82" spans="1:37" x14ac:dyDescent="0.45">
      <c r="A82" s="6" t="s">
        <v>26</v>
      </c>
      <c r="B82" s="7">
        <v>0</v>
      </c>
      <c r="C82" s="7">
        <v>0</v>
      </c>
      <c r="D82" s="8">
        <v>0</v>
      </c>
      <c r="E82" s="8">
        <v>0</v>
      </c>
      <c r="F82" s="8">
        <v>28</v>
      </c>
      <c r="G82" s="7">
        <v>0</v>
      </c>
      <c r="H82" s="7">
        <v>0</v>
      </c>
      <c r="I82" s="8">
        <v>0</v>
      </c>
      <c r="J82" s="8">
        <v>0</v>
      </c>
      <c r="K82" s="8">
        <v>5</v>
      </c>
      <c r="L82" s="7">
        <v>0.72175728374909986</v>
      </c>
      <c r="M82" s="7">
        <v>0.12119985411311994</v>
      </c>
      <c r="N82" s="8">
        <v>0</v>
      </c>
      <c r="O82" s="8">
        <v>1</v>
      </c>
      <c r="P82" s="8">
        <v>16</v>
      </c>
      <c r="Q82" s="7">
        <v>0.29374289139203691</v>
      </c>
      <c r="R82" s="7">
        <v>0.11283736420444235</v>
      </c>
      <c r="S82" s="8">
        <v>0</v>
      </c>
      <c r="T82" s="8">
        <v>1</v>
      </c>
      <c r="U82" s="8">
        <v>19</v>
      </c>
      <c r="V82" s="7">
        <v>0.36680645879208712</v>
      </c>
      <c r="W82" s="7">
        <v>0.12383916979165614</v>
      </c>
      <c r="X82" s="8">
        <v>0</v>
      </c>
      <c r="Y82" s="8">
        <v>1</v>
      </c>
      <c r="Z82" s="8">
        <v>18</v>
      </c>
      <c r="AA82" s="7">
        <v>0.30087795573298015</v>
      </c>
      <c r="AB82" s="7">
        <v>0.14549325187447498</v>
      </c>
      <c r="AC82" s="8">
        <v>0</v>
      </c>
      <c r="AD82" s="8">
        <v>1</v>
      </c>
      <c r="AE82" s="8">
        <v>14</v>
      </c>
      <c r="AF82" s="7">
        <v>0.3070650065631072</v>
      </c>
      <c r="AG82" s="7">
        <v>6.1930006435609156E-2</v>
      </c>
      <c r="AH82" s="8">
        <v>0</v>
      </c>
      <c r="AI82" s="8">
        <v>1</v>
      </c>
      <c r="AJ82" s="8">
        <v>100</v>
      </c>
      <c r="AK82">
        <f>(AF84/AF83)-AF82</f>
        <v>-0.19512365286386033</v>
      </c>
    </row>
    <row r="83" spans="1:37" x14ac:dyDescent="0.45">
      <c r="A83" s="6" t="s">
        <v>36</v>
      </c>
      <c r="B83" s="7">
        <v>0.75033349718812381</v>
      </c>
      <c r="C83" s="7">
        <v>0.11113628937183456</v>
      </c>
      <c r="D83" s="8">
        <v>0</v>
      </c>
      <c r="E83" s="8">
        <v>1</v>
      </c>
      <c r="F83" s="8">
        <v>28</v>
      </c>
      <c r="G83" s="7">
        <v>0.69890286206955909</v>
      </c>
      <c r="H83" s="7">
        <v>0.26064905237909602</v>
      </c>
      <c r="I83" s="8">
        <v>0</v>
      </c>
      <c r="J83" s="8">
        <v>1</v>
      </c>
      <c r="K83" s="8">
        <v>5</v>
      </c>
      <c r="L83" s="7">
        <v>7.6528749224782755E-2</v>
      </c>
      <c r="M83" s="7">
        <v>6.4008315307330796E-2</v>
      </c>
      <c r="N83" s="8">
        <v>0</v>
      </c>
      <c r="O83" s="8">
        <v>1</v>
      </c>
      <c r="P83" s="8">
        <v>16</v>
      </c>
      <c r="Q83" s="7">
        <v>0.13638212532932661</v>
      </c>
      <c r="R83" s="7">
        <v>0.12489587163927413</v>
      </c>
      <c r="S83" s="8">
        <v>0</v>
      </c>
      <c r="T83" s="8">
        <v>1</v>
      </c>
      <c r="U83" s="8">
        <v>19</v>
      </c>
      <c r="V83" s="7">
        <v>0.35584441822330487</v>
      </c>
      <c r="W83" s="7">
        <v>0.12202753204157965</v>
      </c>
      <c r="X83" s="8">
        <v>0</v>
      </c>
      <c r="Y83" s="8">
        <v>1</v>
      </c>
      <c r="Z83" s="8">
        <v>18</v>
      </c>
      <c r="AA83" s="7">
        <v>0.74429546837714122</v>
      </c>
      <c r="AB83" s="7">
        <v>0.12930236493328284</v>
      </c>
      <c r="AC83" s="8">
        <v>0</v>
      </c>
      <c r="AD83" s="8">
        <v>1</v>
      </c>
      <c r="AE83" s="8">
        <v>14</v>
      </c>
      <c r="AF83" s="7">
        <v>0.42925514319553509</v>
      </c>
      <c r="AG83" s="7">
        <v>6.917480911456024E-2</v>
      </c>
      <c r="AH83" s="8">
        <v>0</v>
      </c>
      <c r="AI83" s="8">
        <v>1</v>
      </c>
      <c r="AJ83" s="8">
        <v>100</v>
      </c>
      <c r="AK83">
        <f>(AF84/AF82)-AF83</f>
        <v>-0.27276905463240586</v>
      </c>
    </row>
    <row r="84" spans="1:37" x14ac:dyDescent="0.45">
      <c r="A84" s="6" t="s">
        <v>56</v>
      </c>
      <c r="B84" s="7">
        <v>0</v>
      </c>
      <c r="C84" s="7">
        <v>0</v>
      </c>
      <c r="D84" s="8">
        <v>0</v>
      </c>
      <c r="E84" s="8">
        <v>0</v>
      </c>
      <c r="F84" s="8">
        <v>28</v>
      </c>
      <c r="G84" s="7">
        <v>0</v>
      </c>
      <c r="H84" s="7">
        <v>0</v>
      </c>
      <c r="I84" s="8">
        <v>0</v>
      </c>
      <c r="J84" s="8">
        <v>0</v>
      </c>
      <c r="K84" s="8">
        <v>5</v>
      </c>
      <c r="L84" s="7">
        <v>7.6528749224782755E-2</v>
      </c>
      <c r="M84" s="7">
        <v>6.4008315307330796E-2</v>
      </c>
      <c r="N84" s="8">
        <v>0</v>
      </c>
      <c r="O84" s="8">
        <v>1</v>
      </c>
      <c r="P84" s="8">
        <v>16</v>
      </c>
      <c r="Q84" s="7">
        <v>0</v>
      </c>
      <c r="R84" s="7">
        <v>0</v>
      </c>
      <c r="S84" s="8">
        <v>0</v>
      </c>
      <c r="T84" s="8">
        <v>0</v>
      </c>
      <c r="U84" s="8">
        <v>19</v>
      </c>
      <c r="V84" s="7">
        <v>0.10055724988722109</v>
      </c>
      <c r="W84" s="7">
        <v>7.0534767449922611E-2</v>
      </c>
      <c r="X84" s="8">
        <v>0</v>
      </c>
      <c r="Y84" s="8">
        <v>1</v>
      </c>
      <c r="Z84" s="8">
        <v>18</v>
      </c>
      <c r="AA84" s="7">
        <v>0.2910488397146046</v>
      </c>
      <c r="AB84" s="7">
        <v>0.14543018181319689</v>
      </c>
      <c r="AC84" s="8">
        <v>0</v>
      </c>
      <c r="AD84" s="8">
        <v>1</v>
      </c>
      <c r="AE84" s="8">
        <v>14</v>
      </c>
      <c r="AF84" s="7">
        <v>4.8051401811672258E-2</v>
      </c>
      <c r="AG84" s="7">
        <v>2.3216455077341634E-2</v>
      </c>
      <c r="AH84" s="8">
        <v>0</v>
      </c>
      <c r="AI84" s="8">
        <v>1</v>
      </c>
      <c r="AJ84" s="8">
        <v>100</v>
      </c>
    </row>
    <row r="85" spans="1:37" x14ac:dyDescent="0.45">
      <c r="A85" s="6" t="s">
        <v>26</v>
      </c>
      <c r="B85" s="7">
        <v>0</v>
      </c>
      <c r="C85" s="7">
        <v>0</v>
      </c>
      <c r="D85" s="8">
        <v>0</v>
      </c>
      <c r="E85" s="8">
        <v>0</v>
      </c>
      <c r="F85" s="8">
        <v>28</v>
      </c>
      <c r="G85" s="7">
        <v>0</v>
      </c>
      <c r="H85" s="7">
        <v>0</v>
      </c>
      <c r="I85" s="8">
        <v>0</v>
      </c>
      <c r="J85" s="8">
        <v>0</v>
      </c>
      <c r="K85" s="8">
        <v>5</v>
      </c>
      <c r="L85" s="7">
        <v>0.72175728374909986</v>
      </c>
      <c r="M85" s="7">
        <v>0.12119985411311994</v>
      </c>
      <c r="N85" s="8">
        <v>0</v>
      </c>
      <c r="O85" s="8">
        <v>1</v>
      </c>
      <c r="P85" s="8">
        <v>16</v>
      </c>
      <c r="Q85" s="7">
        <v>0.29374289139203691</v>
      </c>
      <c r="R85" s="7">
        <v>0.11283736420444235</v>
      </c>
      <c r="S85" s="8">
        <v>0</v>
      </c>
      <c r="T85" s="8">
        <v>1</v>
      </c>
      <c r="U85" s="8">
        <v>19</v>
      </c>
      <c r="V85" s="7">
        <v>0.36680645879208712</v>
      </c>
      <c r="W85" s="7">
        <v>0.12383916979165614</v>
      </c>
      <c r="X85" s="8">
        <v>0</v>
      </c>
      <c r="Y85" s="8">
        <v>1</v>
      </c>
      <c r="Z85" s="8">
        <v>18</v>
      </c>
      <c r="AA85" s="7">
        <v>0.30087795573298015</v>
      </c>
      <c r="AB85" s="7">
        <v>0.14549325187447498</v>
      </c>
      <c r="AC85" s="8">
        <v>0</v>
      </c>
      <c r="AD85" s="8">
        <v>1</v>
      </c>
      <c r="AE85" s="8">
        <v>14</v>
      </c>
      <c r="AF85" s="7">
        <v>0.3070650065631072</v>
      </c>
      <c r="AG85" s="7">
        <v>6.1930006435609156E-2</v>
      </c>
      <c r="AH85" s="8">
        <v>0</v>
      </c>
      <c r="AI85" s="8">
        <v>1</v>
      </c>
      <c r="AJ85" s="8">
        <v>100</v>
      </c>
      <c r="AK85">
        <f>(AF87/AF86)-AF85</f>
        <v>0.34472058833316022</v>
      </c>
    </row>
    <row r="86" spans="1:37" ht="26.25" x14ac:dyDescent="0.45">
      <c r="A86" s="6" t="s">
        <v>38</v>
      </c>
      <c r="B86" s="7">
        <v>0</v>
      </c>
      <c r="C86" s="7">
        <v>0</v>
      </c>
      <c r="D86" s="8">
        <v>0</v>
      </c>
      <c r="E86" s="8">
        <v>0</v>
      </c>
      <c r="F86" s="8">
        <v>28</v>
      </c>
      <c r="G86" s="7">
        <v>0</v>
      </c>
      <c r="H86" s="7">
        <v>0</v>
      </c>
      <c r="I86" s="8">
        <v>0</v>
      </c>
      <c r="J86" s="8">
        <v>0</v>
      </c>
      <c r="K86" s="8">
        <v>5</v>
      </c>
      <c r="L86" s="7">
        <v>0.93129216535876924</v>
      </c>
      <c r="M86" s="7">
        <v>6.8358528251634604E-2</v>
      </c>
      <c r="N86" s="8">
        <v>0</v>
      </c>
      <c r="O86" s="8">
        <v>1</v>
      </c>
      <c r="P86" s="8">
        <v>16</v>
      </c>
      <c r="Q86" s="7">
        <v>0.23215855473296679</v>
      </c>
      <c r="R86" s="7">
        <v>9.9015389508305698E-2</v>
      </c>
      <c r="S86" s="8">
        <v>0</v>
      </c>
      <c r="T86" s="8">
        <v>1</v>
      </c>
      <c r="U86" s="8">
        <v>19</v>
      </c>
      <c r="V86" s="7">
        <v>0.47441656189365872</v>
      </c>
      <c r="W86" s="7">
        <v>0.1275876604219422</v>
      </c>
      <c r="X86" s="8">
        <v>0</v>
      </c>
      <c r="Y86" s="8">
        <v>1</v>
      </c>
      <c r="Z86" s="8">
        <v>18</v>
      </c>
      <c r="AA86" s="7">
        <v>0.50100347893857933</v>
      </c>
      <c r="AB86" s="7">
        <v>0.15741214876712428</v>
      </c>
      <c r="AC86" s="8">
        <v>0</v>
      </c>
      <c r="AD86" s="8">
        <v>1</v>
      </c>
      <c r="AE86" s="8">
        <v>14</v>
      </c>
      <c r="AF86" s="7">
        <v>0.38621991000499384</v>
      </c>
      <c r="AG86" s="7">
        <v>6.6639473541989111E-2</v>
      </c>
      <c r="AH86" s="8">
        <v>0</v>
      </c>
      <c r="AI86" s="8">
        <v>1</v>
      </c>
      <c r="AJ86" s="8">
        <v>100</v>
      </c>
      <c r="AK86">
        <f>(AF87/AF85)-AF86</f>
        <v>0.43358230914384405</v>
      </c>
    </row>
    <row r="87" spans="1:37" ht="26.25" x14ac:dyDescent="0.45">
      <c r="A87" s="6" t="s">
        <v>57</v>
      </c>
      <c r="B87" s="7">
        <v>0</v>
      </c>
      <c r="C87" s="7">
        <v>0</v>
      </c>
      <c r="D87" s="8">
        <v>0</v>
      </c>
      <c r="E87" s="8">
        <v>0</v>
      </c>
      <c r="F87" s="8">
        <v>28</v>
      </c>
      <c r="G87" s="7">
        <v>0</v>
      </c>
      <c r="H87" s="7">
        <v>0</v>
      </c>
      <c r="I87" s="8">
        <v>0</v>
      </c>
      <c r="J87" s="8">
        <v>0</v>
      </c>
      <c r="K87" s="8">
        <v>5</v>
      </c>
      <c r="L87" s="7">
        <v>0.65304944910786933</v>
      </c>
      <c r="M87" s="7">
        <v>0.12786691962504892</v>
      </c>
      <c r="N87" s="8">
        <v>0</v>
      </c>
      <c r="O87" s="8">
        <v>1</v>
      </c>
      <c r="P87" s="8">
        <v>16</v>
      </c>
      <c r="Q87" s="7">
        <v>8.6028967841946608E-2</v>
      </c>
      <c r="R87" s="7">
        <v>6.1316507590465301E-2</v>
      </c>
      <c r="S87" s="8">
        <v>0</v>
      </c>
      <c r="T87" s="8">
        <v>1</v>
      </c>
      <c r="U87" s="8">
        <v>19</v>
      </c>
      <c r="V87" s="7">
        <v>0.21637725473275415</v>
      </c>
      <c r="W87" s="7">
        <v>0.10082174388357018</v>
      </c>
      <c r="X87" s="8">
        <v>0</v>
      </c>
      <c r="Y87" s="8">
        <v>1</v>
      </c>
      <c r="Z87" s="8">
        <v>18</v>
      </c>
      <c r="AA87" s="7">
        <v>0.30087795573298015</v>
      </c>
      <c r="AB87" s="7">
        <v>0.14549325187447498</v>
      </c>
      <c r="AC87" s="8">
        <v>0</v>
      </c>
      <c r="AD87" s="8">
        <v>1</v>
      </c>
      <c r="AE87" s="8">
        <v>14</v>
      </c>
      <c r="AF87" s="7">
        <v>0.25173257380338776</v>
      </c>
      <c r="AG87" s="7">
        <v>5.8884222648575117E-2</v>
      </c>
      <c r="AH87" s="8">
        <v>0</v>
      </c>
      <c r="AI87" s="8">
        <v>1</v>
      </c>
      <c r="AJ87" s="8">
        <v>100</v>
      </c>
    </row>
    <row r="88" spans="1:37" x14ac:dyDescent="0.45">
      <c r="A88" s="6" t="s">
        <v>26</v>
      </c>
      <c r="B88" s="7">
        <v>0</v>
      </c>
      <c r="C88" s="7">
        <v>0</v>
      </c>
      <c r="D88" s="8">
        <v>0</v>
      </c>
      <c r="E88" s="8">
        <v>0</v>
      </c>
      <c r="F88" s="8">
        <v>28</v>
      </c>
      <c r="G88" s="7">
        <v>0</v>
      </c>
      <c r="H88" s="7">
        <v>0</v>
      </c>
      <c r="I88" s="8">
        <v>0</v>
      </c>
      <c r="J88" s="8">
        <v>0</v>
      </c>
      <c r="K88" s="8">
        <v>5</v>
      </c>
      <c r="L88" s="7">
        <v>0.72175728374909986</v>
      </c>
      <c r="M88" s="7">
        <v>0.12119985411311994</v>
      </c>
      <c r="N88" s="8">
        <v>0</v>
      </c>
      <c r="O88" s="8">
        <v>1</v>
      </c>
      <c r="P88" s="8">
        <v>16</v>
      </c>
      <c r="Q88" s="7">
        <v>0.29374289139203691</v>
      </c>
      <c r="R88" s="7">
        <v>0.11283736420444235</v>
      </c>
      <c r="S88" s="8">
        <v>0</v>
      </c>
      <c r="T88" s="8">
        <v>1</v>
      </c>
      <c r="U88" s="8">
        <v>19</v>
      </c>
      <c r="V88" s="7">
        <v>0.36680645879208712</v>
      </c>
      <c r="W88" s="7">
        <v>0.12383916979165614</v>
      </c>
      <c r="X88" s="8">
        <v>0</v>
      </c>
      <c r="Y88" s="8">
        <v>1</v>
      </c>
      <c r="Z88" s="8">
        <v>18</v>
      </c>
      <c r="AA88" s="7">
        <v>0.30087795573298015</v>
      </c>
      <c r="AB88" s="7">
        <v>0.14549325187447498</v>
      </c>
      <c r="AC88" s="8">
        <v>0</v>
      </c>
      <c r="AD88" s="8">
        <v>1</v>
      </c>
      <c r="AE88" s="8">
        <v>14</v>
      </c>
      <c r="AF88" s="7">
        <v>0.3070650065631072</v>
      </c>
      <c r="AG88" s="7">
        <v>6.1930006435609156E-2</v>
      </c>
      <c r="AH88" s="8">
        <v>0</v>
      </c>
      <c r="AI88" s="8">
        <v>1</v>
      </c>
      <c r="AJ88" s="8">
        <v>100</v>
      </c>
      <c r="AK88">
        <f>(AF90/AF89)-AF88</f>
        <v>0.16709501057006476</v>
      </c>
    </row>
    <row r="89" spans="1:37" x14ac:dyDescent="0.45">
      <c r="A89" s="6" t="s">
        <v>40</v>
      </c>
      <c r="B89" s="7">
        <v>0.24021275260760397</v>
      </c>
      <c r="C89" s="7">
        <v>9.9804594593725232E-2</v>
      </c>
      <c r="D89" s="8">
        <v>0</v>
      </c>
      <c r="E89" s="8">
        <v>1</v>
      </c>
      <c r="F89" s="8">
        <v>28</v>
      </c>
      <c r="G89" s="7">
        <v>0.28413340654229741</v>
      </c>
      <c r="H89" s="7">
        <v>0.2635701019519151</v>
      </c>
      <c r="I89" s="8">
        <v>0</v>
      </c>
      <c r="J89" s="8">
        <v>1</v>
      </c>
      <c r="K89" s="8">
        <v>5</v>
      </c>
      <c r="L89" s="7">
        <v>1</v>
      </c>
      <c r="M89" s="7">
        <v>0</v>
      </c>
      <c r="N89" s="8">
        <v>1</v>
      </c>
      <c r="O89" s="8">
        <v>1</v>
      </c>
      <c r="P89" s="8">
        <v>16</v>
      </c>
      <c r="Q89" s="7">
        <v>0.85289731615094222</v>
      </c>
      <c r="R89" s="7">
        <v>0.10368836461541529</v>
      </c>
      <c r="S89" s="8">
        <v>0</v>
      </c>
      <c r="T89" s="8">
        <v>1</v>
      </c>
      <c r="U89" s="8">
        <v>19</v>
      </c>
      <c r="V89" s="7">
        <v>0.86634111546445414</v>
      </c>
      <c r="W89" s="7">
        <v>8.7661072043173624E-2</v>
      </c>
      <c r="X89" s="8">
        <v>0</v>
      </c>
      <c r="Y89" s="8">
        <v>1</v>
      </c>
      <c r="Z89" s="8">
        <v>18</v>
      </c>
      <c r="AA89" s="7">
        <v>0.68542702638902031</v>
      </c>
      <c r="AB89" s="7">
        <v>0.14449500923918335</v>
      </c>
      <c r="AC89" s="8">
        <v>0</v>
      </c>
      <c r="AD89" s="8">
        <v>1</v>
      </c>
      <c r="AE89" s="8">
        <v>14</v>
      </c>
      <c r="AF89" s="7">
        <v>0.62802955981828001</v>
      </c>
      <c r="AG89" s="7">
        <v>6.9009852430896662E-2</v>
      </c>
      <c r="AH89" s="8">
        <v>0</v>
      </c>
      <c r="AI89" s="8">
        <v>1</v>
      </c>
      <c r="AJ89" s="8">
        <v>100</v>
      </c>
      <c r="AK89">
        <f>(AF90/AF88)-AF89</f>
        <v>0.34175371238396557</v>
      </c>
    </row>
    <row r="90" spans="1:37" ht="26.25" x14ac:dyDescent="0.45">
      <c r="A90" s="6" t="s">
        <v>58</v>
      </c>
      <c r="B90" s="7">
        <v>0</v>
      </c>
      <c r="C90" s="7">
        <v>0</v>
      </c>
      <c r="D90" s="8">
        <v>0</v>
      </c>
      <c r="E90" s="8">
        <v>0</v>
      </c>
      <c r="F90" s="8">
        <v>28</v>
      </c>
      <c r="G90" s="7">
        <v>0</v>
      </c>
      <c r="H90" s="7">
        <v>0</v>
      </c>
      <c r="I90" s="8">
        <v>0</v>
      </c>
      <c r="J90" s="8">
        <v>0</v>
      </c>
      <c r="K90" s="8">
        <v>5</v>
      </c>
      <c r="L90" s="7">
        <v>0.72175728374909986</v>
      </c>
      <c r="M90" s="7">
        <v>0.12119985411311994</v>
      </c>
      <c r="N90" s="8">
        <v>0</v>
      </c>
      <c r="O90" s="8">
        <v>1</v>
      </c>
      <c r="P90" s="8">
        <v>16</v>
      </c>
      <c r="Q90" s="7">
        <v>0.24802058168356245</v>
      </c>
      <c r="R90" s="7">
        <v>0.10642040987644531</v>
      </c>
      <c r="S90" s="8">
        <v>0</v>
      </c>
      <c r="T90" s="8">
        <v>1</v>
      </c>
      <c r="U90" s="8">
        <v>19</v>
      </c>
      <c r="V90" s="7">
        <v>0.31185744128357024</v>
      </c>
      <c r="W90" s="7">
        <v>0.11995177798510508</v>
      </c>
      <c r="X90" s="8">
        <v>0</v>
      </c>
      <c r="Y90" s="8">
        <v>1</v>
      </c>
      <c r="Z90" s="8">
        <v>18</v>
      </c>
      <c r="AA90" s="7">
        <v>0.2910488397146046</v>
      </c>
      <c r="AB90" s="7">
        <v>0.14543018181319689</v>
      </c>
      <c r="AC90" s="8">
        <v>0</v>
      </c>
      <c r="AD90" s="8">
        <v>1</v>
      </c>
      <c r="AE90" s="8">
        <v>14</v>
      </c>
      <c r="AF90" s="7">
        <v>0.29778650684357411</v>
      </c>
      <c r="AG90" s="7">
        <v>6.1698822951970954E-2</v>
      </c>
      <c r="AH90" s="8">
        <v>0</v>
      </c>
      <c r="AI90" s="8">
        <v>1</v>
      </c>
      <c r="AJ90" s="8">
        <v>100</v>
      </c>
    </row>
    <row r="91" spans="1:37" x14ac:dyDescent="0.45">
      <c r="A91" s="6" t="s">
        <v>26</v>
      </c>
      <c r="B91" s="7">
        <v>0</v>
      </c>
      <c r="C91" s="7">
        <v>0</v>
      </c>
      <c r="D91" s="8">
        <v>0</v>
      </c>
      <c r="E91" s="8">
        <v>0</v>
      </c>
      <c r="F91" s="8">
        <v>28</v>
      </c>
      <c r="G91" s="7">
        <v>0</v>
      </c>
      <c r="H91" s="7">
        <v>0</v>
      </c>
      <c r="I91" s="8">
        <v>0</v>
      </c>
      <c r="J91" s="8">
        <v>0</v>
      </c>
      <c r="K91" s="8">
        <v>5</v>
      </c>
      <c r="L91" s="7">
        <v>0.72175728374909986</v>
      </c>
      <c r="M91" s="7">
        <v>0.12119985411311994</v>
      </c>
      <c r="N91" s="8">
        <v>0</v>
      </c>
      <c r="O91" s="8">
        <v>1</v>
      </c>
      <c r="P91" s="8">
        <v>16</v>
      </c>
      <c r="Q91" s="7">
        <v>0.29374289139203691</v>
      </c>
      <c r="R91" s="7">
        <v>0.11283736420444235</v>
      </c>
      <c r="S91" s="8">
        <v>0</v>
      </c>
      <c r="T91" s="8">
        <v>1</v>
      </c>
      <c r="U91" s="8">
        <v>19</v>
      </c>
      <c r="V91" s="7">
        <v>0.36680645879208712</v>
      </c>
      <c r="W91" s="7">
        <v>0.12383916979165614</v>
      </c>
      <c r="X91" s="8">
        <v>0</v>
      </c>
      <c r="Y91" s="8">
        <v>1</v>
      </c>
      <c r="Z91" s="8">
        <v>18</v>
      </c>
      <c r="AA91" s="7">
        <v>0.30087795573298015</v>
      </c>
      <c r="AB91" s="7">
        <v>0.14549325187447498</v>
      </c>
      <c r="AC91" s="8">
        <v>0</v>
      </c>
      <c r="AD91" s="8">
        <v>1</v>
      </c>
      <c r="AE91" s="8">
        <v>14</v>
      </c>
      <c r="AF91" s="7">
        <v>0.3070650065631072</v>
      </c>
      <c r="AG91" s="7">
        <v>6.1930006435609156E-2</v>
      </c>
      <c r="AH91" s="8">
        <v>0</v>
      </c>
      <c r="AI91" s="8">
        <v>1</v>
      </c>
      <c r="AJ91" s="8">
        <v>100</v>
      </c>
      <c r="AK91">
        <f>(AF93/AF92)-AF91</f>
        <v>0.15667109846005639</v>
      </c>
    </row>
    <row r="92" spans="1:37" x14ac:dyDescent="0.45">
      <c r="A92" s="6" t="s">
        <v>42</v>
      </c>
      <c r="B92" s="7">
        <v>0.14941160928574393</v>
      </c>
      <c r="C92" s="7">
        <v>7.3542009243322798E-2</v>
      </c>
      <c r="D92" s="8">
        <v>0</v>
      </c>
      <c r="E92" s="8">
        <v>1</v>
      </c>
      <c r="F92" s="8">
        <v>28</v>
      </c>
      <c r="G92" s="7">
        <v>0.28413340654229741</v>
      </c>
      <c r="H92" s="7">
        <v>0.2635701019519151</v>
      </c>
      <c r="I92" s="8">
        <v>0</v>
      </c>
      <c r="J92" s="8">
        <v>1</v>
      </c>
      <c r="K92" s="8">
        <v>5</v>
      </c>
      <c r="L92" s="7">
        <v>0.8067852407664784</v>
      </c>
      <c r="M92" s="7">
        <v>0.10368902289601112</v>
      </c>
      <c r="N92" s="8">
        <v>0</v>
      </c>
      <c r="O92" s="8">
        <v>1</v>
      </c>
      <c r="P92" s="8">
        <v>16</v>
      </c>
      <c r="Q92" s="7">
        <v>0.89861962585941668</v>
      </c>
      <c r="R92" s="7">
        <v>9.6845778169611332E-2</v>
      </c>
      <c r="S92" s="8">
        <v>0</v>
      </c>
      <c r="T92" s="8">
        <v>1</v>
      </c>
      <c r="U92" s="8">
        <v>19</v>
      </c>
      <c r="V92" s="7">
        <v>0.94505098249148323</v>
      </c>
      <c r="W92" s="7">
        <v>5.5165329624764066E-2</v>
      </c>
      <c r="X92" s="8">
        <v>0</v>
      </c>
      <c r="Y92" s="8">
        <v>1</v>
      </c>
      <c r="Z92" s="8">
        <v>18</v>
      </c>
      <c r="AA92" s="7">
        <v>0.91590414556129873</v>
      </c>
      <c r="AB92" s="7">
        <v>5.7720093761496942E-2</v>
      </c>
      <c r="AC92" s="8">
        <v>0</v>
      </c>
      <c r="AD92" s="8">
        <v>1</v>
      </c>
      <c r="AE92" s="8">
        <v>14</v>
      </c>
      <c r="AF92" s="7">
        <v>0.56438823579629216</v>
      </c>
      <c r="AG92" s="7">
        <v>7.0335671964889795E-2</v>
      </c>
      <c r="AH92" s="8">
        <v>0</v>
      </c>
      <c r="AI92" s="8">
        <v>1</v>
      </c>
      <c r="AJ92" s="8">
        <v>100</v>
      </c>
      <c r="AK92">
        <f>(AF93/AF91)-AF92</f>
        <v>0.28796288398289338</v>
      </c>
    </row>
    <row r="93" spans="1:37" ht="26.25" x14ac:dyDescent="0.45">
      <c r="A93" s="6" t="s">
        <v>59</v>
      </c>
      <c r="B93" s="7">
        <v>0</v>
      </c>
      <c r="C93" s="7">
        <v>0</v>
      </c>
      <c r="D93" s="8">
        <v>0</v>
      </c>
      <c r="E93" s="8">
        <v>0</v>
      </c>
      <c r="F93" s="8">
        <v>28</v>
      </c>
      <c r="G93" s="7">
        <v>0</v>
      </c>
      <c r="H93" s="7">
        <v>0</v>
      </c>
      <c r="I93" s="8">
        <v>0</v>
      </c>
      <c r="J93" s="8">
        <v>0</v>
      </c>
      <c r="K93" s="8">
        <v>5</v>
      </c>
      <c r="L93" s="7">
        <v>0.59213985905952748</v>
      </c>
      <c r="M93" s="7">
        <v>0.13083140987976455</v>
      </c>
      <c r="N93" s="8">
        <v>0</v>
      </c>
      <c r="O93" s="8">
        <v>1</v>
      </c>
      <c r="P93" s="8">
        <v>16</v>
      </c>
      <c r="Q93" s="7">
        <v>0.29374289139203691</v>
      </c>
      <c r="R93" s="7">
        <v>0.11283736420444235</v>
      </c>
      <c r="S93" s="8">
        <v>0</v>
      </c>
      <c r="T93" s="8">
        <v>1</v>
      </c>
      <c r="U93" s="8">
        <v>19</v>
      </c>
      <c r="V93" s="7">
        <v>0.31185744128357024</v>
      </c>
      <c r="W93" s="7">
        <v>0.11995177798510508</v>
      </c>
      <c r="X93" s="8">
        <v>0</v>
      </c>
      <c r="Y93" s="8">
        <v>1</v>
      </c>
      <c r="Z93" s="8">
        <v>18</v>
      </c>
      <c r="AA93" s="7">
        <v>0.30087795573298015</v>
      </c>
      <c r="AB93" s="7">
        <v>0.14549325187447498</v>
      </c>
      <c r="AC93" s="8">
        <v>0</v>
      </c>
      <c r="AD93" s="8">
        <v>1</v>
      </c>
      <c r="AE93" s="8">
        <v>14</v>
      </c>
      <c r="AF93" s="7">
        <v>0.26172720218906737</v>
      </c>
      <c r="AG93" s="7">
        <v>5.8134902483479821E-2</v>
      </c>
      <c r="AH93" s="8">
        <v>0</v>
      </c>
      <c r="AI93" s="8">
        <v>1</v>
      </c>
      <c r="AJ93" s="8">
        <v>100</v>
      </c>
    </row>
    <row r="94" spans="1:37" x14ac:dyDescent="0.45">
      <c r="A94" s="6" t="s">
        <v>26</v>
      </c>
      <c r="B94" s="7">
        <v>0</v>
      </c>
      <c r="C94" s="7">
        <v>0</v>
      </c>
      <c r="D94" s="8">
        <v>0</v>
      </c>
      <c r="E94" s="8">
        <v>0</v>
      </c>
      <c r="F94" s="8">
        <v>28</v>
      </c>
      <c r="G94" s="7">
        <v>0</v>
      </c>
      <c r="H94" s="7">
        <v>0</v>
      </c>
      <c r="I94" s="8">
        <v>0</v>
      </c>
      <c r="J94" s="8">
        <v>0</v>
      </c>
      <c r="K94" s="8">
        <v>5</v>
      </c>
      <c r="L94" s="7">
        <v>0.72175728374909986</v>
      </c>
      <c r="M94" s="7">
        <v>0.12119985411311994</v>
      </c>
      <c r="N94" s="8">
        <v>0</v>
      </c>
      <c r="O94" s="8">
        <v>1</v>
      </c>
      <c r="P94" s="8">
        <v>16</v>
      </c>
      <c r="Q94" s="7">
        <v>0.29374289139203691</v>
      </c>
      <c r="R94" s="7">
        <v>0.11283736420444235</v>
      </c>
      <c r="S94" s="8">
        <v>0</v>
      </c>
      <c r="T94" s="8">
        <v>1</v>
      </c>
      <c r="U94" s="8">
        <v>19</v>
      </c>
      <c r="V94" s="7">
        <v>0.36680645879208712</v>
      </c>
      <c r="W94" s="7">
        <v>0.12383916979165614</v>
      </c>
      <c r="X94" s="8">
        <v>0</v>
      </c>
      <c r="Y94" s="8">
        <v>1</v>
      </c>
      <c r="Z94" s="8">
        <v>18</v>
      </c>
      <c r="AA94" s="7">
        <v>0.30087795573298015</v>
      </c>
      <c r="AB94" s="7">
        <v>0.14549325187447498</v>
      </c>
      <c r="AC94" s="8">
        <v>0</v>
      </c>
      <c r="AD94" s="8">
        <v>1</v>
      </c>
      <c r="AE94" s="8">
        <v>14</v>
      </c>
      <c r="AF94" s="7">
        <v>0.3070650065631072</v>
      </c>
      <c r="AG94" s="7">
        <v>6.1930006435609156E-2</v>
      </c>
      <c r="AH94" s="8">
        <v>0</v>
      </c>
      <c r="AI94" s="8">
        <v>1</v>
      </c>
      <c r="AJ94" s="8">
        <v>100</v>
      </c>
      <c r="AK94">
        <f>(AF96/AF95)-AF94</f>
        <v>0.43949384443814998</v>
      </c>
    </row>
    <row r="95" spans="1:37" x14ac:dyDescent="0.45">
      <c r="A95" s="6" t="s">
        <v>44</v>
      </c>
      <c r="B95" s="7">
        <v>0</v>
      </c>
      <c r="C95" s="7">
        <v>0</v>
      </c>
      <c r="D95" s="8">
        <v>0</v>
      </c>
      <c r="E95" s="8">
        <v>0</v>
      </c>
      <c r="F95" s="8">
        <v>28</v>
      </c>
      <c r="G95" s="7">
        <v>0</v>
      </c>
      <c r="H95" s="7">
        <v>0</v>
      </c>
      <c r="I95" s="8">
        <v>0</v>
      </c>
      <c r="J95" s="8">
        <v>0</v>
      </c>
      <c r="K95" s="8">
        <v>5</v>
      </c>
      <c r="L95" s="7">
        <v>0.45315303207398538</v>
      </c>
      <c r="M95" s="7">
        <v>0.1313901892098365</v>
      </c>
      <c r="N95" s="8">
        <v>0</v>
      </c>
      <c r="O95" s="8">
        <v>1</v>
      </c>
      <c r="P95" s="8">
        <v>16</v>
      </c>
      <c r="Q95" s="7">
        <v>0.58179797025751767</v>
      </c>
      <c r="R95" s="7">
        <v>0.13112718214255636</v>
      </c>
      <c r="S95" s="8">
        <v>0</v>
      </c>
      <c r="T95" s="8">
        <v>1</v>
      </c>
      <c r="U95" s="8">
        <v>19</v>
      </c>
      <c r="V95" s="7">
        <v>0.27840718326047831</v>
      </c>
      <c r="W95" s="7">
        <v>0.11962958289453833</v>
      </c>
      <c r="X95" s="8">
        <v>0</v>
      </c>
      <c r="Y95" s="8">
        <v>1</v>
      </c>
      <c r="Z95" s="8">
        <v>18</v>
      </c>
      <c r="AA95" s="7">
        <v>0.27889208014984646</v>
      </c>
      <c r="AB95" s="7">
        <v>0.14163420824029879</v>
      </c>
      <c r="AC95" s="8">
        <v>0</v>
      </c>
      <c r="AD95" s="8">
        <v>1</v>
      </c>
      <c r="AE95" s="8">
        <v>14</v>
      </c>
      <c r="AF95" s="7">
        <v>0.24605417111353658</v>
      </c>
      <c r="AG95" s="7">
        <v>5.5580698511919616E-2</v>
      </c>
      <c r="AH95" s="8">
        <v>0</v>
      </c>
      <c r="AI95" s="8">
        <v>1</v>
      </c>
      <c r="AJ95" s="8">
        <v>100</v>
      </c>
      <c r="AK95">
        <f>(AF96/AF94)-AF95</f>
        <v>0.35217068468043122</v>
      </c>
    </row>
    <row r="96" spans="1:37" ht="26.25" x14ac:dyDescent="0.45">
      <c r="A96" s="6" t="s">
        <v>60</v>
      </c>
      <c r="B96" s="7">
        <v>0</v>
      </c>
      <c r="C96" s="7">
        <v>0</v>
      </c>
      <c r="D96" s="8">
        <v>0</v>
      </c>
      <c r="E96" s="8">
        <v>0</v>
      </c>
      <c r="F96" s="8">
        <v>28</v>
      </c>
      <c r="G96" s="7">
        <v>0</v>
      </c>
      <c r="H96" s="7">
        <v>0</v>
      </c>
      <c r="I96" s="8">
        <v>0</v>
      </c>
      <c r="J96" s="8">
        <v>0</v>
      </c>
      <c r="K96" s="8">
        <v>5</v>
      </c>
      <c r="L96" s="7">
        <v>0.45315303207398538</v>
      </c>
      <c r="M96" s="7">
        <v>0.1313901892098365</v>
      </c>
      <c r="N96" s="8">
        <v>0</v>
      </c>
      <c r="O96" s="8">
        <v>1</v>
      </c>
      <c r="P96" s="8">
        <v>16</v>
      </c>
      <c r="Q96" s="7">
        <v>0.16735843342458021</v>
      </c>
      <c r="R96" s="7">
        <v>8.3343701512196902E-2</v>
      </c>
      <c r="S96" s="8">
        <v>0</v>
      </c>
      <c r="T96" s="8">
        <v>1</v>
      </c>
      <c r="U96" s="8">
        <v>19</v>
      </c>
      <c r="V96" s="7">
        <v>0.20537822156784982</v>
      </c>
      <c r="W96" s="7">
        <v>0.10824673907644407</v>
      </c>
      <c r="X96" s="8">
        <v>0</v>
      </c>
      <c r="Y96" s="8">
        <v>1</v>
      </c>
      <c r="Z96" s="8">
        <v>18</v>
      </c>
      <c r="AA96" s="7">
        <v>9.3117941226715614E-2</v>
      </c>
      <c r="AB96" s="7">
        <v>9.1970024702460393E-2</v>
      </c>
      <c r="AC96" s="8">
        <v>0</v>
      </c>
      <c r="AD96" s="8">
        <v>1</v>
      </c>
      <c r="AE96" s="8">
        <v>14</v>
      </c>
      <c r="AF96" s="7">
        <v>0.18369391927058859</v>
      </c>
      <c r="AG96" s="7">
        <v>5.2172006690269758E-2</v>
      </c>
      <c r="AH96" s="8">
        <v>0</v>
      </c>
      <c r="AI96" s="8">
        <v>1</v>
      </c>
      <c r="AJ96" s="8">
        <v>100</v>
      </c>
    </row>
    <row r="97" spans="1:37" x14ac:dyDescent="0.45">
      <c r="A97" s="6" t="s">
        <v>26</v>
      </c>
      <c r="B97" s="7">
        <v>0</v>
      </c>
      <c r="C97" s="7">
        <v>0</v>
      </c>
      <c r="D97" s="8">
        <v>0</v>
      </c>
      <c r="E97" s="8">
        <v>0</v>
      </c>
      <c r="F97" s="8">
        <v>28</v>
      </c>
      <c r="G97" s="7">
        <v>0</v>
      </c>
      <c r="H97" s="7">
        <v>0</v>
      </c>
      <c r="I97" s="8">
        <v>0</v>
      </c>
      <c r="J97" s="8">
        <v>0</v>
      </c>
      <c r="K97" s="8">
        <v>5</v>
      </c>
      <c r="L97" s="7">
        <v>0.72175728374909986</v>
      </c>
      <c r="M97" s="7">
        <v>0.12119985411311994</v>
      </c>
      <c r="N97" s="8">
        <v>0</v>
      </c>
      <c r="O97" s="8">
        <v>1</v>
      </c>
      <c r="P97" s="8">
        <v>16</v>
      </c>
      <c r="Q97" s="7">
        <v>0.29374289139203691</v>
      </c>
      <c r="R97" s="7">
        <v>0.11283736420444235</v>
      </c>
      <c r="S97" s="8">
        <v>0</v>
      </c>
      <c r="T97" s="8">
        <v>1</v>
      </c>
      <c r="U97" s="8">
        <v>19</v>
      </c>
      <c r="V97" s="7">
        <v>0.36680645879208712</v>
      </c>
      <c r="W97" s="7">
        <v>0.12383916979165614</v>
      </c>
      <c r="X97" s="8">
        <v>0</v>
      </c>
      <c r="Y97" s="8">
        <v>1</v>
      </c>
      <c r="Z97" s="8">
        <v>18</v>
      </c>
      <c r="AA97" s="7">
        <v>0.30087795573298015</v>
      </c>
      <c r="AB97" s="7">
        <v>0.14549325187447498</v>
      </c>
      <c r="AC97" s="8">
        <v>0</v>
      </c>
      <c r="AD97" s="8">
        <v>1</v>
      </c>
      <c r="AE97" s="8">
        <v>14</v>
      </c>
      <c r="AF97" s="7">
        <v>0.3070650065631072</v>
      </c>
      <c r="AG97" s="7">
        <v>6.1930006435609156E-2</v>
      </c>
      <c r="AH97" s="8">
        <v>0</v>
      </c>
      <c r="AI97" s="8">
        <v>1</v>
      </c>
      <c r="AJ97" s="8">
        <v>100</v>
      </c>
      <c r="AK97">
        <f>(AF99/AF98)-AF97</f>
        <v>0.17051162238552814</v>
      </c>
    </row>
    <row r="98" spans="1:37" ht="39.4" x14ac:dyDescent="0.45">
      <c r="A98" s="6" t="s">
        <v>16</v>
      </c>
      <c r="B98" s="7">
        <v>0.24021275260760397</v>
      </c>
      <c r="C98" s="7">
        <v>9.9804594593725232E-2</v>
      </c>
      <c r="D98" s="8">
        <v>0</v>
      </c>
      <c r="E98" s="8">
        <v>1</v>
      </c>
      <c r="F98" s="8">
        <v>28</v>
      </c>
      <c r="G98" s="7">
        <v>0.28413340654229741</v>
      </c>
      <c r="H98" s="7">
        <v>0.2635701019519151</v>
      </c>
      <c r="I98" s="8">
        <v>0</v>
      </c>
      <c r="J98" s="8">
        <v>1</v>
      </c>
      <c r="K98" s="8">
        <v>5</v>
      </c>
      <c r="L98" s="7">
        <v>1</v>
      </c>
      <c r="M98" s="7">
        <v>0</v>
      </c>
      <c r="N98" s="8">
        <v>1</v>
      </c>
      <c r="O98" s="8">
        <v>1</v>
      </c>
      <c r="P98" s="8">
        <v>16</v>
      </c>
      <c r="Q98" s="7">
        <v>0.85289731615094222</v>
      </c>
      <c r="R98" s="7">
        <v>0.10368836461541529</v>
      </c>
      <c r="S98" s="8">
        <v>0</v>
      </c>
      <c r="T98" s="8">
        <v>1</v>
      </c>
      <c r="U98" s="8">
        <v>19</v>
      </c>
      <c r="V98" s="7">
        <v>0.92129013297297091</v>
      </c>
      <c r="W98" s="7">
        <v>7.2142407889520602E-2</v>
      </c>
      <c r="X98" s="8">
        <v>0</v>
      </c>
      <c r="Y98" s="8">
        <v>1</v>
      </c>
      <c r="Z98" s="8">
        <v>18</v>
      </c>
      <c r="AA98" s="7">
        <v>0.69525614240739586</v>
      </c>
      <c r="AB98" s="7">
        <v>0.14429635514835867</v>
      </c>
      <c r="AC98" s="8">
        <v>0</v>
      </c>
      <c r="AD98" s="8">
        <v>1</v>
      </c>
      <c r="AE98" s="8">
        <v>14</v>
      </c>
      <c r="AF98" s="7">
        <v>0.63213682862253961</v>
      </c>
      <c r="AG98" s="7">
        <v>6.9040852741309167E-2</v>
      </c>
      <c r="AH98" s="8">
        <v>0</v>
      </c>
      <c r="AI98" s="8">
        <v>1</v>
      </c>
      <c r="AJ98" s="8">
        <v>100</v>
      </c>
      <c r="AK98">
        <f>(AF99/AF97)-AF98</f>
        <v>0.35102233701097352</v>
      </c>
    </row>
    <row r="99" spans="1:37" x14ac:dyDescent="0.45">
      <c r="A99" s="6" t="s">
        <v>61</v>
      </c>
      <c r="B99" s="7">
        <v>0</v>
      </c>
      <c r="C99" s="7">
        <v>0</v>
      </c>
      <c r="D99" s="8">
        <v>0</v>
      </c>
      <c r="E99" s="8">
        <v>0</v>
      </c>
      <c r="F99" s="8">
        <v>28</v>
      </c>
      <c r="G99" s="7">
        <v>0</v>
      </c>
      <c r="H99" s="7">
        <v>0</v>
      </c>
      <c r="I99" s="8">
        <v>0</v>
      </c>
      <c r="J99" s="8">
        <v>0</v>
      </c>
      <c r="K99" s="8">
        <v>5</v>
      </c>
      <c r="L99" s="7">
        <v>0.72175728374909986</v>
      </c>
      <c r="M99" s="7">
        <v>0.12119985411311994</v>
      </c>
      <c r="N99" s="8">
        <v>0</v>
      </c>
      <c r="O99" s="8">
        <v>1</v>
      </c>
      <c r="P99" s="8">
        <v>16</v>
      </c>
      <c r="Q99" s="7">
        <v>0.24802058168356245</v>
      </c>
      <c r="R99" s="7">
        <v>0.10642040987644531</v>
      </c>
      <c r="S99" s="8">
        <v>0</v>
      </c>
      <c r="T99" s="8">
        <v>1</v>
      </c>
      <c r="U99" s="8">
        <v>19</v>
      </c>
      <c r="V99" s="7">
        <v>0.36680645879208712</v>
      </c>
      <c r="W99" s="7">
        <v>0.12383916979165614</v>
      </c>
      <c r="X99" s="8">
        <v>0</v>
      </c>
      <c r="Y99" s="8">
        <v>1</v>
      </c>
      <c r="Z99" s="8">
        <v>18</v>
      </c>
      <c r="AA99" s="7">
        <v>0.30087795573298015</v>
      </c>
      <c r="AB99" s="7">
        <v>0.14549325187447498</v>
      </c>
      <c r="AC99" s="8">
        <v>0</v>
      </c>
      <c r="AD99" s="8">
        <v>1</v>
      </c>
      <c r="AE99" s="8">
        <v>14</v>
      </c>
      <c r="AF99" s="7">
        <v>0.30189377564783371</v>
      </c>
      <c r="AG99" s="7">
        <v>6.1784240190629544E-2</v>
      </c>
      <c r="AH99" s="8">
        <v>0</v>
      </c>
      <c r="AI99" s="8">
        <v>1</v>
      </c>
      <c r="AJ99" s="8">
        <v>100</v>
      </c>
    </row>
    <row r="100" spans="1:37" x14ac:dyDescent="0.45">
      <c r="A100" s="6" t="s">
        <v>26</v>
      </c>
      <c r="B100" s="7">
        <v>0</v>
      </c>
      <c r="C100" s="7">
        <v>0</v>
      </c>
      <c r="D100" s="8">
        <v>0</v>
      </c>
      <c r="E100" s="8">
        <v>0</v>
      </c>
      <c r="F100" s="8">
        <v>28</v>
      </c>
      <c r="G100" s="7">
        <v>0</v>
      </c>
      <c r="H100" s="7">
        <v>0</v>
      </c>
      <c r="I100" s="8">
        <v>0</v>
      </c>
      <c r="J100" s="8">
        <v>0</v>
      </c>
      <c r="K100" s="8">
        <v>5</v>
      </c>
      <c r="L100" s="7">
        <v>0.72175728374909986</v>
      </c>
      <c r="M100" s="7">
        <v>0.12119985411311994</v>
      </c>
      <c r="N100" s="8">
        <v>0</v>
      </c>
      <c r="O100" s="8">
        <v>1</v>
      </c>
      <c r="P100" s="8">
        <v>16</v>
      </c>
      <c r="Q100" s="7">
        <v>0.29374289139203691</v>
      </c>
      <c r="R100" s="7">
        <v>0.11283736420444235</v>
      </c>
      <c r="S100" s="8">
        <v>0</v>
      </c>
      <c r="T100" s="8">
        <v>1</v>
      </c>
      <c r="U100" s="8">
        <v>19</v>
      </c>
      <c r="V100" s="7">
        <v>0.36680645879208712</v>
      </c>
      <c r="W100" s="7">
        <v>0.12383916979165614</v>
      </c>
      <c r="X100" s="8">
        <v>0</v>
      </c>
      <c r="Y100" s="8">
        <v>1</v>
      </c>
      <c r="Z100" s="8">
        <v>18</v>
      </c>
      <c r="AA100" s="7">
        <v>0.30087795573298015</v>
      </c>
      <c r="AB100" s="7">
        <v>0.14549325187447498</v>
      </c>
      <c r="AC100" s="8">
        <v>0</v>
      </c>
      <c r="AD100" s="8">
        <v>1</v>
      </c>
      <c r="AE100" s="8">
        <v>14</v>
      </c>
      <c r="AF100" s="7">
        <v>0.3070650065631072</v>
      </c>
      <c r="AG100" s="7">
        <v>6.1930006435609156E-2</v>
      </c>
      <c r="AH100" s="8">
        <v>0</v>
      </c>
      <c r="AI100" s="8">
        <v>1</v>
      </c>
      <c r="AJ100" s="8">
        <v>100</v>
      </c>
      <c r="AK100">
        <f>(AF102/AF101)-AF100</f>
        <v>0.18015725387273679</v>
      </c>
    </row>
    <row r="101" spans="1:37" ht="39.4" x14ac:dyDescent="0.45">
      <c r="A101" s="6" t="s">
        <v>18</v>
      </c>
      <c r="B101" s="7">
        <v>0.14941160928574393</v>
      </c>
      <c r="C101" s="7">
        <v>7.3542009243322798E-2</v>
      </c>
      <c r="D101" s="8">
        <v>0</v>
      </c>
      <c r="E101" s="8">
        <v>1</v>
      </c>
      <c r="F101" s="8">
        <v>28</v>
      </c>
      <c r="G101" s="7">
        <v>0.28413340654229741</v>
      </c>
      <c r="H101" s="7">
        <v>0.2635701019519151</v>
      </c>
      <c r="I101" s="8">
        <v>0</v>
      </c>
      <c r="J101" s="8">
        <v>1</v>
      </c>
      <c r="K101" s="8">
        <v>5</v>
      </c>
      <c r="L101" s="7">
        <v>1</v>
      </c>
      <c r="M101" s="7">
        <v>0</v>
      </c>
      <c r="N101" s="8">
        <v>1</v>
      </c>
      <c r="O101" s="8">
        <v>1</v>
      </c>
      <c r="P101" s="8">
        <v>16</v>
      </c>
      <c r="Q101" s="7">
        <v>0.89861962585941668</v>
      </c>
      <c r="R101" s="7">
        <v>9.6845778169611332E-2</v>
      </c>
      <c r="S101" s="8">
        <v>0</v>
      </c>
      <c r="T101" s="8">
        <v>1</v>
      </c>
      <c r="U101" s="8">
        <v>19</v>
      </c>
      <c r="V101" s="7">
        <v>1</v>
      </c>
      <c r="W101" s="7">
        <v>0</v>
      </c>
      <c r="X101" s="8">
        <v>1</v>
      </c>
      <c r="Y101" s="8">
        <v>1</v>
      </c>
      <c r="Z101" s="8">
        <v>18</v>
      </c>
      <c r="AA101" s="7">
        <v>0.91590414556129873</v>
      </c>
      <c r="AB101" s="7">
        <v>5.7720093761496942E-2</v>
      </c>
      <c r="AC101" s="8">
        <v>0</v>
      </c>
      <c r="AD101" s="8">
        <v>1</v>
      </c>
      <c r="AE101" s="8">
        <v>14</v>
      </c>
      <c r="AF101" s="7">
        <v>0.63023599596706159</v>
      </c>
      <c r="AG101" s="7">
        <v>6.9774465060460464E-2</v>
      </c>
      <c r="AH101" s="8">
        <v>0</v>
      </c>
      <c r="AI101" s="8">
        <v>1</v>
      </c>
      <c r="AJ101" s="8">
        <v>100</v>
      </c>
      <c r="AK101">
        <f>(AF102/AF100)-AF101</f>
        <v>0.36976400403293841</v>
      </c>
    </row>
    <row r="102" spans="1:37" x14ac:dyDescent="0.45">
      <c r="A102" s="6" t="s">
        <v>62</v>
      </c>
      <c r="B102" s="7">
        <v>0</v>
      </c>
      <c r="C102" s="7">
        <v>0</v>
      </c>
      <c r="D102" s="8">
        <v>0</v>
      </c>
      <c r="E102" s="8">
        <v>0</v>
      </c>
      <c r="F102" s="8">
        <v>28</v>
      </c>
      <c r="G102" s="7">
        <v>0</v>
      </c>
      <c r="H102" s="7">
        <v>0</v>
      </c>
      <c r="I102" s="8">
        <v>0</v>
      </c>
      <c r="J102" s="8">
        <v>0</v>
      </c>
      <c r="K102" s="8">
        <v>5</v>
      </c>
      <c r="L102" s="7">
        <v>0.72175728374909986</v>
      </c>
      <c r="M102" s="7">
        <v>0.12119985411311994</v>
      </c>
      <c r="N102" s="8">
        <v>0</v>
      </c>
      <c r="O102" s="8">
        <v>1</v>
      </c>
      <c r="P102" s="8">
        <v>16</v>
      </c>
      <c r="Q102" s="7">
        <v>0.29374289139203691</v>
      </c>
      <c r="R102" s="7">
        <v>0.11283736420444235</v>
      </c>
      <c r="S102" s="8">
        <v>0</v>
      </c>
      <c r="T102" s="8">
        <v>1</v>
      </c>
      <c r="U102" s="8">
        <v>19</v>
      </c>
      <c r="V102" s="7">
        <v>0.36680645879208712</v>
      </c>
      <c r="W102" s="7">
        <v>0.12383916979165614</v>
      </c>
      <c r="X102" s="8">
        <v>0</v>
      </c>
      <c r="Y102" s="8">
        <v>1</v>
      </c>
      <c r="Z102" s="8">
        <v>18</v>
      </c>
      <c r="AA102" s="7">
        <v>0.30087795573298015</v>
      </c>
      <c r="AB102" s="7">
        <v>0.14549325187447498</v>
      </c>
      <c r="AC102" s="8">
        <v>0</v>
      </c>
      <c r="AD102" s="8">
        <v>1</v>
      </c>
      <c r="AE102" s="8">
        <v>14</v>
      </c>
      <c r="AF102" s="7">
        <v>0.3070650065631072</v>
      </c>
      <c r="AG102" s="7">
        <v>6.1930006435609156E-2</v>
      </c>
      <c r="AH102" s="8">
        <v>0</v>
      </c>
      <c r="AI102" s="8">
        <v>1</v>
      </c>
      <c r="AJ102" s="8">
        <v>100</v>
      </c>
    </row>
    <row r="103" spans="1:37" x14ac:dyDescent="0.45">
      <c r="A103" s="6" t="s">
        <v>26</v>
      </c>
      <c r="B103" s="7">
        <v>0</v>
      </c>
      <c r="C103" s="7">
        <v>0</v>
      </c>
      <c r="D103" s="8">
        <v>0</v>
      </c>
      <c r="E103" s="8">
        <v>0</v>
      </c>
      <c r="F103" s="8">
        <v>28</v>
      </c>
      <c r="G103" s="7">
        <v>0</v>
      </c>
      <c r="H103" s="7">
        <v>0</v>
      </c>
      <c r="I103" s="8">
        <v>0</v>
      </c>
      <c r="J103" s="8">
        <v>0</v>
      </c>
      <c r="K103" s="8">
        <v>5</v>
      </c>
      <c r="L103" s="7">
        <v>0.72175728374909986</v>
      </c>
      <c r="M103" s="7">
        <v>0.12119985411311994</v>
      </c>
      <c r="N103" s="8">
        <v>0</v>
      </c>
      <c r="O103" s="8">
        <v>1</v>
      </c>
      <c r="P103" s="8">
        <v>16</v>
      </c>
      <c r="Q103" s="7">
        <v>0.29374289139203691</v>
      </c>
      <c r="R103" s="7">
        <v>0.11283736420444235</v>
      </c>
      <c r="S103" s="8">
        <v>0</v>
      </c>
      <c r="T103" s="8">
        <v>1</v>
      </c>
      <c r="U103" s="8">
        <v>19</v>
      </c>
      <c r="V103" s="7">
        <v>0.36680645879208712</v>
      </c>
      <c r="W103" s="7">
        <v>0.12383916979165614</v>
      </c>
      <c r="X103" s="8">
        <v>0</v>
      </c>
      <c r="Y103" s="8">
        <v>1</v>
      </c>
      <c r="Z103" s="8">
        <v>18</v>
      </c>
      <c r="AA103" s="7">
        <v>0.30087795573298015</v>
      </c>
      <c r="AB103" s="7">
        <v>0.14549325187447498</v>
      </c>
      <c r="AC103" s="8">
        <v>0</v>
      </c>
      <c r="AD103" s="8">
        <v>1</v>
      </c>
      <c r="AE103" s="8">
        <v>14</v>
      </c>
      <c r="AF103" s="7">
        <v>0.3070650065631072</v>
      </c>
      <c r="AG103" s="7">
        <v>6.1930006435609156E-2</v>
      </c>
      <c r="AH103" s="8">
        <v>0</v>
      </c>
      <c r="AI103" s="8">
        <v>1</v>
      </c>
      <c r="AJ103" s="8">
        <v>100</v>
      </c>
      <c r="AK103">
        <f>(AF105/AF104)-AF103</f>
        <v>0.31978589103201782</v>
      </c>
    </row>
    <row r="104" spans="1:37" ht="39.4" x14ac:dyDescent="0.45">
      <c r="A104" s="6" t="s">
        <v>20</v>
      </c>
      <c r="B104" s="7">
        <v>0</v>
      </c>
      <c r="C104" s="7">
        <v>0</v>
      </c>
      <c r="D104" s="8">
        <v>0</v>
      </c>
      <c r="E104" s="8">
        <v>0</v>
      </c>
      <c r="F104" s="8">
        <v>28</v>
      </c>
      <c r="G104" s="7">
        <v>0</v>
      </c>
      <c r="H104" s="7">
        <v>0</v>
      </c>
      <c r="I104" s="8">
        <v>0</v>
      </c>
      <c r="J104" s="8">
        <v>0</v>
      </c>
      <c r="K104" s="8">
        <v>5</v>
      </c>
      <c r="L104" s="7">
        <v>1</v>
      </c>
      <c r="M104" s="7">
        <v>0</v>
      </c>
      <c r="N104" s="8">
        <v>1</v>
      </c>
      <c r="O104" s="8">
        <v>1</v>
      </c>
      <c r="P104" s="8">
        <v>16</v>
      </c>
      <c r="Q104" s="7">
        <v>0.61840113049179313</v>
      </c>
      <c r="R104" s="7">
        <v>0.13006566375416401</v>
      </c>
      <c r="S104" s="8">
        <v>0</v>
      </c>
      <c r="T104" s="8">
        <v>1</v>
      </c>
      <c r="U104" s="8">
        <v>19</v>
      </c>
      <c r="V104" s="7">
        <v>0.62484576595299168</v>
      </c>
      <c r="W104" s="7">
        <v>0.12235387804662534</v>
      </c>
      <c r="X104" s="8">
        <v>0</v>
      </c>
      <c r="Y104" s="8">
        <v>1</v>
      </c>
      <c r="Z104" s="8">
        <v>18</v>
      </c>
      <c r="AA104" s="7">
        <v>0.59238861673724996</v>
      </c>
      <c r="AB104" s="7">
        <v>0.15320552322461192</v>
      </c>
      <c r="AC104" s="8">
        <v>0</v>
      </c>
      <c r="AD104" s="8">
        <v>1</v>
      </c>
      <c r="AE104" s="8">
        <v>14</v>
      </c>
      <c r="AF104" s="7">
        <v>0.46705017304122987</v>
      </c>
      <c r="AG104" s="7">
        <v>6.8874379217115159E-2</v>
      </c>
      <c r="AH104" s="8">
        <v>0</v>
      </c>
      <c r="AI104" s="8">
        <v>1</v>
      </c>
      <c r="AJ104" s="8">
        <v>100</v>
      </c>
      <c r="AK104">
        <f>(AF105/AF103)-AF104</f>
        <v>0.48639881637555638</v>
      </c>
    </row>
    <row r="105" spans="1:37" x14ac:dyDescent="0.45">
      <c r="A105" s="6" t="s">
        <v>63</v>
      </c>
      <c r="B105" s="7">
        <v>0</v>
      </c>
      <c r="C105" s="7">
        <v>0</v>
      </c>
      <c r="D105" s="8">
        <v>0</v>
      </c>
      <c r="E105" s="8">
        <v>0</v>
      </c>
      <c r="F105" s="8">
        <v>28</v>
      </c>
      <c r="G105" s="7">
        <v>0</v>
      </c>
      <c r="H105" s="7">
        <v>0</v>
      </c>
      <c r="I105" s="8">
        <v>0</v>
      </c>
      <c r="J105" s="8">
        <v>0</v>
      </c>
      <c r="K105" s="8">
        <v>5</v>
      </c>
      <c r="L105" s="7">
        <v>0.72175728374909986</v>
      </c>
      <c r="M105" s="7">
        <v>0.12119985411311994</v>
      </c>
      <c r="N105" s="8">
        <v>0</v>
      </c>
      <c r="O105" s="8">
        <v>1</v>
      </c>
      <c r="P105" s="8">
        <v>16</v>
      </c>
      <c r="Q105" s="7">
        <v>0.16735843342458021</v>
      </c>
      <c r="R105" s="7">
        <v>8.3343701512196902E-2</v>
      </c>
      <c r="S105" s="8">
        <v>0</v>
      </c>
      <c r="T105" s="8">
        <v>1</v>
      </c>
      <c r="U105" s="8">
        <v>19</v>
      </c>
      <c r="V105" s="7">
        <v>0.36680645879208712</v>
      </c>
      <c r="W105" s="7">
        <v>0.12383916979165614</v>
      </c>
      <c r="X105" s="8">
        <v>0</v>
      </c>
      <c r="Y105" s="8">
        <v>1</v>
      </c>
      <c r="Z105" s="8">
        <v>18</v>
      </c>
      <c r="AA105" s="7">
        <v>0.30087795573298015</v>
      </c>
      <c r="AB105" s="7">
        <v>0.14549325187447498</v>
      </c>
      <c r="AC105" s="8">
        <v>0</v>
      </c>
      <c r="AD105" s="8">
        <v>1</v>
      </c>
      <c r="AE105" s="8">
        <v>14</v>
      </c>
      <c r="AF105" s="7">
        <v>0.29277082019285339</v>
      </c>
      <c r="AG105" s="7">
        <v>6.1434217964357718E-2</v>
      </c>
      <c r="AH105" s="8">
        <v>0</v>
      </c>
      <c r="AI105" s="8">
        <v>1</v>
      </c>
      <c r="AJ105" s="8">
        <v>100</v>
      </c>
    </row>
    <row r="106" spans="1:37" x14ac:dyDescent="0.45">
      <c r="A106" s="6" t="s">
        <v>26</v>
      </c>
      <c r="B106" s="7">
        <v>0</v>
      </c>
      <c r="C106" s="7">
        <v>0</v>
      </c>
      <c r="D106" s="8">
        <v>0</v>
      </c>
      <c r="E106" s="8">
        <v>0</v>
      </c>
      <c r="F106" s="8">
        <v>28</v>
      </c>
      <c r="G106" s="7">
        <v>0</v>
      </c>
      <c r="H106" s="7">
        <v>0</v>
      </c>
      <c r="I106" s="8">
        <v>0</v>
      </c>
      <c r="J106" s="8">
        <v>0</v>
      </c>
      <c r="K106" s="8">
        <v>5</v>
      </c>
      <c r="L106" s="7">
        <v>0.72175728374909986</v>
      </c>
      <c r="M106" s="7">
        <v>0.12119985411311994</v>
      </c>
      <c r="N106" s="8">
        <v>0</v>
      </c>
      <c r="O106" s="8">
        <v>1</v>
      </c>
      <c r="P106" s="8">
        <v>16</v>
      </c>
      <c r="Q106" s="7">
        <v>0.29374289139203691</v>
      </c>
      <c r="R106" s="7">
        <v>0.11283736420444235</v>
      </c>
      <c r="S106" s="8">
        <v>0</v>
      </c>
      <c r="T106" s="8">
        <v>1</v>
      </c>
      <c r="U106" s="8">
        <v>19</v>
      </c>
      <c r="V106" s="7">
        <v>0.36680645879208712</v>
      </c>
      <c r="W106" s="7">
        <v>0.12383916979165614</v>
      </c>
      <c r="X106" s="8">
        <v>0</v>
      </c>
      <c r="Y106" s="8">
        <v>1</v>
      </c>
      <c r="Z106" s="8">
        <v>18</v>
      </c>
      <c r="AA106" s="7">
        <v>0.30087795573298015</v>
      </c>
      <c r="AB106" s="7">
        <v>0.14549325187447498</v>
      </c>
      <c r="AC106" s="8">
        <v>0</v>
      </c>
      <c r="AD106" s="8">
        <v>1</v>
      </c>
      <c r="AE106" s="8">
        <v>14</v>
      </c>
      <c r="AF106" s="7">
        <v>0.3070650065631072</v>
      </c>
      <c r="AG106" s="7">
        <v>6.1930006435609156E-2</v>
      </c>
      <c r="AH106" s="8">
        <v>0</v>
      </c>
      <c r="AI106" s="8">
        <v>1</v>
      </c>
      <c r="AJ106" s="8">
        <v>100</v>
      </c>
      <c r="AK106">
        <f>(AF108/AF107)-AF106</f>
        <v>0.1529724945066841</v>
      </c>
    </row>
    <row r="107" spans="1:37" ht="26.25" x14ac:dyDescent="0.45">
      <c r="A107" s="6" t="s">
        <v>22</v>
      </c>
      <c r="B107" s="7">
        <v>0.26984434576365129</v>
      </c>
      <c r="C107" s="7">
        <v>0.10088535446125156</v>
      </c>
      <c r="D107" s="8">
        <v>0</v>
      </c>
      <c r="E107" s="8">
        <v>1</v>
      </c>
      <c r="F107" s="8">
        <v>28</v>
      </c>
      <c r="G107" s="7">
        <v>0.28413340654229741</v>
      </c>
      <c r="H107" s="7">
        <v>0.2635701019519151</v>
      </c>
      <c r="I107" s="8">
        <v>0</v>
      </c>
      <c r="J107" s="8">
        <v>1</v>
      </c>
      <c r="K107" s="8">
        <v>5</v>
      </c>
      <c r="L107" s="7">
        <v>1</v>
      </c>
      <c r="M107" s="7">
        <v>0</v>
      </c>
      <c r="N107" s="8">
        <v>1</v>
      </c>
      <c r="O107" s="8">
        <v>1</v>
      </c>
      <c r="P107" s="8">
        <v>16</v>
      </c>
      <c r="Q107" s="7">
        <v>0.89861962585941668</v>
      </c>
      <c r="R107" s="7">
        <v>9.6845778169611332E-2</v>
      </c>
      <c r="S107" s="8">
        <v>0</v>
      </c>
      <c r="T107" s="8">
        <v>1</v>
      </c>
      <c r="U107" s="8">
        <v>19</v>
      </c>
      <c r="V107" s="7">
        <v>0.94505098249148323</v>
      </c>
      <c r="W107" s="7">
        <v>5.5165329624764066E-2</v>
      </c>
      <c r="X107" s="8">
        <v>0</v>
      </c>
      <c r="Y107" s="8">
        <v>1</v>
      </c>
      <c r="Z107" s="8">
        <v>18</v>
      </c>
      <c r="AA107" s="7">
        <v>0.91590414556129873</v>
      </c>
      <c r="AB107" s="7">
        <v>5.7720093761496942E-2</v>
      </c>
      <c r="AC107" s="8">
        <v>0</v>
      </c>
      <c r="AD107" s="8">
        <v>1</v>
      </c>
      <c r="AE107" s="8">
        <v>14</v>
      </c>
      <c r="AF107" s="7">
        <v>0.65979065777482815</v>
      </c>
      <c r="AG107" s="7">
        <v>6.9173406705135554E-2</v>
      </c>
      <c r="AH107" s="8">
        <v>0</v>
      </c>
      <c r="AI107" s="8">
        <v>1</v>
      </c>
      <c r="AJ107" s="8">
        <v>100</v>
      </c>
      <c r="AK107">
        <f>(AF108/AF106)-AF107</f>
        <v>0.32869203789028478</v>
      </c>
    </row>
    <row r="108" spans="1:37" x14ac:dyDescent="0.45">
      <c r="A108" s="6" t="s">
        <v>64</v>
      </c>
      <c r="B108" s="7">
        <v>0</v>
      </c>
      <c r="C108" s="7">
        <v>0</v>
      </c>
      <c r="D108" s="8">
        <v>0</v>
      </c>
      <c r="E108" s="8">
        <v>0</v>
      </c>
      <c r="F108" s="8">
        <v>28</v>
      </c>
      <c r="G108" s="7">
        <v>0</v>
      </c>
      <c r="H108" s="7">
        <v>0</v>
      </c>
      <c r="I108" s="8">
        <v>0</v>
      </c>
      <c r="J108" s="8">
        <v>0</v>
      </c>
      <c r="K108" s="8">
        <v>5</v>
      </c>
      <c r="L108" s="7">
        <v>0.72175728374909986</v>
      </c>
      <c r="M108" s="7">
        <v>0.12119985411311994</v>
      </c>
      <c r="N108" s="8">
        <v>0</v>
      </c>
      <c r="O108" s="8">
        <v>1</v>
      </c>
      <c r="P108" s="8">
        <v>16</v>
      </c>
      <c r="Q108" s="7">
        <v>0.29374289139203691</v>
      </c>
      <c r="R108" s="7">
        <v>0.11283736420444235</v>
      </c>
      <c r="S108" s="8">
        <v>0</v>
      </c>
      <c r="T108" s="8">
        <v>1</v>
      </c>
      <c r="U108" s="8">
        <v>19</v>
      </c>
      <c r="V108" s="7">
        <v>0.31185744128357024</v>
      </c>
      <c r="W108" s="7">
        <v>0.11995177798510508</v>
      </c>
      <c r="X108" s="8">
        <v>0</v>
      </c>
      <c r="Y108" s="8">
        <v>1</v>
      </c>
      <c r="Z108" s="8">
        <v>18</v>
      </c>
      <c r="AA108" s="7">
        <v>0.30087795573298015</v>
      </c>
      <c r="AB108" s="7">
        <v>0.14549325187447498</v>
      </c>
      <c r="AC108" s="8">
        <v>0</v>
      </c>
      <c r="AD108" s="8">
        <v>1</v>
      </c>
      <c r="AE108" s="8">
        <v>14</v>
      </c>
      <c r="AF108" s="7">
        <v>0.30352844543192581</v>
      </c>
      <c r="AG108" s="7">
        <v>6.1848489544790976E-2</v>
      </c>
      <c r="AH108" s="8">
        <v>0</v>
      </c>
      <c r="AI108" s="8">
        <v>1</v>
      </c>
      <c r="AJ108" s="8">
        <v>100</v>
      </c>
    </row>
    <row r="109" spans="1:37" x14ac:dyDescent="0.45">
      <c r="A109" s="6" t="s">
        <v>26</v>
      </c>
      <c r="B109" s="7">
        <v>0</v>
      </c>
      <c r="C109" s="7">
        <v>0</v>
      </c>
      <c r="D109" s="8">
        <v>0</v>
      </c>
      <c r="E109" s="8">
        <v>0</v>
      </c>
      <c r="F109" s="8">
        <v>28</v>
      </c>
      <c r="G109" s="7">
        <v>0</v>
      </c>
      <c r="H109" s="7">
        <v>0</v>
      </c>
      <c r="I109" s="8">
        <v>0</v>
      </c>
      <c r="J109" s="8">
        <v>0</v>
      </c>
      <c r="K109" s="8">
        <v>5</v>
      </c>
      <c r="L109" s="7">
        <v>0.72175728374909986</v>
      </c>
      <c r="M109" s="7">
        <v>0.12119985411311994</v>
      </c>
      <c r="N109" s="8">
        <v>0</v>
      </c>
      <c r="O109" s="8">
        <v>1</v>
      </c>
      <c r="P109" s="8">
        <v>16</v>
      </c>
      <c r="Q109" s="7">
        <v>0.29374289139203691</v>
      </c>
      <c r="R109" s="7">
        <v>0.11283736420444235</v>
      </c>
      <c r="S109" s="8">
        <v>0</v>
      </c>
      <c r="T109" s="8">
        <v>1</v>
      </c>
      <c r="U109" s="8">
        <v>19</v>
      </c>
      <c r="V109" s="7">
        <v>0.36680645879208712</v>
      </c>
      <c r="W109" s="7">
        <v>0.12383916979165614</v>
      </c>
      <c r="X109" s="8">
        <v>0</v>
      </c>
      <c r="Y109" s="8">
        <v>1</v>
      </c>
      <c r="Z109" s="8">
        <v>18</v>
      </c>
      <c r="AA109" s="7">
        <v>0.30087795573298015</v>
      </c>
      <c r="AB109" s="7">
        <v>0.14549325187447498</v>
      </c>
      <c r="AC109" s="8">
        <v>0</v>
      </c>
      <c r="AD109" s="8">
        <v>1</v>
      </c>
      <c r="AE109" s="8">
        <v>14</v>
      </c>
      <c r="AF109" s="7">
        <v>0.3070650065631072</v>
      </c>
      <c r="AG109" s="7">
        <v>6.1930006435609156E-2</v>
      </c>
      <c r="AH109" s="8">
        <v>0</v>
      </c>
      <c r="AI109" s="8">
        <v>1</v>
      </c>
      <c r="AJ109" s="8">
        <v>100</v>
      </c>
      <c r="AK109">
        <f>(AF111/AF110)-AF109</f>
        <v>0.17138944610407231</v>
      </c>
    </row>
    <row r="110" spans="1:37" ht="26.25" x14ac:dyDescent="0.45">
      <c r="A110" s="6" t="s">
        <v>24</v>
      </c>
      <c r="B110" s="7">
        <v>0.24021275260760397</v>
      </c>
      <c r="C110" s="7">
        <v>9.9804594593725232E-2</v>
      </c>
      <c r="D110" s="8">
        <v>0</v>
      </c>
      <c r="E110" s="8">
        <v>1</v>
      </c>
      <c r="F110" s="8">
        <v>28</v>
      </c>
      <c r="G110" s="7">
        <v>0.28413340654229741</v>
      </c>
      <c r="H110" s="7">
        <v>0.2635701019519151</v>
      </c>
      <c r="I110" s="8">
        <v>0</v>
      </c>
      <c r="J110" s="8">
        <v>1</v>
      </c>
      <c r="K110" s="8">
        <v>5</v>
      </c>
      <c r="L110" s="7">
        <v>1</v>
      </c>
      <c r="M110" s="7">
        <v>0</v>
      </c>
      <c r="N110" s="8">
        <v>1</v>
      </c>
      <c r="O110" s="8">
        <v>1</v>
      </c>
      <c r="P110" s="8">
        <v>16</v>
      </c>
      <c r="Q110" s="7">
        <v>0.89861962585941668</v>
      </c>
      <c r="R110" s="7">
        <v>9.6845778169611332E-2</v>
      </c>
      <c r="S110" s="8">
        <v>0</v>
      </c>
      <c r="T110" s="8">
        <v>1</v>
      </c>
      <c r="U110" s="8">
        <v>19</v>
      </c>
      <c r="V110" s="7">
        <v>0.86634111546445414</v>
      </c>
      <c r="W110" s="7">
        <v>8.7661072043173624E-2</v>
      </c>
      <c r="X110" s="8">
        <v>0</v>
      </c>
      <c r="Y110" s="8">
        <v>1</v>
      </c>
      <c r="Z110" s="8">
        <v>18</v>
      </c>
      <c r="AA110" s="7">
        <v>0.68542702638902031</v>
      </c>
      <c r="AB110" s="7">
        <v>0.14449500923918335</v>
      </c>
      <c r="AC110" s="8">
        <v>0</v>
      </c>
      <c r="AD110" s="8">
        <v>1</v>
      </c>
      <c r="AE110" s="8">
        <v>14</v>
      </c>
      <c r="AF110" s="7">
        <v>0.63320079073355351</v>
      </c>
      <c r="AG110" s="7">
        <v>6.9028775174729731E-2</v>
      </c>
      <c r="AH110" s="8">
        <v>0</v>
      </c>
      <c r="AI110" s="8">
        <v>1</v>
      </c>
      <c r="AJ110" s="8">
        <v>100</v>
      </c>
      <c r="AK110">
        <f>(AF111/AF109)-AF110</f>
        <v>0.35342331583517894</v>
      </c>
    </row>
    <row r="111" spans="1:37" x14ac:dyDescent="0.45">
      <c r="A111" s="6" t="s">
        <v>65</v>
      </c>
      <c r="B111" s="7">
        <v>0</v>
      </c>
      <c r="C111" s="7">
        <v>0</v>
      </c>
      <c r="D111" s="8">
        <v>0</v>
      </c>
      <c r="E111" s="8">
        <v>0</v>
      </c>
      <c r="F111" s="8">
        <v>28</v>
      </c>
      <c r="G111" s="7">
        <v>0</v>
      </c>
      <c r="H111" s="7">
        <v>0</v>
      </c>
      <c r="I111" s="8">
        <v>0</v>
      </c>
      <c r="J111" s="8">
        <v>0</v>
      </c>
      <c r="K111" s="8">
        <v>5</v>
      </c>
      <c r="L111" s="7">
        <v>0.72175728374909986</v>
      </c>
      <c r="M111" s="7">
        <v>0.12119985411311994</v>
      </c>
      <c r="N111" s="8">
        <v>0</v>
      </c>
      <c r="O111" s="8">
        <v>1</v>
      </c>
      <c r="P111" s="8">
        <v>16</v>
      </c>
      <c r="Q111" s="7">
        <v>0.29374289139203691</v>
      </c>
      <c r="R111" s="7">
        <v>0.11283736420444235</v>
      </c>
      <c r="S111" s="8">
        <v>0</v>
      </c>
      <c r="T111" s="8">
        <v>1</v>
      </c>
      <c r="U111" s="8">
        <v>19</v>
      </c>
      <c r="V111" s="7">
        <v>0.31185744128357024</v>
      </c>
      <c r="W111" s="7">
        <v>0.11995177798510508</v>
      </c>
      <c r="X111" s="8">
        <v>0</v>
      </c>
      <c r="Y111" s="8">
        <v>1</v>
      </c>
      <c r="Z111" s="8">
        <v>18</v>
      </c>
      <c r="AA111" s="7">
        <v>0.2910488397146046</v>
      </c>
      <c r="AB111" s="7">
        <v>0.14543018181319689</v>
      </c>
      <c r="AC111" s="8">
        <v>0</v>
      </c>
      <c r="AD111" s="8">
        <v>1</v>
      </c>
      <c r="AE111" s="8">
        <v>14</v>
      </c>
      <c r="AF111" s="7">
        <v>0.3029577377588476</v>
      </c>
      <c r="AG111" s="7">
        <v>6.1841005031113797E-2</v>
      </c>
      <c r="AH111" s="8">
        <v>0</v>
      </c>
      <c r="AI111" s="8">
        <v>1</v>
      </c>
      <c r="AJ111" s="8">
        <v>100</v>
      </c>
    </row>
    <row r="112" spans="1:37" x14ac:dyDescent="0.45">
      <c r="A112" s="6" t="s">
        <v>28</v>
      </c>
      <c r="B112" s="7">
        <v>0</v>
      </c>
      <c r="C112" s="7">
        <v>0</v>
      </c>
      <c r="D112" s="8">
        <v>0</v>
      </c>
      <c r="E112" s="8">
        <v>0</v>
      </c>
      <c r="F112" s="8">
        <v>28</v>
      </c>
      <c r="G112" s="7">
        <v>0</v>
      </c>
      <c r="H112" s="7">
        <v>0</v>
      </c>
      <c r="I112" s="8">
        <v>0</v>
      </c>
      <c r="J112" s="8">
        <v>0</v>
      </c>
      <c r="K112" s="8">
        <v>5</v>
      </c>
      <c r="L112" s="7">
        <v>0.73670174764328467</v>
      </c>
      <c r="M112" s="7">
        <v>0.11672516606515494</v>
      </c>
      <c r="N112" s="8">
        <v>0</v>
      </c>
      <c r="O112" s="8">
        <v>1</v>
      </c>
      <c r="P112" s="8">
        <v>16</v>
      </c>
      <c r="Q112" s="7">
        <v>0.63622677312988607</v>
      </c>
      <c r="R112" s="7">
        <v>0.12689047883012006</v>
      </c>
      <c r="S112" s="8">
        <v>0</v>
      </c>
      <c r="T112" s="8">
        <v>1</v>
      </c>
      <c r="U112" s="8">
        <v>19</v>
      </c>
      <c r="V112" s="7">
        <v>0.73611457017133053</v>
      </c>
      <c r="W112" s="7">
        <v>0.11141004702384433</v>
      </c>
      <c r="X112" s="8">
        <v>0</v>
      </c>
      <c r="Y112" s="8">
        <v>1</v>
      </c>
      <c r="Z112" s="8">
        <v>18</v>
      </c>
      <c r="AA112" s="7">
        <v>0.50250462712121191</v>
      </c>
      <c r="AB112" s="7">
        <v>0.15738307630952827</v>
      </c>
      <c r="AC112" s="8">
        <v>0</v>
      </c>
      <c r="AD112" s="8">
        <v>1</v>
      </c>
      <c r="AE112" s="8">
        <v>14</v>
      </c>
      <c r="AF112" s="7">
        <v>0.38609576035540805</v>
      </c>
      <c r="AG112" s="7">
        <v>6.5209352136426937E-2</v>
      </c>
      <c r="AH112" s="8">
        <v>0</v>
      </c>
      <c r="AI112" s="8">
        <v>1</v>
      </c>
      <c r="AJ112" s="8">
        <v>100</v>
      </c>
      <c r="AK112">
        <f>(AF114/AF113)-AF112</f>
        <v>3.8291094414471871E-2</v>
      </c>
    </row>
    <row r="113" spans="1:37" x14ac:dyDescent="0.45">
      <c r="A113" s="6" t="s">
        <v>30</v>
      </c>
      <c r="B113" s="7">
        <v>0.13606196371960469</v>
      </c>
      <c r="C113" s="7">
        <v>6.8769928396153993E-2</v>
      </c>
      <c r="D113" s="8">
        <v>0</v>
      </c>
      <c r="E113" s="8">
        <v>1</v>
      </c>
      <c r="F113" s="8">
        <v>28</v>
      </c>
      <c r="G113" s="7">
        <v>0</v>
      </c>
      <c r="H113" s="7">
        <v>0</v>
      </c>
      <c r="I113" s="8">
        <v>0</v>
      </c>
      <c r="J113" s="8">
        <v>0</v>
      </c>
      <c r="K113" s="8">
        <v>5</v>
      </c>
      <c r="L113" s="7">
        <v>6.229053999852549E-2</v>
      </c>
      <c r="M113" s="7">
        <v>6.2400951743931066E-2</v>
      </c>
      <c r="N113" s="8">
        <v>0</v>
      </c>
      <c r="O113" s="8">
        <v>1</v>
      </c>
      <c r="P113" s="8">
        <v>16</v>
      </c>
      <c r="Q113" s="7">
        <v>0</v>
      </c>
      <c r="R113" s="7">
        <v>0</v>
      </c>
      <c r="S113" s="8">
        <v>0</v>
      </c>
      <c r="T113" s="8">
        <v>0</v>
      </c>
      <c r="U113" s="8">
        <v>19</v>
      </c>
      <c r="V113" s="7">
        <v>0.15550626739573795</v>
      </c>
      <c r="W113" s="7">
        <v>8.6631727868310957E-2</v>
      </c>
      <c r="X113" s="8">
        <v>0</v>
      </c>
      <c r="Y113" s="8">
        <v>1</v>
      </c>
      <c r="Z113" s="8">
        <v>18</v>
      </c>
      <c r="AA113" s="7">
        <v>0.14494874528348178</v>
      </c>
      <c r="AB113" s="7">
        <v>0.10516460199040556</v>
      </c>
      <c r="AC113" s="8">
        <v>0</v>
      </c>
      <c r="AD113" s="8">
        <v>1</v>
      </c>
      <c r="AE113" s="8">
        <v>14</v>
      </c>
      <c r="AF113" s="7">
        <v>7.5898831644268056E-2</v>
      </c>
      <c r="AG113" s="7">
        <v>2.9028505479072871E-2</v>
      </c>
      <c r="AH113" s="8">
        <v>0</v>
      </c>
      <c r="AI113" s="8">
        <v>1</v>
      </c>
      <c r="AJ113" s="8">
        <v>100</v>
      </c>
      <c r="AK113">
        <f>(AF114/AF112)-AF113</f>
        <v>7.5272759425369512E-3</v>
      </c>
    </row>
    <row r="114" spans="1:37" ht="26.25" x14ac:dyDescent="0.45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28</v>
      </c>
      <c r="G114" s="7">
        <v>0</v>
      </c>
      <c r="H114" s="7">
        <v>0</v>
      </c>
      <c r="I114" s="8">
        <v>0</v>
      </c>
      <c r="J114" s="8">
        <v>0</v>
      </c>
      <c r="K114" s="8">
        <v>5</v>
      </c>
      <c r="L114" s="7">
        <v>6.229053999852549E-2</v>
      </c>
      <c r="M114" s="7">
        <v>6.2400951743931066E-2</v>
      </c>
      <c r="N114" s="8">
        <v>0</v>
      </c>
      <c r="O114" s="8">
        <v>1</v>
      </c>
      <c r="P114" s="8">
        <v>16</v>
      </c>
      <c r="Q114" s="7">
        <v>0</v>
      </c>
      <c r="R114" s="7">
        <v>0</v>
      </c>
      <c r="S114" s="8">
        <v>0</v>
      </c>
      <c r="T114" s="8">
        <v>0</v>
      </c>
      <c r="U114" s="8">
        <v>19</v>
      </c>
      <c r="V114" s="7">
        <v>0.10055724988722109</v>
      </c>
      <c r="W114" s="7">
        <v>7.0534767449922611E-2</v>
      </c>
      <c r="X114" s="8">
        <v>0</v>
      </c>
      <c r="Y114" s="8">
        <v>1</v>
      </c>
      <c r="Z114" s="8">
        <v>18</v>
      </c>
      <c r="AA114" s="7">
        <v>9.7308248581917819E-2</v>
      </c>
      <c r="AB114" s="7">
        <v>9.5663044906004094E-2</v>
      </c>
      <c r="AC114" s="8">
        <v>0</v>
      </c>
      <c r="AD114" s="8">
        <v>1</v>
      </c>
      <c r="AE114" s="8">
        <v>14</v>
      </c>
      <c r="AF114" s="7">
        <v>3.2210466442219553E-2</v>
      </c>
      <c r="AG114" s="7">
        <v>2.1251470176758602E-2</v>
      </c>
      <c r="AH114" s="8">
        <v>0</v>
      </c>
      <c r="AI114" s="8">
        <v>1</v>
      </c>
      <c r="AJ114" s="8">
        <v>100</v>
      </c>
    </row>
    <row r="115" spans="1:37" x14ac:dyDescent="0.45">
      <c r="A115" s="6" t="s">
        <v>28</v>
      </c>
      <c r="B115" s="7">
        <v>0</v>
      </c>
      <c r="C115" s="7">
        <v>0</v>
      </c>
      <c r="D115" s="8">
        <v>0</v>
      </c>
      <c r="E115" s="8">
        <v>0</v>
      </c>
      <c r="F115" s="8">
        <v>28</v>
      </c>
      <c r="G115" s="7">
        <v>0</v>
      </c>
      <c r="H115" s="7">
        <v>0</v>
      </c>
      <c r="I115" s="8">
        <v>0</v>
      </c>
      <c r="J115" s="8">
        <v>0</v>
      </c>
      <c r="K115" s="8">
        <v>5</v>
      </c>
      <c r="L115" s="7">
        <v>0.73670174764328467</v>
      </c>
      <c r="M115" s="7">
        <v>0.11672516606515494</v>
      </c>
      <c r="N115" s="8">
        <v>0</v>
      </c>
      <c r="O115" s="8">
        <v>1</v>
      </c>
      <c r="P115" s="8">
        <v>16</v>
      </c>
      <c r="Q115" s="7">
        <v>0.63622677312988607</v>
      </c>
      <c r="R115" s="7">
        <v>0.12689047883012006</v>
      </c>
      <c r="S115" s="8">
        <v>0</v>
      </c>
      <c r="T115" s="8">
        <v>1</v>
      </c>
      <c r="U115" s="8">
        <v>19</v>
      </c>
      <c r="V115" s="7">
        <v>0.73611457017133053</v>
      </c>
      <c r="W115" s="7">
        <v>0.11141004702384433</v>
      </c>
      <c r="X115" s="8">
        <v>0</v>
      </c>
      <c r="Y115" s="8">
        <v>1</v>
      </c>
      <c r="Z115" s="8">
        <v>18</v>
      </c>
      <c r="AA115" s="7">
        <v>0.50250462712121191</v>
      </c>
      <c r="AB115" s="7">
        <v>0.15738307630952827</v>
      </c>
      <c r="AC115" s="8">
        <v>0</v>
      </c>
      <c r="AD115" s="8">
        <v>1</v>
      </c>
      <c r="AE115" s="8">
        <v>14</v>
      </c>
      <c r="AF115" s="7">
        <v>0.38609576035540805</v>
      </c>
      <c r="AG115" s="7">
        <v>6.5209352136426937E-2</v>
      </c>
      <c r="AH115" s="8">
        <v>0</v>
      </c>
      <c r="AI115" s="8">
        <v>1</v>
      </c>
      <c r="AJ115" s="8">
        <v>100</v>
      </c>
      <c r="AK115">
        <f>(AF117/AF116)-AF115</f>
        <v>0.17215590636775724</v>
      </c>
    </row>
    <row r="116" spans="1:37" x14ac:dyDescent="0.45">
      <c r="A116" s="6" t="s">
        <v>32</v>
      </c>
      <c r="B116" s="7">
        <v>4.3768328287058816E-2</v>
      </c>
      <c r="C116" s="7">
        <v>3.9247563320719027E-2</v>
      </c>
      <c r="D116" s="8">
        <v>0</v>
      </c>
      <c r="E116" s="8">
        <v>1</v>
      </c>
      <c r="F116" s="8">
        <v>28</v>
      </c>
      <c r="G116" s="7">
        <v>0</v>
      </c>
      <c r="H116" s="7">
        <v>0</v>
      </c>
      <c r="I116" s="8">
        <v>0</v>
      </c>
      <c r="J116" s="8">
        <v>0</v>
      </c>
      <c r="K116" s="8">
        <v>5</v>
      </c>
      <c r="L116" s="7">
        <v>0.25436745431109598</v>
      </c>
      <c r="M116" s="7">
        <v>0.11399054354627695</v>
      </c>
      <c r="N116" s="8">
        <v>0</v>
      </c>
      <c r="O116" s="8">
        <v>1</v>
      </c>
      <c r="P116" s="8">
        <v>16</v>
      </c>
      <c r="Q116" s="7">
        <v>0.41381121420178746</v>
      </c>
      <c r="R116" s="7">
        <v>0.12969928853703966</v>
      </c>
      <c r="S116" s="8">
        <v>0</v>
      </c>
      <c r="T116" s="8">
        <v>1</v>
      </c>
      <c r="U116" s="8">
        <v>19</v>
      </c>
      <c r="V116" s="7">
        <v>0.23553150148432661</v>
      </c>
      <c r="W116" s="7">
        <v>0.10224133114104708</v>
      </c>
      <c r="X116" s="8">
        <v>0</v>
      </c>
      <c r="Y116" s="8">
        <v>1</v>
      </c>
      <c r="Z116" s="8">
        <v>18</v>
      </c>
      <c r="AA116" s="7">
        <v>0.62380644277621733</v>
      </c>
      <c r="AB116" s="7">
        <v>0.15335862727964425</v>
      </c>
      <c r="AC116" s="8">
        <v>0</v>
      </c>
      <c r="AD116" s="8">
        <v>1</v>
      </c>
      <c r="AE116" s="8">
        <v>14</v>
      </c>
      <c r="AF116" s="7">
        <v>0.19224039367404611</v>
      </c>
      <c r="AG116" s="7">
        <v>4.6779770209863396E-2</v>
      </c>
      <c r="AH116" s="8">
        <v>0</v>
      </c>
      <c r="AI116" s="8">
        <v>1</v>
      </c>
      <c r="AJ116" s="8">
        <v>100</v>
      </c>
      <c r="AK116">
        <f>(AF117/AF115)-AF116</f>
        <v>8.5717903721566513E-2</v>
      </c>
    </row>
    <row r="117" spans="1:37" x14ac:dyDescent="0.45">
      <c r="A117" s="6" t="s">
        <v>67</v>
      </c>
      <c r="B117" s="7">
        <v>0</v>
      </c>
      <c r="C117" s="7">
        <v>0</v>
      </c>
      <c r="D117" s="8">
        <v>0</v>
      </c>
      <c r="E117" s="8">
        <v>0</v>
      </c>
      <c r="F117" s="8">
        <v>28</v>
      </c>
      <c r="G117" s="7">
        <v>0</v>
      </c>
      <c r="H117" s="7">
        <v>0</v>
      </c>
      <c r="I117" s="8">
        <v>0</v>
      </c>
      <c r="J117" s="8">
        <v>0</v>
      </c>
      <c r="K117" s="8">
        <v>5</v>
      </c>
      <c r="L117" s="7">
        <v>0.19077011976714686</v>
      </c>
      <c r="M117" s="7">
        <v>0.10269388298777425</v>
      </c>
      <c r="N117" s="8">
        <v>0</v>
      </c>
      <c r="O117" s="8">
        <v>1</v>
      </c>
      <c r="P117" s="8">
        <v>16</v>
      </c>
      <c r="Q117" s="7">
        <v>0.19542247639950872</v>
      </c>
      <c r="R117" s="7">
        <v>9.4189646606713126E-2</v>
      </c>
      <c r="S117" s="8">
        <v>0</v>
      </c>
      <c r="T117" s="8">
        <v>1</v>
      </c>
      <c r="U117" s="8">
        <v>19</v>
      </c>
      <c r="V117" s="7">
        <v>9.3645310157637787E-2</v>
      </c>
      <c r="W117" s="7">
        <v>6.2783943971334188E-2</v>
      </c>
      <c r="X117" s="8">
        <v>0</v>
      </c>
      <c r="Y117" s="8">
        <v>1</v>
      </c>
      <c r="Z117" s="8">
        <v>18</v>
      </c>
      <c r="AA117" s="7">
        <v>0.304259024480103</v>
      </c>
      <c r="AB117" s="7">
        <v>0.14643936316717585</v>
      </c>
      <c r="AC117" s="8">
        <v>0</v>
      </c>
      <c r="AD117" s="8">
        <v>1</v>
      </c>
      <c r="AE117" s="8">
        <v>14</v>
      </c>
      <c r="AF117" s="7">
        <v>0.10731852018005368</v>
      </c>
      <c r="AG117" s="7">
        <v>3.7586685412134599E-2</v>
      </c>
      <c r="AH117" s="8">
        <v>0</v>
      </c>
      <c r="AI117" s="8">
        <v>1</v>
      </c>
      <c r="AJ117" s="8">
        <v>100</v>
      </c>
    </row>
    <row r="118" spans="1:37" x14ac:dyDescent="0.45">
      <c r="A118" s="6" t="s">
        <v>28</v>
      </c>
      <c r="B118" s="7">
        <v>0</v>
      </c>
      <c r="C118" s="7">
        <v>0</v>
      </c>
      <c r="D118" s="8">
        <v>0</v>
      </c>
      <c r="E118" s="8">
        <v>0</v>
      </c>
      <c r="F118" s="8">
        <v>28</v>
      </c>
      <c r="G118" s="7">
        <v>0</v>
      </c>
      <c r="H118" s="7">
        <v>0</v>
      </c>
      <c r="I118" s="8">
        <v>0</v>
      </c>
      <c r="J118" s="8">
        <v>0</v>
      </c>
      <c r="K118" s="8">
        <v>5</v>
      </c>
      <c r="L118" s="7">
        <v>0.73670174764328467</v>
      </c>
      <c r="M118" s="7">
        <v>0.11672516606515494</v>
      </c>
      <c r="N118" s="8">
        <v>0</v>
      </c>
      <c r="O118" s="8">
        <v>1</v>
      </c>
      <c r="P118" s="8">
        <v>16</v>
      </c>
      <c r="Q118" s="7">
        <v>0.63622677312988607</v>
      </c>
      <c r="R118" s="7">
        <v>0.12689047883012006</v>
      </c>
      <c r="S118" s="8">
        <v>0</v>
      </c>
      <c r="T118" s="8">
        <v>1</v>
      </c>
      <c r="U118" s="8">
        <v>19</v>
      </c>
      <c r="V118" s="7">
        <v>0.73611457017133053</v>
      </c>
      <c r="W118" s="7">
        <v>0.11141004702384433</v>
      </c>
      <c r="X118" s="8">
        <v>0</v>
      </c>
      <c r="Y118" s="8">
        <v>1</v>
      </c>
      <c r="Z118" s="8">
        <v>18</v>
      </c>
      <c r="AA118" s="7">
        <v>0.50250462712121191</v>
      </c>
      <c r="AB118" s="7">
        <v>0.15738307630952827</v>
      </c>
      <c r="AC118" s="8">
        <v>0</v>
      </c>
      <c r="AD118" s="8">
        <v>1</v>
      </c>
      <c r="AE118" s="8">
        <v>14</v>
      </c>
      <c r="AF118" s="7">
        <v>0.38609576035540805</v>
      </c>
      <c r="AG118" s="7">
        <v>6.5209352136426937E-2</v>
      </c>
      <c r="AH118" s="8">
        <v>0</v>
      </c>
      <c r="AI118" s="8">
        <v>1</v>
      </c>
      <c r="AJ118" s="8">
        <v>100</v>
      </c>
      <c r="AK118">
        <f>(AF120/AF119)-AF118</f>
        <v>0.32467826320839976</v>
      </c>
    </row>
    <row r="119" spans="1:37" x14ac:dyDescent="0.45">
      <c r="A119" s="6" t="s">
        <v>34</v>
      </c>
      <c r="B119" s="7">
        <v>5.0869262003460196E-3</v>
      </c>
      <c r="C119" s="7">
        <v>5.2833334995758627E-3</v>
      </c>
      <c r="D119" s="8">
        <v>0</v>
      </c>
      <c r="E119" s="8">
        <v>1</v>
      </c>
      <c r="F119" s="8">
        <v>28</v>
      </c>
      <c r="G119" s="7">
        <v>0</v>
      </c>
      <c r="H119" s="7">
        <v>0</v>
      </c>
      <c r="I119" s="8">
        <v>0</v>
      </c>
      <c r="J119" s="8">
        <v>0</v>
      </c>
      <c r="K119" s="8">
        <v>5</v>
      </c>
      <c r="L119" s="7">
        <v>6.2263124728341786E-2</v>
      </c>
      <c r="M119" s="7">
        <v>6.2375305389036399E-2</v>
      </c>
      <c r="N119" s="8">
        <v>0</v>
      </c>
      <c r="O119" s="8">
        <v>1</v>
      </c>
      <c r="P119" s="8">
        <v>16</v>
      </c>
      <c r="Q119" s="7">
        <v>0</v>
      </c>
      <c r="R119" s="7">
        <v>0</v>
      </c>
      <c r="S119" s="8">
        <v>0</v>
      </c>
      <c r="T119" s="8">
        <v>0</v>
      </c>
      <c r="U119" s="8">
        <v>19</v>
      </c>
      <c r="V119" s="7">
        <v>0.18749442370539304</v>
      </c>
      <c r="W119" s="7">
        <v>9.5653225655299184E-2</v>
      </c>
      <c r="X119" s="8">
        <v>0</v>
      </c>
      <c r="Y119" s="8">
        <v>1</v>
      </c>
      <c r="Z119" s="8">
        <v>18</v>
      </c>
      <c r="AA119" s="7">
        <v>0.10851687170393783</v>
      </c>
      <c r="AB119" s="7">
        <v>9.1959813331468687E-2</v>
      </c>
      <c r="AC119" s="8">
        <v>0</v>
      </c>
      <c r="AD119" s="8">
        <v>1</v>
      </c>
      <c r="AE119" s="8">
        <v>14</v>
      </c>
      <c r="AF119" s="7">
        <v>3.9845505914107161E-2</v>
      </c>
      <c r="AG119" s="7">
        <v>2.1780217848510454E-2</v>
      </c>
      <c r="AH119" s="8">
        <v>0</v>
      </c>
      <c r="AI119" s="8">
        <v>1</v>
      </c>
      <c r="AJ119" s="8">
        <v>100</v>
      </c>
      <c r="AK119">
        <f>(AF120/AF118)-AF119</f>
        <v>3.350715284970656E-2</v>
      </c>
    </row>
    <row r="120" spans="1:37" ht="26.25" x14ac:dyDescent="0.45">
      <c r="A120" s="6" t="s">
        <v>68</v>
      </c>
      <c r="B120" s="7">
        <v>0</v>
      </c>
      <c r="C120" s="7">
        <v>0</v>
      </c>
      <c r="D120" s="8">
        <v>0</v>
      </c>
      <c r="E120" s="8">
        <v>0</v>
      </c>
      <c r="F120" s="8">
        <v>28</v>
      </c>
      <c r="G120" s="7">
        <v>0</v>
      </c>
      <c r="H120" s="7">
        <v>0</v>
      </c>
      <c r="I120" s="8">
        <v>0</v>
      </c>
      <c r="J120" s="8">
        <v>0</v>
      </c>
      <c r="K120" s="8">
        <v>5</v>
      </c>
      <c r="L120" s="7">
        <v>6.2263124728341786E-2</v>
      </c>
      <c r="M120" s="7">
        <v>6.2375305389036399E-2</v>
      </c>
      <c r="N120" s="8">
        <v>0</v>
      </c>
      <c r="O120" s="8">
        <v>1</v>
      </c>
      <c r="P120" s="8">
        <v>16</v>
      </c>
      <c r="Q120" s="7">
        <v>0</v>
      </c>
      <c r="R120" s="7">
        <v>0</v>
      </c>
      <c r="S120" s="8">
        <v>0</v>
      </c>
      <c r="T120" s="8">
        <v>0</v>
      </c>
      <c r="U120" s="8">
        <v>19</v>
      </c>
      <c r="V120" s="7">
        <v>4.5608232378704205E-2</v>
      </c>
      <c r="W120" s="7">
        <v>4.6234898232649681E-2</v>
      </c>
      <c r="X120" s="8">
        <v>0</v>
      </c>
      <c r="Y120" s="8">
        <v>1</v>
      </c>
      <c r="Z120" s="8">
        <v>18</v>
      </c>
      <c r="AA120" s="7">
        <v>9.1385137798670593E-2</v>
      </c>
      <c r="AB120" s="7">
        <v>9.0431079609862339E-2</v>
      </c>
      <c r="AC120" s="8">
        <v>0</v>
      </c>
      <c r="AD120" s="8">
        <v>1</v>
      </c>
      <c r="AE120" s="8">
        <v>14</v>
      </c>
      <c r="AF120" s="7">
        <v>2.8321150559505445E-2</v>
      </c>
      <c r="AG120" s="7">
        <v>2.0851811672609844E-2</v>
      </c>
      <c r="AH120" s="8">
        <v>0</v>
      </c>
      <c r="AI120" s="8">
        <v>1</v>
      </c>
      <c r="AJ120" s="8">
        <v>100</v>
      </c>
    </row>
    <row r="121" spans="1:37" x14ac:dyDescent="0.45">
      <c r="A121" s="6" t="s">
        <v>28</v>
      </c>
      <c r="B121" s="7">
        <v>0</v>
      </c>
      <c r="C121" s="7">
        <v>0</v>
      </c>
      <c r="D121" s="8">
        <v>0</v>
      </c>
      <c r="E121" s="8">
        <v>0</v>
      </c>
      <c r="F121" s="8">
        <v>28</v>
      </c>
      <c r="G121" s="7">
        <v>0</v>
      </c>
      <c r="H121" s="7">
        <v>0</v>
      </c>
      <c r="I121" s="8">
        <v>0</v>
      </c>
      <c r="J121" s="8">
        <v>0</v>
      </c>
      <c r="K121" s="8">
        <v>5</v>
      </c>
      <c r="L121" s="7">
        <v>0.73670174764328467</v>
      </c>
      <c r="M121" s="7">
        <v>0.11672516606515494</v>
      </c>
      <c r="N121" s="8">
        <v>0</v>
      </c>
      <c r="O121" s="8">
        <v>1</v>
      </c>
      <c r="P121" s="8">
        <v>16</v>
      </c>
      <c r="Q121" s="7">
        <v>0.63622677312988607</v>
      </c>
      <c r="R121" s="7">
        <v>0.12689047883012006</v>
      </c>
      <c r="S121" s="8">
        <v>0</v>
      </c>
      <c r="T121" s="8">
        <v>1</v>
      </c>
      <c r="U121" s="8">
        <v>19</v>
      </c>
      <c r="V121" s="7">
        <v>0.73611457017133053</v>
      </c>
      <c r="W121" s="7">
        <v>0.11141004702384433</v>
      </c>
      <c r="X121" s="8">
        <v>0</v>
      </c>
      <c r="Y121" s="8">
        <v>1</v>
      </c>
      <c r="Z121" s="8">
        <v>18</v>
      </c>
      <c r="AA121" s="7">
        <v>0.50250462712121191</v>
      </c>
      <c r="AB121" s="7">
        <v>0.15738307630952827</v>
      </c>
      <c r="AC121" s="8">
        <v>0</v>
      </c>
      <c r="AD121" s="8">
        <v>1</v>
      </c>
      <c r="AE121" s="8">
        <v>14</v>
      </c>
      <c r="AF121" s="7">
        <v>0.38609576035540805</v>
      </c>
      <c r="AG121" s="7">
        <v>6.5209352136426937E-2</v>
      </c>
      <c r="AH121" s="8">
        <v>0</v>
      </c>
      <c r="AI121" s="8">
        <v>1</v>
      </c>
      <c r="AJ121" s="8">
        <v>100</v>
      </c>
      <c r="AK121">
        <f>(AF123/AF122)-AF121</f>
        <v>-0.19499825341841512</v>
      </c>
    </row>
    <row r="122" spans="1:37" x14ac:dyDescent="0.45">
      <c r="A122" s="6" t="s">
        <v>36</v>
      </c>
      <c r="B122" s="7">
        <v>0.75033349718812381</v>
      </c>
      <c r="C122" s="7">
        <v>0.11113628937183456</v>
      </c>
      <c r="D122" s="8">
        <v>0</v>
      </c>
      <c r="E122" s="8">
        <v>1</v>
      </c>
      <c r="F122" s="8">
        <v>28</v>
      </c>
      <c r="G122" s="7">
        <v>0.69890286206955909</v>
      </c>
      <c r="H122" s="7">
        <v>0.26064905237909602</v>
      </c>
      <c r="I122" s="8">
        <v>0</v>
      </c>
      <c r="J122" s="8">
        <v>1</v>
      </c>
      <c r="K122" s="8">
        <v>5</v>
      </c>
      <c r="L122" s="7">
        <v>7.6528749224782755E-2</v>
      </c>
      <c r="M122" s="7">
        <v>6.4008315307330796E-2</v>
      </c>
      <c r="N122" s="8">
        <v>0</v>
      </c>
      <c r="O122" s="8">
        <v>1</v>
      </c>
      <c r="P122" s="8">
        <v>16</v>
      </c>
      <c r="Q122" s="7">
        <v>0.13638212532932661</v>
      </c>
      <c r="R122" s="7">
        <v>0.12489587163927413</v>
      </c>
      <c r="S122" s="8">
        <v>0</v>
      </c>
      <c r="T122" s="8">
        <v>1</v>
      </c>
      <c r="U122" s="8">
        <v>19</v>
      </c>
      <c r="V122" s="7">
        <v>0.35584441822330487</v>
      </c>
      <c r="W122" s="7">
        <v>0.12202753204157965</v>
      </c>
      <c r="X122" s="8">
        <v>0</v>
      </c>
      <c r="Y122" s="8">
        <v>1</v>
      </c>
      <c r="Z122" s="8">
        <v>18</v>
      </c>
      <c r="AA122" s="7">
        <v>0.74429546837714122</v>
      </c>
      <c r="AB122" s="7">
        <v>0.12930236493328284</v>
      </c>
      <c r="AC122" s="8">
        <v>0</v>
      </c>
      <c r="AD122" s="8">
        <v>1</v>
      </c>
      <c r="AE122" s="8">
        <v>14</v>
      </c>
      <c r="AF122" s="7">
        <v>0.42925514319553509</v>
      </c>
      <c r="AG122" s="7">
        <v>6.917480911456024E-2</v>
      </c>
      <c r="AH122" s="8">
        <v>0</v>
      </c>
      <c r="AI122" s="8">
        <v>1</v>
      </c>
      <c r="AJ122" s="8">
        <v>100</v>
      </c>
      <c r="AK122">
        <f>(AF123/AF121)-AF122</f>
        <v>-0.21679596563544234</v>
      </c>
    </row>
    <row r="123" spans="1:37" x14ac:dyDescent="0.45">
      <c r="A123" s="6" t="s">
        <v>69</v>
      </c>
      <c r="B123" s="7">
        <v>0</v>
      </c>
      <c r="C123" s="7">
        <v>0</v>
      </c>
      <c r="D123" s="8">
        <v>0</v>
      </c>
      <c r="E123" s="8">
        <v>0</v>
      </c>
      <c r="F123" s="8">
        <v>28</v>
      </c>
      <c r="G123" s="7">
        <v>0</v>
      </c>
      <c r="H123" s="7">
        <v>0</v>
      </c>
      <c r="I123" s="8">
        <v>0</v>
      </c>
      <c r="J123" s="8">
        <v>0</v>
      </c>
      <c r="K123" s="8">
        <v>5</v>
      </c>
      <c r="L123" s="7">
        <v>7.6528749224782755E-2</v>
      </c>
      <c r="M123" s="7">
        <v>6.4008315307330796E-2</v>
      </c>
      <c r="N123" s="8">
        <v>0</v>
      </c>
      <c r="O123" s="8">
        <v>1</v>
      </c>
      <c r="P123" s="8">
        <v>16</v>
      </c>
      <c r="Q123" s="7">
        <v>0.13638212532932661</v>
      </c>
      <c r="R123" s="7">
        <v>0.12489587163927413</v>
      </c>
      <c r="S123" s="8">
        <v>0</v>
      </c>
      <c r="T123" s="8">
        <v>1</v>
      </c>
      <c r="U123" s="8">
        <v>19</v>
      </c>
      <c r="V123" s="7">
        <v>0.29471616705834019</v>
      </c>
      <c r="W123" s="7">
        <v>0.11604140005706796</v>
      </c>
      <c r="X123" s="8">
        <v>0</v>
      </c>
      <c r="Y123" s="8">
        <v>1</v>
      </c>
      <c r="Z123" s="8">
        <v>18</v>
      </c>
      <c r="AA123" s="7">
        <v>0.39536726252091853</v>
      </c>
      <c r="AB123" s="7">
        <v>0.15602191271342342</v>
      </c>
      <c r="AC123" s="8">
        <v>0</v>
      </c>
      <c r="AD123" s="8">
        <v>1</v>
      </c>
      <c r="AE123" s="8">
        <v>14</v>
      </c>
      <c r="AF123" s="7">
        <v>8.2029587704548657E-2</v>
      </c>
      <c r="AG123" s="7">
        <v>2.9400177308716764E-2</v>
      </c>
      <c r="AH123" s="8">
        <v>0</v>
      </c>
      <c r="AI123" s="8">
        <v>1</v>
      </c>
      <c r="AJ123" s="8">
        <v>100</v>
      </c>
    </row>
    <row r="124" spans="1:37" x14ac:dyDescent="0.45">
      <c r="A124" s="6" t="s">
        <v>28</v>
      </c>
      <c r="B124" s="7">
        <v>0</v>
      </c>
      <c r="C124" s="7">
        <v>0</v>
      </c>
      <c r="D124" s="8">
        <v>0</v>
      </c>
      <c r="E124" s="8">
        <v>0</v>
      </c>
      <c r="F124" s="8">
        <v>28</v>
      </c>
      <c r="G124" s="7">
        <v>0</v>
      </c>
      <c r="H124" s="7">
        <v>0</v>
      </c>
      <c r="I124" s="8">
        <v>0</v>
      </c>
      <c r="J124" s="8">
        <v>0</v>
      </c>
      <c r="K124" s="8">
        <v>5</v>
      </c>
      <c r="L124" s="7">
        <v>0.73670174764328467</v>
      </c>
      <c r="M124" s="7">
        <v>0.11672516606515494</v>
      </c>
      <c r="N124" s="8">
        <v>0</v>
      </c>
      <c r="O124" s="8">
        <v>1</v>
      </c>
      <c r="P124" s="8">
        <v>16</v>
      </c>
      <c r="Q124" s="7">
        <v>0.63622677312988607</v>
      </c>
      <c r="R124" s="7">
        <v>0.12689047883012006</v>
      </c>
      <c r="S124" s="8">
        <v>0</v>
      </c>
      <c r="T124" s="8">
        <v>1</v>
      </c>
      <c r="U124" s="8">
        <v>19</v>
      </c>
      <c r="V124" s="7">
        <v>0.73611457017133053</v>
      </c>
      <c r="W124" s="7">
        <v>0.11141004702384433</v>
      </c>
      <c r="X124" s="8">
        <v>0</v>
      </c>
      <c r="Y124" s="8">
        <v>1</v>
      </c>
      <c r="Z124" s="8">
        <v>18</v>
      </c>
      <c r="AA124" s="7">
        <v>0.50250462712121191</v>
      </c>
      <c r="AB124" s="7">
        <v>0.15738307630952827</v>
      </c>
      <c r="AC124" s="8">
        <v>0</v>
      </c>
      <c r="AD124" s="8">
        <v>1</v>
      </c>
      <c r="AE124" s="8">
        <v>14</v>
      </c>
      <c r="AF124" s="7">
        <v>0.38609576035540805</v>
      </c>
      <c r="AG124" s="7">
        <v>6.5209352136426937E-2</v>
      </c>
      <c r="AH124" s="8">
        <v>0</v>
      </c>
      <c r="AI124" s="8">
        <v>1</v>
      </c>
      <c r="AJ124" s="8">
        <v>100</v>
      </c>
      <c r="AK124">
        <f>(AF126/AF125)-AF124</f>
        <v>0.32569995385061112</v>
      </c>
    </row>
    <row r="125" spans="1:37" ht="26.25" x14ac:dyDescent="0.45">
      <c r="A125" s="6" t="s">
        <v>38</v>
      </c>
      <c r="B125" s="7">
        <v>0</v>
      </c>
      <c r="C125" s="7">
        <v>0</v>
      </c>
      <c r="D125" s="8">
        <v>0</v>
      </c>
      <c r="E125" s="8">
        <v>0</v>
      </c>
      <c r="F125" s="8">
        <v>28</v>
      </c>
      <c r="G125" s="7">
        <v>0</v>
      </c>
      <c r="H125" s="7">
        <v>0</v>
      </c>
      <c r="I125" s="8">
        <v>0</v>
      </c>
      <c r="J125" s="8">
        <v>0</v>
      </c>
      <c r="K125" s="8">
        <v>5</v>
      </c>
      <c r="L125" s="7">
        <v>0.93129216535876924</v>
      </c>
      <c r="M125" s="7">
        <v>6.8358528251634604E-2</v>
      </c>
      <c r="N125" s="8">
        <v>0</v>
      </c>
      <c r="O125" s="8">
        <v>1</v>
      </c>
      <c r="P125" s="8">
        <v>16</v>
      </c>
      <c r="Q125" s="7">
        <v>0.23215855473296679</v>
      </c>
      <c r="R125" s="7">
        <v>9.9015389508305698E-2</v>
      </c>
      <c r="S125" s="8">
        <v>0</v>
      </c>
      <c r="T125" s="8">
        <v>1</v>
      </c>
      <c r="U125" s="8">
        <v>19</v>
      </c>
      <c r="V125" s="7">
        <v>0.47441656189365872</v>
      </c>
      <c r="W125" s="7">
        <v>0.1275876604219422</v>
      </c>
      <c r="X125" s="8">
        <v>0</v>
      </c>
      <c r="Y125" s="8">
        <v>1</v>
      </c>
      <c r="Z125" s="8">
        <v>18</v>
      </c>
      <c r="AA125" s="7">
        <v>0.50100347893857933</v>
      </c>
      <c r="AB125" s="7">
        <v>0.15741214876712428</v>
      </c>
      <c r="AC125" s="8">
        <v>0</v>
      </c>
      <c r="AD125" s="8">
        <v>1</v>
      </c>
      <c r="AE125" s="8">
        <v>14</v>
      </c>
      <c r="AF125" s="7">
        <v>0.38621991000499384</v>
      </c>
      <c r="AG125" s="7">
        <v>6.6639473541989111E-2</v>
      </c>
      <c r="AH125" s="8">
        <v>0</v>
      </c>
      <c r="AI125" s="8">
        <v>1</v>
      </c>
      <c r="AJ125" s="8">
        <v>100</v>
      </c>
      <c r="AK125">
        <f>(AF126/AF124)-AF125</f>
        <v>0.32580468314135352</v>
      </c>
    </row>
    <row r="126" spans="1:37" ht="26.25" x14ac:dyDescent="0.45">
      <c r="A126" s="6" t="s">
        <v>70</v>
      </c>
      <c r="B126" s="7">
        <v>0</v>
      </c>
      <c r="C126" s="7">
        <v>0</v>
      </c>
      <c r="D126" s="8">
        <v>0</v>
      </c>
      <c r="E126" s="8">
        <v>0</v>
      </c>
      <c r="F126" s="8">
        <v>28</v>
      </c>
      <c r="G126" s="7">
        <v>0</v>
      </c>
      <c r="H126" s="7">
        <v>0</v>
      </c>
      <c r="I126" s="8">
        <v>0</v>
      </c>
      <c r="J126" s="8">
        <v>0</v>
      </c>
      <c r="K126" s="8">
        <v>5</v>
      </c>
      <c r="L126" s="7">
        <v>0.66799391300205413</v>
      </c>
      <c r="M126" s="7">
        <v>0.12497746033234879</v>
      </c>
      <c r="N126" s="8">
        <v>0</v>
      </c>
      <c r="O126" s="8">
        <v>1</v>
      </c>
      <c r="P126" s="8">
        <v>16</v>
      </c>
      <c r="Q126" s="7">
        <v>0.19555539449869125</v>
      </c>
      <c r="R126" s="7">
        <v>9.2994313396750475E-2</v>
      </c>
      <c r="S126" s="8">
        <v>0</v>
      </c>
      <c r="T126" s="8">
        <v>1</v>
      </c>
      <c r="U126" s="8">
        <v>19</v>
      </c>
      <c r="V126" s="7">
        <v>0.29746830588316103</v>
      </c>
      <c r="W126" s="7">
        <v>0.11659678947121155</v>
      </c>
      <c r="X126" s="8">
        <v>0</v>
      </c>
      <c r="Y126" s="8">
        <v>1</v>
      </c>
      <c r="Z126" s="8">
        <v>18</v>
      </c>
      <c r="AA126" s="7">
        <v>0.3138112407406235</v>
      </c>
      <c r="AB126" s="7">
        <v>0.14897696328935994</v>
      </c>
      <c r="AC126" s="8">
        <v>0</v>
      </c>
      <c r="AD126" s="8">
        <v>1</v>
      </c>
      <c r="AE126" s="8">
        <v>14</v>
      </c>
      <c r="AF126" s="7">
        <v>0.27490967668258903</v>
      </c>
      <c r="AG126" s="7">
        <v>6.0405370462911875E-2</v>
      </c>
      <c r="AH126" s="8">
        <v>0</v>
      </c>
      <c r="AI126" s="8">
        <v>1</v>
      </c>
      <c r="AJ126" s="8">
        <v>100</v>
      </c>
    </row>
    <row r="127" spans="1:37" x14ac:dyDescent="0.45">
      <c r="A127" s="6" t="s">
        <v>28</v>
      </c>
      <c r="B127" s="7">
        <v>0</v>
      </c>
      <c r="C127" s="7">
        <v>0</v>
      </c>
      <c r="D127" s="8">
        <v>0</v>
      </c>
      <c r="E127" s="8">
        <v>0</v>
      </c>
      <c r="F127" s="8">
        <v>28</v>
      </c>
      <c r="G127" s="7">
        <v>0</v>
      </c>
      <c r="H127" s="7">
        <v>0</v>
      </c>
      <c r="I127" s="8">
        <v>0</v>
      </c>
      <c r="J127" s="8">
        <v>0</v>
      </c>
      <c r="K127" s="8">
        <v>5</v>
      </c>
      <c r="L127" s="7">
        <v>0.73670174764328467</v>
      </c>
      <c r="M127" s="7">
        <v>0.11672516606515494</v>
      </c>
      <c r="N127" s="8">
        <v>0</v>
      </c>
      <c r="O127" s="8">
        <v>1</v>
      </c>
      <c r="P127" s="8">
        <v>16</v>
      </c>
      <c r="Q127" s="7">
        <v>0.63622677312988607</v>
      </c>
      <c r="R127" s="7">
        <v>0.12689047883012006</v>
      </c>
      <c r="S127" s="8">
        <v>0</v>
      </c>
      <c r="T127" s="8">
        <v>1</v>
      </c>
      <c r="U127" s="8">
        <v>19</v>
      </c>
      <c r="V127" s="7">
        <v>0.73611457017133053</v>
      </c>
      <c r="W127" s="7">
        <v>0.11141004702384433</v>
      </c>
      <c r="X127" s="8">
        <v>0</v>
      </c>
      <c r="Y127" s="8">
        <v>1</v>
      </c>
      <c r="Z127" s="8">
        <v>18</v>
      </c>
      <c r="AA127" s="7">
        <v>0.50250462712121191</v>
      </c>
      <c r="AB127" s="7">
        <v>0.15738307630952827</v>
      </c>
      <c r="AC127" s="8">
        <v>0</v>
      </c>
      <c r="AD127" s="8">
        <v>1</v>
      </c>
      <c r="AE127" s="8">
        <v>14</v>
      </c>
      <c r="AF127" s="7">
        <v>0.38609576035540805</v>
      </c>
      <c r="AG127" s="7">
        <v>6.5209352136426937E-2</v>
      </c>
      <c r="AH127" s="8">
        <v>0</v>
      </c>
      <c r="AI127" s="8">
        <v>1</v>
      </c>
      <c r="AJ127" s="8">
        <v>100</v>
      </c>
      <c r="AK127">
        <f>(AF129/AF128)-AF127</f>
        <v>0.20247205830796289</v>
      </c>
    </row>
    <row r="128" spans="1:37" x14ac:dyDescent="0.45">
      <c r="A128" s="6" t="s">
        <v>40</v>
      </c>
      <c r="B128" s="7">
        <v>0.24021275260760397</v>
      </c>
      <c r="C128" s="7">
        <v>9.9804594593725232E-2</v>
      </c>
      <c r="D128" s="8">
        <v>0</v>
      </c>
      <c r="E128" s="8">
        <v>1</v>
      </c>
      <c r="F128" s="8">
        <v>28</v>
      </c>
      <c r="G128" s="7">
        <v>0.28413340654229741</v>
      </c>
      <c r="H128" s="7">
        <v>0.2635701019519151</v>
      </c>
      <c r="I128" s="8">
        <v>0</v>
      </c>
      <c r="J128" s="8">
        <v>1</v>
      </c>
      <c r="K128" s="8">
        <v>5</v>
      </c>
      <c r="L128" s="7">
        <v>1</v>
      </c>
      <c r="M128" s="7">
        <v>0</v>
      </c>
      <c r="N128" s="8">
        <v>1</v>
      </c>
      <c r="O128" s="8">
        <v>1</v>
      </c>
      <c r="P128" s="8">
        <v>16</v>
      </c>
      <c r="Q128" s="7">
        <v>0.85289731615094222</v>
      </c>
      <c r="R128" s="7">
        <v>0.10368836461541529</v>
      </c>
      <c r="S128" s="8">
        <v>0</v>
      </c>
      <c r="T128" s="8">
        <v>1</v>
      </c>
      <c r="U128" s="8">
        <v>19</v>
      </c>
      <c r="V128" s="7">
        <v>0.86634111546445414</v>
      </c>
      <c r="W128" s="7">
        <v>8.7661072043173624E-2</v>
      </c>
      <c r="X128" s="8">
        <v>0</v>
      </c>
      <c r="Y128" s="8">
        <v>1</v>
      </c>
      <c r="Z128" s="8">
        <v>18</v>
      </c>
      <c r="AA128" s="7">
        <v>0.68542702638902031</v>
      </c>
      <c r="AB128" s="7">
        <v>0.14449500923918335</v>
      </c>
      <c r="AC128" s="8">
        <v>0</v>
      </c>
      <c r="AD128" s="8">
        <v>1</v>
      </c>
      <c r="AE128" s="8">
        <v>14</v>
      </c>
      <c r="AF128" s="7">
        <v>0.62802955981828001</v>
      </c>
      <c r="AG128" s="7">
        <v>6.9009852430896662E-2</v>
      </c>
      <c r="AH128" s="8">
        <v>0</v>
      </c>
      <c r="AI128" s="8">
        <v>1</v>
      </c>
      <c r="AJ128" s="8">
        <v>100</v>
      </c>
      <c r="AK128">
        <f>(AF129/AF127)-AF128</f>
        <v>0.32934429929403886</v>
      </c>
    </row>
    <row r="129" spans="1:37" ht="26.25" x14ac:dyDescent="0.45">
      <c r="A129" s="6" t="s">
        <v>71</v>
      </c>
      <c r="B129" s="7">
        <v>0</v>
      </c>
      <c r="C129" s="7">
        <v>0</v>
      </c>
      <c r="D129" s="8">
        <v>0</v>
      </c>
      <c r="E129" s="8">
        <v>0</v>
      </c>
      <c r="F129" s="8">
        <v>28</v>
      </c>
      <c r="G129" s="7">
        <v>0</v>
      </c>
      <c r="H129" s="7">
        <v>0</v>
      </c>
      <c r="I129" s="8">
        <v>0</v>
      </c>
      <c r="J129" s="8">
        <v>0</v>
      </c>
      <c r="K129" s="8">
        <v>5</v>
      </c>
      <c r="L129" s="7">
        <v>0.73670174764328467</v>
      </c>
      <c r="M129" s="7">
        <v>0.11672516606515494</v>
      </c>
      <c r="N129" s="8">
        <v>0</v>
      </c>
      <c r="O129" s="8">
        <v>1</v>
      </c>
      <c r="P129" s="8">
        <v>16</v>
      </c>
      <c r="Q129" s="7">
        <v>0.59050446342141161</v>
      </c>
      <c r="R129" s="7">
        <v>0.12946531983771967</v>
      </c>
      <c r="S129" s="8">
        <v>0</v>
      </c>
      <c r="T129" s="8">
        <v>1</v>
      </c>
      <c r="U129" s="8">
        <v>19</v>
      </c>
      <c r="V129" s="7">
        <v>0.65740470314430133</v>
      </c>
      <c r="W129" s="7">
        <v>0.12128351680551824</v>
      </c>
      <c r="X129" s="8">
        <v>0</v>
      </c>
      <c r="Y129" s="8">
        <v>1</v>
      </c>
      <c r="Z129" s="8">
        <v>18</v>
      </c>
      <c r="AA129" s="7">
        <v>0.39536726252091853</v>
      </c>
      <c r="AB129" s="7">
        <v>0.15602191271342342</v>
      </c>
      <c r="AC129" s="8">
        <v>0</v>
      </c>
      <c r="AD129" s="8">
        <v>1</v>
      </c>
      <c r="AE129" s="8">
        <v>14</v>
      </c>
      <c r="AF129" s="7">
        <v>0.36963798807836207</v>
      </c>
      <c r="AG129" s="7">
        <v>6.4699747497832735E-2</v>
      </c>
      <c r="AH129" s="8">
        <v>0</v>
      </c>
      <c r="AI129" s="8">
        <v>1</v>
      </c>
      <c r="AJ129" s="8">
        <v>100</v>
      </c>
    </row>
    <row r="130" spans="1:37" x14ac:dyDescent="0.45">
      <c r="A130" s="6" t="s">
        <v>28</v>
      </c>
      <c r="B130" s="7">
        <v>0</v>
      </c>
      <c r="C130" s="7">
        <v>0</v>
      </c>
      <c r="D130" s="8">
        <v>0</v>
      </c>
      <c r="E130" s="8">
        <v>0</v>
      </c>
      <c r="F130" s="8">
        <v>28</v>
      </c>
      <c r="G130" s="7">
        <v>0</v>
      </c>
      <c r="H130" s="7">
        <v>0</v>
      </c>
      <c r="I130" s="8">
        <v>0</v>
      </c>
      <c r="J130" s="8">
        <v>0</v>
      </c>
      <c r="K130" s="8">
        <v>5</v>
      </c>
      <c r="L130" s="7">
        <v>0.73670174764328467</v>
      </c>
      <c r="M130" s="7">
        <v>0.11672516606515494</v>
      </c>
      <c r="N130" s="8">
        <v>0</v>
      </c>
      <c r="O130" s="8">
        <v>1</v>
      </c>
      <c r="P130" s="8">
        <v>16</v>
      </c>
      <c r="Q130" s="7">
        <v>0.63622677312988607</v>
      </c>
      <c r="R130" s="7">
        <v>0.12689047883012006</v>
      </c>
      <c r="S130" s="8">
        <v>0</v>
      </c>
      <c r="T130" s="8">
        <v>1</v>
      </c>
      <c r="U130" s="8">
        <v>19</v>
      </c>
      <c r="V130" s="7">
        <v>0.73611457017133053</v>
      </c>
      <c r="W130" s="7">
        <v>0.11141004702384433</v>
      </c>
      <c r="X130" s="8">
        <v>0</v>
      </c>
      <c r="Y130" s="8">
        <v>1</v>
      </c>
      <c r="Z130" s="8">
        <v>18</v>
      </c>
      <c r="AA130" s="7">
        <v>0.50250462712121191</v>
      </c>
      <c r="AB130" s="7">
        <v>0.15738307630952827</v>
      </c>
      <c r="AC130" s="8">
        <v>0</v>
      </c>
      <c r="AD130" s="8">
        <v>1</v>
      </c>
      <c r="AE130" s="8">
        <v>14</v>
      </c>
      <c r="AF130" s="7">
        <v>0.38609576035540805</v>
      </c>
      <c r="AG130" s="7">
        <v>6.5209352136426937E-2</v>
      </c>
      <c r="AH130" s="8">
        <v>0</v>
      </c>
      <c r="AI130" s="8">
        <v>1</v>
      </c>
      <c r="AJ130" s="8">
        <v>100</v>
      </c>
      <c r="AK130">
        <f>(AF132/AF131)-AF130</f>
        <v>0.261660130663255</v>
      </c>
    </row>
    <row r="131" spans="1:37" x14ac:dyDescent="0.45">
      <c r="A131" s="6" t="s">
        <v>42</v>
      </c>
      <c r="B131" s="7">
        <v>0.14941160928574393</v>
      </c>
      <c r="C131" s="7">
        <v>7.3542009243322798E-2</v>
      </c>
      <c r="D131" s="8">
        <v>0</v>
      </c>
      <c r="E131" s="8">
        <v>1</v>
      </c>
      <c r="F131" s="8">
        <v>28</v>
      </c>
      <c r="G131" s="7">
        <v>0.28413340654229741</v>
      </c>
      <c r="H131" s="7">
        <v>0.2635701019519151</v>
      </c>
      <c r="I131" s="8">
        <v>0</v>
      </c>
      <c r="J131" s="8">
        <v>1</v>
      </c>
      <c r="K131" s="8">
        <v>5</v>
      </c>
      <c r="L131" s="7">
        <v>0.8067852407664784</v>
      </c>
      <c r="M131" s="7">
        <v>0.10368902289601112</v>
      </c>
      <c r="N131" s="8">
        <v>0</v>
      </c>
      <c r="O131" s="8">
        <v>1</v>
      </c>
      <c r="P131" s="8">
        <v>16</v>
      </c>
      <c r="Q131" s="7">
        <v>0.89861962585941668</v>
      </c>
      <c r="R131" s="7">
        <v>9.6845778169611332E-2</v>
      </c>
      <c r="S131" s="8">
        <v>0</v>
      </c>
      <c r="T131" s="8">
        <v>1</v>
      </c>
      <c r="U131" s="8">
        <v>19</v>
      </c>
      <c r="V131" s="7">
        <v>0.94505098249148323</v>
      </c>
      <c r="W131" s="7">
        <v>5.5165329624764066E-2</v>
      </c>
      <c r="X131" s="8">
        <v>0</v>
      </c>
      <c r="Y131" s="8">
        <v>1</v>
      </c>
      <c r="Z131" s="8">
        <v>18</v>
      </c>
      <c r="AA131" s="7">
        <v>0.91590414556129873</v>
      </c>
      <c r="AB131" s="7">
        <v>5.7720093761496942E-2</v>
      </c>
      <c r="AC131" s="8">
        <v>0</v>
      </c>
      <c r="AD131" s="8">
        <v>1</v>
      </c>
      <c r="AE131" s="8">
        <v>14</v>
      </c>
      <c r="AF131" s="7">
        <v>0.56438823579629216</v>
      </c>
      <c r="AG131" s="7">
        <v>7.0335671964889795E-2</v>
      </c>
      <c r="AH131" s="8">
        <v>0</v>
      </c>
      <c r="AI131" s="8">
        <v>1</v>
      </c>
      <c r="AJ131" s="8">
        <v>100</v>
      </c>
      <c r="AK131">
        <f>(AF132/AF130)-AF131</f>
        <v>0.38249034225944778</v>
      </c>
    </row>
    <row r="132" spans="1:37" x14ac:dyDescent="0.45">
      <c r="A132" s="6" t="s">
        <v>72</v>
      </c>
      <c r="B132" s="7">
        <v>0</v>
      </c>
      <c r="C132" s="7">
        <v>0</v>
      </c>
      <c r="D132" s="8">
        <v>0</v>
      </c>
      <c r="E132" s="8">
        <v>0</v>
      </c>
      <c r="F132" s="8">
        <v>28</v>
      </c>
      <c r="G132" s="7">
        <v>0</v>
      </c>
      <c r="H132" s="7">
        <v>0</v>
      </c>
      <c r="I132" s="8">
        <v>0</v>
      </c>
      <c r="J132" s="8">
        <v>0</v>
      </c>
      <c r="K132" s="8">
        <v>5</v>
      </c>
      <c r="L132" s="7">
        <v>0.67310441309933566</v>
      </c>
      <c r="M132" s="7">
        <v>0.1239997840415912</v>
      </c>
      <c r="N132" s="8">
        <v>0</v>
      </c>
      <c r="O132" s="8">
        <v>1</v>
      </c>
      <c r="P132" s="8">
        <v>16</v>
      </c>
      <c r="Q132" s="7">
        <v>0.63622677312988607</v>
      </c>
      <c r="R132" s="7">
        <v>0.12689047883012006</v>
      </c>
      <c r="S132" s="8">
        <v>0</v>
      </c>
      <c r="T132" s="8">
        <v>1</v>
      </c>
      <c r="U132" s="8">
        <v>19</v>
      </c>
      <c r="V132" s="7">
        <v>0.73611457017133053</v>
      </c>
      <c r="W132" s="7">
        <v>0.11141004702384433</v>
      </c>
      <c r="X132" s="8">
        <v>0</v>
      </c>
      <c r="Y132" s="8">
        <v>1</v>
      </c>
      <c r="Z132" s="8">
        <v>18</v>
      </c>
      <c r="AA132" s="7">
        <v>0.50250462712121191</v>
      </c>
      <c r="AB132" s="7">
        <v>0.15738307630952827</v>
      </c>
      <c r="AC132" s="8">
        <v>0</v>
      </c>
      <c r="AD132" s="8">
        <v>1</v>
      </c>
      <c r="AE132" s="8">
        <v>14</v>
      </c>
      <c r="AF132" s="7">
        <v>0.36558580455867851</v>
      </c>
      <c r="AG132" s="7">
        <v>6.3904744401805866E-2</v>
      </c>
      <c r="AH132" s="8">
        <v>0</v>
      </c>
      <c r="AI132" s="8">
        <v>1</v>
      </c>
      <c r="AJ132" s="8">
        <v>100</v>
      </c>
    </row>
    <row r="133" spans="1:37" x14ac:dyDescent="0.45">
      <c r="A133" s="6" t="s">
        <v>28</v>
      </c>
      <c r="B133" s="7">
        <v>0</v>
      </c>
      <c r="C133" s="7">
        <v>0</v>
      </c>
      <c r="D133" s="8">
        <v>0</v>
      </c>
      <c r="E133" s="8">
        <v>0</v>
      </c>
      <c r="F133" s="8">
        <v>28</v>
      </c>
      <c r="G133" s="7">
        <v>0</v>
      </c>
      <c r="H133" s="7">
        <v>0</v>
      </c>
      <c r="I133" s="8">
        <v>0</v>
      </c>
      <c r="J133" s="8">
        <v>0</v>
      </c>
      <c r="K133" s="8">
        <v>5</v>
      </c>
      <c r="L133" s="7">
        <v>0.73670174764328467</v>
      </c>
      <c r="M133" s="7">
        <v>0.11672516606515494</v>
      </c>
      <c r="N133" s="8">
        <v>0</v>
      </c>
      <c r="O133" s="8">
        <v>1</v>
      </c>
      <c r="P133" s="8">
        <v>16</v>
      </c>
      <c r="Q133" s="7">
        <v>0.63622677312988607</v>
      </c>
      <c r="R133" s="7">
        <v>0.12689047883012006</v>
      </c>
      <c r="S133" s="8">
        <v>0</v>
      </c>
      <c r="T133" s="8">
        <v>1</v>
      </c>
      <c r="U133" s="8">
        <v>19</v>
      </c>
      <c r="V133" s="7">
        <v>0.73611457017133053</v>
      </c>
      <c r="W133" s="7">
        <v>0.11141004702384433</v>
      </c>
      <c r="X133" s="8">
        <v>0</v>
      </c>
      <c r="Y133" s="8">
        <v>1</v>
      </c>
      <c r="Z133" s="8">
        <v>18</v>
      </c>
      <c r="AA133" s="7">
        <v>0.50250462712121191</v>
      </c>
      <c r="AB133" s="7">
        <v>0.15738307630952827</v>
      </c>
      <c r="AC133" s="8">
        <v>0</v>
      </c>
      <c r="AD133" s="8">
        <v>1</v>
      </c>
      <c r="AE133" s="8">
        <v>14</v>
      </c>
      <c r="AF133" s="7">
        <v>0.38609576035540805</v>
      </c>
      <c r="AG133" s="7">
        <v>6.5209352136426937E-2</v>
      </c>
      <c r="AH133" s="8">
        <v>0</v>
      </c>
      <c r="AI133" s="8">
        <v>1</v>
      </c>
      <c r="AJ133" s="8">
        <v>100</v>
      </c>
      <c r="AK133">
        <f>(AF135/AF134)-AF133</f>
        <v>0.53696728734297128</v>
      </c>
    </row>
    <row r="134" spans="1:37" x14ac:dyDescent="0.45">
      <c r="A134" s="6" t="s">
        <v>44</v>
      </c>
      <c r="B134" s="7">
        <v>0</v>
      </c>
      <c r="C134" s="7">
        <v>0</v>
      </c>
      <c r="D134" s="8">
        <v>0</v>
      </c>
      <c r="E134" s="8">
        <v>0</v>
      </c>
      <c r="F134" s="8">
        <v>28</v>
      </c>
      <c r="G134" s="7">
        <v>0</v>
      </c>
      <c r="H134" s="7">
        <v>0</v>
      </c>
      <c r="I134" s="8">
        <v>0</v>
      </c>
      <c r="J134" s="8">
        <v>0</v>
      </c>
      <c r="K134" s="8">
        <v>5</v>
      </c>
      <c r="L134" s="7">
        <v>0.45315303207398538</v>
      </c>
      <c r="M134" s="7">
        <v>0.1313901892098365</v>
      </c>
      <c r="N134" s="8">
        <v>0</v>
      </c>
      <c r="O134" s="8">
        <v>1</v>
      </c>
      <c r="P134" s="8">
        <v>16</v>
      </c>
      <c r="Q134" s="7">
        <v>0.58179797025751767</v>
      </c>
      <c r="R134" s="7">
        <v>0.13112718214255636</v>
      </c>
      <c r="S134" s="8">
        <v>0</v>
      </c>
      <c r="T134" s="8">
        <v>1</v>
      </c>
      <c r="U134" s="8">
        <v>19</v>
      </c>
      <c r="V134" s="7">
        <v>0.27840718326047831</v>
      </c>
      <c r="W134" s="7">
        <v>0.11962958289453833</v>
      </c>
      <c r="X134" s="8">
        <v>0</v>
      </c>
      <c r="Y134" s="8">
        <v>1</v>
      </c>
      <c r="Z134" s="8">
        <v>18</v>
      </c>
      <c r="AA134" s="7">
        <v>0.27889208014984646</v>
      </c>
      <c r="AB134" s="7">
        <v>0.14163420824029879</v>
      </c>
      <c r="AC134" s="8">
        <v>0</v>
      </c>
      <c r="AD134" s="8">
        <v>1</v>
      </c>
      <c r="AE134" s="8">
        <v>14</v>
      </c>
      <c r="AF134" s="7">
        <v>0.24605417111353658</v>
      </c>
      <c r="AG134" s="7">
        <v>5.5580698511919616E-2</v>
      </c>
      <c r="AH134" s="8">
        <v>0</v>
      </c>
      <c r="AI134" s="8">
        <v>1</v>
      </c>
      <c r="AJ134" s="8">
        <v>100</v>
      </c>
      <c r="AK134">
        <f>(AF135/AF133)-AF134</f>
        <v>0.34220277549962586</v>
      </c>
    </row>
    <row r="135" spans="1:37" x14ac:dyDescent="0.45">
      <c r="A135" s="6" t="s">
        <v>73</v>
      </c>
      <c r="B135" s="7">
        <v>0</v>
      </c>
      <c r="C135" s="7">
        <v>0</v>
      </c>
      <c r="D135" s="8">
        <v>0</v>
      </c>
      <c r="E135" s="8">
        <v>0</v>
      </c>
      <c r="F135" s="8">
        <v>28</v>
      </c>
      <c r="G135" s="7">
        <v>0</v>
      </c>
      <c r="H135" s="7">
        <v>0</v>
      </c>
      <c r="I135" s="8">
        <v>0</v>
      </c>
      <c r="J135" s="8">
        <v>0</v>
      </c>
      <c r="K135" s="8">
        <v>5</v>
      </c>
      <c r="L135" s="7">
        <v>0.45315303207398538</v>
      </c>
      <c r="M135" s="7">
        <v>0.1313901892098365</v>
      </c>
      <c r="N135" s="8">
        <v>0</v>
      </c>
      <c r="O135" s="8">
        <v>1</v>
      </c>
      <c r="P135" s="8">
        <v>16</v>
      </c>
      <c r="Q135" s="7">
        <v>0.46287618229039784</v>
      </c>
      <c r="R135" s="7">
        <v>0.13361173440833538</v>
      </c>
      <c r="S135" s="8">
        <v>0</v>
      </c>
      <c r="T135" s="8">
        <v>1</v>
      </c>
      <c r="U135" s="8">
        <v>19</v>
      </c>
      <c r="V135" s="7">
        <v>0.27840718326047831</v>
      </c>
      <c r="W135" s="7">
        <v>0.11962958289453833</v>
      </c>
      <c r="X135" s="8">
        <v>0</v>
      </c>
      <c r="Y135" s="8">
        <v>1</v>
      </c>
      <c r="Z135" s="8">
        <v>18</v>
      </c>
      <c r="AA135" s="7">
        <v>0.18450307902538621</v>
      </c>
      <c r="AB135" s="7">
        <v>0.12223678985561112</v>
      </c>
      <c r="AC135" s="8">
        <v>0</v>
      </c>
      <c r="AD135" s="8">
        <v>1</v>
      </c>
      <c r="AE135" s="8">
        <v>14</v>
      </c>
      <c r="AF135" s="7">
        <v>0.22712351308695961</v>
      </c>
      <c r="AG135" s="7">
        <v>5.476717936381581E-2</v>
      </c>
      <c r="AH135" s="8">
        <v>0</v>
      </c>
      <c r="AI135" s="8">
        <v>1</v>
      </c>
      <c r="AJ135" s="8">
        <v>100</v>
      </c>
    </row>
    <row r="136" spans="1:37" x14ac:dyDescent="0.45">
      <c r="A136" s="6" t="s">
        <v>28</v>
      </c>
      <c r="B136" s="7">
        <v>0</v>
      </c>
      <c r="C136" s="7">
        <v>0</v>
      </c>
      <c r="D136" s="8">
        <v>0</v>
      </c>
      <c r="E136" s="8">
        <v>0</v>
      </c>
      <c r="F136" s="8">
        <v>28</v>
      </c>
      <c r="G136" s="7">
        <v>0</v>
      </c>
      <c r="H136" s="7">
        <v>0</v>
      </c>
      <c r="I136" s="8">
        <v>0</v>
      </c>
      <c r="J136" s="8">
        <v>0</v>
      </c>
      <c r="K136" s="8">
        <v>5</v>
      </c>
      <c r="L136" s="7">
        <v>0.73670174764328467</v>
      </c>
      <c r="M136" s="7">
        <v>0.11672516606515494</v>
      </c>
      <c r="N136" s="8">
        <v>0</v>
      </c>
      <c r="O136" s="8">
        <v>1</v>
      </c>
      <c r="P136" s="8">
        <v>16</v>
      </c>
      <c r="Q136" s="7">
        <v>0.63622677312988607</v>
      </c>
      <c r="R136" s="7">
        <v>0.12689047883012006</v>
      </c>
      <c r="S136" s="8">
        <v>0</v>
      </c>
      <c r="T136" s="8">
        <v>1</v>
      </c>
      <c r="U136" s="8">
        <v>19</v>
      </c>
      <c r="V136" s="7">
        <v>0.73611457017133053</v>
      </c>
      <c r="W136" s="7">
        <v>0.11141004702384433</v>
      </c>
      <c r="X136" s="8">
        <v>0</v>
      </c>
      <c r="Y136" s="8">
        <v>1</v>
      </c>
      <c r="Z136" s="8">
        <v>18</v>
      </c>
      <c r="AA136" s="7">
        <v>0.50250462712121191</v>
      </c>
      <c r="AB136" s="7">
        <v>0.15738307630952827</v>
      </c>
      <c r="AC136" s="8">
        <v>0</v>
      </c>
      <c r="AD136" s="8">
        <v>1</v>
      </c>
      <c r="AE136" s="8">
        <v>14</v>
      </c>
      <c r="AF136" s="7">
        <v>0.38609576035540805</v>
      </c>
      <c r="AG136" s="7">
        <v>6.5209352136426937E-2</v>
      </c>
      <c r="AH136" s="8">
        <v>0</v>
      </c>
      <c r="AI136" s="8">
        <v>1</v>
      </c>
      <c r="AJ136" s="8">
        <v>100</v>
      </c>
      <c r="AK136">
        <f>(AF138/AF137)-AF136</f>
        <v>0.19955069938044545</v>
      </c>
    </row>
    <row r="137" spans="1:37" ht="39.4" x14ac:dyDescent="0.45">
      <c r="A137" s="6" t="s">
        <v>16</v>
      </c>
      <c r="B137" s="7">
        <v>0.24021275260760397</v>
      </c>
      <c r="C137" s="7">
        <v>9.9804594593725232E-2</v>
      </c>
      <c r="D137" s="8">
        <v>0</v>
      </c>
      <c r="E137" s="8">
        <v>1</v>
      </c>
      <c r="F137" s="8">
        <v>28</v>
      </c>
      <c r="G137" s="7">
        <v>0.28413340654229741</v>
      </c>
      <c r="H137" s="7">
        <v>0.2635701019519151</v>
      </c>
      <c r="I137" s="8">
        <v>0</v>
      </c>
      <c r="J137" s="8">
        <v>1</v>
      </c>
      <c r="K137" s="8">
        <v>5</v>
      </c>
      <c r="L137" s="7">
        <v>1</v>
      </c>
      <c r="M137" s="7">
        <v>0</v>
      </c>
      <c r="N137" s="8">
        <v>1</v>
      </c>
      <c r="O137" s="8">
        <v>1</v>
      </c>
      <c r="P137" s="8">
        <v>16</v>
      </c>
      <c r="Q137" s="7">
        <v>0.85289731615094222</v>
      </c>
      <c r="R137" s="7">
        <v>0.10368836461541529</v>
      </c>
      <c r="S137" s="8">
        <v>0</v>
      </c>
      <c r="T137" s="8">
        <v>1</v>
      </c>
      <c r="U137" s="8">
        <v>19</v>
      </c>
      <c r="V137" s="7">
        <v>0.92129013297297091</v>
      </c>
      <c r="W137" s="7">
        <v>7.2142407889520602E-2</v>
      </c>
      <c r="X137" s="8">
        <v>0</v>
      </c>
      <c r="Y137" s="8">
        <v>1</v>
      </c>
      <c r="Z137" s="8">
        <v>18</v>
      </c>
      <c r="AA137" s="7">
        <v>0.69525614240739586</v>
      </c>
      <c r="AB137" s="7">
        <v>0.14429635514835867</v>
      </c>
      <c r="AC137" s="8">
        <v>0</v>
      </c>
      <c r="AD137" s="8">
        <v>1</v>
      </c>
      <c r="AE137" s="8">
        <v>14</v>
      </c>
      <c r="AF137" s="7">
        <v>0.63213682862253961</v>
      </c>
      <c r="AG137" s="7">
        <v>6.9040852741309167E-2</v>
      </c>
      <c r="AH137" s="8">
        <v>0</v>
      </c>
      <c r="AI137" s="8">
        <v>1</v>
      </c>
      <c r="AJ137" s="8">
        <v>100</v>
      </c>
      <c r="AK137">
        <f>(AF138/AF136)-AF137</f>
        <v>0.32671518107230024</v>
      </c>
    </row>
    <row r="138" spans="1:37" x14ac:dyDescent="0.45">
      <c r="A138" s="6" t="s">
        <v>74</v>
      </c>
      <c r="B138" s="7">
        <v>0</v>
      </c>
      <c r="C138" s="7">
        <v>0</v>
      </c>
      <c r="D138" s="8">
        <v>0</v>
      </c>
      <c r="E138" s="8">
        <v>0</v>
      </c>
      <c r="F138" s="8">
        <v>28</v>
      </c>
      <c r="G138" s="7">
        <v>0</v>
      </c>
      <c r="H138" s="7">
        <v>0</v>
      </c>
      <c r="I138" s="8">
        <v>0</v>
      </c>
      <c r="J138" s="8">
        <v>0</v>
      </c>
      <c r="K138" s="8">
        <v>5</v>
      </c>
      <c r="L138" s="7">
        <v>0.73670174764328467</v>
      </c>
      <c r="M138" s="7">
        <v>0.11672516606515494</v>
      </c>
      <c r="N138" s="8">
        <v>0</v>
      </c>
      <c r="O138" s="8">
        <v>1</v>
      </c>
      <c r="P138" s="8">
        <v>16</v>
      </c>
      <c r="Q138" s="7">
        <v>0.59050446342141161</v>
      </c>
      <c r="R138" s="7">
        <v>0.12946531983771967</v>
      </c>
      <c r="S138" s="8">
        <v>0</v>
      </c>
      <c r="T138" s="8">
        <v>1</v>
      </c>
      <c r="U138" s="8">
        <v>19</v>
      </c>
      <c r="V138" s="7">
        <v>0.65740470314430133</v>
      </c>
      <c r="W138" s="7">
        <v>0.12128351680551824</v>
      </c>
      <c r="X138" s="8">
        <v>0</v>
      </c>
      <c r="Y138" s="8">
        <v>1</v>
      </c>
      <c r="Z138" s="8">
        <v>18</v>
      </c>
      <c r="AA138" s="7">
        <v>0.40519637853929408</v>
      </c>
      <c r="AB138" s="7">
        <v>0.15592183090048387</v>
      </c>
      <c r="AC138" s="8">
        <v>0</v>
      </c>
      <c r="AD138" s="8">
        <v>1</v>
      </c>
      <c r="AE138" s="8">
        <v>14</v>
      </c>
      <c r="AF138" s="7">
        <v>0.37020869575144028</v>
      </c>
      <c r="AG138" s="7">
        <v>6.4711776352660955E-2</v>
      </c>
      <c r="AH138" s="8">
        <v>0</v>
      </c>
      <c r="AI138" s="8">
        <v>1</v>
      </c>
      <c r="AJ138" s="8">
        <v>100</v>
      </c>
    </row>
    <row r="139" spans="1:37" x14ac:dyDescent="0.45">
      <c r="A139" s="6" t="s">
        <v>28</v>
      </c>
      <c r="B139" s="7">
        <v>0</v>
      </c>
      <c r="C139" s="7">
        <v>0</v>
      </c>
      <c r="D139" s="8">
        <v>0</v>
      </c>
      <c r="E139" s="8">
        <v>0</v>
      </c>
      <c r="F139" s="8">
        <v>28</v>
      </c>
      <c r="G139" s="7">
        <v>0</v>
      </c>
      <c r="H139" s="7">
        <v>0</v>
      </c>
      <c r="I139" s="8">
        <v>0</v>
      </c>
      <c r="J139" s="8">
        <v>0</v>
      </c>
      <c r="K139" s="8">
        <v>5</v>
      </c>
      <c r="L139" s="7">
        <v>0.73670174764328467</v>
      </c>
      <c r="M139" s="7">
        <v>0.11672516606515494</v>
      </c>
      <c r="N139" s="8">
        <v>0</v>
      </c>
      <c r="O139" s="8">
        <v>1</v>
      </c>
      <c r="P139" s="8">
        <v>16</v>
      </c>
      <c r="Q139" s="7">
        <v>0.63622677312988607</v>
      </c>
      <c r="R139" s="7">
        <v>0.12689047883012006</v>
      </c>
      <c r="S139" s="8">
        <v>0</v>
      </c>
      <c r="T139" s="8">
        <v>1</v>
      </c>
      <c r="U139" s="8">
        <v>19</v>
      </c>
      <c r="V139" s="7">
        <v>0.73611457017133053</v>
      </c>
      <c r="W139" s="7">
        <v>0.11141004702384433</v>
      </c>
      <c r="X139" s="8">
        <v>0</v>
      </c>
      <c r="Y139" s="8">
        <v>1</v>
      </c>
      <c r="Z139" s="8">
        <v>18</v>
      </c>
      <c r="AA139" s="7">
        <v>0.50250462712121191</v>
      </c>
      <c r="AB139" s="7">
        <v>0.15738307630952827</v>
      </c>
      <c r="AC139" s="8">
        <v>0</v>
      </c>
      <c r="AD139" s="8">
        <v>1</v>
      </c>
      <c r="AE139" s="8">
        <v>14</v>
      </c>
      <c r="AF139" s="7">
        <v>0.38609576035540805</v>
      </c>
      <c r="AG139" s="7">
        <v>6.5209352136426937E-2</v>
      </c>
      <c r="AH139" s="8">
        <v>0</v>
      </c>
      <c r="AI139" s="8">
        <v>1</v>
      </c>
      <c r="AJ139" s="8">
        <v>100</v>
      </c>
      <c r="AK139">
        <f>(AF141/AF140)-AF139</f>
        <v>0.22652516708458348</v>
      </c>
    </row>
    <row r="140" spans="1:37" ht="39.4" x14ac:dyDescent="0.45">
      <c r="A140" s="6" t="s">
        <v>18</v>
      </c>
      <c r="B140" s="7">
        <v>0.14941160928574393</v>
      </c>
      <c r="C140" s="7">
        <v>7.3542009243322798E-2</v>
      </c>
      <c r="D140" s="8">
        <v>0</v>
      </c>
      <c r="E140" s="8">
        <v>1</v>
      </c>
      <c r="F140" s="8">
        <v>28</v>
      </c>
      <c r="G140" s="7">
        <v>0.28413340654229741</v>
      </c>
      <c r="H140" s="7">
        <v>0.2635701019519151</v>
      </c>
      <c r="I140" s="8">
        <v>0</v>
      </c>
      <c r="J140" s="8">
        <v>1</v>
      </c>
      <c r="K140" s="8">
        <v>5</v>
      </c>
      <c r="L140" s="7">
        <v>1</v>
      </c>
      <c r="M140" s="7">
        <v>0</v>
      </c>
      <c r="N140" s="8">
        <v>1</v>
      </c>
      <c r="O140" s="8">
        <v>1</v>
      </c>
      <c r="P140" s="8">
        <v>16</v>
      </c>
      <c r="Q140" s="7">
        <v>0.89861962585941668</v>
      </c>
      <c r="R140" s="7">
        <v>9.6845778169611332E-2</v>
      </c>
      <c r="S140" s="8">
        <v>0</v>
      </c>
      <c r="T140" s="8">
        <v>1</v>
      </c>
      <c r="U140" s="8">
        <v>19</v>
      </c>
      <c r="V140" s="7">
        <v>1</v>
      </c>
      <c r="W140" s="7">
        <v>0</v>
      </c>
      <c r="X140" s="8">
        <v>1</v>
      </c>
      <c r="Y140" s="8">
        <v>1</v>
      </c>
      <c r="Z140" s="8">
        <v>18</v>
      </c>
      <c r="AA140" s="7">
        <v>0.91590414556129873</v>
      </c>
      <c r="AB140" s="7">
        <v>5.7720093761496942E-2</v>
      </c>
      <c r="AC140" s="8">
        <v>0</v>
      </c>
      <c r="AD140" s="8">
        <v>1</v>
      </c>
      <c r="AE140" s="8">
        <v>14</v>
      </c>
      <c r="AF140" s="7">
        <v>0.63023599596706159</v>
      </c>
      <c r="AG140" s="7">
        <v>6.9774465060460464E-2</v>
      </c>
      <c r="AH140" s="8">
        <v>0</v>
      </c>
      <c r="AI140" s="8">
        <v>1</v>
      </c>
      <c r="AJ140" s="8">
        <v>100</v>
      </c>
      <c r="AK140">
        <f>(AF141/AF139)-AF140</f>
        <v>0.36976400403293841</v>
      </c>
    </row>
    <row r="141" spans="1:37" x14ac:dyDescent="0.45">
      <c r="A141" s="6" t="s">
        <v>75</v>
      </c>
      <c r="B141" s="7">
        <v>0</v>
      </c>
      <c r="C141" s="7">
        <v>0</v>
      </c>
      <c r="D141" s="8">
        <v>0</v>
      </c>
      <c r="E141" s="8">
        <v>0</v>
      </c>
      <c r="F141" s="8">
        <v>28</v>
      </c>
      <c r="G141" s="7">
        <v>0</v>
      </c>
      <c r="H141" s="7">
        <v>0</v>
      </c>
      <c r="I141" s="8">
        <v>0</v>
      </c>
      <c r="J141" s="8">
        <v>0</v>
      </c>
      <c r="K141" s="8">
        <v>5</v>
      </c>
      <c r="L141" s="7">
        <v>0.73670174764328467</v>
      </c>
      <c r="M141" s="7">
        <v>0.11672516606515494</v>
      </c>
      <c r="N141" s="8">
        <v>0</v>
      </c>
      <c r="O141" s="8">
        <v>1</v>
      </c>
      <c r="P141" s="8">
        <v>16</v>
      </c>
      <c r="Q141" s="7">
        <v>0.63622677312988607</v>
      </c>
      <c r="R141" s="7">
        <v>0.12689047883012006</v>
      </c>
      <c r="S141" s="8">
        <v>0</v>
      </c>
      <c r="T141" s="8">
        <v>1</v>
      </c>
      <c r="U141" s="8">
        <v>19</v>
      </c>
      <c r="V141" s="7">
        <v>0.73611457017133053</v>
      </c>
      <c r="W141" s="7">
        <v>0.11141004702384433</v>
      </c>
      <c r="X141" s="8">
        <v>0</v>
      </c>
      <c r="Y141" s="8">
        <v>1</v>
      </c>
      <c r="Z141" s="8">
        <v>18</v>
      </c>
      <c r="AA141" s="7">
        <v>0.50250462712121191</v>
      </c>
      <c r="AB141" s="7">
        <v>0.15738307630952827</v>
      </c>
      <c r="AC141" s="8">
        <v>0</v>
      </c>
      <c r="AD141" s="8">
        <v>1</v>
      </c>
      <c r="AE141" s="8">
        <v>14</v>
      </c>
      <c r="AF141" s="7">
        <v>0.38609576035540805</v>
      </c>
      <c r="AG141" s="7">
        <v>6.5209352136426937E-2</v>
      </c>
      <c r="AH141" s="8">
        <v>0</v>
      </c>
      <c r="AI141" s="8">
        <v>1</v>
      </c>
      <c r="AJ141" s="8">
        <v>100</v>
      </c>
    </row>
    <row r="142" spans="1:37" x14ac:dyDescent="0.45">
      <c r="A142" s="6" t="s">
        <v>28</v>
      </c>
      <c r="B142" s="7">
        <v>0</v>
      </c>
      <c r="C142" s="7">
        <v>0</v>
      </c>
      <c r="D142" s="8">
        <v>0</v>
      </c>
      <c r="E142" s="8">
        <v>0</v>
      </c>
      <c r="F142" s="8">
        <v>28</v>
      </c>
      <c r="G142" s="7">
        <v>0</v>
      </c>
      <c r="H142" s="7">
        <v>0</v>
      </c>
      <c r="I142" s="8">
        <v>0</v>
      </c>
      <c r="J142" s="8">
        <v>0</v>
      </c>
      <c r="K142" s="8">
        <v>5</v>
      </c>
      <c r="L142" s="7">
        <v>0.73670174764328467</v>
      </c>
      <c r="M142" s="7">
        <v>0.11672516606515494</v>
      </c>
      <c r="N142" s="8">
        <v>0</v>
      </c>
      <c r="O142" s="8">
        <v>1</v>
      </c>
      <c r="P142" s="8">
        <v>16</v>
      </c>
      <c r="Q142" s="7">
        <v>0.63622677312988607</v>
      </c>
      <c r="R142" s="7">
        <v>0.12689047883012006</v>
      </c>
      <c r="S142" s="8">
        <v>0</v>
      </c>
      <c r="T142" s="8">
        <v>1</v>
      </c>
      <c r="U142" s="8">
        <v>19</v>
      </c>
      <c r="V142" s="7">
        <v>0.73611457017133053</v>
      </c>
      <c r="W142" s="7">
        <v>0.11141004702384433</v>
      </c>
      <c r="X142" s="8">
        <v>0</v>
      </c>
      <c r="Y142" s="8">
        <v>1</v>
      </c>
      <c r="Z142" s="8">
        <v>18</v>
      </c>
      <c r="AA142" s="7">
        <v>0.50250462712121191</v>
      </c>
      <c r="AB142" s="7">
        <v>0.15738307630952827</v>
      </c>
      <c r="AC142" s="8">
        <v>0</v>
      </c>
      <c r="AD142" s="8">
        <v>1</v>
      </c>
      <c r="AE142" s="8">
        <v>14</v>
      </c>
      <c r="AF142" s="7">
        <v>0.38609576035540805</v>
      </c>
      <c r="AG142" s="7">
        <v>6.5209352136426937E-2</v>
      </c>
      <c r="AH142" s="8">
        <v>0</v>
      </c>
      <c r="AI142" s="8">
        <v>1</v>
      </c>
      <c r="AJ142" s="8">
        <v>100</v>
      </c>
      <c r="AK142">
        <f>(AF144/AF143)-AF142</f>
        <v>0.34678007876049266</v>
      </c>
    </row>
    <row r="143" spans="1:37" ht="39.4" x14ac:dyDescent="0.45">
      <c r="A143" s="6" t="s">
        <v>20</v>
      </c>
      <c r="B143" s="7">
        <v>0</v>
      </c>
      <c r="C143" s="7">
        <v>0</v>
      </c>
      <c r="D143" s="8">
        <v>0</v>
      </c>
      <c r="E143" s="8">
        <v>0</v>
      </c>
      <c r="F143" s="8">
        <v>28</v>
      </c>
      <c r="G143" s="7">
        <v>0</v>
      </c>
      <c r="H143" s="7">
        <v>0</v>
      </c>
      <c r="I143" s="8">
        <v>0</v>
      </c>
      <c r="J143" s="8">
        <v>0</v>
      </c>
      <c r="K143" s="8">
        <v>5</v>
      </c>
      <c r="L143" s="7">
        <v>1</v>
      </c>
      <c r="M143" s="7">
        <v>0</v>
      </c>
      <c r="N143" s="8">
        <v>1</v>
      </c>
      <c r="O143" s="8">
        <v>1</v>
      </c>
      <c r="P143" s="8">
        <v>16</v>
      </c>
      <c r="Q143" s="7">
        <v>0.61840113049179313</v>
      </c>
      <c r="R143" s="7">
        <v>0.13006566375416401</v>
      </c>
      <c r="S143" s="8">
        <v>0</v>
      </c>
      <c r="T143" s="8">
        <v>1</v>
      </c>
      <c r="U143" s="8">
        <v>19</v>
      </c>
      <c r="V143" s="7">
        <v>0.62484576595299168</v>
      </c>
      <c r="W143" s="7">
        <v>0.12235387804662534</v>
      </c>
      <c r="X143" s="8">
        <v>0</v>
      </c>
      <c r="Y143" s="8">
        <v>1</v>
      </c>
      <c r="Z143" s="8">
        <v>18</v>
      </c>
      <c r="AA143" s="7">
        <v>0.59238861673724996</v>
      </c>
      <c r="AB143" s="7">
        <v>0.15320552322461192</v>
      </c>
      <c r="AC143" s="8">
        <v>0</v>
      </c>
      <c r="AD143" s="8">
        <v>1</v>
      </c>
      <c r="AE143" s="8">
        <v>14</v>
      </c>
      <c r="AF143" s="7">
        <v>0.46705017304122987</v>
      </c>
      <c r="AG143" s="7">
        <v>6.8874379217115159E-2</v>
      </c>
      <c r="AH143" s="8">
        <v>0</v>
      </c>
      <c r="AI143" s="8">
        <v>1</v>
      </c>
      <c r="AJ143" s="8">
        <v>100</v>
      </c>
      <c r="AK143">
        <f>(AF144/AF142)-AF143</f>
        <v>0.41949099788935518</v>
      </c>
    </row>
    <row r="144" spans="1:37" x14ac:dyDescent="0.45">
      <c r="A144" s="6" t="s">
        <v>76</v>
      </c>
      <c r="B144" s="7">
        <v>0</v>
      </c>
      <c r="C144" s="7">
        <v>0</v>
      </c>
      <c r="D144" s="8">
        <v>0</v>
      </c>
      <c r="E144" s="8">
        <v>0</v>
      </c>
      <c r="F144" s="8">
        <v>28</v>
      </c>
      <c r="G144" s="7">
        <v>0</v>
      </c>
      <c r="H144" s="7">
        <v>0</v>
      </c>
      <c r="I144" s="8">
        <v>0</v>
      </c>
      <c r="J144" s="8">
        <v>0</v>
      </c>
      <c r="K144" s="8">
        <v>5</v>
      </c>
      <c r="L144" s="7">
        <v>0.73670174764328467</v>
      </c>
      <c r="M144" s="7">
        <v>0.11672516606515494</v>
      </c>
      <c r="N144" s="8">
        <v>0</v>
      </c>
      <c r="O144" s="8">
        <v>1</v>
      </c>
      <c r="P144" s="8">
        <v>16</v>
      </c>
      <c r="Q144" s="7">
        <v>0.46287618229039784</v>
      </c>
      <c r="R144" s="7">
        <v>0.13361173440833538</v>
      </c>
      <c r="S144" s="8">
        <v>0</v>
      </c>
      <c r="T144" s="8">
        <v>1</v>
      </c>
      <c r="U144" s="8">
        <v>19</v>
      </c>
      <c r="V144" s="7">
        <v>0.44789750994249389</v>
      </c>
      <c r="W144" s="7">
        <v>0.12800207271619471</v>
      </c>
      <c r="X144" s="8">
        <v>0</v>
      </c>
      <c r="Y144" s="8">
        <v>1</v>
      </c>
      <c r="Z144" s="8">
        <v>18</v>
      </c>
      <c r="AA144" s="7">
        <v>0.40519637853929408</v>
      </c>
      <c r="AB144" s="7">
        <v>0.15592183090048387</v>
      </c>
      <c r="AC144" s="8">
        <v>0</v>
      </c>
      <c r="AD144" s="8">
        <v>1</v>
      </c>
      <c r="AE144" s="8">
        <v>14</v>
      </c>
      <c r="AF144" s="7">
        <v>0.34228978747681799</v>
      </c>
      <c r="AG144" s="7">
        <v>6.3892221632521867E-2</v>
      </c>
      <c r="AH144" s="8">
        <v>0</v>
      </c>
      <c r="AI144" s="8">
        <v>1</v>
      </c>
      <c r="AJ144" s="8">
        <v>100</v>
      </c>
    </row>
    <row r="145" spans="1:37" x14ac:dyDescent="0.45">
      <c r="A145" s="6" t="s">
        <v>28</v>
      </c>
      <c r="B145" s="7">
        <v>0</v>
      </c>
      <c r="C145" s="7">
        <v>0</v>
      </c>
      <c r="D145" s="8">
        <v>0</v>
      </c>
      <c r="E145" s="8">
        <v>0</v>
      </c>
      <c r="F145" s="8">
        <v>28</v>
      </c>
      <c r="G145" s="7">
        <v>0</v>
      </c>
      <c r="H145" s="7">
        <v>0</v>
      </c>
      <c r="I145" s="8">
        <v>0</v>
      </c>
      <c r="J145" s="8">
        <v>0</v>
      </c>
      <c r="K145" s="8">
        <v>5</v>
      </c>
      <c r="L145" s="7">
        <v>0.73670174764328467</v>
      </c>
      <c r="M145" s="7">
        <v>0.11672516606515494</v>
      </c>
      <c r="N145" s="8">
        <v>0</v>
      </c>
      <c r="O145" s="8">
        <v>1</v>
      </c>
      <c r="P145" s="8">
        <v>16</v>
      </c>
      <c r="Q145" s="7">
        <v>0.63622677312988607</v>
      </c>
      <c r="R145" s="7">
        <v>0.12689047883012006</v>
      </c>
      <c r="S145" s="8">
        <v>0</v>
      </c>
      <c r="T145" s="8">
        <v>1</v>
      </c>
      <c r="U145" s="8">
        <v>19</v>
      </c>
      <c r="V145" s="7">
        <v>0.73611457017133053</v>
      </c>
      <c r="W145" s="7">
        <v>0.11141004702384433</v>
      </c>
      <c r="X145" s="8">
        <v>0</v>
      </c>
      <c r="Y145" s="8">
        <v>1</v>
      </c>
      <c r="Z145" s="8">
        <v>18</v>
      </c>
      <c r="AA145" s="7">
        <v>0.50250462712121191</v>
      </c>
      <c r="AB145" s="7">
        <v>0.15738307630952827</v>
      </c>
      <c r="AC145" s="8">
        <v>0</v>
      </c>
      <c r="AD145" s="8">
        <v>1</v>
      </c>
      <c r="AE145" s="8">
        <v>14</v>
      </c>
      <c r="AF145" s="7">
        <v>0.38609576035540805</v>
      </c>
      <c r="AG145" s="7">
        <v>6.5209352136426937E-2</v>
      </c>
      <c r="AH145" s="8">
        <v>0</v>
      </c>
      <c r="AI145" s="8">
        <v>1</v>
      </c>
      <c r="AJ145" s="8">
        <v>100</v>
      </c>
      <c r="AK145">
        <f>(AF147/AF146)-AF145</f>
        <v>0.1990834261119061</v>
      </c>
    </row>
    <row r="146" spans="1:37" ht="26.25" x14ac:dyDescent="0.45">
      <c r="A146" s="6" t="s">
        <v>22</v>
      </c>
      <c r="B146" s="7">
        <v>0.26984434576365129</v>
      </c>
      <c r="C146" s="7">
        <v>0.10088535446125156</v>
      </c>
      <c r="D146" s="8">
        <v>0</v>
      </c>
      <c r="E146" s="8">
        <v>1</v>
      </c>
      <c r="F146" s="8">
        <v>28</v>
      </c>
      <c r="G146" s="7">
        <v>0.28413340654229741</v>
      </c>
      <c r="H146" s="7">
        <v>0.2635701019519151</v>
      </c>
      <c r="I146" s="8">
        <v>0</v>
      </c>
      <c r="J146" s="8">
        <v>1</v>
      </c>
      <c r="K146" s="8">
        <v>5</v>
      </c>
      <c r="L146" s="7">
        <v>1</v>
      </c>
      <c r="M146" s="7">
        <v>0</v>
      </c>
      <c r="N146" s="8">
        <v>1</v>
      </c>
      <c r="O146" s="8">
        <v>1</v>
      </c>
      <c r="P146" s="8">
        <v>16</v>
      </c>
      <c r="Q146" s="7">
        <v>0.89861962585941668</v>
      </c>
      <c r="R146" s="7">
        <v>9.6845778169611332E-2</v>
      </c>
      <c r="S146" s="8">
        <v>0</v>
      </c>
      <c r="T146" s="8">
        <v>1</v>
      </c>
      <c r="U146" s="8">
        <v>19</v>
      </c>
      <c r="V146" s="7">
        <v>0.94505098249148323</v>
      </c>
      <c r="W146" s="7">
        <v>5.5165329624764066E-2</v>
      </c>
      <c r="X146" s="8">
        <v>0</v>
      </c>
      <c r="Y146" s="8">
        <v>1</v>
      </c>
      <c r="Z146" s="8">
        <v>18</v>
      </c>
      <c r="AA146" s="7">
        <v>0.91590414556129873</v>
      </c>
      <c r="AB146" s="7">
        <v>5.7720093761496942E-2</v>
      </c>
      <c r="AC146" s="8">
        <v>0</v>
      </c>
      <c r="AD146" s="8">
        <v>1</v>
      </c>
      <c r="AE146" s="8">
        <v>14</v>
      </c>
      <c r="AF146" s="7">
        <v>0.65979065777482815</v>
      </c>
      <c r="AG146" s="7">
        <v>6.9173406705135554E-2</v>
      </c>
      <c r="AH146" s="8">
        <v>0</v>
      </c>
      <c r="AI146" s="8">
        <v>1</v>
      </c>
      <c r="AJ146" s="8">
        <v>100</v>
      </c>
      <c r="AK146">
        <f>(AF147/AF145)-AF146</f>
        <v>0.34020934222517185</v>
      </c>
    </row>
    <row r="147" spans="1:37" x14ac:dyDescent="0.45">
      <c r="A147" s="6" t="s">
        <v>77</v>
      </c>
      <c r="B147" s="7">
        <v>0</v>
      </c>
      <c r="C147" s="7">
        <v>0</v>
      </c>
      <c r="D147" s="8">
        <v>0</v>
      </c>
      <c r="E147" s="8">
        <v>0</v>
      </c>
      <c r="F147" s="8">
        <v>28</v>
      </c>
      <c r="G147" s="7">
        <v>0</v>
      </c>
      <c r="H147" s="7">
        <v>0</v>
      </c>
      <c r="I147" s="8">
        <v>0</v>
      </c>
      <c r="J147" s="8">
        <v>0</v>
      </c>
      <c r="K147" s="8">
        <v>5</v>
      </c>
      <c r="L147" s="7">
        <v>0.73670174764328467</v>
      </c>
      <c r="M147" s="7">
        <v>0.11672516606515494</v>
      </c>
      <c r="N147" s="8">
        <v>0</v>
      </c>
      <c r="O147" s="8">
        <v>1</v>
      </c>
      <c r="P147" s="8">
        <v>16</v>
      </c>
      <c r="Q147" s="7">
        <v>0.63622677312988607</v>
      </c>
      <c r="R147" s="7">
        <v>0.12689047883012006</v>
      </c>
      <c r="S147" s="8">
        <v>0</v>
      </c>
      <c r="T147" s="8">
        <v>1</v>
      </c>
      <c r="U147" s="8">
        <v>19</v>
      </c>
      <c r="V147" s="7">
        <v>0.73611457017133053</v>
      </c>
      <c r="W147" s="7">
        <v>0.11141004702384433</v>
      </c>
      <c r="X147" s="8">
        <v>0</v>
      </c>
      <c r="Y147" s="8">
        <v>1</v>
      </c>
      <c r="Z147" s="8">
        <v>18</v>
      </c>
      <c r="AA147" s="7">
        <v>0.50250462712121191</v>
      </c>
      <c r="AB147" s="7">
        <v>0.15738307630952827</v>
      </c>
      <c r="AC147" s="8">
        <v>0</v>
      </c>
      <c r="AD147" s="8">
        <v>1</v>
      </c>
      <c r="AE147" s="8">
        <v>14</v>
      </c>
      <c r="AF147" s="7">
        <v>0.38609576035540805</v>
      </c>
      <c r="AG147" s="7">
        <v>6.5209352136426937E-2</v>
      </c>
      <c r="AH147" s="8">
        <v>0</v>
      </c>
      <c r="AI147" s="8">
        <v>1</v>
      </c>
      <c r="AJ147" s="8">
        <v>100</v>
      </c>
    </row>
    <row r="148" spans="1:37" x14ac:dyDescent="0.45">
      <c r="A148" s="6" t="s">
        <v>28</v>
      </c>
      <c r="B148" s="7">
        <v>0</v>
      </c>
      <c r="C148" s="7">
        <v>0</v>
      </c>
      <c r="D148" s="8">
        <v>0</v>
      </c>
      <c r="E148" s="8">
        <v>0</v>
      </c>
      <c r="F148" s="8">
        <v>28</v>
      </c>
      <c r="G148" s="7">
        <v>0</v>
      </c>
      <c r="H148" s="7">
        <v>0</v>
      </c>
      <c r="I148" s="8">
        <v>0</v>
      </c>
      <c r="J148" s="8">
        <v>0</v>
      </c>
      <c r="K148" s="8">
        <v>5</v>
      </c>
      <c r="L148" s="7">
        <v>0.73670174764328467</v>
      </c>
      <c r="M148" s="7">
        <v>0.11672516606515494</v>
      </c>
      <c r="N148" s="8">
        <v>0</v>
      </c>
      <c r="O148" s="8">
        <v>1</v>
      </c>
      <c r="P148" s="8">
        <v>16</v>
      </c>
      <c r="Q148" s="7">
        <v>0.63622677312988607</v>
      </c>
      <c r="R148" s="7">
        <v>0.12689047883012006</v>
      </c>
      <c r="S148" s="8">
        <v>0</v>
      </c>
      <c r="T148" s="8">
        <v>1</v>
      </c>
      <c r="U148" s="8">
        <v>19</v>
      </c>
      <c r="V148" s="7">
        <v>0.73611457017133053</v>
      </c>
      <c r="W148" s="7">
        <v>0.11141004702384433</v>
      </c>
      <c r="X148" s="8">
        <v>0</v>
      </c>
      <c r="Y148" s="8">
        <v>1</v>
      </c>
      <c r="Z148" s="8">
        <v>18</v>
      </c>
      <c r="AA148" s="7">
        <v>0.50250462712121191</v>
      </c>
      <c r="AB148" s="7">
        <v>0.15738307630952827</v>
      </c>
      <c r="AC148" s="8">
        <v>0</v>
      </c>
      <c r="AD148" s="8">
        <v>1</v>
      </c>
      <c r="AE148" s="8">
        <v>14</v>
      </c>
      <c r="AF148" s="7">
        <v>0.38609576035540805</v>
      </c>
      <c r="AG148" s="7">
        <v>6.5209352136426937E-2</v>
      </c>
      <c r="AH148" s="8">
        <v>0</v>
      </c>
      <c r="AI148" s="8">
        <v>1</v>
      </c>
      <c r="AJ148" s="8">
        <v>100</v>
      </c>
      <c r="AK148">
        <f>(AF150/AF149)-AF148</f>
        <v>0.20583214699831587</v>
      </c>
    </row>
    <row r="149" spans="1:37" ht="26.25" x14ac:dyDescent="0.45">
      <c r="A149" s="6" t="s">
        <v>24</v>
      </c>
      <c r="B149" s="7">
        <v>0.24021275260760397</v>
      </c>
      <c r="C149" s="7">
        <v>9.9804594593725232E-2</v>
      </c>
      <c r="D149" s="8">
        <v>0</v>
      </c>
      <c r="E149" s="8">
        <v>1</v>
      </c>
      <c r="F149" s="8">
        <v>28</v>
      </c>
      <c r="G149" s="7">
        <v>0.28413340654229741</v>
      </c>
      <c r="H149" s="7">
        <v>0.2635701019519151</v>
      </c>
      <c r="I149" s="8">
        <v>0</v>
      </c>
      <c r="J149" s="8">
        <v>1</v>
      </c>
      <c r="K149" s="8">
        <v>5</v>
      </c>
      <c r="L149" s="7">
        <v>1</v>
      </c>
      <c r="M149" s="7">
        <v>0</v>
      </c>
      <c r="N149" s="8">
        <v>1</v>
      </c>
      <c r="O149" s="8">
        <v>1</v>
      </c>
      <c r="P149" s="8">
        <v>16</v>
      </c>
      <c r="Q149" s="7">
        <v>0.89861962585941668</v>
      </c>
      <c r="R149" s="7">
        <v>9.6845778169611332E-2</v>
      </c>
      <c r="S149" s="8">
        <v>0</v>
      </c>
      <c r="T149" s="8">
        <v>1</v>
      </c>
      <c r="U149" s="8">
        <v>19</v>
      </c>
      <c r="V149" s="7">
        <v>0.86634111546445414</v>
      </c>
      <c r="W149" s="7">
        <v>8.7661072043173624E-2</v>
      </c>
      <c r="X149" s="8">
        <v>0</v>
      </c>
      <c r="Y149" s="8">
        <v>1</v>
      </c>
      <c r="Z149" s="8">
        <v>18</v>
      </c>
      <c r="AA149" s="7">
        <v>0.68542702638902031</v>
      </c>
      <c r="AB149" s="7">
        <v>0.14449500923918335</v>
      </c>
      <c r="AC149" s="8">
        <v>0</v>
      </c>
      <c r="AD149" s="8">
        <v>1</v>
      </c>
      <c r="AE149" s="8">
        <v>14</v>
      </c>
      <c r="AF149" s="7">
        <v>0.63320079073355351</v>
      </c>
      <c r="AG149" s="7">
        <v>6.9028775174729731E-2</v>
      </c>
      <c r="AH149" s="8">
        <v>0</v>
      </c>
      <c r="AI149" s="8">
        <v>1</v>
      </c>
      <c r="AJ149" s="8">
        <v>100</v>
      </c>
      <c r="AK149">
        <f>(AF150/AF148)-AF149</f>
        <v>0.33756671691433415</v>
      </c>
    </row>
    <row r="150" spans="1:37" x14ac:dyDescent="0.45">
      <c r="A150" s="6" t="s">
        <v>78</v>
      </c>
      <c r="B150" s="7">
        <v>0</v>
      </c>
      <c r="C150" s="7">
        <v>0</v>
      </c>
      <c r="D150" s="8">
        <v>0</v>
      </c>
      <c r="E150" s="8">
        <v>0</v>
      </c>
      <c r="F150" s="8">
        <v>28</v>
      </c>
      <c r="G150" s="7">
        <v>0</v>
      </c>
      <c r="H150" s="7">
        <v>0</v>
      </c>
      <c r="I150" s="8">
        <v>0</v>
      </c>
      <c r="J150" s="8">
        <v>0</v>
      </c>
      <c r="K150" s="8">
        <v>5</v>
      </c>
      <c r="L150" s="7">
        <v>0.73670174764328467</v>
      </c>
      <c r="M150" s="7">
        <v>0.11672516606515494</v>
      </c>
      <c r="N150" s="8">
        <v>0</v>
      </c>
      <c r="O150" s="8">
        <v>1</v>
      </c>
      <c r="P150" s="8">
        <v>16</v>
      </c>
      <c r="Q150" s="7">
        <v>0.63622677312988607</v>
      </c>
      <c r="R150" s="7">
        <v>0.12689047883012006</v>
      </c>
      <c r="S150" s="8">
        <v>0</v>
      </c>
      <c r="T150" s="8">
        <v>1</v>
      </c>
      <c r="U150" s="8">
        <v>19</v>
      </c>
      <c r="V150" s="7">
        <v>0.65740470314430133</v>
      </c>
      <c r="W150" s="7">
        <v>0.12128351680551824</v>
      </c>
      <c r="X150" s="8">
        <v>0</v>
      </c>
      <c r="Y150" s="8">
        <v>1</v>
      </c>
      <c r="Z150" s="8">
        <v>18</v>
      </c>
      <c r="AA150" s="7">
        <v>0.39536726252091853</v>
      </c>
      <c r="AB150" s="7">
        <v>0.15602191271342342</v>
      </c>
      <c r="AC150" s="8">
        <v>0</v>
      </c>
      <c r="AD150" s="8">
        <v>1</v>
      </c>
      <c r="AE150" s="8">
        <v>14</v>
      </c>
      <c r="AF150" s="7">
        <v>0.37480921899363556</v>
      </c>
      <c r="AG150" s="7">
        <v>6.4858410773656588E-2</v>
      </c>
      <c r="AH150" s="8">
        <v>0</v>
      </c>
      <c r="AI150" s="8">
        <v>1</v>
      </c>
      <c r="AJ150" s="8">
        <v>100</v>
      </c>
    </row>
    <row r="151" spans="1:37" x14ac:dyDescent="0.45">
      <c r="A151" s="6" t="s">
        <v>30</v>
      </c>
      <c r="B151" s="7">
        <v>0.13606196371960469</v>
      </c>
      <c r="C151" s="7">
        <v>6.8769928396153993E-2</v>
      </c>
      <c r="D151" s="8">
        <v>0</v>
      </c>
      <c r="E151" s="8">
        <v>1</v>
      </c>
      <c r="F151" s="8">
        <v>28</v>
      </c>
      <c r="G151" s="7">
        <v>0</v>
      </c>
      <c r="H151" s="7">
        <v>0</v>
      </c>
      <c r="I151" s="8">
        <v>0</v>
      </c>
      <c r="J151" s="8">
        <v>0</v>
      </c>
      <c r="K151" s="8">
        <v>5</v>
      </c>
      <c r="L151" s="7">
        <v>6.229053999852549E-2</v>
      </c>
      <c r="M151" s="7">
        <v>6.2400951743931066E-2</v>
      </c>
      <c r="N151" s="8">
        <v>0</v>
      </c>
      <c r="O151" s="8">
        <v>1</v>
      </c>
      <c r="P151" s="8">
        <v>16</v>
      </c>
      <c r="Q151" s="7">
        <v>0</v>
      </c>
      <c r="R151" s="7">
        <v>0</v>
      </c>
      <c r="S151" s="8">
        <v>0</v>
      </c>
      <c r="T151" s="8">
        <v>0</v>
      </c>
      <c r="U151" s="8">
        <v>19</v>
      </c>
      <c r="V151" s="7">
        <v>0.15550626739573795</v>
      </c>
      <c r="W151" s="7">
        <v>8.6631727868310957E-2</v>
      </c>
      <c r="X151" s="8">
        <v>0</v>
      </c>
      <c r="Y151" s="8">
        <v>1</v>
      </c>
      <c r="Z151" s="8">
        <v>18</v>
      </c>
      <c r="AA151" s="7">
        <v>0.14494874528348178</v>
      </c>
      <c r="AB151" s="7">
        <v>0.10516460199040556</v>
      </c>
      <c r="AC151" s="8">
        <v>0</v>
      </c>
      <c r="AD151" s="8">
        <v>1</v>
      </c>
      <c r="AE151" s="8">
        <v>14</v>
      </c>
      <c r="AF151" s="7">
        <v>7.5898831644268056E-2</v>
      </c>
      <c r="AG151" s="7">
        <v>2.9028505479072871E-2</v>
      </c>
      <c r="AH151" s="8">
        <v>0</v>
      </c>
      <c r="AI151" s="8">
        <v>1</v>
      </c>
      <c r="AJ151" s="8">
        <v>100</v>
      </c>
      <c r="AK151">
        <f>(AF153/AF152)-AF151</f>
        <v>5.6833730408976185E-2</v>
      </c>
    </row>
    <row r="152" spans="1:37" x14ac:dyDescent="0.45">
      <c r="A152" s="6" t="s">
        <v>32</v>
      </c>
      <c r="B152" s="7">
        <v>4.3768328287058816E-2</v>
      </c>
      <c r="C152" s="7">
        <v>3.9247563320719027E-2</v>
      </c>
      <c r="D152" s="8">
        <v>0</v>
      </c>
      <c r="E152" s="8">
        <v>1</v>
      </c>
      <c r="F152" s="8">
        <v>28</v>
      </c>
      <c r="G152" s="7">
        <v>0</v>
      </c>
      <c r="H152" s="7">
        <v>0</v>
      </c>
      <c r="I152" s="8">
        <v>0</v>
      </c>
      <c r="J152" s="8">
        <v>0</v>
      </c>
      <c r="K152" s="8">
        <v>5</v>
      </c>
      <c r="L152" s="7">
        <v>0.25436745431109598</v>
      </c>
      <c r="M152" s="7">
        <v>0.11399054354627695</v>
      </c>
      <c r="N152" s="8">
        <v>0</v>
      </c>
      <c r="O152" s="8">
        <v>1</v>
      </c>
      <c r="P152" s="8">
        <v>16</v>
      </c>
      <c r="Q152" s="7">
        <v>0.41381121420178746</v>
      </c>
      <c r="R152" s="7">
        <v>0.12969928853703966</v>
      </c>
      <c r="S152" s="8">
        <v>0</v>
      </c>
      <c r="T152" s="8">
        <v>1</v>
      </c>
      <c r="U152" s="8">
        <v>19</v>
      </c>
      <c r="V152" s="7">
        <v>0.23553150148432661</v>
      </c>
      <c r="W152" s="7">
        <v>0.10224133114104708</v>
      </c>
      <c r="X152" s="8">
        <v>0</v>
      </c>
      <c r="Y152" s="8">
        <v>1</v>
      </c>
      <c r="Z152" s="8">
        <v>18</v>
      </c>
      <c r="AA152" s="7">
        <v>0.62380644277621733</v>
      </c>
      <c r="AB152" s="7">
        <v>0.15335862727964425</v>
      </c>
      <c r="AC152" s="8">
        <v>0</v>
      </c>
      <c r="AD152" s="8">
        <v>1</v>
      </c>
      <c r="AE152" s="8">
        <v>14</v>
      </c>
      <c r="AF152" s="7">
        <v>0.19224039367404611</v>
      </c>
      <c r="AG152" s="7">
        <v>4.6779770209863396E-2</v>
      </c>
      <c r="AH152" s="8">
        <v>0</v>
      </c>
      <c r="AI152" s="8">
        <v>1</v>
      </c>
      <c r="AJ152" s="8">
        <v>100</v>
      </c>
      <c r="AK152">
        <f>(AF153/AF151)-AF152</f>
        <v>0.14395134247908165</v>
      </c>
    </row>
    <row r="153" spans="1:37" ht="26.25" x14ac:dyDescent="0.45">
      <c r="A153" s="6" t="s">
        <v>79</v>
      </c>
      <c r="B153" s="7">
        <v>3.8681402086712793E-2</v>
      </c>
      <c r="C153" s="7">
        <v>3.885572815340025E-2</v>
      </c>
      <c r="D153" s="8">
        <v>0</v>
      </c>
      <c r="E153" s="8">
        <v>1</v>
      </c>
      <c r="F153" s="8">
        <v>28</v>
      </c>
      <c r="G153" s="7">
        <v>0</v>
      </c>
      <c r="H153" s="7">
        <v>0</v>
      </c>
      <c r="I153" s="8">
        <v>0</v>
      </c>
      <c r="J153" s="8">
        <v>0</v>
      </c>
      <c r="K153" s="8">
        <v>5</v>
      </c>
      <c r="L153" s="7">
        <v>0</v>
      </c>
      <c r="M153" s="7">
        <v>0</v>
      </c>
      <c r="N153" s="8">
        <v>0</v>
      </c>
      <c r="O153" s="8">
        <v>0</v>
      </c>
      <c r="P153" s="8">
        <v>16</v>
      </c>
      <c r="Q153" s="7">
        <v>0</v>
      </c>
      <c r="R153" s="7">
        <v>0</v>
      </c>
      <c r="S153" s="8">
        <v>0</v>
      </c>
      <c r="T153" s="8">
        <v>0</v>
      </c>
      <c r="U153" s="8">
        <v>19</v>
      </c>
      <c r="V153" s="7">
        <v>0.10055724988722109</v>
      </c>
      <c r="W153" s="7">
        <v>7.0534767449922611E-2</v>
      </c>
      <c r="X153" s="8">
        <v>0</v>
      </c>
      <c r="Y153" s="8">
        <v>1</v>
      </c>
      <c r="Z153" s="8">
        <v>18</v>
      </c>
      <c r="AA153" s="7">
        <v>0.14494874528348178</v>
      </c>
      <c r="AB153" s="7">
        <v>0.10516460199040556</v>
      </c>
      <c r="AC153" s="8">
        <v>0</v>
      </c>
      <c r="AD153" s="8">
        <v>1</v>
      </c>
      <c r="AE153" s="8">
        <v>14</v>
      </c>
      <c r="AF153" s="7">
        <v>2.5516559982480428E-2</v>
      </c>
      <c r="AG153" s="7">
        <v>1.3382694244240231E-2</v>
      </c>
      <c r="AH153" s="8">
        <v>0</v>
      </c>
      <c r="AI153" s="8">
        <v>1</v>
      </c>
      <c r="AJ153" s="8">
        <v>100</v>
      </c>
    </row>
    <row r="154" spans="1:37" x14ac:dyDescent="0.45">
      <c r="A154" s="6" t="s">
        <v>30</v>
      </c>
      <c r="B154" s="7">
        <v>0.13606196371960469</v>
      </c>
      <c r="C154" s="7">
        <v>6.8769928396153993E-2</v>
      </c>
      <c r="D154" s="8">
        <v>0</v>
      </c>
      <c r="E154" s="8">
        <v>1</v>
      </c>
      <c r="F154" s="8">
        <v>28</v>
      </c>
      <c r="G154" s="7">
        <v>0</v>
      </c>
      <c r="H154" s="7">
        <v>0</v>
      </c>
      <c r="I154" s="8">
        <v>0</v>
      </c>
      <c r="J154" s="8">
        <v>0</v>
      </c>
      <c r="K154" s="8">
        <v>5</v>
      </c>
      <c r="L154" s="7">
        <v>6.229053999852549E-2</v>
      </c>
      <c r="M154" s="7">
        <v>6.2400951743931066E-2</v>
      </c>
      <c r="N154" s="8">
        <v>0</v>
      </c>
      <c r="O154" s="8">
        <v>1</v>
      </c>
      <c r="P154" s="8">
        <v>16</v>
      </c>
      <c r="Q154" s="7">
        <v>0</v>
      </c>
      <c r="R154" s="7">
        <v>0</v>
      </c>
      <c r="S154" s="8">
        <v>0</v>
      </c>
      <c r="T154" s="8">
        <v>0</v>
      </c>
      <c r="U154" s="8">
        <v>19</v>
      </c>
      <c r="V154" s="7">
        <v>0.15550626739573795</v>
      </c>
      <c r="W154" s="7">
        <v>8.6631727868310957E-2</v>
      </c>
      <c r="X154" s="8">
        <v>0</v>
      </c>
      <c r="Y154" s="8">
        <v>1</v>
      </c>
      <c r="Z154" s="8">
        <v>18</v>
      </c>
      <c r="AA154" s="7">
        <v>0.14494874528348178</v>
      </c>
      <c r="AB154" s="7">
        <v>0.10516460199040556</v>
      </c>
      <c r="AC154" s="8">
        <v>0</v>
      </c>
      <c r="AD154" s="8">
        <v>1</v>
      </c>
      <c r="AE154" s="8">
        <v>14</v>
      </c>
      <c r="AF154" s="7">
        <v>7.5898831644268056E-2</v>
      </c>
      <c r="AG154" s="7">
        <v>2.9028505479072871E-2</v>
      </c>
      <c r="AH154" s="8">
        <v>0</v>
      </c>
      <c r="AI154" s="8">
        <v>1</v>
      </c>
      <c r="AJ154" s="8">
        <v>100</v>
      </c>
      <c r="AK154">
        <f>(AF156/AF155)-AF154</f>
        <v>8.6527067623894532E-2</v>
      </c>
    </row>
    <row r="155" spans="1:37" x14ac:dyDescent="0.45">
      <c r="A155" s="6" t="s">
        <v>34</v>
      </c>
      <c r="B155" s="7">
        <v>5.0869262003460196E-3</v>
      </c>
      <c r="C155" s="7">
        <v>5.2833334995758627E-3</v>
      </c>
      <c r="D155" s="8">
        <v>0</v>
      </c>
      <c r="E155" s="8">
        <v>1</v>
      </c>
      <c r="F155" s="8">
        <v>28</v>
      </c>
      <c r="G155" s="7">
        <v>0</v>
      </c>
      <c r="H155" s="7">
        <v>0</v>
      </c>
      <c r="I155" s="8">
        <v>0</v>
      </c>
      <c r="J155" s="8">
        <v>0</v>
      </c>
      <c r="K155" s="8">
        <v>5</v>
      </c>
      <c r="L155" s="7">
        <v>6.2263124728341786E-2</v>
      </c>
      <c r="M155" s="7">
        <v>6.2375305389036399E-2</v>
      </c>
      <c r="N155" s="8">
        <v>0</v>
      </c>
      <c r="O155" s="8">
        <v>1</v>
      </c>
      <c r="P155" s="8">
        <v>16</v>
      </c>
      <c r="Q155" s="7">
        <v>0</v>
      </c>
      <c r="R155" s="7">
        <v>0</v>
      </c>
      <c r="S155" s="8">
        <v>0</v>
      </c>
      <c r="T155" s="8">
        <v>0</v>
      </c>
      <c r="U155" s="8">
        <v>19</v>
      </c>
      <c r="V155" s="7">
        <v>0.18749442370539304</v>
      </c>
      <c r="W155" s="7">
        <v>9.5653225655299184E-2</v>
      </c>
      <c r="X155" s="8">
        <v>0</v>
      </c>
      <c r="Y155" s="8">
        <v>1</v>
      </c>
      <c r="Z155" s="8">
        <v>18</v>
      </c>
      <c r="AA155" s="7">
        <v>0.10851687170393783</v>
      </c>
      <c r="AB155" s="7">
        <v>9.1959813331468687E-2</v>
      </c>
      <c r="AC155" s="8">
        <v>0</v>
      </c>
      <c r="AD155" s="8">
        <v>1</v>
      </c>
      <c r="AE155" s="8">
        <v>14</v>
      </c>
      <c r="AF155" s="7">
        <v>3.9845505914107161E-2</v>
      </c>
      <c r="AG155" s="7">
        <v>2.1780217848510454E-2</v>
      </c>
      <c r="AH155" s="8">
        <v>0</v>
      </c>
      <c r="AI155" s="8">
        <v>1</v>
      </c>
      <c r="AJ155" s="8">
        <v>100</v>
      </c>
      <c r="AK155">
        <f>(AF156/AF154)-AF155</f>
        <v>4.542513646188142E-2</v>
      </c>
    </row>
    <row r="156" spans="1:37" ht="26.25" x14ac:dyDescent="0.45">
      <c r="A156" s="6" t="s">
        <v>80</v>
      </c>
      <c r="B156" s="7">
        <v>0</v>
      </c>
      <c r="C156" s="7">
        <v>0</v>
      </c>
      <c r="D156" s="8">
        <v>0</v>
      </c>
      <c r="E156" s="8">
        <v>0</v>
      </c>
      <c r="F156" s="8">
        <v>28</v>
      </c>
      <c r="G156" s="7">
        <v>0</v>
      </c>
      <c r="H156" s="7">
        <v>0</v>
      </c>
      <c r="I156" s="8">
        <v>0</v>
      </c>
      <c r="J156" s="8">
        <v>0</v>
      </c>
      <c r="K156" s="8">
        <v>5</v>
      </c>
      <c r="L156" s="7">
        <v>0</v>
      </c>
      <c r="M156" s="7">
        <v>0</v>
      </c>
      <c r="N156" s="8">
        <v>0</v>
      </c>
      <c r="O156" s="8">
        <v>0</v>
      </c>
      <c r="P156" s="8">
        <v>16</v>
      </c>
      <c r="Q156" s="7">
        <v>0</v>
      </c>
      <c r="R156" s="7">
        <v>0</v>
      </c>
      <c r="S156" s="8">
        <v>0</v>
      </c>
      <c r="T156" s="8">
        <v>0</v>
      </c>
      <c r="U156" s="8">
        <v>19</v>
      </c>
      <c r="V156" s="7">
        <v>0.10055724988722109</v>
      </c>
      <c r="W156" s="7">
        <v>7.0534767449922611E-2</v>
      </c>
      <c r="X156" s="8">
        <v>0</v>
      </c>
      <c r="Y156" s="8">
        <v>1</v>
      </c>
      <c r="Z156" s="8">
        <v>18</v>
      </c>
      <c r="AA156" s="7">
        <v>0</v>
      </c>
      <c r="AB156" s="7">
        <v>0</v>
      </c>
      <c r="AC156" s="8">
        <v>0</v>
      </c>
      <c r="AD156" s="8">
        <v>0</v>
      </c>
      <c r="AE156" s="8">
        <v>14</v>
      </c>
      <c r="AF156" s="7">
        <v>6.4719421298937464E-3</v>
      </c>
      <c r="AG156" s="7">
        <v>4.6769186797021179E-3</v>
      </c>
      <c r="AH156" s="8">
        <v>0</v>
      </c>
      <c r="AI156" s="8">
        <v>1</v>
      </c>
      <c r="AJ156" s="8">
        <v>100</v>
      </c>
    </row>
    <row r="157" spans="1:37" x14ac:dyDescent="0.45">
      <c r="A157" s="6" t="s">
        <v>30</v>
      </c>
      <c r="B157" s="7">
        <v>0.13606196371960469</v>
      </c>
      <c r="C157" s="7">
        <v>6.8769928396153993E-2</v>
      </c>
      <c r="D157" s="8">
        <v>0</v>
      </c>
      <c r="E157" s="8">
        <v>1</v>
      </c>
      <c r="F157" s="8">
        <v>28</v>
      </c>
      <c r="G157" s="7">
        <v>0</v>
      </c>
      <c r="H157" s="7">
        <v>0</v>
      </c>
      <c r="I157" s="8">
        <v>0</v>
      </c>
      <c r="J157" s="8">
        <v>0</v>
      </c>
      <c r="K157" s="8">
        <v>5</v>
      </c>
      <c r="L157" s="7">
        <v>6.229053999852549E-2</v>
      </c>
      <c r="M157" s="7">
        <v>6.2400951743931066E-2</v>
      </c>
      <c r="N157" s="8">
        <v>0</v>
      </c>
      <c r="O157" s="8">
        <v>1</v>
      </c>
      <c r="P157" s="8">
        <v>16</v>
      </c>
      <c r="Q157" s="7">
        <v>0</v>
      </c>
      <c r="R157" s="7">
        <v>0</v>
      </c>
      <c r="S157" s="8">
        <v>0</v>
      </c>
      <c r="T157" s="8">
        <v>0</v>
      </c>
      <c r="U157" s="8">
        <v>19</v>
      </c>
      <c r="V157" s="7">
        <v>0.15550626739573795</v>
      </c>
      <c r="W157" s="7">
        <v>8.6631727868310957E-2</v>
      </c>
      <c r="X157" s="8">
        <v>0</v>
      </c>
      <c r="Y157" s="8">
        <v>1</v>
      </c>
      <c r="Z157" s="8">
        <v>18</v>
      </c>
      <c r="AA157" s="7">
        <v>0.14494874528348178</v>
      </c>
      <c r="AB157" s="7">
        <v>0.10516460199040556</v>
      </c>
      <c r="AC157" s="8">
        <v>0</v>
      </c>
      <c r="AD157" s="8">
        <v>1</v>
      </c>
      <c r="AE157" s="8">
        <v>14</v>
      </c>
      <c r="AF157" s="7">
        <v>7.5898831644268056E-2</v>
      </c>
      <c r="AG157" s="7">
        <v>2.9028505479072871E-2</v>
      </c>
      <c r="AH157" s="8">
        <v>0</v>
      </c>
      <c r="AI157" s="8">
        <v>1</v>
      </c>
      <c r="AJ157" s="8">
        <v>100</v>
      </c>
      <c r="AK157">
        <f>(AF159/AF158)-AF157</f>
        <v>7.9515181692838471E-2</v>
      </c>
    </row>
    <row r="158" spans="1:37" x14ac:dyDescent="0.45">
      <c r="A158" s="6" t="s">
        <v>36</v>
      </c>
      <c r="B158" s="7">
        <v>0.75033349718812381</v>
      </c>
      <c r="C158" s="7">
        <v>0.11113628937183456</v>
      </c>
      <c r="D158" s="8">
        <v>0</v>
      </c>
      <c r="E158" s="8">
        <v>1</v>
      </c>
      <c r="F158" s="8">
        <v>28</v>
      </c>
      <c r="G158" s="7">
        <v>0.69890286206955909</v>
      </c>
      <c r="H158" s="7">
        <v>0.26064905237909602</v>
      </c>
      <c r="I158" s="8">
        <v>0</v>
      </c>
      <c r="J158" s="8">
        <v>1</v>
      </c>
      <c r="K158" s="8">
        <v>5</v>
      </c>
      <c r="L158" s="7">
        <v>7.6528749224782755E-2</v>
      </c>
      <c r="M158" s="7">
        <v>6.4008315307330796E-2</v>
      </c>
      <c r="N158" s="8">
        <v>0</v>
      </c>
      <c r="O158" s="8">
        <v>1</v>
      </c>
      <c r="P158" s="8">
        <v>16</v>
      </c>
      <c r="Q158" s="7">
        <v>0.13638212532932661</v>
      </c>
      <c r="R158" s="7">
        <v>0.12489587163927413</v>
      </c>
      <c r="S158" s="8">
        <v>0</v>
      </c>
      <c r="T158" s="8">
        <v>1</v>
      </c>
      <c r="U158" s="8">
        <v>19</v>
      </c>
      <c r="V158" s="7">
        <v>0.35584441822330487</v>
      </c>
      <c r="W158" s="7">
        <v>0.12202753204157965</v>
      </c>
      <c r="X158" s="8">
        <v>0</v>
      </c>
      <c r="Y158" s="8">
        <v>1</v>
      </c>
      <c r="Z158" s="8">
        <v>18</v>
      </c>
      <c r="AA158" s="7">
        <v>0.74429546837714122</v>
      </c>
      <c r="AB158" s="7">
        <v>0.12930236493328284</v>
      </c>
      <c r="AC158" s="8">
        <v>0</v>
      </c>
      <c r="AD158" s="8">
        <v>1</v>
      </c>
      <c r="AE158" s="8">
        <v>14</v>
      </c>
      <c r="AF158" s="7">
        <v>0.42925514319553509</v>
      </c>
      <c r="AG158" s="7">
        <v>6.917480911456024E-2</v>
      </c>
      <c r="AH158" s="8">
        <v>0</v>
      </c>
      <c r="AI158" s="8">
        <v>1</v>
      </c>
      <c r="AJ158" s="8">
        <v>100</v>
      </c>
      <c r="AK158">
        <f>(AF159/AF157)-AF158</f>
        <v>0.44970785405174368</v>
      </c>
    </row>
    <row r="159" spans="1:37" ht="26.25" x14ac:dyDescent="0.45">
      <c r="A159" s="6" t="s">
        <v>81</v>
      </c>
      <c r="B159" s="7">
        <v>0.13606196371960469</v>
      </c>
      <c r="C159" s="7">
        <v>6.8769928396153993E-2</v>
      </c>
      <c r="D159" s="8">
        <v>0</v>
      </c>
      <c r="E159" s="8">
        <v>1</v>
      </c>
      <c r="F159" s="8">
        <v>28</v>
      </c>
      <c r="G159" s="7">
        <v>0</v>
      </c>
      <c r="H159" s="7">
        <v>0</v>
      </c>
      <c r="I159" s="8">
        <v>0</v>
      </c>
      <c r="J159" s="8">
        <v>0</v>
      </c>
      <c r="K159" s="8">
        <v>5</v>
      </c>
      <c r="L159" s="7">
        <v>6.229053999852549E-2</v>
      </c>
      <c r="M159" s="7">
        <v>6.2400951743931066E-2</v>
      </c>
      <c r="N159" s="8">
        <v>0</v>
      </c>
      <c r="O159" s="8">
        <v>1</v>
      </c>
      <c r="P159" s="8">
        <v>16</v>
      </c>
      <c r="Q159" s="7">
        <v>0</v>
      </c>
      <c r="R159" s="7">
        <v>0</v>
      </c>
      <c r="S159" s="8">
        <v>0</v>
      </c>
      <c r="T159" s="8">
        <v>0</v>
      </c>
      <c r="U159" s="8">
        <v>19</v>
      </c>
      <c r="V159" s="7">
        <v>0.10055724988722109</v>
      </c>
      <c r="W159" s="7">
        <v>7.0534767449922611E-2</v>
      </c>
      <c r="X159" s="8">
        <v>0</v>
      </c>
      <c r="Y159" s="8">
        <v>1</v>
      </c>
      <c r="Z159" s="8">
        <v>18</v>
      </c>
      <c r="AA159" s="7">
        <v>4.764049670156395E-2</v>
      </c>
      <c r="AB159" s="7">
        <v>4.9359055712450209E-2</v>
      </c>
      <c r="AC159" s="8">
        <v>0</v>
      </c>
      <c r="AD159" s="8">
        <v>1</v>
      </c>
      <c r="AE159" s="8">
        <v>14</v>
      </c>
      <c r="AF159" s="7">
        <v>6.671226454961246E-2</v>
      </c>
      <c r="AG159" s="7">
        <v>2.8181150322258066E-2</v>
      </c>
      <c r="AH159" s="8">
        <v>0</v>
      </c>
      <c r="AI159" s="8">
        <v>1</v>
      </c>
      <c r="AJ159" s="8">
        <v>100</v>
      </c>
    </row>
    <row r="160" spans="1:37" x14ac:dyDescent="0.45">
      <c r="A160" s="6" t="s">
        <v>30</v>
      </c>
      <c r="B160" s="7">
        <v>0.13606196371960469</v>
      </c>
      <c r="C160" s="7">
        <v>6.8769928396153993E-2</v>
      </c>
      <c r="D160" s="8">
        <v>0</v>
      </c>
      <c r="E160" s="8">
        <v>1</v>
      </c>
      <c r="F160" s="8">
        <v>28</v>
      </c>
      <c r="G160" s="7">
        <v>0</v>
      </c>
      <c r="H160" s="7">
        <v>0</v>
      </c>
      <c r="I160" s="8">
        <v>0</v>
      </c>
      <c r="J160" s="8">
        <v>0</v>
      </c>
      <c r="K160" s="8">
        <v>5</v>
      </c>
      <c r="L160" s="7">
        <v>6.229053999852549E-2</v>
      </c>
      <c r="M160" s="7">
        <v>6.2400951743931066E-2</v>
      </c>
      <c r="N160" s="8">
        <v>0</v>
      </c>
      <c r="O160" s="8">
        <v>1</v>
      </c>
      <c r="P160" s="8">
        <v>16</v>
      </c>
      <c r="Q160" s="7">
        <v>0</v>
      </c>
      <c r="R160" s="7">
        <v>0</v>
      </c>
      <c r="S160" s="8">
        <v>0</v>
      </c>
      <c r="T160" s="8">
        <v>0</v>
      </c>
      <c r="U160" s="8">
        <v>19</v>
      </c>
      <c r="V160" s="7">
        <v>0.15550626739573795</v>
      </c>
      <c r="W160" s="7">
        <v>8.6631727868310957E-2</v>
      </c>
      <c r="X160" s="8">
        <v>0</v>
      </c>
      <c r="Y160" s="8">
        <v>1</v>
      </c>
      <c r="Z160" s="8">
        <v>18</v>
      </c>
      <c r="AA160" s="7">
        <v>0.14494874528348178</v>
      </c>
      <c r="AB160" s="7">
        <v>0.10516460199040556</v>
      </c>
      <c r="AC160" s="8">
        <v>0</v>
      </c>
      <c r="AD160" s="8">
        <v>1</v>
      </c>
      <c r="AE160" s="8">
        <v>14</v>
      </c>
      <c r="AF160" s="7">
        <v>7.5898831644268056E-2</v>
      </c>
      <c r="AG160" s="7">
        <v>2.9028505479072871E-2</v>
      </c>
      <c r="AH160" s="8">
        <v>0</v>
      </c>
      <c r="AI160" s="8">
        <v>1</v>
      </c>
      <c r="AJ160" s="8">
        <v>100</v>
      </c>
      <c r="AK160">
        <f>(AF162/AF161)-AF160</f>
        <v>2.0283306543756596E-3</v>
      </c>
    </row>
    <row r="161" spans="1:37" ht="26.25" x14ac:dyDescent="0.45">
      <c r="A161" s="6" t="s">
        <v>38</v>
      </c>
      <c r="B161" s="7">
        <v>0</v>
      </c>
      <c r="C161" s="7">
        <v>0</v>
      </c>
      <c r="D161" s="8">
        <v>0</v>
      </c>
      <c r="E161" s="8">
        <v>0</v>
      </c>
      <c r="F161" s="8">
        <v>28</v>
      </c>
      <c r="G161" s="7">
        <v>0</v>
      </c>
      <c r="H161" s="7">
        <v>0</v>
      </c>
      <c r="I161" s="8">
        <v>0</v>
      </c>
      <c r="J161" s="8">
        <v>0</v>
      </c>
      <c r="K161" s="8">
        <v>5</v>
      </c>
      <c r="L161" s="7">
        <v>0.93129216535876924</v>
      </c>
      <c r="M161" s="7">
        <v>6.8358528251634604E-2</v>
      </c>
      <c r="N161" s="8">
        <v>0</v>
      </c>
      <c r="O161" s="8">
        <v>1</v>
      </c>
      <c r="P161" s="8">
        <v>16</v>
      </c>
      <c r="Q161" s="7">
        <v>0.23215855473296679</v>
      </c>
      <c r="R161" s="7">
        <v>9.9015389508305698E-2</v>
      </c>
      <c r="S161" s="8">
        <v>0</v>
      </c>
      <c r="T161" s="8">
        <v>1</v>
      </c>
      <c r="U161" s="8">
        <v>19</v>
      </c>
      <c r="V161" s="7">
        <v>0.47441656189365872</v>
      </c>
      <c r="W161" s="7">
        <v>0.1275876604219422</v>
      </c>
      <c r="X161" s="8">
        <v>0</v>
      </c>
      <c r="Y161" s="8">
        <v>1</v>
      </c>
      <c r="Z161" s="8">
        <v>18</v>
      </c>
      <c r="AA161" s="7">
        <v>0.50100347893857933</v>
      </c>
      <c r="AB161" s="7">
        <v>0.15741214876712428</v>
      </c>
      <c r="AC161" s="8">
        <v>0</v>
      </c>
      <c r="AD161" s="8">
        <v>1</v>
      </c>
      <c r="AE161" s="8">
        <v>14</v>
      </c>
      <c r="AF161" s="7">
        <v>0.38621991000499384</v>
      </c>
      <c r="AG161" s="7">
        <v>6.6639473541989111E-2</v>
      </c>
      <c r="AH161" s="8">
        <v>0</v>
      </c>
      <c r="AI161" s="8">
        <v>1</v>
      </c>
      <c r="AJ161" s="8">
        <v>100</v>
      </c>
      <c r="AK161">
        <f>(AF162/AF160)-AF161</f>
        <v>1.03213931732834E-2</v>
      </c>
    </row>
    <row r="162" spans="1:37" ht="39.4" x14ac:dyDescent="0.45">
      <c r="A162" s="6" t="s">
        <v>82</v>
      </c>
      <c r="B162" s="7">
        <v>0</v>
      </c>
      <c r="C162" s="7">
        <v>0</v>
      </c>
      <c r="D162" s="8">
        <v>0</v>
      </c>
      <c r="E162" s="8">
        <v>0</v>
      </c>
      <c r="F162" s="8">
        <v>28</v>
      </c>
      <c r="G162" s="7">
        <v>0</v>
      </c>
      <c r="H162" s="7">
        <v>0</v>
      </c>
      <c r="I162" s="8">
        <v>0</v>
      </c>
      <c r="J162" s="8">
        <v>0</v>
      </c>
      <c r="K162" s="8">
        <v>5</v>
      </c>
      <c r="L162" s="7">
        <v>6.229053999852549E-2</v>
      </c>
      <c r="M162" s="7">
        <v>6.2400951743931066E-2</v>
      </c>
      <c r="N162" s="8">
        <v>0</v>
      </c>
      <c r="O162" s="8">
        <v>1</v>
      </c>
      <c r="P162" s="8">
        <v>16</v>
      </c>
      <c r="Q162" s="7">
        <v>0</v>
      </c>
      <c r="R162" s="7">
        <v>0</v>
      </c>
      <c r="S162" s="8">
        <v>0</v>
      </c>
      <c r="T162" s="8">
        <v>0</v>
      </c>
      <c r="U162" s="8">
        <v>19</v>
      </c>
      <c r="V162" s="7">
        <v>0.15550626739573795</v>
      </c>
      <c r="W162" s="7">
        <v>8.6631727868310957E-2</v>
      </c>
      <c r="X162" s="8">
        <v>0</v>
      </c>
      <c r="Y162" s="8">
        <v>1</v>
      </c>
      <c r="Z162" s="8">
        <v>18</v>
      </c>
      <c r="AA162" s="7">
        <v>0</v>
      </c>
      <c r="AB162" s="7">
        <v>0</v>
      </c>
      <c r="AC162" s="8">
        <v>0</v>
      </c>
      <c r="AD162" s="8">
        <v>0</v>
      </c>
      <c r="AE162" s="8">
        <v>14</v>
      </c>
      <c r="AF162" s="7">
        <v>3.0097021609926722E-2</v>
      </c>
      <c r="AG162" s="7">
        <v>2.0798765824429265E-2</v>
      </c>
      <c r="AH162" s="8">
        <v>0</v>
      </c>
      <c r="AI162" s="8">
        <v>1</v>
      </c>
      <c r="AJ162" s="8">
        <v>100</v>
      </c>
    </row>
    <row r="163" spans="1:37" x14ac:dyDescent="0.45">
      <c r="A163" s="6" t="s">
        <v>30</v>
      </c>
      <c r="B163" s="7">
        <v>0.13606196371960469</v>
      </c>
      <c r="C163" s="7">
        <v>6.8769928396153993E-2</v>
      </c>
      <c r="D163" s="8">
        <v>0</v>
      </c>
      <c r="E163" s="8">
        <v>1</v>
      </c>
      <c r="F163" s="8">
        <v>28</v>
      </c>
      <c r="G163" s="7">
        <v>0</v>
      </c>
      <c r="H163" s="7">
        <v>0</v>
      </c>
      <c r="I163" s="8">
        <v>0</v>
      </c>
      <c r="J163" s="8">
        <v>0</v>
      </c>
      <c r="K163" s="8">
        <v>5</v>
      </c>
      <c r="L163" s="7">
        <v>6.229053999852549E-2</v>
      </c>
      <c r="M163" s="7">
        <v>6.2400951743931066E-2</v>
      </c>
      <c r="N163" s="8">
        <v>0</v>
      </c>
      <c r="O163" s="8">
        <v>1</v>
      </c>
      <c r="P163" s="8">
        <v>16</v>
      </c>
      <c r="Q163" s="7">
        <v>0</v>
      </c>
      <c r="R163" s="7">
        <v>0</v>
      </c>
      <c r="S163" s="8">
        <v>0</v>
      </c>
      <c r="T163" s="8">
        <v>0</v>
      </c>
      <c r="U163" s="8">
        <v>19</v>
      </c>
      <c r="V163" s="7">
        <v>0.15550626739573795</v>
      </c>
      <c r="W163" s="7">
        <v>8.6631727868310957E-2</v>
      </c>
      <c r="X163" s="8">
        <v>0</v>
      </c>
      <c r="Y163" s="8">
        <v>1</v>
      </c>
      <c r="Z163" s="8">
        <v>18</v>
      </c>
      <c r="AA163" s="7">
        <v>0.14494874528348178</v>
      </c>
      <c r="AB163" s="7">
        <v>0.10516460199040556</v>
      </c>
      <c r="AC163" s="8">
        <v>0</v>
      </c>
      <c r="AD163" s="8">
        <v>1</v>
      </c>
      <c r="AE163" s="8">
        <v>14</v>
      </c>
      <c r="AF163" s="7">
        <v>7.5898831644268056E-2</v>
      </c>
      <c r="AG163" s="7">
        <v>2.9028505479072871E-2</v>
      </c>
      <c r="AH163" s="8">
        <v>0</v>
      </c>
      <c r="AI163" s="8">
        <v>1</v>
      </c>
      <c r="AJ163" s="8">
        <v>100</v>
      </c>
      <c r="AK163">
        <f>(AF165/AF164)-AF163</f>
        <v>-6.5939672534372218E-4</v>
      </c>
    </row>
    <row r="164" spans="1:37" x14ac:dyDescent="0.45">
      <c r="A164" s="6" t="s">
        <v>40</v>
      </c>
      <c r="B164" s="7">
        <v>0.24021275260760397</v>
      </c>
      <c r="C164" s="7">
        <v>9.9804594593725232E-2</v>
      </c>
      <c r="D164" s="8">
        <v>0</v>
      </c>
      <c r="E164" s="8">
        <v>1</v>
      </c>
      <c r="F164" s="8">
        <v>28</v>
      </c>
      <c r="G164" s="7">
        <v>0.28413340654229741</v>
      </c>
      <c r="H164" s="7">
        <v>0.2635701019519151</v>
      </c>
      <c r="I164" s="8">
        <v>0</v>
      </c>
      <c r="J164" s="8">
        <v>1</v>
      </c>
      <c r="K164" s="8">
        <v>5</v>
      </c>
      <c r="L164" s="7">
        <v>1</v>
      </c>
      <c r="M164" s="7">
        <v>0</v>
      </c>
      <c r="N164" s="8">
        <v>1</v>
      </c>
      <c r="O164" s="8">
        <v>1</v>
      </c>
      <c r="P164" s="8">
        <v>16</v>
      </c>
      <c r="Q164" s="7">
        <v>0.85289731615094222</v>
      </c>
      <c r="R164" s="7">
        <v>0.10368836461541529</v>
      </c>
      <c r="S164" s="8">
        <v>0</v>
      </c>
      <c r="T164" s="8">
        <v>1</v>
      </c>
      <c r="U164" s="8">
        <v>19</v>
      </c>
      <c r="V164" s="7">
        <v>0.86634111546445414</v>
      </c>
      <c r="W164" s="7">
        <v>8.7661072043173624E-2</v>
      </c>
      <c r="X164" s="8">
        <v>0</v>
      </c>
      <c r="Y164" s="8">
        <v>1</v>
      </c>
      <c r="Z164" s="8">
        <v>18</v>
      </c>
      <c r="AA164" s="7">
        <v>0.68542702638902031</v>
      </c>
      <c r="AB164" s="7">
        <v>0.14449500923918335</v>
      </c>
      <c r="AC164" s="8">
        <v>0</v>
      </c>
      <c r="AD164" s="8">
        <v>1</v>
      </c>
      <c r="AE164" s="8">
        <v>14</v>
      </c>
      <c r="AF164" s="7">
        <v>0.62802955981828001</v>
      </c>
      <c r="AG164" s="7">
        <v>6.9009852430896662E-2</v>
      </c>
      <c r="AH164" s="8">
        <v>0</v>
      </c>
      <c r="AI164" s="8">
        <v>1</v>
      </c>
      <c r="AJ164" s="8">
        <v>100</v>
      </c>
      <c r="AK164">
        <f>(AF165/AF163)-AF164</f>
        <v>-5.4562188401553469E-3</v>
      </c>
    </row>
    <row r="165" spans="1:37" ht="26.25" x14ac:dyDescent="0.45">
      <c r="A165" s="6" t="s">
        <v>83</v>
      </c>
      <c r="B165" s="7">
        <v>7.5307270729204137E-2</v>
      </c>
      <c r="C165" s="7">
        <v>5.2874876137547031E-2</v>
      </c>
      <c r="D165" s="8">
        <v>0</v>
      </c>
      <c r="E165" s="8">
        <v>1</v>
      </c>
      <c r="F165" s="8">
        <v>28</v>
      </c>
      <c r="G165" s="7">
        <v>0</v>
      </c>
      <c r="H165" s="7">
        <v>0</v>
      </c>
      <c r="I165" s="8">
        <v>0</v>
      </c>
      <c r="J165" s="8">
        <v>0</v>
      </c>
      <c r="K165" s="8">
        <v>5</v>
      </c>
      <c r="L165" s="7">
        <v>6.229053999852549E-2</v>
      </c>
      <c r="M165" s="7">
        <v>6.2400951743931066E-2</v>
      </c>
      <c r="N165" s="8">
        <v>0</v>
      </c>
      <c r="O165" s="8">
        <v>1</v>
      </c>
      <c r="P165" s="8">
        <v>16</v>
      </c>
      <c r="Q165" s="7">
        <v>0</v>
      </c>
      <c r="R165" s="7">
        <v>0</v>
      </c>
      <c r="S165" s="8">
        <v>0</v>
      </c>
      <c r="T165" s="8">
        <v>0</v>
      </c>
      <c r="U165" s="8">
        <v>19</v>
      </c>
      <c r="V165" s="7">
        <v>0.10055724988722109</v>
      </c>
      <c r="W165" s="7">
        <v>7.0534767449922611E-2</v>
      </c>
      <c r="X165" s="8">
        <v>0</v>
      </c>
      <c r="Y165" s="8">
        <v>1</v>
      </c>
      <c r="Z165" s="8">
        <v>18</v>
      </c>
      <c r="AA165" s="7">
        <v>0</v>
      </c>
      <c r="AB165" s="7">
        <v>0</v>
      </c>
      <c r="AC165" s="8">
        <v>0</v>
      </c>
      <c r="AD165" s="8">
        <v>0</v>
      </c>
      <c r="AE165" s="8">
        <v>14</v>
      </c>
      <c r="AF165" s="7">
        <v>4.7252589193108173E-2</v>
      </c>
      <c r="AG165" s="7">
        <v>2.5053882271898576E-2</v>
      </c>
      <c r="AH165" s="8">
        <v>0</v>
      </c>
      <c r="AI165" s="8">
        <v>1</v>
      </c>
      <c r="AJ165" s="8">
        <v>100</v>
      </c>
    </row>
    <row r="166" spans="1:37" x14ac:dyDescent="0.45">
      <c r="A166" s="6" t="s">
        <v>30</v>
      </c>
      <c r="B166" s="7">
        <v>0.13606196371960469</v>
      </c>
      <c r="C166" s="7">
        <v>6.8769928396153993E-2</v>
      </c>
      <c r="D166" s="8">
        <v>0</v>
      </c>
      <c r="E166" s="8">
        <v>1</v>
      </c>
      <c r="F166" s="8">
        <v>28</v>
      </c>
      <c r="G166" s="7">
        <v>0</v>
      </c>
      <c r="H166" s="7">
        <v>0</v>
      </c>
      <c r="I166" s="8">
        <v>0</v>
      </c>
      <c r="J166" s="8">
        <v>0</v>
      </c>
      <c r="K166" s="8">
        <v>5</v>
      </c>
      <c r="L166" s="7">
        <v>6.229053999852549E-2</v>
      </c>
      <c r="M166" s="7">
        <v>6.2400951743931066E-2</v>
      </c>
      <c r="N166" s="8">
        <v>0</v>
      </c>
      <c r="O166" s="8">
        <v>1</v>
      </c>
      <c r="P166" s="8">
        <v>16</v>
      </c>
      <c r="Q166" s="7">
        <v>0</v>
      </c>
      <c r="R166" s="7">
        <v>0</v>
      </c>
      <c r="S166" s="8">
        <v>0</v>
      </c>
      <c r="T166" s="8">
        <v>0</v>
      </c>
      <c r="U166" s="8">
        <v>19</v>
      </c>
      <c r="V166" s="7">
        <v>0.15550626739573795</v>
      </c>
      <c r="W166" s="7">
        <v>8.6631727868310957E-2</v>
      </c>
      <c r="X166" s="8">
        <v>0</v>
      </c>
      <c r="Y166" s="8">
        <v>1</v>
      </c>
      <c r="Z166" s="8">
        <v>18</v>
      </c>
      <c r="AA166" s="7">
        <v>0.14494874528348178</v>
      </c>
      <c r="AB166" s="7">
        <v>0.10516460199040556</v>
      </c>
      <c r="AC166" s="8">
        <v>0</v>
      </c>
      <c r="AD166" s="8">
        <v>1</v>
      </c>
      <c r="AE166" s="8">
        <v>14</v>
      </c>
      <c r="AF166" s="7">
        <v>7.5898831644268056E-2</v>
      </c>
      <c r="AG166" s="7">
        <v>2.9028505479072871E-2</v>
      </c>
      <c r="AH166" s="8">
        <v>0</v>
      </c>
      <c r="AI166" s="8">
        <v>1</v>
      </c>
      <c r="AJ166" s="8">
        <v>100</v>
      </c>
      <c r="AK166">
        <f>(AF168/AF167)-AF166</f>
        <v>4.4683562004238508E-6</v>
      </c>
    </row>
    <row r="167" spans="1:37" x14ac:dyDescent="0.45">
      <c r="A167" s="6" t="s">
        <v>42</v>
      </c>
      <c r="B167" s="7">
        <v>0.14941160928574393</v>
      </c>
      <c r="C167" s="7">
        <v>7.3542009243322798E-2</v>
      </c>
      <c r="D167" s="8">
        <v>0</v>
      </c>
      <c r="E167" s="8">
        <v>1</v>
      </c>
      <c r="F167" s="8">
        <v>28</v>
      </c>
      <c r="G167" s="7">
        <v>0.28413340654229741</v>
      </c>
      <c r="H167" s="7">
        <v>0.2635701019519151</v>
      </c>
      <c r="I167" s="8">
        <v>0</v>
      </c>
      <c r="J167" s="8">
        <v>1</v>
      </c>
      <c r="K167" s="8">
        <v>5</v>
      </c>
      <c r="L167" s="7">
        <v>0.8067852407664784</v>
      </c>
      <c r="M167" s="7">
        <v>0.10368902289601112</v>
      </c>
      <c r="N167" s="8">
        <v>0</v>
      </c>
      <c r="O167" s="8">
        <v>1</v>
      </c>
      <c r="P167" s="8">
        <v>16</v>
      </c>
      <c r="Q167" s="7">
        <v>0.89861962585941668</v>
      </c>
      <c r="R167" s="7">
        <v>9.6845778169611332E-2</v>
      </c>
      <c r="S167" s="8">
        <v>0</v>
      </c>
      <c r="T167" s="8">
        <v>1</v>
      </c>
      <c r="U167" s="8">
        <v>19</v>
      </c>
      <c r="V167" s="7">
        <v>0.94505098249148323</v>
      </c>
      <c r="W167" s="7">
        <v>5.5165329624764066E-2</v>
      </c>
      <c r="X167" s="8">
        <v>0</v>
      </c>
      <c r="Y167" s="8">
        <v>1</v>
      </c>
      <c r="Z167" s="8">
        <v>18</v>
      </c>
      <c r="AA167" s="7">
        <v>0.91590414556129873</v>
      </c>
      <c r="AB167" s="7">
        <v>5.7720093761496942E-2</v>
      </c>
      <c r="AC167" s="8">
        <v>0</v>
      </c>
      <c r="AD167" s="8">
        <v>1</v>
      </c>
      <c r="AE167" s="8">
        <v>14</v>
      </c>
      <c r="AF167" s="7">
        <v>0.56438823579629216</v>
      </c>
      <c r="AG167" s="7">
        <v>7.0335671964889795E-2</v>
      </c>
      <c r="AH167" s="8">
        <v>0</v>
      </c>
      <c r="AI167" s="8">
        <v>1</v>
      </c>
      <c r="AJ167" s="8">
        <v>100</v>
      </c>
      <c r="AK167">
        <f>(AF168/AF166)-AF167</f>
        <v>3.3226963027321865E-5</v>
      </c>
    </row>
    <row r="168" spans="1:37" ht="26.25" x14ac:dyDescent="0.45">
      <c r="A168" s="6" t="s">
        <v>84</v>
      </c>
      <c r="B168" s="7">
        <v>3.8681402086712793E-2</v>
      </c>
      <c r="C168" s="7">
        <v>3.885572815340025E-2</v>
      </c>
      <c r="D168" s="8">
        <v>0</v>
      </c>
      <c r="E168" s="8">
        <v>1</v>
      </c>
      <c r="F168" s="8">
        <v>28</v>
      </c>
      <c r="G168" s="7">
        <v>0</v>
      </c>
      <c r="H168" s="7">
        <v>0</v>
      </c>
      <c r="I168" s="8">
        <v>0</v>
      </c>
      <c r="J168" s="8">
        <v>0</v>
      </c>
      <c r="K168" s="8">
        <v>5</v>
      </c>
      <c r="L168" s="7">
        <v>6.229053999852549E-2</v>
      </c>
      <c r="M168" s="7">
        <v>6.2400951743931066E-2</v>
      </c>
      <c r="N168" s="8">
        <v>0</v>
      </c>
      <c r="O168" s="8">
        <v>1</v>
      </c>
      <c r="P168" s="8">
        <v>16</v>
      </c>
      <c r="Q168" s="7">
        <v>0</v>
      </c>
      <c r="R168" s="7">
        <v>0</v>
      </c>
      <c r="S168" s="8">
        <v>0</v>
      </c>
      <c r="T168" s="8">
        <v>0</v>
      </c>
      <c r="U168" s="8">
        <v>19</v>
      </c>
      <c r="V168" s="7">
        <v>0.10055724988722109</v>
      </c>
      <c r="W168" s="7">
        <v>7.0534767449922611E-2</v>
      </c>
      <c r="X168" s="8">
        <v>0</v>
      </c>
      <c r="Y168" s="8">
        <v>1</v>
      </c>
      <c r="Z168" s="8">
        <v>18</v>
      </c>
      <c r="AA168" s="7">
        <v>9.7308248581917819E-2</v>
      </c>
      <c r="AB168" s="7">
        <v>9.5663044906004094E-2</v>
      </c>
      <c r="AC168" s="8">
        <v>0</v>
      </c>
      <c r="AD168" s="8">
        <v>1</v>
      </c>
      <c r="AE168" s="8">
        <v>14</v>
      </c>
      <c r="AF168" s="7">
        <v>4.2838929578381105E-2</v>
      </c>
      <c r="AG168" s="7">
        <v>2.3698649798085093E-2</v>
      </c>
      <c r="AH168" s="8">
        <v>0</v>
      </c>
      <c r="AI168" s="8">
        <v>1</v>
      </c>
      <c r="AJ168" s="8">
        <v>100</v>
      </c>
    </row>
    <row r="169" spans="1:37" x14ac:dyDescent="0.45">
      <c r="A169" s="6" t="s">
        <v>30</v>
      </c>
      <c r="B169" s="7">
        <v>0.13606196371960469</v>
      </c>
      <c r="C169" s="7">
        <v>6.8769928396153993E-2</v>
      </c>
      <c r="D169" s="8">
        <v>0</v>
      </c>
      <c r="E169" s="8">
        <v>1</v>
      </c>
      <c r="F169" s="8">
        <v>28</v>
      </c>
      <c r="G169" s="7">
        <v>0</v>
      </c>
      <c r="H169" s="7">
        <v>0</v>
      </c>
      <c r="I169" s="8">
        <v>0</v>
      </c>
      <c r="J169" s="8">
        <v>0</v>
      </c>
      <c r="K169" s="8">
        <v>5</v>
      </c>
      <c r="L169" s="7">
        <v>6.229053999852549E-2</v>
      </c>
      <c r="M169" s="7">
        <v>6.2400951743931066E-2</v>
      </c>
      <c r="N169" s="8">
        <v>0</v>
      </c>
      <c r="O169" s="8">
        <v>1</v>
      </c>
      <c r="P169" s="8">
        <v>16</v>
      </c>
      <c r="Q169" s="7">
        <v>0</v>
      </c>
      <c r="R169" s="7">
        <v>0</v>
      </c>
      <c r="S169" s="8">
        <v>0</v>
      </c>
      <c r="T169" s="8">
        <v>0</v>
      </c>
      <c r="U169" s="8">
        <v>19</v>
      </c>
      <c r="V169" s="7">
        <v>0.15550626739573795</v>
      </c>
      <c r="W169" s="7">
        <v>8.6631727868310957E-2</v>
      </c>
      <c r="X169" s="8">
        <v>0</v>
      </c>
      <c r="Y169" s="8">
        <v>1</v>
      </c>
      <c r="Z169" s="8">
        <v>18</v>
      </c>
      <c r="AA169" s="7">
        <v>0.14494874528348178</v>
      </c>
      <c r="AB169" s="7">
        <v>0.10516460199040556</v>
      </c>
      <c r="AC169" s="8">
        <v>0</v>
      </c>
      <c r="AD169" s="8">
        <v>1</v>
      </c>
      <c r="AE169" s="8">
        <v>14</v>
      </c>
      <c r="AF169" s="7">
        <v>7.5898831644268056E-2</v>
      </c>
      <c r="AG169" s="7">
        <v>2.9028505479072871E-2</v>
      </c>
      <c r="AH169" s="8">
        <v>0</v>
      </c>
      <c r="AI169" s="8">
        <v>1</v>
      </c>
      <c r="AJ169" s="8">
        <v>100</v>
      </c>
      <c r="AK169">
        <f>(AF171/AF170)-AF169</f>
        <v>2.0116933392820766E-2</v>
      </c>
    </row>
    <row r="170" spans="1:37" x14ac:dyDescent="0.45">
      <c r="A170" s="6" t="s">
        <v>44</v>
      </c>
      <c r="B170" s="7">
        <v>0</v>
      </c>
      <c r="C170" s="7">
        <v>0</v>
      </c>
      <c r="D170" s="8">
        <v>0</v>
      </c>
      <c r="E170" s="8">
        <v>0</v>
      </c>
      <c r="F170" s="8">
        <v>28</v>
      </c>
      <c r="G170" s="7">
        <v>0</v>
      </c>
      <c r="H170" s="7">
        <v>0</v>
      </c>
      <c r="I170" s="8">
        <v>0</v>
      </c>
      <c r="J170" s="8">
        <v>0</v>
      </c>
      <c r="K170" s="8">
        <v>5</v>
      </c>
      <c r="L170" s="7">
        <v>0.45315303207398538</v>
      </c>
      <c r="M170" s="7">
        <v>0.1313901892098365</v>
      </c>
      <c r="N170" s="8">
        <v>0</v>
      </c>
      <c r="O170" s="8">
        <v>1</v>
      </c>
      <c r="P170" s="8">
        <v>16</v>
      </c>
      <c r="Q170" s="7">
        <v>0.58179797025751767</v>
      </c>
      <c r="R170" s="7">
        <v>0.13112718214255636</v>
      </c>
      <c r="S170" s="8">
        <v>0</v>
      </c>
      <c r="T170" s="8">
        <v>1</v>
      </c>
      <c r="U170" s="8">
        <v>19</v>
      </c>
      <c r="V170" s="7">
        <v>0.27840718326047831</v>
      </c>
      <c r="W170" s="7">
        <v>0.11962958289453833</v>
      </c>
      <c r="X170" s="8">
        <v>0</v>
      </c>
      <c r="Y170" s="8">
        <v>1</v>
      </c>
      <c r="Z170" s="8">
        <v>18</v>
      </c>
      <c r="AA170" s="7">
        <v>0.27889208014984646</v>
      </c>
      <c r="AB170" s="7">
        <v>0.14163420824029879</v>
      </c>
      <c r="AC170" s="8">
        <v>0</v>
      </c>
      <c r="AD170" s="8">
        <v>1</v>
      </c>
      <c r="AE170" s="8">
        <v>14</v>
      </c>
      <c r="AF170" s="7">
        <v>0.24605417111353658</v>
      </c>
      <c r="AG170" s="7">
        <v>5.5580698511919616E-2</v>
      </c>
      <c r="AH170" s="8">
        <v>0</v>
      </c>
      <c r="AI170" s="8">
        <v>1</v>
      </c>
      <c r="AJ170" s="8">
        <v>100</v>
      </c>
      <c r="AK170">
        <f>(AF171/AF169)-AF170</f>
        <v>6.5216489688752072E-2</v>
      </c>
    </row>
    <row r="171" spans="1:37" ht="26.25" x14ac:dyDescent="0.45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28</v>
      </c>
      <c r="G171" s="7">
        <v>0</v>
      </c>
      <c r="H171" s="7">
        <v>0</v>
      </c>
      <c r="I171" s="8">
        <v>0</v>
      </c>
      <c r="J171" s="8">
        <v>0</v>
      </c>
      <c r="K171" s="8">
        <v>5</v>
      </c>
      <c r="L171" s="7">
        <v>6.229053999852549E-2</v>
      </c>
      <c r="M171" s="7">
        <v>6.2400951743931066E-2</v>
      </c>
      <c r="N171" s="8">
        <v>0</v>
      </c>
      <c r="O171" s="8">
        <v>1</v>
      </c>
      <c r="P171" s="8">
        <v>16</v>
      </c>
      <c r="Q171" s="7">
        <v>0</v>
      </c>
      <c r="R171" s="7">
        <v>0</v>
      </c>
      <c r="S171" s="8">
        <v>0</v>
      </c>
      <c r="T171" s="8">
        <v>0</v>
      </c>
      <c r="U171" s="8">
        <v>19</v>
      </c>
      <c r="V171" s="7">
        <v>5.4949017508516877E-2</v>
      </c>
      <c r="W171" s="7">
        <v>5.5165329624764073E-2</v>
      </c>
      <c r="X171" s="8">
        <v>0</v>
      </c>
      <c r="Y171" s="8">
        <v>1</v>
      </c>
      <c r="Z171" s="8">
        <v>18</v>
      </c>
      <c r="AA171" s="7">
        <v>0</v>
      </c>
      <c r="AB171" s="7">
        <v>0</v>
      </c>
      <c r="AC171" s="8">
        <v>0</v>
      </c>
      <c r="AD171" s="8">
        <v>0</v>
      </c>
      <c r="AE171" s="8">
        <v>14</v>
      </c>
      <c r="AF171" s="7">
        <v>2.3625079480032975E-2</v>
      </c>
      <c r="AG171" s="7">
        <v>2.0278807520722721E-2</v>
      </c>
      <c r="AH171" s="8">
        <v>0</v>
      </c>
      <c r="AI171" s="8">
        <v>1</v>
      </c>
      <c r="AJ171" s="8">
        <v>100</v>
      </c>
    </row>
    <row r="172" spans="1:37" x14ac:dyDescent="0.45">
      <c r="A172" s="6" t="s">
        <v>30</v>
      </c>
      <c r="B172" s="7">
        <v>0.13606196371960469</v>
      </c>
      <c r="C172" s="7">
        <v>6.8769928396153993E-2</v>
      </c>
      <c r="D172" s="8">
        <v>0</v>
      </c>
      <c r="E172" s="8">
        <v>1</v>
      </c>
      <c r="F172" s="8">
        <v>28</v>
      </c>
      <c r="G172" s="7">
        <v>0</v>
      </c>
      <c r="H172" s="7">
        <v>0</v>
      </c>
      <c r="I172" s="8">
        <v>0</v>
      </c>
      <c r="J172" s="8">
        <v>0</v>
      </c>
      <c r="K172" s="8">
        <v>5</v>
      </c>
      <c r="L172" s="7">
        <v>6.229053999852549E-2</v>
      </c>
      <c r="M172" s="7">
        <v>6.2400951743931066E-2</v>
      </c>
      <c r="N172" s="8">
        <v>0</v>
      </c>
      <c r="O172" s="8">
        <v>1</v>
      </c>
      <c r="P172" s="8">
        <v>16</v>
      </c>
      <c r="Q172" s="7">
        <v>0</v>
      </c>
      <c r="R172" s="7">
        <v>0</v>
      </c>
      <c r="S172" s="8">
        <v>0</v>
      </c>
      <c r="T172" s="8">
        <v>0</v>
      </c>
      <c r="U172" s="8">
        <v>19</v>
      </c>
      <c r="V172" s="7">
        <v>0.15550626739573795</v>
      </c>
      <c r="W172" s="7">
        <v>8.6631727868310957E-2</v>
      </c>
      <c r="X172" s="8">
        <v>0</v>
      </c>
      <c r="Y172" s="8">
        <v>1</v>
      </c>
      <c r="Z172" s="8">
        <v>18</v>
      </c>
      <c r="AA172" s="7">
        <v>0.14494874528348178</v>
      </c>
      <c r="AB172" s="7">
        <v>0.10516460199040556</v>
      </c>
      <c r="AC172" s="8">
        <v>0</v>
      </c>
      <c r="AD172" s="8">
        <v>1</v>
      </c>
      <c r="AE172" s="8">
        <v>14</v>
      </c>
      <c r="AF172" s="7">
        <v>7.5898831644268056E-2</v>
      </c>
      <c r="AG172" s="7">
        <v>2.9028505479072871E-2</v>
      </c>
      <c r="AH172" s="8">
        <v>0</v>
      </c>
      <c r="AI172" s="8">
        <v>1</v>
      </c>
      <c r="AJ172" s="8">
        <v>100</v>
      </c>
      <c r="AK172">
        <f>(AF174/AF173)-AF172</f>
        <v>4.4463531711173426E-3</v>
      </c>
    </row>
    <row r="173" spans="1:37" ht="39.4" x14ac:dyDescent="0.45">
      <c r="A173" s="6" t="s">
        <v>16</v>
      </c>
      <c r="B173" s="7">
        <v>0.24021275260760397</v>
      </c>
      <c r="C173" s="7">
        <v>9.9804594593725232E-2</v>
      </c>
      <c r="D173" s="8">
        <v>0</v>
      </c>
      <c r="E173" s="8">
        <v>1</v>
      </c>
      <c r="F173" s="8">
        <v>28</v>
      </c>
      <c r="G173" s="7">
        <v>0.28413340654229741</v>
      </c>
      <c r="H173" s="7">
        <v>0.2635701019519151</v>
      </c>
      <c r="I173" s="8">
        <v>0</v>
      </c>
      <c r="J173" s="8">
        <v>1</v>
      </c>
      <c r="K173" s="8">
        <v>5</v>
      </c>
      <c r="L173" s="7">
        <v>1</v>
      </c>
      <c r="M173" s="7">
        <v>0</v>
      </c>
      <c r="N173" s="8">
        <v>1</v>
      </c>
      <c r="O173" s="8">
        <v>1</v>
      </c>
      <c r="P173" s="8">
        <v>16</v>
      </c>
      <c r="Q173" s="7">
        <v>0.85289731615094222</v>
      </c>
      <c r="R173" s="7">
        <v>0.10368836461541529</v>
      </c>
      <c r="S173" s="8">
        <v>0</v>
      </c>
      <c r="T173" s="8">
        <v>1</v>
      </c>
      <c r="U173" s="8">
        <v>19</v>
      </c>
      <c r="V173" s="7">
        <v>0.92129013297297091</v>
      </c>
      <c r="W173" s="7">
        <v>7.2142407889520602E-2</v>
      </c>
      <c r="X173" s="8">
        <v>0</v>
      </c>
      <c r="Y173" s="8">
        <v>1</v>
      </c>
      <c r="Z173" s="8">
        <v>18</v>
      </c>
      <c r="AA173" s="7">
        <v>0.69525614240739586</v>
      </c>
      <c r="AB173" s="7">
        <v>0.14429635514835867</v>
      </c>
      <c r="AC173" s="8">
        <v>0</v>
      </c>
      <c r="AD173" s="8">
        <v>1</v>
      </c>
      <c r="AE173" s="8">
        <v>14</v>
      </c>
      <c r="AF173" s="7">
        <v>0.63213682862253961</v>
      </c>
      <c r="AG173" s="7">
        <v>6.9040852741309167E-2</v>
      </c>
      <c r="AH173" s="8">
        <v>0</v>
      </c>
      <c r="AI173" s="8">
        <v>1</v>
      </c>
      <c r="AJ173" s="8">
        <v>100</v>
      </c>
      <c r="AK173">
        <f>(AF174/AF172)-AF173</f>
        <v>3.7032237936144297E-2</v>
      </c>
    </row>
    <row r="174" spans="1:37" ht="26.25" x14ac:dyDescent="0.45">
      <c r="A174" s="6" t="s">
        <v>86</v>
      </c>
      <c r="B174" s="7">
        <v>7.5307270729204137E-2</v>
      </c>
      <c r="C174" s="7">
        <v>5.2874876137547031E-2</v>
      </c>
      <c r="D174" s="8">
        <v>0</v>
      </c>
      <c r="E174" s="8">
        <v>1</v>
      </c>
      <c r="F174" s="8">
        <v>28</v>
      </c>
      <c r="G174" s="7">
        <v>0</v>
      </c>
      <c r="H174" s="7">
        <v>0</v>
      </c>
      <c r="I174" s="8">
        <v>0</v>
      </c>
      <c r="J174" s="8">
        <v>0</v>
      </c>
      <c r="K174" s="8">
        <v>5</v>
      </c>
      <c r="L174" s="7">
        <v>6.229053999852549E-2</v>
      </c>
      <c r="M174" s="7">
        <v>6.2400951743931066E-2</v>
      </c>
      <c r="N174" s="8">
        <v>0</v>
      </c>
      <c r="O174" s="8">
        <v>1</v>
      </c>
      <c r="P174" s="8">
        <v>16</v>
      </c>
      <c r="Q174" s="7">
        <v>0</v>
      </c>
      <c r="R174" s="7">
        <v>0</v>
      </c>
      <c r="S174" s="8">
        <v>0</v>
      </c>
      <c r="T174" s="8">
        <v>0</v>
      </c>
      <c r="U174" s="8">
        <v>19</v>
      </c>
      <c r="V174" s="7">
        <v>0.15550626739573795</v>
      </c>
      <c r="W174" s="7">
        <v>8.6631727868310957E-2</v>
      </c>
      <c r="X174" s="8">
        <v>0</v>
      </c>
      <c r="Y174" s="8">
        <v>1</v>
      </c>
      <c r="Z174" s="8">
        <v>18</v>
      </c>
      <c r="AA174" s="7">
        <v>0</v>
      </c>
      <c r="AB174" s="7">
        <v>0</v>
      </c>
      <c r="AC174" s="8">
        <v>0</v>
      </c>
      <c r="AD174" s="8">
        <v>0</v>
      </c>
      <c r="AE174" s="8">
        <v>14</v>
      </c>
      <c r="AF174" s="7">
        <v>5.0789150324289552E-2</v>
      </c>
      <c r="AG174" s="7">
        <v>2.5322118438318247E-2</v>
      </c>
      <c r="AH174" s="8">
        <v>0</v>
      </c>
      <c r="AI174" s="8">
        <v>1</v>
      </c>
      <c r="AJ174" s="8">
        <v>100</v>
      </c>
    </row>
    <row r="175" spans="1:37" x14ac:dyDescent="0.45">
      <c r="A175" s="6" t="s">
        <v>30</v>
      </c>
      <c r="B175" s="7">
        <v>0.13606196371960469</v>
      </c>
      <c r="C175" s="7">
        <v>6.8769928396153993E-2</v>
      </c>
      <c r="D175" s="8">
        <v>0</v>
      </c>
      <c r="E175" s="8">
        <v>1</v>
      </c>
      <c r="F175" s="8">
        <v>28</v>
      </c>
      <c r="G175" s="7">
        <v>0</v>
      </c>
      <c r="H175" s="7">
        <v>0</v>
      </c>
      <c r="I175" s="8">
        <v>0</v>
      </c>
      <c r="J175" s="8">
        <v>0</v>
      </c>
      <c r="K175" s="8">
        <v>5</v>
      </c>
      <c r="L175" s="7">
        <v>6.229053999852549E-2</v>
      </c>
      <c r="M175" s="7">
        <v>6.2400951743931066E-2</v>
      </c>
      <c r="N175" s="8">
        <v>0</v>
      </c>
      <c r="O175" s="8">
        <v>1</v>
      </c>
      <c r="P175" s="8">
        <v>16</v>
      </c>
      <c r="Q175" s="7">
        <v>0</v>
      </c>
      <c r="R175" s="7">
        <v>0</v>
      </c>
      <c r="S175" s="8">
        <v>0</v>
      </c>
      <c r="T175" s="8">
        <v>0</v>
      </c>
      <c r="U175" s="8">
        <v>19</v>
      </c>
      <c r="V175" s="7">
        <v>0.15550626739573795</v>
      </c>
      <c r="W175" s="7">
        <v>8.6631727868310957E-2</v>
      </c>
      <c r="X175" s="8">
        <v>0</v>
      </c>
      <c r="Y175" s="8">
        <v>1</v>
      </c>
      <c r="Z175" s="8">
        <v>18</v>
      </c>
      <c r="AA175" s="7">
        <v>0.14494874528348178</v>
      </c>
      <c r="AB175" s="7">
        <v>0.10516460199040556</v>
      </c>
      <c r="AC175" s="8">
        <v>0</v>
      </c>
      <c r="AD175" s="8">
        <v>1</v>
      </c>
      <c r="AE175" s="8">
        <v>14</v>
      </c>
      <c r="AF175" s="7">
        <v>7.5898831644268056E-2</v>
      </c>
      <c r="AG175" s="7">
        <v>2.9028505479072871E-2</v>
      </c>
      <c r="AH175" s="8">
        <v>0</v>
      </c>
      <c r="AI175" s="8">
        <v>1</v>
      </c>
      <c r="AJ175" s="8">
        <v>100</v>
      </c>
      <c r="AK175">
        <f>(AF177/AF176)-AF175</f>
        <v>-2.3145060799976136E-3</v>
      </c>
    </row>
    <row r="176" spans="1:37" ht="39.4" x14ac:dyDescent="0.45">
      <c r="A176" s="6" t="s">
        <v>18</v>
      </c>
      <c r="B176" s="7">
        <v>0.14941160928574393</v>
      </c>
      <c r="C176" s="7">
        <v>7.3542009243322798E-2</v>
      </c>
      <c r="D176" s="8">
        <v>0</v>
      </c>
      <c r="E176" s="8">
        <v>1</v>
      </c>
      <c r="F176" s="8">
        <v>28</v>
      </c>
      <c r="G176" s="7">
        <v>0.28413340654229741</v>
      </c>
      <c r="H176" s="7">
        <v>0.2635701019519151</v>
      </c>
      <c r="I176" s="8">
        <v>0</v>
      </c>
      <c r="J176" s="8">
        <v>1</v>
      </c>
      <c r="K176" s="8">
        <v>5</v>
      </c>
      <c r="L176" s="7">
        <v>1</v>
      </c>
      <c r="M176" s="7">
        <v>0</v>
      </c>
      <c r="N176" s="8">
        <v>1</v>
      </c>
      <c r="O176" s="8">
        <v>1</v>
      </c>
      <c r="P176" s="8">
        <v>16</v>
      </c>
      <c r="Q176" s="7">
        <v>0.89861962585941668</v>
      </c>
      <c r="R176" s="7">
        <v>9.6845778169611332E-2</v>
      </c>
      <c r="S176" s="8">
        <v>0</v>
      </c>
      <c r="T176" s="8">
        <v>1</v>
      </c>
      <c r="U176" s="8">
        <v>19</v>
      </c>
      <c r="V176" s="7">
        <v>1</v>
      </c>
      <c r="W176" s="7">
        <v>0</v>
      </c>
      <c r="X176" s="8">
        <v>1</v>
      </c>
      <c r="Y176" s="8">
        <v>1</v>
      </c>
      <c r="Z176" s="8">
        <v>18</v>
      </c>
      <c r="AA176" s="7">
        <v>0.91590414556129873</v>
      </c>
      <c r="AB176" s="7">
        <v>5.7720093761496942E-2</v>
      </c>
      <c r="AC176" s="8">
        <v>0</v>
      </c>
      <c r="AD176" s="8">
        <v>1</v>
      </c>
      <c r="AE176" s="8">
        <v>14</v>
      </c>
      <c r="AF176" s="7">
        <v>0.63023599596706159</v>
      </c>
      <c r="AG176" s="7">
        <v>6.9774465060460464E-2</v>
      </c>
      <c r="AH176" s="8">
        <v>0</v>
      </c>
      <c r="AI176" s="8">
        <v>1</v>
      </c>
      <c r="AJ176" s="8">
        <v>100</v>
      </c>
      <c r="AK176">
        <f>(AF177/AF175)-AF176</f>
        <v>-1.9218807627182755E-2</v>
      </c>
    </row>
    <row r="177" spans="1:37" ht="26.25" x14ac:dyDescent="0.45">
      <c r="A177" s="6" t="s">
        <v>87</v>
      </c>
      <c r="B177" s="7">
        <v>3.8681402086712793E-2</v>
      </c>
      <c r="C177" s="7">
        <v>3.885572815340025E-2</v>
      </c>
      <c r="D177" s="8">
        <v>0</v>
      </c>
      <c r="E177" s="8">
        <v>1</v>
      </c>
      <c r="F177" s="8">
        <v>28</v>
      </c>
      <c r="G177" s="7">
        <v>0</v>
      </c>
      <c r="H177" s="7">
        <v>0</v>
      </c>
      <c r="I177" s="8">
        <v>0</v>
      </c>
      <c r="J177" s="8">
        <v>0</v>
      </c>
      <c r="K177" s="8">
        <v>5</v>
      </c>
      <c r="L177" s="7">
        <v>6.229053999852549E-2</v>
      </c>
      <c r="M177" s="7">
        <v>6.2400951743931066E-2</v>
      </c>
      <c r="N177" s="8">
        <v>0</v>
      </c>
      <c r="O177" s="8">
        <v>1</v>
      </c>
      <c r="P177" s="8">
        <v>16</v>
      </c>
      <c r="Q177" s="7">
        <v>0</v>
      </c>
      <c r="R177" s="7">
        <v>0</v>
      </c>
      <c r="S177" s="8">
        <v>0</v>
      </c>
      <c r="T177" s="8">
        <v>0</v>
      </c>
      <c r="U177" s="8">
        <v>19</v>
      </c>
      <c r="V177" s="7">
        <v>0.15550626739573795</v>
      </c>
      <c r="W177" s="7">
        <v>8.6631727868310957E-2</v>
      </c>
      <c r="X177" s="8">
        <v>0</v>
      </c>
      <c r="Y177" s="8">
        <v>1</v>
      </c>
      <c r="Z177" s="8">
        <v>18</v>
      </c>
      <c r="AA177" s="7">
        <v>9.7308248581917819E-2</v>
      </c>
      <c r="AB177" s="7">
        <v>9.5663044906004094E-2</v>
      </c>
      <c r="AC177" s="8">
        <v>0</v>
      </c>
      <c r="AD177" s="8">
        <v>1</v>
      </c>
      <c r="AE177" s="8">
        <v>14</v>
      </c>
      <c r="AF177" s="7">
        <v>4.637549070956249E-2</v>
      </c>
      <c r="AG177" s="7">
        <v>2.3982076900769273E-2</v>
      </c>
      <c r="AH177" s="8">
        <v>0</v>
      </c>
      <c r="AI177" s="8">
        <v>1</v>
      </c>
      <c r="AJ177" s="8">
        <v>100</v>
      </c>
    </row>
    <row r="178" spans="1:37" x14ac:dyDescent="0.45">
      <c r="A178" s="6" t="s">
        <v>30</v>
      </c>
      <c r="B178" s="7">
        <v>0.13606196371960469</v>
      </c>
      <c r="C178" s="7">
        <v>6.8769928396153993E-2</v>
      </c>
      <c r="D178" s="8">
        <v>0</v>
      </c>
      <c r="E178" s="8">
        <v>1</v>
      </c>
      <c r="F178" s="8">
        <v>28</v>
      </c>
      <c r="G178" s="7">
        <v>0</v>
      </c>
      <c r="H178" s="7">
        <v>0</v>
      </c>
      <c r="I178" s="8">
        <v>0</v>
      </c>
      <c r="J178" s="8">
        <v>0</v>
      </c>
      <c r="K178" s="8">
        <v>5</v>
      </c>
      <c r="L178" s="7">
        <v>6.229053999852549E-2</v>
      </c>
      <c r="M178" s="7">
        <v>6.2400951743931066E-2</v>
      </c>
      <c r="N178" s="8">
        <v>0</v>
      </c>
      <c r="O178" s="8">
        <v>1</v>
      </c>
      <c r="P178" s="8">
        <v>16</v>
      </c>
      <c r="Q178" s="7">
        <v>0</v>
      </c>
      <c r="R178" s="7">
        <v>0</v>
      </c>
      <c r="S178" s="8">
        <v>0</v>
      </c>
      <c r="T178" s="8">
        <v>0</v>
      </c>
      <c r="U178" s="8">
        <v>19</v>
      </c>
      <c r="V178" s="7">
        <v>0.15550626739573795</v>
      </c>
      <c r="W178" s="7">
        <v>8.6631727868310957E-2</v>
      </c>
      <c r="X178" s="8">
        <v>0</v>
      </c>
      <c r="Y178" s="8">
        <v>1</v>
      </c>
      <c r="Z178" s="8">
        <v>18</v>
      </c>
      <c r="AA178" s="7">
        <v>0.14494874528348178</v>
      </c>
      <c r="AB178" s="7">
        <v>0.10516460199040556</v>
      </c>
      <c r="AC178" s="8">
        <v>0</v>
      </c>
      <c r="AD178" s="8">
        <v>1</v>
      </c>
      <c r="AE178" s="8">
        <v>14</v>
      </c>
      <c r="AF178" s="7">
        <v>7.5898831644268056E-2</v>
      </c>
      <c r="AG178" s="7">
        <v>2.9028505479072871E-2</v>
      </c>
      <c r="AH178" s="8">
        <v>0</v>
      </c>
      <c r="AI178" s="8">
        <v>1</v>
      </c>
      <c r="AJ178" s="8">
        <v>100</v>
      </c>
      <c r="AK178">
        <f>(AF180/AF179)-AF178</f>
        <v>-1.1458171203125603E-2</v>
      </c>
    </row>
    <row r="179" spans="1:37" ht="39.4" x14ac:dyDescent="0.45">
      <c r="A179" s="6" t="s">
        <v>20</v>
      </c>
      <c r="B179" s="7">
        <v>0</v>
      </c>
      <c r="C179" s="7">
        <v>0</v>
      </c>
      <c r="D179" s="8">
        <v>0</v>
      </c>
      <c r="E179" s="8">
        <v>0</v>
      </c>
      <c r="F179" s="8">
        <v>28</v>
      </c>
      <c r="G179" s="7">
        <v>0</v>
      </c>
      <c r="H179" s="7">
        <v>0</v>
      </c>
      <c r="I179" s="8">
        <v>0</v>
      </c>
      <c r="J179" s="8">
        <v>0</v>
      </c>
      <c r="K179" s="8">
        <v>5</v>
      </c>
      <c r="L179" s="7">
        <v>1</v>
      </c>
      <c r="M179" s="7">
        <v>0</v>
      </c>
      <c r="N179" s="8">
        <v>1</v>
      </c>
      <c r="O179" s="8">
        <v>1</v>
      </c>
      <c r="P179" s="8">
        <v>16</v>
      </c>
      <c r="Q179" s="7">
        <v>0.61840113049179313</v>
      </c>
      <c r="R179" s="7">
        <v>0.13006566375416401</v>
      </c>
      <c r="S179" s="8">
        <v>0</v>
      </c>
      <c r="T179" s="8">
        <v>1</v>
      </c>
      <c r="U179" s="8">
        <v>19</v>
      </c>
      <c r="V179" s="7">
        <v>0.62484576595299168</v>
      </c>
      <c r="W179" s="7">
        <v>0.12235387804662534</v>
      </c>
      <c r="X179" s="8">
        <v>0</v>
      </c>
      <c r="Y179" s="8">
        <v>1</v>
      </c>
      <c r="Z179" s="8">
        <v>18</v>
      </c>
      <c r="AA179" s="7">
        <v>0.59238861673724996</v>
      </c>
      <c r="AB179" s="7">
        <v>0.15320552322461192</v>
      </c>
      <c r="AC179" s="8">
        <v>0</v>
      </c>
      <c r="AD179" s="8">
        <v>1</v>
      </c>
      <c r="AE179" s="8">
        <v>14</v>
      </c>
      <c r="AF179" s="7">
        <v>0.46705017304122987</v>
      </c>
      <c r="AG179" s="7">
        <v>6.8874379217115159E-2</v>
      </c>
      <c r="AH179" s="8">
        <v>0</v>
      </c>
      <c r="AI179" s="8">
        <v>1</v>
      </c>
      <c r="AJ179" s="8">
        <v>100</v>
      </c>
      <c r="AK179">
        <f>(AF180/AF178)-AF179</f>
        <v>-7.0508869862952628E-2</v>
      </c>
    </row>
    <row r="180" spans="1:37" ht="26.25" x14ac:dyDescent="0.45">
      <c r="A180" s="6" t="s">
        <v>88</v>
      </c>
      <c r="B180" s="7">
        <v>0</v>
      </c>
      <c r="C180" s="7">
        <v>0</v>
      </c>
      <c r="D180" s="8">
        <v>0</v>
      </c>
      <c r="E180" s="8">
        <v>0</v>
      </c>
      <c r="F180" s="8">
        <v>28</v>
      </c>
      <c r="G180" s="7">
        <v>0</v>
      </c>
      <c r="H180" s="7">
        <v>0</v>
      </c>
      <c r="I180" s="8">
        <v>0</v>
      </c>
      <c r="J180" s="8">
        <v>0</v>
      </c>
      <c r="K180" s="8">
        <v>5</v>
      </c>
      <c r="L180" s="7">
        <v>6.229053999852549E-2</v>
      </c>
      <c r="M180" s="7">
        <v>6.2400951743931066E-2</v>
      </c>
      <c r="N180" s="8">
        <v>0</v>
      </c>
      <c r="O180" s="8">
        <v>1</v>
      </c>
      <c r="P180" s="8">
        <v>16</v>
      </c>
      <c r="Q180" s="7">
        <v>0</v>
      </c>
      <c r="R180" s="7">
        <v>0</v>
      </c>
      <c r="S180" s="8">
        <v>0</v>
      </c>
      <c r="T180" s="8">
        <v>0</v>
      </c>
      <c r="U180" s="8">
        <v>19</v>
      </c>
      <c r="V180" s="7">
        <v>0.15550626739573795</v>
      </c>
      <c r="W180" s="7">
        <v>8.6631727868310957E-2</v>
      </c>
      <c r="X180" s="8">
        <v>0</v>
      </c>
      <c r="Y180" s="8">
        <v>1</v>
      </c>
      <c r="Z180" s="8">
        <v>18</v>
      </c>
      <c r="AA180" s="7">
        <v>0</v>
      </c>
      <c r="AB180" s="7">
        <v>0</v>
      </c>
      <c r="AC180" s="8">
        <v>0</v>
      </c>
      <c r="AD180" s="8">
        <v>0</v>
      </c>
      <c r="AE180" s="8">
        <v>14</v>
      </c>
      <c r="AF180" s="7">
        <v>3.0097021609926722E-2</v>
      </c>
      <c r="AG180" s="7">
        <v>2.0798765824429265E-2</v>
      </c>
      <c r="AH180" s="8">
        <v>0</v>
      </c>
      <c r="AI180" s="8">
        <v>1</v>
      </c>
      <c r="AJ180" s="8">
        <v>100</v>
      </c>
    </row>
    <row r="181" spans="1:37" x14ac:dyDescent="0.45">
      <c r="A181" s="6" t="s">
        <v>30</v>
      </c>
      <c r="B181" s="7">
        <v>0.13606196371960469</v>
      </c>
      <c r="C181" s="7">
        <v>6.8769928396153993E-2</v>
      </c>
      <c r="D181" s="8">
        <v>0</v>
      </c>
      <c r="E181" s="8">
        <v>1</v>
      </c>
      <c r="F181" s="8">
        <v>28</v>
      </c>
      <c r="G181" s="7">
        <v>0</v>
      </c>
      <c r="H181" s="7">
        <v>0</v>
      </c>
      <c r="I181" s="8">
        <v>0</v>
      </c>
      <c r="J181" s="8">
        <v>0</v>
      </c>
      <c r="K181" s="8">
        <v>5</v>
      </c>
      <c r="L181" s="7">
        <v>6.229053999852549E-2</v>
      </c>
      <c r="M181" s="7">
        <v>6.2400951743931066E-2</v>
      </c>
      <c r="N181" s="8">
        <v>0</v>
      </c>
      <c r="O181" s="8">
        <v>1</v>
      </c>
      <c r="P181" s="8">
        <v>16</v>
      </c>
      <c r="Q181" s="7">
        <v>0</v>
      </c>
      <c r="R181" s="7">
        <v>0</v>
      </c>
      <c r="S181" s="8">
        <v>0</v>
      </c>
      <c r="T181" s="8">
        <v>0</v>
      </c>
      <c r="U181" s="8">
        <v>19</v>
      </c>
      <c r="V181" s="7">
        <v>0.15550626739573795</v>
      </c>
      <c r="W181" s="7">
        <v>8.6631727868310957E-2</v>
      </c>
      <c r="X181" s="8">
        <v>0</v>
      </c>
      <c r="Y181" s="8">
        <v>1</v>
      </c>
      <c r="Z181" s="8">
        <v>18</v>
      </c>
      <c r="AA181" s="7">
        <v>0.14494874528348178</v>
      </c>
      <c r="AB181" s="7">
        <v>0.10516460199040556</v>
      </c>
      <c r="AC181" s="8">
        <v>0</v>
      </c>
      <c r="AD181" s="8">
        <v>1</v>
      </c>
      <c r="AE181" s="8">
        <v>14</v>
      </c>
      <c r="AF181" s="7">
        <v>7.5898831644268056E-2</v>
      </c>
      <c r="AG181" s="7">
        <v>2.9028505479072871E-2</v>
      </c>
      <c r="AH181" s="8">
        <v>0</v>
      </c>
      <c r="AI181" s="8">
        <v>1</v>
      </c>
      <c r="AJ181" s="8">
        <v>100</v>
      </c>
      <c r="AK181">
        <f>(AF183/AF182)-AF181</f>
        <v>4.2820477501123028E-3</v>
      </c>
    </row>
    <row r="182" spans="1:37" ht="26.25" x14ac:dyDescent="0.45">
      <c r="A182" s="6" t="s">
        <v>22</v>
      </c>
      <c r="B182" s="7">
        <v>0.26984434576365129</v>
      </c>
      <c r="C182" s="7">
        <v>0.10088535446125156</v>
      </c>
      <c r="D182" s="8">
        <v>0</v>
      </c>
      <c r="E182" s="8">
        <v>1</v>
      </c>
      <c r="F182" s="8">
        <v>28</v>
      </c>
      <c r="G182" s="7">
        <v>0.28413340654229741</v>
      </c>
      <c r="H182" s="7">
        <v>0.2635701019519151</v>
      </c>
      <c r="I182" s="8">
        <v>0</v>
      </c>
      <c r="J182" s="8">
        <v>1</v>
      </c>
      <c r="K182" s="8">
        <v>5</v>
      </c>
      <c r="L182" s="7">
        <v>1</v>
      </c>
      <c r="M182" s="7">
        <v>0</v>
      </c>
      <c r="N182" s="8">
        <v>1</v>
      </c>
      <c r="O182" s="8">
        <v>1</v>
      </c>
      <c r="P182" s="8">
        <v>16</v>
      </c>
      <c r="Q182" s="7">
        <v>0.89861962585941668</v>
      </c>
      <c r="R182" s="7">
        <v>9.6845778169611332E-2</v>
      </c>
      <c r="S182" s="8">
        <v>0</v>
      </c>
      <c r="T182" s="8">
        <v>1</v>
      </c>
      <c r="U182" s="8">
        <v>19</v>
      </c>
      <c r="V182" s="7">
        <v>0.94505098249148323</v>
      </c>
      <c r="W182" s="7">
        <v>5.5165329624764066E-2</v>
      </c>
      <c r="X182" s="8">
        <v>0</v>
      </c>
      <c r="Y182" s="8">
        <v>1</v>
      </c>
      <c r="Z182" s="8">
        <v>18</v>
      </c>
      <c r="AA182" s="7">
        <v>0.91590414556129873</v>
      </c>
      <c r="AB182" s="7">
        <v>5.7720093761496942E-2</v>
      </c>
      <c r="AC182" s="8">
        <v>0</v>
      </c>
      <c r="AD182" s="8">
        <v>1</v>
      </c>
      <c r="AE182" s="8">
        <v>14</v>
      </c>
      <c r="AF182" s="7">
        <v>0.65979065777482815</v>
      </c>
      <c r="AG182" s="7">
        <v>6.9173406705135554E-2</v>
      </c>
      <c r="AH182" s="8">
        <v>0</v>
      </c>
      <c r="AI182" s="8">
        <v>1</v>
      </c>
      <c r="AJ182" s="8">
        <v>100</v>
      </c>
      <c r="AK182">
        <f>(AF183/AF181)-AF182</f>
        <v>3.7223960375458387E-2</v>
      </c>
    </row>
    <row r="183" spans="1:37" ht="26.25" x14ac:dyDescent="0.45">
      <c r="A183" s="6" t="s">
        <v>89</v>
      </c>
      <c r="B183" s="7">
        <v>7.5307270729204137E-2</v>
      </c>
      <c r="C183" s="7">
        <v>5.2874876137547031E-2</v>
      </c>
      <c r="D183" s="8">
        <v>0</v>
      </c>
      <c r="E183" s="8">
        <v>1</v>
      </c>
      <c r="F183" s="8">
        <v>28</v>
      </c>
      <c r="G183" s="7">
        <v>0</v>
      </c>
      <c r="H183" s="7">
        <v>0</v>
      </c>
      <c r="I183" s="8">
        <v>0</v>
      </c>
      <c r="J183" s="8">
        <v>0</v>
      </c>
      <c r="K183" s="8">
        <v>5</v>
      </c>
      <c r="L183" s="7">
        <v>6.229053999852549E-2</v>
      </c>
      <c r="M183" s="7">
        <v>6.2400951743931066E-2</v>
      </c>
      <c r="N183" s="8">
        <v>0</v>
      </c>
      <c r="O183" s="8">
        <v>1</v>
      </c>
      <c r="P183" s="8">
        <v>16</v>
      </c>
      <c r="Q183" s="7">
        <v>0</v>
      </c>
      <c r="R183" s="7">
        <v>0</v>
      </c>
      <c r="S183" s="8">
        <v>0</v>
      </c>
      <c r="T183" s="8">
        <v>0</v>
      </c>
      <c r="U183" s="8">
        <v>19</v>
      </c>
      <c r="V183" s="7">
        <v>0.10055724988722109</v>
      </c>
      <c r="W183" s="7">
        <v>7.0534767449922611E-2</v>
      </c>
      <c r="X183" s="8">
        <v>0</v>
      </c>
      <c r="Y183" s="8">
        <v>1</v>
      </c>
      <c r="Z183" s="8">
        <v>18</v>
      </c>
      <c r="AA183" s="7">
        <v>9.7308248581917819E-2</v>
      </c>
      <c r="AB183" s="7">
        <v>9.5663044906004094E-2</v>
      </c>
      <c r="AC183" s="8">
        <v>0</v>
      </c>
      <c r="AD183" s="8">
        <v>1</v>
      </c>
      <c r="AE183" s="8">
        <v>14</v>
      </c>
      <c r="AF183" s="7">
        <v>5.2902595156582383E-2</v>
      </c>
      <c r="AG183" s="7">
        <v>2.5694680559277764E-2</v>
      </c>
      <c r="AH183" s="8">
        <v>0</v>
      </c>
      <c r="AI183" s="8">
        <v>1</v>
      </c>
      <c r="AJ183" s="8">
        <v>100</v>
      </c>
    </row>
    <row r="184" spans="1:37" x14ac:dyDescent="0.45">
      <c r="A184" s="6" t="s">
        <v>30</v>
      </c>
      <c r="B184" s="7">
        <v>0.13606196371960469</v>
      </c>
      <c r="C184" s="7">
        <v>6.8769928396153993E-2</v>
      </c>
      <c r="D184" s="8">
        <v>0</v>
      </c>
      <c r="E184" s="8">
        <v>1</v>
      </c>
      <c r="F184" s="8">
        <v>28</v>
      </c>
      <c r="G184" s="7">
        <v>0</v>
      </c>
      <c r="H184" s="7">
        <v>0</v>
      </c>
      <c r="I184" s="8">
        <v>0</v>
      </c>
      <c r="J184" s="8">
        <v>0</v>
      </c>
      <c r="K184" s="8">
        <v>5</v>
      </c>
      <c r="L184" s="7">
        <v>6.229053999852549E-2</v>
      </c>
      <c r="M184" s="7">
        <v>6.2400951743931066E-2</v>
      </c>
      <c r="N184" s="8">
        <v>0</v>
      </c>
      <c r="O184" s="8">
        <v>1</v>
      </c>
      <c r="P184" s="8">
        <v>16</v>
      </c>
      <c r="Q184" s="7">
        <v>0</v>
      </c>
      <c r="R184" s="7">
        <v>0</v>
      </c>
      <c r="S184" s="8">
        <v>0</v>
      </c>
      <c r="T184" s="8">
        <v>0</v>
      </c>
      <c r="U184" s="8">
        <v>19</v>
      </c>
      <c r="V184" s="7">
        <v>0.15550626739573795</v>
      </c>
      <c r="W184" s="7">
        <v>8.6631727868310957E-2</v>
      </c>
      <c r="X184" s="8">
        <v>0</v>
      </c>
      <c r="Y184" s="8">
        <v>1</v>
      </c>
      <c r="Z184" s="8">
        <v>18</v>
      </c>
      <c r="AA184" s="7">
        <v>0.14494874528348178</v>
      </c>
      <c r="AB184" s="7">
        <v>0.10516460199040556</v>
      </c>
      <c r="AC184" s="8">
        <v>0</v>
      </c>
      <c r="AD184" s="8">
        <v>1</v>
      </c>
      <c r="AE184" s="8">
        <v>14</v>
      </c>
      <c r="AF184" s="7">
        <v>7.5898831644268056E-2</v>
      </c>
      <c r="AG184" s="7">
        <v>2.9028505479072871E-2</v>
      </c>
      <c r="AH184" s="8">
        <v>0</v>
      </c>
      <c r="AI184" s="8">
        <v>1</v>
      </c>
      <c r="AJ184" s="8">
        <v>100</v>
      </c>
      <c r="AK184">
        <f>(AF186/AF185)-AF184</f>
        <v>-1.273862938264439E-3</v>
      </c>
    </row>
    <row r="185" spans="1:37" ht="26.25" x14ac:dyDescent="0.45">
      <c r="A185" s="6" t="s">
        <v>24</v>
      </c>
      <c r="B185" s="7">
        <v>0.24021275260760397</v>
      </c>
      <c r="C185" s="7">
        <v>9.9804594593725232E-2</v>
      </c>
      <c r="D185" s="8">
        <v>0</v>
      </c>
      <c r="E185" s="8">
        <v>1</v>
      </c>
      <c r="F185" s="8">
        <v>28</v>
      </c>
      <c r="G185" s="7">
        <v>0.28413340654229741</v>
      </c>
      <c r="H185" s="7">
        <v>0.2635701019519151</v>
      </c>
      <c r="I185" s="8">
        <v>0</v>
      </c>
      <c r="J185" s="8">
        <v>1</v>
      </c>
      <c r="K185" s="8">
        <v>5</v>
      </c>
      <c r="L185" s="7">
        <v>1</v>
      </c>
      <c r="M185" s="7">
        <v>0</v>
      </c>
      <c r="N185" s="8">
        <v>1</v>
      </c>
      <c r="O185" s="8">
        <v>1</v>
      </c>
      <c r="P185" s="8">
        <v>16</v>
      </c>
      <c r="Q185" s="7">
        <v>0.89861962585941668</v>
      </c>
      <c r="R185" s="7">
        <v>9.6845778169611332E-2</v>
      </c>
      <c r="S185" s="8">
        <v>0</v>
      </c>
      <c r="T185" s="8">
        <v>1</v>
      </c>
      <c r="U185" s="8">
        <v>19</v>
      </c>
      <c r="V185" s="7">
        <v>0.86634111546445414</v>
      </c>
      <c r="W185" s="7">
        <v>8.7661072043173624E-2</v>
      </c>
      <c r="X185" s="8">
        <v>0</v>
      </c>
      <c r="Y185" s="8">
        <v>1</v>
      </c>
      <c r="Z185" s="8">
        <v>18</v>
      </c>
      <c r="AA185" s="7">
        <v>0.68542702638902031</v>
      </c>
      <c r="AB185" s="7">
        <v>0.14449500923918335</v>
      </c>
      <c r="AC185" s="8">
        <v>0</v>
      </c>
      <c r="AD185" s="8">
        <v>1</v>
      </c>
      <c r="AE185" s="8">
        <v>14</v>
      </c>
      <c r="AF185" s="7">
        <v>0.63320079073355351</v>
      </c>
      <c r="AG185" s="7">
        <v>6.9028775174729731E-2</v>
      </c>
      <c r="AH185" s="8">
        <v>0</v>
      </c>
      <c r="AI185" s="8">
        <v>1</v>
      </c>
      <c r="AJ185" s="8">
        <v>100</v>
      </c>
      <c r="AK185">
        <f>(AF186/AF184)-AF185</f>
        <v>-1.0627449755428842E-2</v>
      </c>
    </row>
    <row r="186" spans="1:37" ht="26.25" x14ac:dyDescent="0.45">
      <c r="A186" s="6" t="s">
        <v>90</v>
      </c>
      <c r="B186" s="7">
        <v>7.5307270729204137E-2</v>
      </c>
      <c r="C186" s="7">
        <v>5.2874876137547031E-2</v>
      </c>
      <c r="D186" s="8">
        <v>0</v>
      </c>
      <c r="E186" s="8">
        <v>1</v>
      </c>
      <c r="F186" s="8">
        <v>28</v>
      </c>
      <c r="G186" s="7">
        <v>0</v>
      </c>
      <c r="H186" s="7">
        <v>0</v>
      </c>
      <c r="I186" s="8">
        <v>0</v>
      </c>
      <c r="J186" s="8">
        <v>0</v>
      </c>
      <c r="K186" s="8">
        <v>5</v>
      </c>
      <c r="L186" s="7">
        <v>6.229053999852549E-2</v>
      </c>
      <c r="M186" s="7">
        <v>6.2400951743931066E-2</v>
      </c>
      <c r="N186" s="8">
        <v>0</v>
      </c>
      <c r="O186" s="8">
        <v>1</v>
      </c>
      <c r="P186" s="8">
        <v>16</v>
      </c>
      <c r="Q186" s="7">
        <v>0</v>
      </c>
      <c r="R186" s="7">
        <v>0</v>
      </c>
      <c r="S186" s="8">
        <v>0</v>
      </c>
      <c r="T186" s="8">
        <v>0</v>
      </c>
      <c r="U186" s="8">
        <v>19</v>
      </c>
      <c r="V186" s="7">
        <v>0.10055724988722109</v>
      </c>
      <c r="W186" s="7">
        <v>7.0534767449922611E-2</v>
      </c>
      <c r="X186" s="8">
        <v>0</v>
      </c>
      <c r="Y186" s="8">
        <v>1</v>
      </c>
      <c r="Z186" s="8">
        <v>18</v>
      </c>
      <c r="AA186" s="7">
        <v>0</v>
      </c>
      <c r="AB186" s="7">
        <v>0</v>
      </c>
      <c r="AC186" s="8">
        <v>0</v>
      </c>
      <c r="AD186" s="8">
        <v>0</v>
      </c>
      <c r="AE186" s="8">
        <v>14</v>
      </c>
      <c r="AF186" s="7">
        <v>4.7252589193108173E-2</v>
      </c>
      <c r="AG186" s="7">
        <v>2.5053882271898576E-2</v>
      </c>
      <c r="AH186" s="8">
        <v>0</v>
      </c>
      <c r="AI186" s="8">
        <v>1</v>
      </c>
      <c r="AJ186" s="8">
        <v>100</v>
      </c>
    </row>
    <row r="187" spans="1:37" x14ac:dyDescent="0.45">
      <c r="A187" s="6" t="s">
        <v>32</v>
      </c>
      <c r="B187" s="7">
        <v>4.3768328287058816E-2</v>
      </c>
      <c r="C187" s="7">
        <v>3.9247563320719027E-2</v>
      </c>
      <c r="D187" s="8">
        <v>0</v>
      </c>
      <c r="E187" s="8">
        <v>1</v>
      </c>
      <c r="F187" s="8">
        <v>28</v>
      </c>
      <c r="G187" s="7">
        <v>0</v>
      </c>
      <c r="H187" s="7">
        <v>0</v>
      </c>
      <c r="I187" s="8">
        <v>0</v>
      </c>
      <c r="J187" s="8">
        <v>0</v>
      </c>
      <c r="K187" s="8">
        <v>5</v>
      </c>
      <c r="L187" s="7">
        <v>0.25436745431109598</v>
      </c>
      <c r="M187" s="7">
        <v>0.11399054354627695</v>
      </c>
      <c r="N187" s="8">
        <v>0</v>
      </c>
      <c r="O187" s="8">
        <v>1</v>
      </c>
      <c r="P187" s="8">
        <v>16</v>
      </c>
      <c r="Q187" s="7">
        <v>0.41381121420178746</v>
      </c>
      <c r="R187" s="7">
        <v>0.12969928853703966</v>
      </c>
      <c r="S187" s="8">
        <v>0</v>
      </c>
      <c r="T187" s="8">
        <v>1</v>
      </c>
      <c r="U187" s="8">
        <v>19</v>
      </c>
      <c r="V187" s="7">
        <v>0.23553150148432661</v>
      </c>
      <c r="W187" s="7">
        <v>0.10224133114104708</v>
      </c>
      <c r="X187" s="8">
        <v>0</v>
      </c>
      <c r="Y187" s="8">
        <v>1</v>
      </c>
      <c r="Z187" s="8">
        <v>18</v>
      </c>
      <c r="AA187" s="7">
        <v>0.62380644277621733</v>
      </c>
      <c r="AB187" s="7">
        <v>0.15335862727964425</v>
      </c>
      <c r="AC187" s="8">
        <v>0</v>
      </c>
      <c r="AD187" s="8">
        <v>1</v>
      </c>
      <c r="AE187" s="8">
        <v>14</v>
      </c>
      <c r="AF187" s="7">
        <v>0.19224039367404611</v>
      </c>
      <c r="AG187" s="7">
        <v>4.6779770209863396E-2</v>
      </c>
      <c r="AH187" s="8">
        <v>0</v>
      </c>
      <c r="AI187" s="8">
        <v>1</v>
      </c>
      <c r="AJ187" s="8">
        <v>100</v>
      </c>
      <c r="AK187">
        <f>(AF189/AF188)-AF187</f>
        <v>-0.10759454507609853</v>
      </c>
    </row>
    <row r="188" spans="1:37" x14ac:dyDescent="0.45">
      <c r="A188" s="6" t="s">
        <v>36</v>
      </c>
      <c r="B188" s="7">
        <v>0.75033349718812381</v>
      </c>
      <c r="C188" s="7">
        <v>0.11113628937183456</v>
      </c>
      <c r="D188" s="8">
        <v>0</v>
      </c>
      <c r="E188" s="8">
        <v>1</v>
      </c>
      <c r="F188" s="8">
        <v>28</v>
      </c>
      <c r="G188" s="7">
        <v>0.69890286206955909</v>
      </c>
      <c r="H188" s="7">
        <v>0.26064905237909602</v>
      </c>
      <c r="I188" s="8">
        <v>0</v>
      </c>
      <c r="J188" s="8">
        <v>1</v>
      </c>
      <c r="K188" s="8">
        <v>5</v>
      </c>
      <c r="L188" s="7">
        <v>7.6528749224782755E-2</v>
      </c>
      <c r="M188" s="7">
        <v>6.4008315307330796E-2</v>
      </c>
      <c r="N188" s="8">
        <v>0</v>
      </c>
      <c r="O188" s="8">
        <v>1</v>
      </c>
      <c r="P188" s="8">
        <v>16</v>
      </c>
      <c r="Q188" s="7">
        <v>0.13638212532932661</v>
      </c>
      <c r="R188" s="7">
        <v>0.12489587163927413</v>
      </c>
      <c r="S188" s="8">
        <v>0</v>
      </c>
      <c r="T188" s="8">
        <v>1</v>
      </c>
      <c r="U188" s="8">
        <v>19</v>
      </c>
      <c r="V188" s="7">
        <v>0.35584441822330487</v>
      </c>
      <c r="W188" s="7">
        <v>0.12202753204157965</v>
      </c>
      <c r="X188" s="8">
        <v>0</v>
      </c>
      <c r="Y188" s="8">
        <v>1</v>
      </c>
      <c r="Z188" s="8">
        <v>18</v>
      </c>
      <c r="AA188" s="7">
        <v>0.74429546837714122</v>
      </c>
      <c r="AB188" s="7">
        <v>0.12930236493328284</v>
      </c>
      <c r="AC188" s="8">
        <v>0</v>
      </c>
      <c r="AD188" s="8">
        <v>1</v>
      </c>
      <c r="AE188" s="8">
        <v>14</v>
      </c>
      <c r="AF188" s="7">
        <v>0.42925514319553509</v>
      </c>
      <c r="AG188" s="7">
        <v>6.917480911456024E-2</v>
      </c>
      <c r="AH188" s="8">
        <v>0</v>
      </c>
      <c r="AI188" s="8">
        <v>1</v>
      </c>
      <c r="AJ188" s="8">
        <v>100</v>
      </c>
      <c r="AK188">
        <f>(AF189/AF187)-AF188</f>
        <v>-0.24024873738039229</v>
      </c>
    </row>
    <row r="189" spans="1:37" x14ac:dyDescent="0.45">
      <c r="A189" s="6" t="s">
        <v>91</v>
      </c>
      <c r="B189" s="7">
        <v>4.3768328287058816E-2</v>
      </c>
      <c r="C189" s="7">
        <v>3.9247563320719027E-2</v>
      </c>
      <c r="D189" s="8">
        <v>0</v>
      </c>
      <c r="E189" s="8">
        <v>1</v>
      </c>
      <c r="F189" s="8">
        <v>28</v>
      </c>
      <c r="G189" s="7">
        <v>0</v>
      </c>
      <c r="H189" s="7">
        <v>0</v>
      </c>
      <c r="I189" s="8">
        <v>0</v>
      </c>
      <c r="J189" s="8">
        <v>0</v>
      </c>
      <c r="K189" s="8">
        <v>5</v>
      </c>
      <c r="L189" s="7">
        <v>0</v>
      </c>
      <c r="M189" s="7">
        <v>0</v>
      </c>
      <c r="N189" s="8">
        <v>0</v>
      </c>
      <c r="O189" s="8">
        <v>0</v>
      </c>
      <c r="P189" s="8">
        <v>16</v>
      </c>
      <c r="Q189" s="7">
        <v>0</v>
      </c>
      <c r="R189" s="7">
        <v>0</v>
      </c>
      <c r="S189" s="8">
        <v>0</v>
      </c>
      <c r="T189" s="8">
        <v>0</v>
      </c>
      <c r="U189" s="8">
        <v>19</v>
      </c>
      <c r="V189" s="7">
        <v>4.5608232378704205E-2</v>
      </c>
      <c r="W189" s="7">
        <v>4.6234898232649681E-2</v>
      </c>
      <c r="X189" s="8">
        <v>0</v>
      </c>
      <c r="Y189" s="8">
        <v>1</v>
      </c>
      <c r="Z189" s="8">
        <v>18</v>
      </c>
      <c r="AA189" s="7">
        <v>0.36810191115335855</v>
      </c>
      <c r="AB189" s="7">
        <v>0.15475121092779784</v>
      </c>
      <c r="AC189" s="8">
        <v>0</v>
      </c>
      <c r="AD189" s="8">
        <v>1</v>
      </c>
      <c r="AE189" s="8">
        <v>14</v>
      </c>
      <c r="AF189" s="7">
        <v>3.6334665860819571E-2</v>
      </c>
      <c r="AG189" s="7">
        <v>1.6069042586817229E-2</v>
      </c>
      <c r="AH189" s="8">
        <v>0</v>
      </c>
      <c r="AI189" s="8">
        <v>1</v>
      </c>
      <c r="AJ189" s="8">
        <v>100</v>
      </c>
    </row>
    <row r="190" spans="1:37" x14ac:dyDescent="0.45">
      <c r="A190" s="6" t="s">
        <v>32</v>
      </c>
      <c r="B190" s="7">
        <v>4.3768328287058816E-2</v>
      </c>
      <c r="C190" s="7">
        <v>3.9247563320719027E-2</v>
      </c>
      <c r="D190" s="8">
        <v>0</v>
      </c>
      <c r="E190" s="8">
        <v>1</v>
      </c>
      <c r="F190" s="8">
        <v>28</v>
      </c>
      <c r="G190" s="7">
        <v>0</v>
      </c>
      <c r="H190" s="7">
        <v>0</v>
      </c>
      <c r="I190" s="8">
        <v>0</v>
      </c>
      <c r="J190" s="8">
        <v>0</v>
      </c>
      <c r="K190" s="8">
        <v>5</v>
      </c>
      <c r="L190" s="7">
        <v>0.25436745431109598</v>
      </c>
      <c r="M190" s="7">
        <v>0.11399054354627695</v>
      </c>
      <c r="N190" s="8">
        <v>0</v>
      </c>
      <c r="O190" s="8">
        <v>1</v>
      </c>
      <c r="P190" s="8">
        <v>16</v>
      </c>
      <c r="Q190" s="7">
        <v>0.41381121420178746</v>
      </c>
      <c r="R190" s="7">
        <v>0.12969928853703966</v>
      </c>
      <c r="S190" s="8">
        <v>0</v>
      </c>
      <c r="T190" s="8">
        <v>1</v>
      </c>
      <c r="U190" s="8">
        <v>19</v>
      </c>
      <c r="V190" s="7">
        <v>0.23553150148432661</v>
      </c>
      <c r="W190" s="7">
        <v>0.10224133114104708</v>
      </c>
      <c r="X190" s="8">
        <v>0</v>
      </c>
      <c r="Y190" s="8">
        <v>1</v>
      </c>
      <c r="Z190" s="8">
        <v>18</v>
      </c>
      <c r="AA190" s="7">
        <v>0.62380644277621733</v>
      </c>
      <c r="AB190" s="7">
        <v>0.15335862727964425</v>
      </c>
      <c r="AC190" s="8">
        <v>0</v>
      </c>
      <c r="AD190" s="8">
        <v>1</v>
      </c>
      <c r="AE190" s="8">
        <v>14</v>
      </c>
      <c r="AF190" s="7">
        <v>0.19224039367404611</v>
      </c>
      <c r="AG190" s="7">
        <v>4.6779770209863396E-2</v>
      </c>
      <c r="AH190" s="8">
        <v>0</v>
      </c>
      <c r="AI190" s="8">
        <v>1</v>
      </c>
      <c r="AJ190" s="8">
        <v>100</v>
      </c>
      <c r="AK190">
        <f>(AF192/AF191)-AF190</f>
        <v>8.4036820247109623E-2</v>
      </c>
    </row>
    <row r="191" spans="1:37" ht="26.25" x14ac:dyDescent="0.45">
      <c r="A191" s="6" t="s">
        <v>38</v>
      </c>
      <c r="B191" s="7">
        <v>0</v>
      </c>
      <c r="C191" s="7">
        <v>0</v>
      </c>
      <c r="D191" s="8">
        <v>0</v>
      </c>
      <c r="E191" s="8">
        <v>0</v>
      </c>
      <c r="F191" s="8">
        <v>28</v>
      </c>
      <c r="G191" s="7">
        <v>0</v>
      </c>
      <c r="H191" s="7">
        <v>0</v>
      </c>
      <c r="I191" s="8">
        <v>0</v>
      </c>
      <c r="J191" s="8">
        <v>0</v>
      </c>
      <c r="K191" s="8">
        <v>5</v>
      </c>
      <c r="L191" s="7">
        <v>0.93129216535876924</v>
      </c>
      <c r="M191" s="7">
        <v>6.8358528251634604E-2</v>
      </c>
      <c r="N191" s="8">
        <v>0</v>
      </c>
      <c r="O191" s="8">
        <v>1</v>
      </c>
      <c r="P191" s="8">
        <v>16</v>
      </c>
      <c r="Q191" s="7">
        <v>0.23215855473296679</v>
      </c>
      <c r="R191" s="7">
        <v>9.9015389508305698E-2</v>
      </c>
      <c r="S191" s="8">
        <v>0</v>
      </c>
      <c r="T191" s="8">
        <v>1</v>
      </c>
      <c r="U191" s="8">
        <v>19</v>
      </c>
      <c r="V191" s="7">
        <v>0.47441656189365872</v>
      </c>
      <c r="W191" s="7">
        <v>0.1275876604219422</v>
      </c>
      <c r="X191" s="8">
        <v>0</v>
      </c>
      <c r="Y191" s="8">
        <v>1</v>
      </c>
      <c r="Z191" s="8">
        <v>18</v>
      </c>
      <c r="AA191" s="7">
        <v>0.50100347893857933</v>
      </c>
      <c r="AB191" s="7">
        <v>0.15741214876712428</v>
      </c>
      <c r="AC191" s="8">
        <v>0</v>
      </c>
      <c r="AD191" s="8">
        <v>1</v>
      </c>
      <c r="AE191" s="8">
        <v>14</v>
      </c>
      <c r="AF191" s="7">
        <v>0.38621991000499384</v>
      </c>
      <c r="AG191" s="7">
        <v>6.6639473541989111E-2</v>
      </c>
      <c r="AH191" s="8">
        <v>0</v>
      </c>
      <c r="AI191" s="8">
        <v>1</v>
      </c>
      <c r="AJ191" s="8">
        <v>100</v>
      </c>
      <c r="AK191">
        <f>(AF192/AF190)-AF191</f>
        <v>0.16883388830329066</v>
      </c>
    </row>
    <row r="192" spans="1:37" ht="26.25" x14ac:dyDescent="0.45">
      <c r="A192" s="6" t="s">
        <v>92</v>
      </c>
      <c r="B192" s="7">
        <v>0</v>
      </c>
      <c r="C192" s="7">
        <v>0</v>
      </c>
      <c r="D192" s="8">
        <v>0</v>
      </c>
      <c r="E192" s="8">
        <v>0</v>
      </c>
      <c r="F192" s="8">
        <v>28</v>
      </c>
      <c r="G192" s="7">
        <v>0</v>
      </c>
      <c r="H192" s="7">
        <v>0</v>
      </c>
      <c r="I192" s="8">
        <v>0</v>
      </c>
      <c r="J192" s="8">
        <v>0</v>
      </c>
      <c r="K192" s="8">
        <v>5</v>
      </c>
      <c r="L192" s="7">
        <v>0.25436745431109598</v>
      </c>
      <c r="M192" s="7">
        <v>0.11399054354627695</v>
      </c>
      <c r="N192" s="8">
        <v>0</v>
      </c>
      <c r="O192" s="8">
        <v>1</v>
      </c>
      <c r="P192" s="8">
        <v>16</v>
      </c>
      <c r="Q192" s="7">
        <v>5.3124836939256445E-2</v>
      </c>
      <c r="R192" s="7">
        <v>5.3506400213910184E-2</v>
      </c>
      <c r="S192" s="8">
        <v>0</v>
      </c>
      <c r="T192" s="8">
        <v>1</v>
      </c>
      <c r="U192" s="8">
        <v>19</v>
      </c>
      <c r="V192" s="7">
        <v>0.10055724988722109</v>
      </c>
      <c r="W192" s="7">
        <v>7.0534767449922611E-2</v>
      </c>
      <c r="X192" s="8">
        <v>0</v>
      </c>
      <c r="Y192" s="8">
        <v>1</v>
      </c>
      <c r="Z192" s="8">
        <v>18</v>
      </c>
      <c r="AA192" s="7">
        <v>0.20995463922397484</v>
      </c>
      <c r="AB192" s="7">
        <v>0.13030929519517795</v>
      </c>
      <c r="AC192" s="8">
        <v>0</v>
      </c>
      <c r="AD192" s="8">
        <v>1</v>
      </c>
      <c r="AE192" s="8">
        <v>14</v>
      </c>
      <c r="AF192" s="7">
        <v>0.1067037606970592</v>
      </c>
      <c r="AG192" s="7">
        <v>4.0714253340840667E-2</v>
      </c>
      <c r="AH192" s="8">
        <v>0</v>
      </c>
      <c r="AI192" s="8">
        <v>1</v>
      </c>
      <c r="AJ192" s="8">
        <v>100</v>
      </c>
    </row>
    <row r="193" spans="1:37" x14ac:dyDescent="0.45">
      <c r="A193" s="6" t="s">
        <v>32</v>
      </c>
      <c r="B193" s="7">
        <v>4.3768328287058816E-2</v>
      </c>
      <c r="C193" s="7">
        <v>3.9247563320719027E-2</v>
      </c>
      <c r="D193" s="8">
        <v>0</v>
      </c>
      <c r="E193" s="8">
        <v>1</v>
      </c>
      <c r="F193" s="8">
        <v>28</v>
      </c>
      <c r="G193" s="7">
        <v>0</v>
      </c>
      <c r="H193" s="7">
        <v>0</v>
      </c>
      <c r="I193" s="8">
        <v>0</v>
      </c>
      <c r="J193" s="8">
        <v>0</v>
      </c>
      <c r="K193" s="8">
        <v>5</v>
      </c>
      <c r="L193" s="7">
        <v>0.25436745431109598</v>
      </c>
      <c r="M193" s="7">
        <v>0.11399054354627695</v>
      </c>
      <c r="N193" s="8">
        <v>0</v>
      </c>
      <c r="O193" s="8">
        <v>1</v>
      </c>
      <c r="P193" s="8">
        <v>16</v>
      </c>
      <c r="Q193" s="7">
        <v>0.41381121420178746</v>
      </c>
      <c r="R193" s="7">
        <v>0.12969928853703966</v>
      </c>
      <c r="S193" s="8">
        <v>0</v>
      </c>
      <c r="T193" s="8">
        <v>1</v>
      </c>
      <c r="U193" s="8">
        <v>19</v>
      </c>
      <c r="V193" s="7">
        <v>0.23553150148432661</v>
      </c>
      <c r="W193" s="7">
        <v>0.10224133114104708</v>
      </c>
      <c r="X193" s="8">
        <v>0</v>
      </c>
      <c r="Y193" s="8">
        <v>1</v>
      </c>
      <c r="Z193" s="8">
        <v>18</v>
      </c>
      <c r="AA193" s="7">
        <v>0.62380644277621733</v>
      </c>
      <c r="AB193" s="7">
        <v>0.15335862727964425</v>
      </c>
      <c r="AC193" s="8">
        <v>0</v>
      </c>
      <c r="AD193" s="8">
        <v>1</v>
      </c>
      <c r="AE193" s="8">
        <v>14</v>
      </c>
      <c r="AF193" s="7">
        <v>0.19224039367404611</v>
      </c>
      <c r="AG193" s="7">
        <v>4.6779770209863396E-2</v>
      </c>
      <c r="AH193" s="8">
        <v>0</v>
      </c>
      <c r="AI193" s="8">
        <v>1</v>
      </c>
      <c r="AJ193" s="8">
        <v>100</v>
      </c>
      <c r="AK193">
        <f>(AF195/AF194)-AF193</f>
        <v>4.985748107288307E-2</v>
      </c>
    </row>
    <row r="194" spans="1:37" x14ac:dyDescent="0.45">
      <c r="A194" s="6" t="s">
        <v>40</v>
      </c>
      <c r="B194" s="7">
        <v>0.24021275260760397</v>
      </c>
      <c r="C194" s="7">
        <v>9.9804594593725232E-2</v>
      </c>
      <c r="D194" s="8">
        <v>0</v>
      </c>
      <c r="E194" s="8">
        <v>1</v>
      </c>
      <c r="F194" s="8">
        <v>28</v>
      </c>
      <c r="G194" s="7">
        <v>0.28413340654229741</v>
      </c>
      <c r="H194" s="7">
        <v>0.2635701019519151</v>
      </c>
      <c r="I194" s="8">
        <v>0</v>
      </c>
      <c r="J194" s="8">
        <v>1</v>
      </c>
      <c r="K194" s="8">
        <v>5</v>
      </c>
      <c r="L194" s="7">
        <v>1</v>
      </c>
      <c r="M194" s="7">
        <v>0</v>
      </c>
      <c r="N194" s="8">
        <v>1</v>
      </c>
      <c r="O194" s="8">
        <v>1</v>
      </c>
      <c r="P194" s="8">
        <v>16</v>
      </c>
      <c r="Q194" s="7">
        <v>0.85289731615094222</v>
      </c>
      <c r="R194" s="7">
        <v>0.10368836461541529</v>
      </c>
      <c r="S194" s="8">
        <v>0</v>
      </c>
      <c r="T194" s="8">
        <v>1</v>
      </c>
      <c r="U194" s="8">
        <v>19</v>
      </c>
      <c r="V194" s="7">
        <v>0.86634111546445414</v>
      </c>
      <c r="W194" s="7">
        <v>8.7661072043173624E-2</v>
      </c>
      <c r="X194" s="8">
        <v>0</v>
      </c>
      <c r="Y194" s="8">
        <v>1</v>
      </c>
      <c r="Z194" s="8">
        <v>18</v>
      </c>
      <c r="AA194" s="7">
        <v>0.68542702638902031</v>
      </c>
      <c r="AB194" s="7">
        <v>0.14449500923918335</v>
      </c>
      <c r="AC194" s="8">
        <v>0</v>
      </c>
      <c r="AD194" s="8">
        <v>1</v>
      </c>
      <c r="AE194" s="8">
        <v>14</v>
      </c>
      <c r="AF194" s="7">
        <v>0.62802955981828001</v>
      </c>
      <c r="AG194" s="7">
        <v>6.9009852430896662E-2</v>
      </c>
      <c r="AH194" s="8">
        <v>0</v>
      </c>
      <c r="AI194" s="8">
        <v>1</v>
      </c>
      <c r="AJ194" s="8">
        <v>100</v>
      </c>
      <c r="AK194">
        <f>(AF195/AF193)-AF194</f>
        <v>0.16287925390405777</v>
      </c>
    </row>
    <row r="195" spans="1:37" ht="26.25" x14ac:dyDescent="0.45">
      <c r="A195" s="6" t="s">
        <v>93</v>
      </c>
      <c r="B195" s="7">
        <v>3.8681402086712793E-2</v>
      </c>
      <c r="C195" s="7">
        <v>3.885572815340025E-2</v>
      </c>
      <c r="D195" s="8">
        <v>0</v>
      </c>
      <c r="E195" s="8">
        <v>1</v>
      </c>
      <c r="F195" s="8">
        <v>28</v>
      </c>
      <c r="G195" s="7">
        <v>0</v>
      </c>
      <c r="H195" s="7">
        <v>0</v>
      </c>
      <c r="I195" s="8">
        <v>0</v>
      </c>
      <c r="J195" s="8">
        <v>0</v>
      </c>
      <c r="K195" s="8">
        <v>5</v>
      </c>
      <c r="L195" s="7">
        <v>0.25436745431109598</v>
      </c>
      <c r="M195" s="7">
        <v>0.11399054354627695</v>
      </c>
      <c r="N195" s="8">
        <v>0</v>
      </c>
      <c r="O195" s="8">
        <v>1</v>
      </c>
      <c r="P195" s="8">
        <v>16</v>
      </c>
      <c r="Q195" s="7">
        <v>0.26670853035272951</v>
      </c>
      <c r="R195" s="7">
        <v>0.10759974227734451</v>
      </c>
      <c r="S195" s="8">
        <v>0</v>
      </c>
      <c r="T195" s="8">
        <v>1</v>
      </c>
      <c r="U195" s="8">
        <v>19</v>
      </c>
      <c r="V195" s="7">
        <v>0.17500449872086032</v>
      </c>
      <c r="W195" s="7">
        <v>9.1048086491339428E-2</v>
      </c>
      <c r="X195" s="8">
        <v>0</v>
      </c>
      <c r="Y195" s="8">
        <v>1</v>
      </c>
      <c r="Z195" s="8">
        <v>18</v>
      </c>
      <c r="AA195" s="7">
        <v>0.30923346916523775</v>
      </c>
      <c r="AB195" s="7">
        <v>0.14592704987036195</v>
      </c>
      <c r="AC195" s="8">
        <v>0</v>
      </c>
      <c r="AD195" s="8">
        <v>1</v>
      </c>
      <c r="AE195" s="8">
        <v>14</v>
      </c>
      <c r="AF195" s="7">
        <v>0.15204462171025501</v>
      </c>
      <c r="AG195" s="7">
        <v>4.3873325792196605E-2</v>
      </c>
      <c r="AH195" s="8">
        <v>0</v>
      </c>
      <c r="AI195" s="8">
        <v>1</v>
      </c>
      <c r="AJ195" s="8">
        <v>100</v>
      </c>
    </row>
    <row r="196" spans="1:37" x14ac:dyDescent="0.45">
      <c r="A196" s="6" t="s">
        <v>32</v>
      </c>
      <c r="B196" s="7">
        <v>4.3768328287058816E-2</v>
      </c>
      <c r="C196" s="7">
        <v>3.9247563320719027E-2</v>
      </c>
      <c r="D196" s="8">
        <v>0</v>
      </c>
      <c r="E196" s="8">
        <v>1</v>
      </c>
      <c r="F196" s="8">
        <v>28</v>
      </c>
      <c r="G196" s="7">
        <v>0</v>
      </c>
      <c r="H196" s="7">
        <v>0</v>
      </c>
      <c r="I196" s="8">
        <v>0</v>
      </c>
      <c r="J196" s="8">
        <v>0</v>
      </c>
      <c r="K196" s="8">
        <v>5</v>
      </c>
      <c r="L196" s="7">
        <v>0.25436745431109598</v>
      </c>
      <c r="M196" s="7">
        <v>0.11399054354627695</v>
      </c>
      <c r="N196" s="8">
        <v>0</v>
      </c>
      <c r="O196" s="8">
        <v>1</v>
      </c>
      <c r="P196" s="8">
        <v>16</v>
      </c>
      <c r="Q196" s="7">
        <v>0.41381121420178746</v>
      </c>
      <c r="R196" s="7">
        <v>0.12969928853703966</v>
      </c>
      <c r="S196" s="8">
        <v>0</v>
      </c>
      <c r="T196" s="8">
        <v>1</v>
      </c>
      <c r="U196" s="8">
        <v>19</v>
      </c>
      <c r="V196" s="7">
        <v>0.23553150148432661</v>
      </c>
      <c r="W196" s="7">
        <v>0.10224133114104708</v>
      </c>
      <c r="X196" s="8">
        <v>0</v>
      </c>
      <c r="Y196" s="8">
        <v>1</v>
      </c>
      <c r="Z196" s="8">
        <v>18</v>
      </c>
      <c r="AA196" s="7">
        <v>0.62380644277621733</v>
      </c>
      <c r="AB196" s="7">
        <v>0.15335862727964425</v>
      </c>
      <c r="AC196" s="8">
        <v>0</v>
      </c>
      <c r="AD196" s="8">
        <v>1</v>
      </c>
      <c r="AE196" s="8">
        <v>14</v>
      </c>
      <c r="AF196" s="7">
        <v>0.19224039367404611</v>
      </c>
      <c r="AG196" s="7">
        <v>4.6779770209863396E-2</v>
      </c>
      <c r="AH196" s="8">
        <v>0</v>
      </c>
      <c r="AI196" s="8">
        <v>1</v>
      </c>
      <c r="AJ196" s="8">
        <v>100</v>
      </c>
      <c r="AK196">
        <f>(AF198/AF197)-AF196</f>
        <v>7.4326265376766565E-2</v>
      </c>
    </row>
    <row r="197" spans="1:37" x14ac:dyDescent="0.45">
      <c r="A197" s="6" t="s">
        <v>42</v>
      </c>
      <c r="B197" s="7">
        <v>0.14941160928574393</v>
      </c>
      <c r="C197" s="7">
        <v>7.3542009243322798E-2</v>
      </c>
      <c r="D197" s="8">
        <v>0</v>
      </c>
      <c r="E197" s="8">
        <v>1</v>
      </c>
      <c r="F197" s="8">
        <v>28</v>
      </c>
      <c r="G197" s="7">
        <v>0.28413340654229741</v>
      </c>
      <c r="H197" s="7">
        <v>0.2635701019519151</v>
      </c>
      <c r="I197" s="8">
        <v>0</v>
      </c>
      <c r="J197" s="8">
        <v>1</v>
      </c>
      <c r="K197" s="8">
        <v>5</v>
      </c>
      <c r="L197" s="7">
        <v>0.8067852407664784</v>
      </c>
      <c r="M197" s="7">
        <v>0.10368902289601112</v>
      </c>
      <c r="N197" s="8">
        <v>0</v>
      </c>
      <c r="O197" s="8">
        <v>1</v>
      </c>
      <c r="P197" s="8">
        <v>16</v>
      </c>
      <c r="Q197" s="7">
        <v>0.89861962585941668</v>
      </c>
      <c r="R197" s="7">
        <v>9.6845778169611332E-2</v>
      </c>
      <c r="S197" s="8">
        <v>0</v>
      </c>
      <c r="T197" s="8">
        <v>1</v>
      </c>
      <c r="U197" s="8">
        <v>19</v>
      </c>
      <c r="V197" s="7">
        <v>0.94505098249148323</v>
      </c>
      <c r="W197" s="7">
        <v>5.5165329624764066E-2</v>
      </c>
      <c r="X197" s="8">
        <v>0</v>
      </c>
      <c r="Y197" s="8">
        <v>1</v>
      </c>
      <c r="Z197" s="8">
        <v>18</v>
      </c>
      <c r="AA197" s="7">
        <v>0.91590414556129873</v>
      </c>
      <c r="AB197" s="7">
        <v>5.7720093761496942E-2</v>
      </c>
      <c r="AC197" s="8">
        <v>0</v>
      </c>
      <c r="AD197" s="8">
        <v>1</v>
      </c>
      <c r="AE197" s="8">
        <v>14</v>
      </c>
      <c r="AF197" s="7">
        <v>0.56438823579629216</v>
      </c>
      <c r="AG197" s="7">
        <v>7.0335671964889795E-2</v>
      </c>
      <c r="AH197" s="8">
        <v>0</v>
      </c>
      <c r="AI197" s="8">
        <v>1</v>
      </c>
      <c r="AJ197" s="8">
        <v>100</v>
      </c>
      <c r="AK197">
        <f>(AF198/AF196)-AF197</f>
        <v>0.21821048629585549</v>
      </c>
    </row>
    <row r="198" spans="1:37" ht="26.25" x14ac:dyDescent="0.45">
      <c r="A198" s="6" t="s">
        <v>94</v>
      </c>
      <c r="B198" s="7">
        <v>3.8681402086712793E-2</v>
      </c>
      <c r="C198" s="7">
        <v>3.885572815340025E-2</v>
      </c>
      <c r="D198" s="8">
        <v>0</v>
      </c>
      <c r="E198" s="8">
        <v>1</v>
      </c>
      <c r="F198" s="8">
        <v>28</v>
      </c>
      <c r="G198" s="7">
        <v>0</v>
      </c>
      <c r="H198" s="7">
        <v>0</v>
      </c>
      <c r="I198" s="8">
        <v>0</v>
      </c>
      <c r="J198" s="8">
        <v>0</v>
      </c>
      <c r="K198" s="8">
        <v>5</v>
      </c>
      <c r="L198" s="7">
        <v>0.19077011976714686</v>
      </c>
      <c r="M198" s="7">
        <v>0.10269388298777425</v>
      </c>
      <c r="N198" s="8">
        <v>0</v>
      </c>
      <c r="O198" s="8">
        <v>1</v>
      </c>
      <c r="P198" s="8">
        <v>16</v>
      </c>
      <c r="Q198" s="7">
        <v>0.31243084006120397</v>
      </c>
      <c r="R198" s="7">
        <v>0.11404752946824341</v>
      </c>
      <c r="S198" s="8">
        <v>0</v>
      </c>
      <c r="T198" s="8">
        <v>1</v>
      </c>
      <c r="U198" s="8">
        <v>19</v>
      </c>
      <c r="V198" s="7">
        <v>0.18058248397580975</v>
      </c>
      <c r="W198" s="7">
        <v>9.1283548540657733E-2</v>
      </c>
      <c r="X198" s="8">
        <v>0</v>
      </c>
      <c r="Y198" s="8">
        <v>1</v>
      </c>
      <c r="Z198" s="8">
        <v>18</v>
      </c>
      <c r="AA198" s="7">
        <v>0.53971058833751606</v>
      </c>
      <c r="AB198" s="7">
        <v>0.15587888524556878</v>
      </c>
      <c r="AC198" s="8">
        <v>0</v>
      </c>
      <c r="AD198" s="8">
        <v>1</v>
      </c>
      <c r="AE198" s="8">
        <v>14</v>
      </c>
      <c r="AF198" s="7">
        <v>0.15044708642379986</v>
      </c>
      <c r="AG198" s="7">
        <v>4.1269611648719916E-2</v>
      </c>
      <c r="AH198" s="8">
        <v>0</v>
      </c>
      <c r="AI198" s="8">
        <v>1</v>
      </c>
      <c r="AJ198" s="8">
        <v>100</v>
      </c>
    </row>
    <row r="199" spans="1:37" x14ac:dyDescent="0.45">
      <c r="A199" s="6" t="s">
        <v>32</v>
      </c>
      <c r="B199" s="7">
        <v>4.3768328287058816E-2</v>
      </c>
      <c r="C199" s="7">
        <v>3.9247563320719027E-2</v>
      </c>
      <c r="D199" s="8">
        <v>0</v>
      </c>
      <c r="E199" s="8">
        <v>1</v>
      </c>
      <c r="F199" s="8">
        <v>28</v>
      </c>
      <c r="G199" s="7">
        <v>0</v>
      </c>
      <c r="H199" s="7">
        <v>0</v>
      </c>
      <c r="I199" s="8">
        <v>0</v>
      </c>
      <c r="J199" s="8">
        <v>0</v>
      </c>
      <c r="K199" s="8">
        <v>5</v>
      </c>
      <c r="L199" s="7">
        <v>0.25436745431109598</v>
      </c>
      <c r="M199" s="7">
        <v>0.11399054354627695</v>
      </c>
      <c r="N199" s="8">
        <v>0</v>
      </c>
      <c r="O199" s="8">
        <v>1</v>
      </c>
      <c r="P199" s="8">
        <v>16</v>
      </c>
      <c r="Q199" s="7">
        <v>0.41381121420178746</v>
      </c>
      <c r="R199" s="7">
        <v>0.12969928853703966</v>
      </c>
      <c r="S199" s="8">
        <v>0</v>
      </c>
      <c r="T199" s="8">
        <v>1</v>
      </c>
      <c r="U199" s="8">
        <v>19</v>
      </c>
      <c r="V199" s="7">
        <v>0.23553150148432661</v>
      </c>
      <c r="W199" s="7">
        <v>0.10224133114104708</v>
      </c>
      <c r="X199" s="8">
        <v>0</v>
      </c>
      <c r="Y199" s="8">
        <v>1</v>
      </c>
      <c r="Z199" s="8">
        <v>18</v>
      </c>
      <c r="AA199" s="7">
        <v>0.62380644277621733</v>
      </c>
      <c r="AB199" s="7">
        <v>0.15335862727964425</v>
      </c>
      <c r="AC199" s="8">
        <v>0</v>
      </c>
      <c r="AD199" s="8">
        <v>1</v>
      </c>
      <c r="AE199" s="8">
        <v>14</v>
      </c>
      <c r="AF199" s="7">
        <v>0.19224039367404611</v>
      </c>
      <c r="AG199" s="7">
        <v>4.6779770209863396E-2</v>
      </c>
      <c r="AH199" s="8">
        <v>0</v>
      </c>
      <c r="AI199" s="8">
        <v>1</v>
      </c>
      <c r="AJ199" s="8">
        <v>100</v>
      </c>
      <c r="AK199">
        <f>(AF201/AF200)-AF199</f>
        <v>0.19831130027400284</v>
      </c>
    </row>
    <row r="200" spans="1:37" x14ac:dyDescent="0.45">
      <c r="A200" s="6" t="s">
        <v>44</v>
      </c>
      <c r="B200" s="7">
        <v>0</v>
      </c>
      <c r="C200" s="7">
        <v>0</v>
      </c>
      <c r="D200" s="8">
        <v>0</v>
      </c>
      <c r="E200" s="8">
        <v>0</v>
      </c>
      <c r="F200" s="8">
        <v>28</v>
      </c>
      <c r="G200" s="7">
        <v>0</v>
      </c>
      <c r="H200" s="7">
        <v>0</v>
      </c>
      <c r="I200" s="8">
        <v>0</v>
      </c>
      <c r="J200" s="8">
        <v>0</v>
      </c>
      <c r="K200" s="8">
        <v>5</v>
      </c>
      <c r="L200" s="7">
        <v>0.45315303207398538</v>
      </c>
      <c r="M200" s="7">
        <v>0.1313901892098365</v>
      </c>
      <c r="N200" s="8">
        <v>0</v>
      </c>
      <c r="O200" s="8">
        <v>1</v>
      </c>
      <c r="P200" s="8">
        <v>16</v>
      </c>
      <c r="Q200" s="7">
        <v>0.58179797025751767</v>
      </c>
      <c r="R200" s="7">
        <v>0.13112718214255636</v>
      </c>
      <c r="S200" s="8">
        <v>0</v>
      </c>
      <c r="T200" s="8">
        <v>1</v>
      </c>
      <c r="U200" s="8">
        <v>19</v>
      </c>
      <c r="V200" s="7">
        <v>0.27840718326047831</v>
      </c>
      <c r="W200" s="7">
        <v>0.11962958289453833</v>
      </c>
      <c r="X200" s="8">
        <v>0</v>
      </c>
      <c r="Y200" s="8">
        <v>1</v>
      </c>
      <c r="Z200" s="8">
        <v>18</v>
      </c>
      <c r="AA200" s="7">
        <v>0.27889208014984646</v>
      </c>
      <c r="AB200" s="7">
        <v>0.14163420824029879</v>
      </c>
      <c r="AC200" s="8">
        <v>0</v>
      </c>
      <c r="AD200" s="8">
        <v>1</v>
      </c>
      <c r="AE200" s="8">
        <v>14</v>
      </c>
      <c r="AF200" s="7">
        <v>0.24605417111353658</v>
      </c>
      <c r="AG200" s="7">
        <v>5.5580698511919616E-2</v>
      </c>
      <c r="AH200" s="8">
        <v>0</v>
      </c>
      <c r="AI200" s="8">
        <v>1</v>
      </c>
      <c r="AJ200" s="8">
        <v>100</v>
      </c>
      <c r="AK200">
        <f>(AF201/AF199)-AF200</f>
        <v>0.25382450419916691</v>
      </c>
    </row>
    <row r="201" spans="1:37" x14ac:dyDescent="0.45">
      <c r="A201" s="6" t="s">
        <v>95</v>
      </c>
      <c r="B201" s="7">
        <v>0</v>
      </c>
      <c r="C201" s="7">
        <v>0</v>
      </c>
      <c r="D201" s="8">
        <v>0</v>
      </c>
      <c r="E201" s="8">
        <v>0</v>
      </c>
      <c r="F201" s="8">
        <v>28</v>
      </c>
      <c r="G201" s="7">
        <v>0</v>
      </c>
      <c r="H201" s="7">
        <v>0</v>
      </c>
      <c r="I201" s="8">
        <v>0</v>
      </c>
      <c r="J201" s="8">
        <v>0</v>
      </c>
      <c r="K201" s="8">
        <v>5</v>
      </c>
      <c r="L201" s="7">
        <v>0.19077011976714686</v>
      </c>
      <c r="M201" s="7">
        <v>0.10269388298777425</v>
      </c>
      <c r="N201" s="8">
        <v>0</v>
      </c>
      <c r="O201" s="8">
        <v>1</v>
      </c>
      <c r="P201" s="8">
        <v>16</v>
      </c>
      <c r="Q201" s="7">
        <v>0.21032088172034194</v>
      </c>
      <c r="R201" s="7">
        <v>9.6513574594939269E-2</v>
      </c>
      <c r="S201" s="8">
        <v>0</v>
      </c>
      <c r="T201" s="8">
        <v>1</v>
      </c>
      <c r="U201" s="8">
        <v>19</v>
      </c>
      <c r="V201" s="7">
        <v>0</v>
      </c>
      <c r="W201" s="7">
        <v>0</v>
      </c>
      <c r="X201" s="8">
        <v>0</v>
      </c>
      <c r="Y201" s="8">
        <v>0</v>
      </c>
      <c r="Z201" s="8">
        <v>18</v>
      </c>
      <c r="AA201" s="7">
        <v>0.18577413892313085</v>
      </c>
      <c r="AB201" s="7">
        <v>0.12289504200363094</v>
      </c>
      <c r="AC201" s="8">
        <v>0</v>
      </c>
      <c r="AD201" s="8">
        <v>1</v>
      </c>
      <c r="AE201" s="8">
        <v>14</v>
      </c>
      <c r="AF201" s="7">
        <v>9.6096873331374802E-2</v>
      </c>
      <c r="AG201" s="7">
        <v>3.6905943548788553E-2</v>
      </c>
      <c r="AH201" s="8">
        <v>0</v>
      </c>
      <c r="AI201" s="8">
        <v>1</v>
      </c>
      <c r="AJ201" s="8">
        <v>100</v>
      </c>
    </row>
    <row r="202" spans="1:37" x14ac:dyDescent="0.45">
      <c r="A202" s="6" t="s">
        <v>32</v>
      </c>
      <c r="B202" s="7">
        <v>4.3768328287058816E-2</v>
      </c>
      <c r="C202" s="7">
        <v>3.9247563320719027E-2</v>
      </c>
      <c r="D202" s="8">
        <v>0</v>
      </c>
      <c r="E202" s="8">
        <v>1</v>
      </c>
      <c r="F202" s="8">
        <v>28</v>
      </c>
      <c r="G202" s="7">
        <v>0</v>
      </c>
      <c r="H202" s="7">
        <v>0</v>
      </c>
      <c r="I202" s="8">
        <v>0</v>
      </c>
      <c r="J202" s="8">
        <v>0</v>
      </c>
      <c r="K202" s="8">
        <v>5</v>
      </c>
      <c r="L202" s="7">
        <v>0.25436745431109598</v>
      </c>
      <c r="M202" s="7">
        <v>0.11399054354627695</v>
      </c>
      <c r="N202" s="8">
        <v>0</v>
      </c>
      <c r="O202" s="8">
        <v>1</v>
      </c>
      <c r="P202" s="8">
        <v>16</v>
      </c>
      <c r="Q202" s="7">
        <v>0.41381121420178746</v>
      </c>
      <c r="R202" s="7">
        <v>0.12969928853703966</v>
      </c>
      <c r="S202" s="8">
        <v>0</v>
      </c>
      <c r="T202" s="8">
        <v>1</v>
      </c>
      <c r="U202" s="8">
        <v>19</v>
      </c>
      <c r="V202" s="7">
        <v>0.23553150148432661</v>
      </c>
      <c r="W202" s="7">
        <v>0.10224133114104708</v>
      </c>
      <c r="X202" s="8">
        <v>0</v>
      </c>
      <c r="Y202" s="8">
        <v>1</v>
      </c>
      <c r="Z202" s="8">
        <v>18</v>
      </c>
      <c r="AA202" s="7">
        <v>0.62380644277621733</v>
      </c>
      <c r="AB202" s="7">
        <v>0.15335862727964425</v>
      </c>
      <c r="AC202" s="8">
        <v>0</v>
      </c>
      <c r="AD202" s="8">
        <v>1</v>
      </c>
      <c r="AE202" s="8">
        <v>14</v>
      </c>
      <c r="AF202" s="7">
        <v>0.19224039367404611</v>
      </c>
      <c r="AG202" s="7">
        <v>4.6779770209863396E-2</v>
      </c>
      <c r="AH202" s="8">
        <v>0</v>
      </c>
      <c r="AI202" s="8">
        <v>1</v>
      </c>
      <c r="AJ202" s="8">
        <v>100</v>
      </c>
      <c r="AK202">
        <f>(AF204/AF203)-AF202</f>
        <v>5.4781901886201495E-2</v>
      </c>
    </row>
    <row r="203" spans="1:37" ht="39.4" x14ac:dyDescent="0.45">
      <c r="A203" s="6" t="s">
        <v>16</v>
      </c>
      <c r="B203" s="7">
        <v>0.24021275260760397</v>
      </c>
      <c r="C203" s="7">
        <v>9.9804594593725232E-2</v>
      </c>
      <c r="D203" s="8">
        <v>0</v>
      </c>
      <c r="E203" s="8">
        <v>1</v>
      </c>
      <c r="F203" s="8">
        <v>28</v>
      </c>
      <c r="G203" s="7">
        <v>0.28413340654229741</v>
      </c>
      <c r="H203" s="7">
        <v>0.2635701019519151</v>
      </c>
      <c r="I203" s="8">
        <v>0</v>
      </c>
      <c r="J203" s="8">
        <v>1</v>
      </c>
      <c r="K203" s="8">
        <v>5</v>
      </c>
      <c r="L203" s="7">
        <v>1</v>
      </c>
      <c r="M203" s="7">
        <v>0</v>
      </c>
      <c r="N203" s="8">
        <v>1</v>
      </c>
      <c r="O203" s="8">
        <v>1</v>
      </c>
      <c r="P203" s="8">
        <v>16</v>
      </c>
      <c r="Q203" s="7">
        <v>0.85289731615094222</v>
      </c>
      <c r="R203" s="7">
        <v>0.10368836461541529</v>
      </c>
      <c r="S203" s="8">
        <v>0</v>
      </c>
      <c r="T203" s="8">
        <v>1</v>
      </c>
      <c r="U203" s="8">
        <v>19</v>
      </c>
      <c r="V203" s="7">
        <v>0.92129013297297091</v>
      </c>
      <c r="W203" s="7">
        <v>7.2142407889520602E-2</v>
      </c>
      <c r="X203" s="8">
        <v>0</v>
      </c>
      <c r="Y203" s="8">
        <v>1</v>
      </c>
      <c r="Z203" s="8">
        <v>18</v>
      </c>
      <c r="AA203" s="7">
        <v>0.69525614240739586</v>
      </c>
      <c r="AB203" s="7">
        <v>0.14429635514835867</v>
      </c>
      <c r="AC203" s="8">
        <v>0</v>
      </c>
      <c r="AD203" s="8">
        <v>1</v>
      </c>
      <c r="AE203" s="8">
        <v>14</v>
      </c>
      <c r="AF203" s="7">
        <v>0.63213682862253961</v>
      </c>
      <c r="AG203" s="7">
        <v>6.9040852741309167E-2</v>
      </c>
      <c r="AH203" s="8">
        <v>0</v>
      </c>
      <c r="AI203" s="8">
        <v>1</v>
      </c>
      <c r="AJ203" s="8">
        <v>100</v>
      </c>
      <c r="AK203">
        <f>(AF204/AF202)-AF203</f>
        <v>0.18013725972165329</v>
      </c>
    </row>
    <row r="204" spans="1:37" x14ac:dyDescent="0.45">
      <c r="A204" s="6" t="s">
        <v>96</v>
      </c>
      <c r="B204" s="7">
        <v>3.8681402086712793E-2</v>
      </c>
      <c r="C204" s="7">
        <v>3.885572815340025E-2</v>
      </c>
      <c r="D204" s="8">
        <v>0</v>
      </c>
      <c r="E204" s="8">
        <v>1</v>
      </c>
      <c r="F204" s="8">
        <v>28</v>
      </c>
      <c r="G204" s="7">
        <v>0</v>
      </c>
      <c r="H204" s="7">
        <v>0</v>
      </c>
      <c r="I204" s="8">
        <v>0</v>
      </c>
      <c r="J204" s="8">
        <v>0</v>
      </c>
      <c r="K204" s="8">
        <v>5</v>
      </c>
      <c r="L204" s="7">
        <v>0.25436745431109598</v>
      </c>
      <c r="M204" s="7">
        <v>0.11399054354627695</v>
      </c>
      <c r="N204" s="8">
        <v>0</v>
      </c>
      <c r="O204" s="8">
        <v>1</v>
      </c>
      <c r="P204" s="8">
        <v>16</v>
      </c>
      <c r="Q204" s="7">
        <v>0.26670853035272951</v>
      </c>
      <c r="R204" s="7">
        <v>0.10759974227734451</v>
      </c>
      <c r="S204" s="8">
        <v>0</v>
      </c>
      <c r="T204" s="8">
        <v>1</v>
      </c>
      <c r="U204" s="8">
        <v>19</v>
      </c>
      <c r="V204" s="7">
        <v>0.22995351622937718</v>
      </c>
      <c r="W204" s="7">
        <v>0.10202713341359886</v>
      </c>
      <c r="X204" s="8">
        <v>0</v>
      </c>
      <c r="Y204" s="8">
        <v>1</v>
      </c>
      <c r="Z204" s="8">
        <v>18</v>
      </c>
      <c r="AA204" s="7">
        <v>0.3190625851836133</v>
      </c>
      <c r="AB204" s="7">
        <v>0.14606787351248138</v>
      </c>
      <c r="AC204" s="8">
        <v>0</v>
      </c>
      <c r="AD204" s="8">
        <v>1</v>
      </c>
      <c r="AE204" s="8">
        <v>14</v>
      </c>
      <c r="AF204" s="7">
        <v>0.15615189051451456</v>
      </c>
      <c r="AG204" s="7">
        <v>4.4055823888028388E-2</v>
      </c>
      <c r="AH204" s="8">
        <v>0</v>
      </c>
      <c r="AI204" s="8">
        <v>1</v>
      </c>
      <c r="AJ204" s="8">
        <v>100</v>
      </c>
    </row>
    <row r="205" spans="1:37" x14ac:dyDescent="0.45">
      <c r="A205" s="6" t="s">
        <v>32</v>
      </c>
      <c r="B205" s="7">
        <v>4.3768328287058816E-2</v>
      </c>
      <c r="C205" s="7">
        <v>3.9247563320719027E-2</v>
      </c>
      <c r="D205" s="8">
        <v>0</v>
      </c>
      <c r="E205" s="8">
        <v>1</v>
      </c>
      <c r="F205" s="8">
        <v>28</v>
      </c>
      <c r="G205" s="7">
        <v>0</v>
      </c>
      <c r="H205" s="7">
        <v>0</v>
      </c>
      <c r="I205" s="8">
        <v>0</v>
      </c>
      <c r="J205" s="8">
        <v>0</v>
      </c>
      <c r="K205" s="8">
        <v>5</v>
      </c>
      <c r="L205" s="7">
        <v>0.25436745431109598</v>
      </c>
      <c r="M205" s="7">
        <v>0.11399054354627695</v>
      </c>
      <c r="N205" s="8">
        <v>0</v>
      </c>
      <c r="O205" s="8">
        <v>1</v>
      </c>
      <c r="P205" s="8">
        <v>16</v>
      </c>
      <c r="Q205" s="7">
        <v>0.41381121420178746</v>
      </c>
      <c r="R205" s="7">
        <v>0.12969928853703966</v>
      </c>
      <c r="S205" s="8">
        <v>0</v>
      </c>
      <c r="T205" s="8">
        <v>1</v>
      </c>
      <c r="U205" s="8">
        <v>19</v>
      </c>
      <c r="V205" s="7">
        <v>0.23553150148432661</v>
      </c>
      <c r="W205" s="7">
        <v>0.10224133114104708</v>
      </c>
      <c r="X205" s="8">
        <v>0</v>
      </c>
      <c r="Y205" s="8">
        <v>1</v>
      </c>
      <c r="Z205" s="8">
        <v>18</v>
      </c>
      <c r="AA205" s="7">
        <v>0.62380644277621733</v>
      </c>
      <c r="AB205" s="7">
        <v>0.15335862727964425</v>
      </c>
      <c r="AC205" s="8">
        <v>0</v>
      </c>
      <c r="AD205" s="8">
        <v>1</v>
      </c>
      <c r="AE205" s="8">
        <v>14</v>
      </c>
      <c r="AF205" s="7">
        <v>0.19224039367404611</v>
      </c>
      <c r="AG205" s="7">
        <v>4.6779770209863396E-2</v>
      </c>
      <c r="AH205" s="8">
        <v>0</v>
      </c>
      <c r="AI205" s="8">
        <v>1</v>
      </c>
      <c r="AJ205" s="8">
        <v>100</v>
      </c>
      <c r="AK205">
        <f>(AF207/AF206)-AF205</f>
        <v>8.4629865194554843E-2</v>
      </c>
    </row>
    <row r="206" spans="1:37" ht="39.4" x14ac:dyDescent="0.45">
      <c r="A206" s="6" t="s">
        <v>18</v>
      </c>
      <c r="B206" s="7">
        <v>0.14941160928574393</v>
      </c>
      <c r="C206" s="7">
        <v>7.3542009243322798E-2</v>
      </c>
      <c r="D206" s="8">
        <v>0</v>
      </c>
      <c r="E206" s="8">
        <v>1</v>
      </c>
      <c r="F206" s="8">
        <v>28</v>
      </c>
      <c r="G206" s="7">
        <v>0.28413340654229741</v>
      </c>
      <c r="H206" s="7">
        <v>0.2635701019519151</v>
      </c>
      <c r="I206" s="8">
        <v>0</v>
      </c>
      <c r="J206" s="8">
        <v>1</v>
      </c>
      <c r="K206" s="8">
        <v>5</v>
      </c>
      <c r="L206" s="7">
        <v>1</v>
      </c>
      <c r="M206" s="7">
        <v>0</v>
      </c>
      <c r="N206" s="8">
        <v>1</v>
      </c>
      <c r="O206" s="8">
        <v>1</v>
      </c>
      <c r="P206" s="8">
        <v>16</v>
      </c>
      <c r="Q206" s="7">
        <v>0.89861962585941668</v>
      </c>
      <c r="R206" s="7">
        <v>9.6845778169611332E-2</v>
      </c>
      <c r="S206" s="8">
        <v>0</v>
      </c>
      <c r="T206" s="8">
        <v>1</v>
      </c>
      <c r="U206" s="8">
        <v>19</v>
      </c>
      <c r="V206" s="7">
        <v>1</v>
      </c>
      <c r="W206" s="7">
        <v>0</v>
      </c>
      <c r="X206" s="8">
        <v>1</v>
      </c>
      <c r="Y206" s="8">
        <v>1</v>
      </c>
      <c r="Z206" s="8">
        <v>18</v>
      </c>
      <c r="AA206" s="7">
        <v>0.91590414556129873</v>
      </c>
      <c r="AB206" s="7">
        <v>5.7720093761496942E-2</v>
      </c>
      <c r="AC206" s="8">
        <v>0</v>
      </c>
      <c r="AD206" s="8">
        <v>1</v>
      </c>
      <c r="AE206" s="8">
        <v>14</v>
      </c>
      <c r="AF206" s="7">
        <v>0.63023599596706159</v>
      </c>
      <c r="AG206" s="7">
        <v>6.9774465060460464E-2</v>
      </c>
      <c r="AH206" s="8">
        <v>0</v>
      </c>
      <c r="AI206" s="8">
        <v>1</v>
      </c>
      <c r="AJ206" s="8">
        <v>100</v>
      </c>
      <c r="AK206">
        <f>(AF207/AF205)-AF206</f>
        <v>0.27744838823979834</v>
      </c>
    </row>
    <row r="207" spans="1:37" x14ac:dyDescent="0.45">
      <c r="A207" s="6" t="s">
        <v>97</v>
      </c>
      <c r="B207" s="7">
        <v>3.8681402086712793E-2</v>
      </c>
      <c r="C207" s="7">
        <v>3.885572815340025E-2</v>
      </c>
      <c r="D207" s="8">
        <v>0</v>
      </c>
      <c r="E207" s="8">
        <v>1</v>
      </c>
      <c r="F207" s="8">
        <v>28</v>
      </c>
      <c r="G207" s="7">
        <v>0</v>
      </c>
      <c r="H207" s="7">
        <v>0</v>
      </c>
      <c r="I207" s="8">
        <v>0</v>
      </c>
      <c r="J207" s="8">
        <v>0</v>
      </c>
      <c r="K207" s="8">
        <v>5</v>
      </c>
      <c r="L207" s="7">
        <v>0.25436745431109598</v>
      </c>
      <c r="M207" s="7">
        <v>0.11399054354627695</v>
      </c>
      <c r="N207" s="8">
        <v>0</v>
      </c>
      <c r="O207" s="8">
        <v>1</v>
      </c>
      <c r="P207" s="8">
        <v>16</v>
      </c>
      <c r="Q207" s="7">
        <v>0.31243084006120397</v>
      </c>
      <c r="R207" s="7">
        <v>0.11404752946824341</v>
      </c>
      <c r="S207" s="8">
        <v>0</v>
      </c>
      <c r="T207" s="8">
        <v>1</v>
      </c>
      <c r="U207" s="8">
        <v>19</v>
      </c>
      <c r="V207" s="7">
        <v>0.23553150148432661</v>
      </c>
      <c r="W207" s="7">
        <v>0.10224133114104708</v>
      </c>
      <c r="X207" s="8">
        <v>0</v>
      </c>
      <c r="Y207" s="8">
        <v>1</v>
      </c>
      <c r="Z207" s="8">
        <v>18</v>
      </c>
      <c r="AA207" s="7">
        <v>0.53971058833751606</v>
      </c>
      <c r="AB207" s="7">
        <v>0.15587888524556878</v>
      </c>
      <c r="AC207" s="8">
        <v>0</v>
      </c>
      <c r="AD207" s="8">
        <v>1</v>
      </c>
      <c r="AE207" s="8">
        <v>14</v>
      </c>
      <c r="AF207" s="7">
        <v>0.17449360335171088</v>
      </c>
      <c r="AG207" s="7">
        <v>4.5306375980458474E-2</v>
      </c>
      <c r="AH207" s="8">
        <v>0</v>
      </c>
      <c r="AI207" s="8">
        <v>1</v>
      </c>
      <c r="AJ207" s="8">
        <v>100</v>
      </c>
    </row>
    <row r="208" spans="1:37" x14ac:dyDescent="0.45">
      <c r="A208" s="6" t="s">
        <v>32</v>
      </c>
      <c r="B208" s="7">
        <v>4.3768328287058816E-2</v>
      </c>
      <c r="C208" s="7">
        <v>3.9247563320719027E-2</v>
      </c>
      <c r="D208" s="8">
        <v>0</v>
      </c>
      <c r="E208" s="8">
        <v>1</v>
      </c>
      <c r="F208" s="8">
        <v>28</v>
      </c>
      <c r="G208" s="7">
        <v>0</v>
      </c>
      <c r="H208" s="7">
        <v>0</v>
      </c>
      <c r="I208" s="8">
        <v>0</v>
      </c>
      <c r="J208" s="8">
        <v>0</v>
      </c>
      <c r="K208" s="8">
        <v>5</v>
      </c>
      <c r="L208" s="7">
        <v>0.25436745431109598</v>
      </c>
      <c r="M208" s="7">
        <v>0.11399054354627695</v>
      </c>
      <c r="N208" s="8">
        <v>0</v>
      </c>
      <c r="O208" s="8">
        <v>1</v>
      </c>
      <c r="P208" s="8">
        <v>16</v>
      </c>
      <c r="Q208" s="7">
        <v>0.41381121420178746</v>
      </c>
      <c r="R208" s="7">
        <v>0.12969928853703966</v>
      </c>
      <c r="S208" s="8">
        <v>0</v>
      </c>
      <c r="T208" s="8">
        <v>1</v>
      </c>
      <c r="U208" s="8">
        <v>19</v>
      </c>
      <c r="V208" s="7">
        <v>0.23553150148432661</v>
      </c>
      <c r="W208" s="7">
        <v>0.10224133114104708</v>
      </c>
      <c r="X208" s="8">
        <v>0</v>
      </c>
      <c r="Y208" s="8">
        <v>1</v>
      </c>
      <c r="Z208" s="8">
        <v>18</v>
      </c>
      <c r="AA208" s="7">
        <v>0.62380644277621733</v>
      </c>
      <c r="AB208" s="7">
        <v>0.15335862727964425</v>
      </c>
      <c r="AC208" s="8">
        <v>0</v>
      </c>
      <c r="AD208" s="8">
        <v>1</v>
      </c>
      <c r="AE208" s="8">
        <v>14</v>
      </c>
      <c r="AF208" s="7">
        <v>0.19224039367404611</v>
      </c>
      <c r="AG208" s="7">
        <v>4.6779770209863396E-2</v>
      </c>
      <c r="AH208" s="8">
        <v>0</v>
      </c>
      <c r="AI208" s="8">
        <v>1</v>
      </c>
      <c r="AJ208" s="8">
        <v>100</v>
      </c>
      <c r="AK208">
        <f>(AF210/AF209)-AF208</f>
        <v>8.5650212049709185E-2</v>
      </c>
    </row>
    <row r="209" spans="1:37" ht="39.4" x14ac:dyDescent="0.45">
      <c r="A209" s="6" t="s">
        <v>20</v>
      </c>
      <c r="B209" s="7">
        <v>0</v>
      </c>
      <c r="C209" s="7">
        <v>0</v>
      </c>
      <c r="D209" s="8">
        <v>0</v>
      </c>
      <c r="E209" s="8">
        <v>0</v>
      </c>
      <c r="F209" s="8">
        <v>28</v>
      </c>
      <c r="G209" s="7">
        <v>0</v>
      </c>
      <c r="H209" s="7">
        <v>0</v>
      </c>
      <c r="I209" s="8">
        <v>0</v>
      </c>
      <c r="J209" s="8">
        <v>0</v>
      </c>
      <c r="K209" s="8">
        <v>5</v>
      </c>
      <c r="L209" s="7">
        <v>1</v>
      </c>
      <c r="M209" s="7">
        <v>0</v>
      </c>
      <c r="N209" s="8">
        <v>1</v>
      </c>
      <c r="O209" s="8">
        <v>1</v>
      </c>
      <c r="P209" s="8">
        <v>16</v>
      </c>
      <c r="Q209" s="7">
        <v>0.61840113049179313</v>
      </c>
      <c r="R209" s="7">
        <v>0.13006566375416401</v>
      </c>
      <c r="S209" s="8">
        <v>0</v>
      </c>
      <c r="T209" s="8">
        <v>1</v>
      </c>
      <c r="U209" s="8">
        <v>19</v>
      </c>
      <c r="V209" s="7">
        <v>0.62484576595299168</v>
      </c>
      <c r="W209" s="7">
        <v>0.12235387804662534</v>
      </c>
      <c r="X209" s="8">
        <v>0</v>
      </c>
      <c r="Y209" s="8">
        <v>1</v>
      </c>
      <c r="Z209" s="8">
        <v>18</v>
      </c>
      <c r="AA209" s="7">
        <v>0.59238861673724996</v>
      </c>
      <c r="AB209" s="7">
        <v>0.15320552322461192</v>
      </c>
      <c r="AC209" s="8">
        <v>0</v>
      </c>
      <c r="AD209" s="8">
        <v>1</v>
      </c>
      <c r="AE209" s="8">
        <v>14</v>
      </c>
      <c r="AF209" s="7">
        <v>0.46705017304122987</v>
      </c>
      <c r="AG209" s="7">
        <v>6.8874379217115159E-2</v>
      </c>
      <c r="AH209" s="8">
        <v>0</v>
      </c>
      <c r="AI209" s="8">
        <v>1</v>
      </c>
      <c r="AJ209" s="8">
        <v>100</v>
      </c>
      <c r="AK209">
        <f>(AF210/AF208)-AF209</f>
        <v>0.20808814211367999</v>
      </c>
    </row>
    <row r="210" spans="1:37" x14ac:dyDescent="0.45">
      <c r="A210" s="6" t="s">
        <v>98</v>
      </c>
      <c r="B210" s="7">
        <v>0</v>
      </c>
      <c r="C210" s="7">
        <v>0</v>
      </c>
      <c r="D210" s="8">
        <v>0</v>
      </c>
      <c r="E210" s="8">
        <v>0</v>
      </c>
      <c r="F210" s="8">
        <v>28</v>
      </c>
      <c r="G210" s="7">
        <v>0</v>
      </c>
      <c r="H210" s="7">
        <v>0</v>
      </c>
      <c r="I210" s="8">
        <v>0</v>
      </c>
      <c r="J210" s="8">
        <v>0</v>
      </c>
      <c r="K210" s="8">
        <v>5</v>
      </c>
      <c r="L210" s="7">
        <v>0.25436745431109598</v>
      </c>
      <c r="M210" s="7">
        <v>0.11399054354627695</v>
      </c>
      <c r="N210" s="8">
        <v>0</v>
      </c>
      <c r="O210" s="8">
        <v>1</v>
      </c>
      <c r="P210" s="8">
        <v>16</v>
      </c>
      <c r="Q210" s="7">
        <v>0.21032088172034194</v>
      </c>
      <c r="R210" s="7">
        <v>9.6513574594939269E-2</v>
      </c>
      <c r="S210" s="8">
        <v>0</v>
      </c>
      <c r="T210" s="8">
        <v>1</v>
      </c>
      <c r="U210" s="8">
        <v>19</v>
      </c>
      <c r="V210" s="7">
        <v>0.10055724988722109</v>
      </c>
      <c r="W210" s="7">
        <v>7.0534767449922611E-2</v>
      </c>
      <c r="X210" s="8">
        <v>0</v>
      </c>
      <c r="Y210" s="8">
        <v>1</v>
      </c>
      <c r="Z210" s="8">
        <v>18</v>
      </c>
      <c r="AA210" s="7">
        <v>0.30133977702264547</v>
      </c>
      <c r="AB210" s="7">
        <v>0.14564589883951973</v>
      </c>
      <c r="AC210" s="8">
        <v>0</v>
      </c>
      <c r="AD210" s="8">
        <v>1</v>
      </c>
      <c r="AE210" s="8">
        <v>14</v>
      </c>
      <c r="AF210" s="7">
        <v>0.12978885548981209</v>
      </c>
      <c r="AG210" s="7">
        <v>4.206990305768394E-2</v>
      </c>
      <c r="AH210" s="8">
        <v>0</v>
      </c>
      <c r="AI210" s="8">
        <v>1</v>
      </c>
      <c r="AJ210" s="8">
        <v>100</v>
      </c>
    </row>
    <row r="211" spans="1:37" x14ac:dyDescent="0.45">
      <c r="A211" s="6" t="s">
        <v>32</v>
      </c>
      <c r="B211" s="7">
        <v>4.3768328287058816E-2</v>
      </c>
      <c r="C211" s="7">
        <v>3.9247563320719027E-2</v>
      </c>
      <c r="D211" s="8">
        <v>0</v>
      </c>
      <c r="E211" s="8">
        <v>1</v>
      </c>
      <c r="F211" s="8">
        <v>28</v>
      </c>
      <c r="G211" s="7">
        <v>0</v>
      </c>
      <c r="H211" s="7">
        <v>0</v>
      </c>
      <c r="I211" s="8">
        <v>0</v>
      </c>
      <c r="J211" s="8">
        <v>0</v>
      </c>
      <c r="K211" s="8">
        <v>5</v>
      </c>
      <c r="L211" s="7">
        <v>0.25436745431109598</v>
      </c>
      <c r="M211" s="7">
        <v>0.11399054354627695</v>
      </c>
      <c r="N211" s="8">
        <v>0</v>
      </c>
      <c r="O211" s="8">
        <v>1</v>
      </c>
      <c r="P211" s="8">
        <v>16</v>
      </c>
      <c r="Q211" s="7">
        <v>0.41381121420178746</v>
      </c>
      <c r="R211" s="7">
        <v>0.12969928853703966</v>
      </c>
      <c r="S211" s="8">
        <v>0</v>
      </c>
      <c r="T211" s="8">
        <v>1</v>
      </c>
      <c r="U211" s="8">
        <v>19</v>
      </c>
      <c r="V211" s="7">
        <v>0.23553150148432661</v>
      </c>
      <c r="W211" s="7">
        <v>0.10224133114104708</v>
      </c>
      <c r="X211" s="8">
        <v>0</v>
      </c>
      <c r="Y211" s="8">
        <v>1</v>
      </c>
      <c r="Z211" s="8">
        <v>18</v>
      </c>
      <c r="AA211" s="7">
        <v>0.62380644277621733</v>
      </c>
      <c r="AB211" s="7">
        <v>0.15335862727964425</v>
      </c>
      <c r="AC211" s="8">
        <v>0</v>
      </c>
      <c r="AD211" s="8">
        <v>1</v>
      </c>
      <c r="AE211" s="8">
        <v>14</v>
      </c>
      <c r="AF211" s="7">
        <v>0.19224039367404611</v>
      </c>
      <c r="AG211" s="7">
        <v>4.6779770209863396E-2</v>
      </c>
      <c r="AH211" s="8">
        <v>0</v>
      </c>
      <c r="AI211" s="8">
        <v>1</v>
      </c>
      <c r="AJ211" s="8">
        <v>100</v>
      </c>
      <c r="AK211">
        <f>(AF213/AF212)-AF211</f>
        <v>6.6867613094478529E-2</v>
      </c>
    </row>
    <row r="212" spans="1:37" ht="26.25" x14ac:dyDescent="0.45">
      <c r="A212" s="6" t="s">
        <v>22</v>
      </c>
      <c r="B212" s="7">
        <v>0.26984434576365129</v>
      </c>
      <c r="C212" s="7">
        <v>0.10088535446125156</v>
      </c>
      <c r="D212" s="8">
        <v>0</v>
      </c>
      <c r="E212" s="8">
        <v>1</v>
      </c>
      <c r="F212" s="8">
        <v>28</v>
      </c>
      <c r="G212" s="7">
        <v>0.28413340654229741</v>
      </c>
      <c r="H212" s="7">
        <v>0.2635701019519151</v>
      </c>
      <c r="I212" s="8">
        <v>0</v>
      </c>
      <c r="J212" s="8">
        <v>1</v>
      </c>
      <c r="K212" s="8">
        <v>5</v>
      </c>
      <c r="L212" s="7">
        <v>1</v>
      </c>
      <c r="M212" s="7">
        <v>0</v>
      </c>
      <c r="N212" s="8">
        <v>1</v>
      </c>
      <c r="O212" s="8">
        <v>1</v>
      </c>
      <c r="P212" s="8">
        <v>16</v>
      </c>
      <c r="Q212" s="7">
        <v>0.89861962585941668</v>
      </c>
      <c r="R212" s="7">
        <v>9.6845778169611332E-2</v>
      </c>
      <c r="S212" s="8">
        <v>0</v>
      </c>
      <c r="T212" s="8">
        <v>1</v>
      </c>
      <c r="U212" s="8">
        <v>19</v>
      </c>
      <c r="V212" s="7">
        <v>0.94505098249148323</v>
      </c>
      <c r="W212" s="7">
        <v>5.5165329624764066E-2</v>
      </c>
      <c r="X212" s="8">
        <v>0</v>
      </c>
      <c r="Y212" s="8">
        <v>1</v>
      </c>
      <c r="Z212" s="8">
        <v>18</v>
      </c>
      <c r="AA212" s="7">
        <v>0.91590414556129873</v>
      </c>
      <c r="AB212" s="7">
        <v>5.7720093761496942E-2</v>
      </c>
      <c r="AC212" s="8">
        <v>0</v>
      </c>
      <c r="AD212" s="8">
        <v>1</v>
      </c>
      <c r="AE212" s="8">
        <v>14</v>
      </c>
      <c r="AF212" s="7">
        <v>0.65979065777482815</v>
      </c>
      <c r="AG212" s="7">
        <v>6.9173406705135554E-2</v>
      </c>
      <c r="AH212" s="8">
        <v>0</v>
      </c>
      <c r="AI212" s="8">
        <v>1</v>
      </c>
      <c r="AJ212" s="8">
        <v>100</v>
      </c>
      <c r="AK212">
        <f>(AF213/AF211)-AF212</f>
        <v>0.22949717062192554</v>
      </c>
    </row>
    <row r="213" spans="1:37" x14ac:dyDescent="0.45">
      <c r="A213" s="6" t="s">
        <v>99</v>
      </c>
      <c r="B213" s="7">
        <v>3.8681402086712793E-2</v>
      </c>
      <c r="C213" s="7">
        <v>3.885572815340025E-2</v>
      </c>
      <c r="D213" s="8">
        <v>0</v>
      </c>
      <c r="E213" s="8">
        <v>1</v>
      </c>
      <c r="F213" s="8">
        <v>28</v>
      </c>
      <c r="G213" s="7">
        <v>0</v>
      </c>
      <c r="H213" s="7">
        <v>0</v>
      </c>
      <c r="I213" s="8">
        <v>0</v>
      </c>
      <c r="J213" s="8">
        <v>0</v>
      </c>
      <c r="K213" s="8">
        <v>5</v>
      </c>
      <c r="L213" s="7">
        <v>0.25436745431109598</v>
      </c>
      <c r="M213" s="7">
        <v>0.11399054354627695</v>
      </c>
      <c r="N213" s="8">
        <v>0</v>
      </c>
      <c r="O213" s="8">
        <v>1</v>
      </c>
      <c r="P213" s="8">
        <v>16</v>
      </c>
      <c r="Q213" s="7">
        <v>0.31243084006120397</v>
      </c>
      <c r="R213" s="7">
        <v>0.11404752946824341</v>
      </c>
      <c r="S213" s="8">
        <v>0</v>
      </c>
      <c r="T213" s="8">
        <v>1</v>
      </c>
      <c r="U213" s="8">
        <v>19</v>
      </c>
      <c r="V213" s="7">
        <v>0.18058248397580975</v>
      </c>
      <c r="W213" s="7">
        <v>9.1283548540657733E-2</v>
      </c>
      <c r="X213" s="8">
        <v>0</v>
      </c>
      <c r="Y213" s="8">
        <v>1</v>
      </c>
      <c r="Z213" s="8">
        <v>18</v>
      </c>
      <c r="AA213" s="7">
        <v>0.53971058833751606</v>
      </c>
      <c r="AB213" s="7">
        <v>0.15587888524556878</v>
      </c>
      <c r="AC213" s="8">
        <v>0</v>
      </c>
      <c r="AD213" s="8">
        <v>1</v>
      </c>
      <c r="AE213" s="8">
        <v>14</v>
      </c>
      <c r="AF213" s="7">
        <v>0.17095704222052949</v>
      </c>
      <c r="AG213" s="7">
        <v>4.5127975591012719E-2</v>
      </c>
      <c r="AH213" s="8">
        <v>0</v>
      </c>
      <c r="AI213" s="8">
        <v>1</v>
      </c>
      <c r="AJ213" s="8">
        <v>100</v>
      </c>
    </row>
    <row r="214" spans="1:37" x14ac:dyDescent="0.45">
      <c r="A214" s="6" t="s">
        <v>32</v>
      </c>
      <c r="B214" s="7">
        <v>4.3768328287058816E-2</v>
      </c>
      <c r="C214" s="7">
        <v>3.9247563320719027E-2</v>
      </c>
      <c r="D214" s="8">
        <v>0</v>
      </c>
      <c r="E214" s="8">
        <v>1</v>
      </c>
      <c r="F214" s="8">
        <v>28</v>
      </c>
      <c r="G214" s="7">
        <v>0</v>
      </c>
      <c r="H214" s="7">
        <v>0</v>
      </c>
      <c r="I214" s="8">
        <v>0</v>
      </c>
      <c r="J214" s="8">
        <v>0</v>
      </c>
      <c r="K214" s="8">
        <v>5</v>
      </c>
      <c r="L214" s="7">
        <v>0.25436745431109598</v>
      </c>
      <c r="M214" s="7">
        <v>0.11399054354627695</v>
      </c>
      <c r="N214" s="8">
        <v>0</v>
      </c>
      <c r="O214" s="8">
        <v>1</v>
      </c>
      <c r="P214" s="8">
        <v>16</v>
      </c>
      <c r="Q214" s="7">
        <v>0.41381121420178746</v>
      </c>
      <c r="R214" s="7">
        <v>0.12969928853703966</v>
      </c>
      <c r="S214" s="8">
        <v>0</v>
      </c>
      <c r="T214" s="8">
        <v>1</v>
      </c>
      <c r="U214" s="8">
        <v>19</v>
      </c>
      <c r="V214" s="7">
        <v>0.23553150148432661</v>
      </c>
      <c r="W214" s="7">
        <v>0.10224133114104708</v>
      </c>
      <c r="X214" s="8">
        <v>0</v>
      </c>
      <c r="Y214" s="8">
        <v>1</v>
      </c>
      <c r="Z214" s="8">
        <v>18</v>
      </c>
      <c r="AA214" s="7">
        <v>0.62380644277621733</v>
      </c>
      <c r="AB214" s="7">
        <v>0.15335862727964425</v>
      </c>
      <c r="AC214" s="8">
        <v>0</v>
      </c>
      <c r="AD214" s="8">
        <v>1</v>
      </c>
      <c r="AE214" s="8">
        <v>14</v>
      </c>
      <c r="AF214" s="7">
        <v>0.19224039367404611</v>
      </c>
      <c r="AG214" s="7">
        <v>4.6779770209863396E-2</v>
      </c>
      <c r="AH214" s="8">
        <v>0</v>
      </c>
      <c r="AI214" s="8">
        <v>1</v>
      </c>
      <c r="AJ214" s="8">
        <v>100</v>
      </c>
      <c r="AK214">
        <f>(AF216/AF215)-AF214</f>
        <v>5.6047124165905349E-2</v>
      </c>
    </row>
    <row r="215" spans="1:37" ht="26.25" x14ac:dyDescent="0.45">
      <c r="A215" s="6" t="s">
        <v>24</v>
      </c>
      <c r="B215" s="7">
        <v>0.24021275260760397</v>
      </c>
      <c r="C215" s="7">
        <v>9.9804594593725232E-2</v>
      </c>
      <c r="D215" s="8">
        <v>0</v>
      </c>
      <c r="E215" s="8">
        <v>1</v>
      </c>
      <c r="F215" s="8">
        <v>28</v>
      </c>
      <c r="G215" s="7">
        <v>0.28413340654229741</v>
      </c>
      <c r="H215" s="7">
        <v>0.2635701019519151</v>
      </c>
      <c r="I215" s="8">
        <v>0</v>
      </c>
      <c r="J215" s="8">
        <v>1</v>
      </c>
      <c r="K215" s="8">
        <v>5</v>
      </c>
      <c r="L215" s="7">
        <v>1</v>
      </c>
      <c r="M215" s="7">
        <v>0</v>
      </c>
      <c r="N215" s="8">
        <v>1</v>
      </c>
      <c r="O215" s="8">
        <v>1</v>
      </c>
      <c r="P215" s="8">
        <v>16</v>
      </c>
      <c r="Q215" s="7">
        <v>0.89861962585941668</v>
      </c>
      <c r="R215" s="7">
        <v>9.6845778169611332E-2</v>
      </c>
      <c r="S215" s="8">
        <v>0</v>
      </c>
      <c r="T215" s="8">
        <v>1</v>
      </c>
      <c r="U215" s="8">
        <v>19</v>
      </c>
      <c r="V215" s="7">
        <v>0.86634111546445414</v>
      </c>
      <c r="W215" s="7">
        <v>8.7661072043173624E-2</v>
      </c>
      <c r="X215" s="8">
        <v>0</v>
      </c>
      <c r="Y215" s="8">
        <v>1</v>
      </c>
      <c r="Z215" s="8">
        <v>18</v>
      </c>
      <c r="AA215" s="7">
        <v>0.68542702638902031</v>
      </c>
      <c r="AB215" s="7">
        <v>0.14449500923918335</v>
      </c>
      <c r="AC215" s="8">
        <v>0</v>
      </c>
      <c r="AD215" s="8">
        <v>1</v>
      </c>
      <c r="AE215" s="8">
        <v>14</v>
      </c>
      <c r="AF215" s="7">
        <v>0.63320079073355351</v>
      </c>
      <c r="AG215" s="7">
        <v>6.9028775174729731E-2</v>
      </c>
      <c r="AH215" s="8">
        <v>0</v>
      </c>
      <c r="AI215" s="8">
        <v>1</v>
      </c>
      <c r="AJ215" s="8">
        <v>100</v>
      </c>
      <c r="AK215">
        <f>(AF216/AF214)-AF215</f>
        <v>0.18460783741613929</v>
      </c>
    </row>
    <row r="216" spans="1:37" x14ac:dyDescent="0.45">
      <c r="A216" s="6" t="s">
        <v>100</v>
      </c>
      <c r="B216" s="7">
        <v>3.8681402086712793E-2</v>
      </c>
      <c r="C216" s="7">
        <v>3.885572815340025E-2</v>
      </c>
      <c r="D216" s="8">
        <v>0</v>
      </c>
      <c r="E216" s="8">
        <v>1</v>
      </c>
      <c r="F216" s="8">
        <v>28</v>
      </c>
      <c r="G216" s="7">
        <v>0</v>
      </c>
      <c r="H216" s="7">
        <v>0</v>
      </c>
      <c r="I216" s="8">
        <v>0</v>
      </c>
      <c r="J216" s="8">
        <v>0</v>
      </c>
      <c r="K216" s="8">
        <v>5</v>
      </c>
      <c r="L216" s="7">
        <v>0.25436745431109598</v>
      </c>
      <c r="M216" s="7">
        <v>0.11399054354627695</v>
      </c>
      <c r="N216" s="8">
        <v>0</v>
      </c>
      <c r="O216" s="8">
        <v>1</v>
      </c>
      <c r="P216" s="8">
        <v>16</v>
      </c>
      <c r="Q216" s="7">
        <v>0.31243084006120397</v>
      </c>
      <c r="R216" s="7">
        <v>0.11404752946824341</v>
      </c>
      <c r="S216" s="8">
        <v>0</v>
      </c>
      <c r="T216" s="8">
        <v>1</v>
      </c>
      <c r="U216" s="8">
        <v>19</v>
      </c>
      <c r="V216" s="7">
        <v>0.17500449872086032</v>
      </c>
      <c r="W216" s="7">
        <v>9.1048086491339428E-2</v>
      </c>
      <c r="X216" s="8">
        <v>0</v>
      </c>
      <c r="Y216" s="8">
        <v>1</v>
      </c>
      <c r="Z216" s="8">
        <v>18</v>
      </c>
      <c r="AA216" s="7">
        <v>0.30923346916523775</v>
      </c>
      <c r="AB216" s="7">
        <v>0.14592704987036195</v>
      </c>
      <c r="AC216" s="8">
        <v>0</v>
      </c>
      <c r="AD216" s="8">
        <v>1</v>
      </c>
      <c r="AE216" s="8">
        <v>14</v>
      </c>
      <c r="AF216" s="7">
        <v>0.15721585262552853</v>
      </c>
      <c r="AG216" s="7">
        <v>4.4186808908798683E-2</v>
      </c>
      <c r="AH216" s="8">
        <v>0</v>
      </c>
      <c r="AI216" s="8">
        <v>1</v>
      </c>
      <c r="AJ216" s="8">
        <v>100</v>
      </c>
    </row>
    <row r="217" spans="1:37" x14ac:dyDescent="0.45">
      <c r="A217" s="6" t="s">
        <v>34</v>
      </c>
      <c r="B217" s="7">
        <v>5.0869262003460196E-3</v>
      </c>
      <c r="C217" s="7">
        <v>5.2833334995758627E-3</v>
      </c>
      <c r="D217" s="8">
        <v>0</v>
      </c>
      <c r="E217" s="8">
        <v>1</v>
      </c>
      <c r="F217" s="8">
        <v>28</v>
      </c>
      <c r="G217" s="7">
        <v>0</v>
      </c>
      <c r="H217" s="7">
        <v>0</v>
      </c>
      <c r="I217" s="8">
        <v>0</v>
      </c>
      <c r="J217" s="8">
        <v>0</v>
      </c>
      <c r="K217" s="8">
        <v>5</v>
      </c>
      <c r="L217" s="7">
        <v>6.2263124728341786E-2</v>
      </c>
      <c r="M217" s="7">
        <v>6.2375305389036399E-2</v>
      </c>
      <c r="N217" s="8">
        <v>0</v>
      </c>
      <c r="O217" s="8">
        <v>1</v>
      </c>
      <c r="P217" s="8">
        <v>16</v>
      </c>
      <c r="Q217" s="7">
        <v>0</v>
      </c>
      <c r="R217" s="7">
        <v>0</v>
      </c>
      <c r="S217" s="8">
        <v>0</v>
      </c>
      <c r="T217" s="8">
        <v>0</v>
      </c>
      <c r="U217" s="8">
        <v>19</v>
      </c>
      <c r="V217" s="7">
        <v>0.18749442370539304</v>
      </c>
      <c r="W217" s="7">
        <v>9.5653225655299184E-2</v>
      </c>
      <c r="X217" s="8">
        <v>0</v>
      </c>
      <c r="Y217" s="8">
        <v>1</v>
      </c>
      <c r="Z217" s="8">
        <v>18</v>
      </c>
      <c r="AA217" s="7">
        <v>0.10851687170393783</v>
      </c>
      <c r="AB217" s="7">
        <v>9.1959813331468687E-2</v>
      </c>
      <c r="AC217" s="8">
        <v>0</v>
      </c>
      <c r="AD217" s="8">
        <v>1</v>
      </c>
      <c r="AE217" s="8">
        <v>14</v>
      </c>
      <c r="AF217" s="7">
        <v>3.9845505914107161E-2</v>
      </c>
      <c r="AG217" s="7">
        <v>2.1780217848510454E-2</v>
      </c>
      <c r="AH217" s="8">
        <v>0</v>
      </c>
      <c r="AI217" s="8">
        <v>1</v>
      </c>
      <c r="AJ217" s="8">
        <v>100</v>
      </c>
      <c r="AK217">
        <f>(AF219/AF218)-AF217</f>
        <v>-1.7389852117481376E-2</v>
      </c>
    </row>
    <row r="218" spans="1:37" x14ac:dyDescent="0.45">
      <c r="A218" s="6" t="s">
        <v>36</v>
      </c>
      <c r="B218" s="7">
        <v>0.75033349718812381</v>
      </c>
      <c r="C218" s="7">
        <v>0.11113628937183456</v>
      </c>
      <c r="D218" s="8">
        <v>0</v>
      </c>
      <c r="E218" s="8">
        <v>1</v>
      </c>
      <c r="F218" s="8">
        <v>28</v>
      </c>
      <c r="G218" s="7">
        <v>0.69890286206955909</v>
      </c>
      <c r="H218" s="7">
        <v>0.26064905237909602</v>
      </c>
      <c r="I218" s="8">
        <v>0</v>
      </c>
      <c r="J218" s="8">
        <v>1</v>
      </c>
      <c r="K218" s="8">
        <v>5</v>
      </c>
      <c r="L218" s="7">
        <v>7.6528749224782755E-2</v>
      </c>
      <c r="M218" s="7">
        <v>6.4008315307330796E-2</v>
      </c>
      <c r="N218" s="8">
        <v>0</v>
      </c>
      <c r="O218" s="8">
        <v>1</v>
      </c>
      <c r="P218" s="8">
        <v>16</v>
      </c>
      <c r="Q218" s="7">
        <v>0.13638212532932661</v>
      </c>
      <c r="R218" s="7">
        <v>0.12489587163927413</v>
      </c>
      <c r="S218" s="8">
        <v>0</v>
      </c>
      <c r="T218" s="8">
        <v>1</v>
      </c>
      <c r="U218" s="8">
        <v>19</v>
      </c>
      <c r="V218" s="7">
        <v>0.35584441822330487</v>
      </c>
      <c r="W218" s="7">
        <v>0.12202753204157965</v>
      </c>
      <c r="X218" s="8">
        <v>0</v>
      </c>
      <c r="Y218" s="8">
        <v>1</v>
      </c>
      <c r="Z218" s="8">
        <v>18</v>
      </c>
      <c r="AA218" s="7">
        <v>0.74429546837714122</v>
      </c>
      <c r="AB218" s="7">
        <v>0.12930236493328284</v>
      </c>
      <c r="AC218" s="8">
        <v>0</v>
      </c>
      <c r="AD218" s="8">
        <v>1</v>
      </c>
      <c r="AE218" s="8">
        <v>14</v>
      </c>
      <c r="AF218" s="7">
        <v>0.42925514319553509</v>
      </c>
      <c r="AG218" s="7">
        <v>6.917480911456024E-2</v>
      </c>
      <c r="AH218" s="8">
        <v>0</v>
      </c>
      <c r="AI218" s="8">
        <v>1</v>
      </c>
      <c r="AJ218" s="8">
        <v>100</v>
      </c>
      <c r="AK218">
        <f>(AF219/AF217)-AF218</f>
        <v>-0.18734066212962308</v>
      </c>
    </row>
    <row r="219" spans="1:37" ht="26.25" x14ac:dyDescent="0.45">
      <c r="A219" s="6" t="s">
        <v>101</v>
      </c>
      <c r="B219" s="7">
        <v>5.0869262003460196E-3</v>
      </c>
      <c r="C219" s="7">
        <v>5.2833334995758627E-3</v>
      </c>
      <c r="D219" s="8">
        <v>0</v>
      </c>
      <c r="E219" s="8">
        <v>1</v>
      </c>
      <c r="F219" s="8">
        <v>28</v>
      </c>
      <c r="G219" s="7">
        <v>0</v>
      </c>
      <c r="H219" s="7">
        <v>0</v>
      </c>
      <c r="I219" s="8">
        <v>0</v>
      </c>
      <c r="J219" s="8">
        <v>0</v>
      </c>
      <c r="K219" s="8">
        <v>5</v>
      </c>
      <c r="L219" s="7">
        <v>0</v>
      </c>
      <c r="M219" s="7">
        <v>0</v>
      </c>
      <c r="N219" s="8">
        <v>0</v>
      </c>
      <c r="O219" s="8">
        <v>0</v>
      </c>
      <c r="P219" s="8">
        <v>16</v>
      </c>
      <c r="Q219" s="7">
        <v>0</v>
      </c>
      <c r="R219" s="7">
        <v>0</v>
      </c>
      <c r="S219" s="8">
        <v>0</v>
      </c>
      <c r="T219" s="8">
        <v>0</v>
      </c>
      <c r="U219" s="8">
        <v>19</v>
      </c>
      <c r="V219" s="7">
        <v>4.5608232378704205E-2</v>
      </c>
      <c r="W219" s="7">
        <v>4.6234898232649681E-2</v>
      </c>
      <c r="X219" s="8">
        <v>0</v>
      </c>
      <c r="Y219" s="8">
        <v>1</v>
      </c>
      <c r="Z219" s="8">
        <v>18</v>
      </c>
      <c r="AA219" s="7">
        <v>9.1385137798670593E-2</v>
      </c>
      <c r="AB219" s="7">
        <v>9.0431079609862339E-2</v>
      </c>
      <c r="AC219" s="8">
        <v>0</v>
      </c>
      <c r="AD219" s="8">
        <v>1</v>
      </c>
      <c r="AE219" s="8">
        <v>14</v>
      </c>
      <c r="AF219" s="7">
        <v>9.6392048860199624E-3</v>
      </c>
      <c r="AG219" s="7">
        <v>6.3375456466821028E-3</v>
      </c>
      <c r="AH219" s="8">
        <v>0</v>
      </c>
      <c r="AI219" s="8">
        <v>1</v>
      </c>
      <c r="AJ219" s="8">
        <v>100</v>
      </c>
    </row>
    <row r="220" spans="1:37" x14ac:dyDescent="0.45">
      <c r="A220" s="6" t="s">
        <v>34</v>
      </c>
      <c r="B220" s="7">
        <v>5.0869262003460196E-3</v>
      </c>
      <c r="C220" s="7">
        <v>5.2833334995758627E-3</v>
      </c>
      <c r="D220" s="8">
        <v>0</v>
      </c>
      <c r="E220" s="8">
        <v>1</v>
      </c>
      <c r="F220" s="8">
        <v>28</v>
      </c>
      <c r="G220" s="7">
        <v>0</v>
      </c>
      <c r="H220" s="7">
        <v>0</v>
      </c>
      <c r="I220" s="8">
        <v>0</v>
      </c>
      <c r="J220" s="8">
        <v>0</v>
      </c>
      <c r="K220" s="8">
        <v>5</v>
      </c>
      <c r="L220" s="7">
        <v>6.2263124728341786E-2</v>
      </c>
      <c r="M220" s="7">
        <v>6.2375305389036399E-2</v>
      </c>
      <c r="N220" s="8">
        <v>0</v>
      </c>
      <c r="O220" s="8">
        <v>1</v>
      </c>
      <c r="P220" s="8">
        <v>16</v>
      </c>
      <c r="Q220" s="7">
        <v>0</v>
      </c>
      <c r="R220" s="7">
        <v>0</v>
      </c>
      <c r="S220" s="8">
        <v>0</v>
      </c>
      <c r="T220" s="8">
        <v>0</v>
      </c>
      <c r="U220" s="8">
        <v>19</v>
      </c>
      <c r="V220" s="7">
        <v>0.18749442370539304</v>
      </c>
      <c r="W220" s="7">
        <v>9.5653225655299184E-2</v>
      </c>
      <c r="X220" s="8">
        <v>0</v>
      </c>
      <c r="Y220" s="8">
        <v>1</v>
      </c>
      <c r="Z220" s="8">
        <v>18</v>
      </c>
      <c r="AA220" s="7">
        <v>0.10851687170393783</v>
      </c>
      <c r="AB220" s="7">
        <v>9.1959813331468687E-2</v>
      </c>
      <c r="AC220" s="8">
        <v>0</v>
      </c>
      <c r="AD220" s="8">
        <v>1</v>
      </c>
      <c r="AE220" s="8">
        <v>14</v>
      </c>
      <c r="AF220" s="7">
        <v>3.9845505914107161E-2</v>
      </c>
      <c r="AG220" s="7">
        <v>2.1780217848510454E-2</v>
      </c>
      <c r="AH220" s="8">
        <v>0</v>
      </c>
      <c r="AI220" s="8">
        <v>1</v>
      </c>
      <c r="AJ220" s="8">
        <v>100</v>
      </c>
      <c r="AK220">
        <f>(AF222/AF221)-AF220</f>
        <v>2.8901905718145694E-2</v>
      </c>
    </row>
    <row r="221" spans="1:37" ht="26.25" x14ac:dyDescent="0.45">
      <c r="A221" s="6" t="s">
        <v>38</v>
      </c>
      <c r="B221" s="7">
        <v>0</v>
      </c>
      <c r="C221" s="7">
        <v>0</v>
      </c>
      <c r="D221" s="8">
        <v>0</v>
      </c>
      <c r="E221" s="8">
        <v>0</v>
      </c>
      <c r="F221" s="8">
        <v>28</v>
      </c>
      <c r="G221" s="7">
        <v>0</v>
      </c>
      <c r="H221" s="7">
        <v>0</v>
      </c>
      <c r="I221" s="8">
        <v>0</v>
      </c>
      <c r="J221" s="8">
        <v>0</v>
      </c>
      <c r="K221" s="8">
        <v>5</v>
      </c>
      <c r="L221" s="7">
        <v>0.93129216535876924</v>
      </c>
      <c r="M221" s="7">
        <v>6.8358528251634604E-2</v>
      </c>
      <c r="N221" s="8">
        <v>0</v>
      </c>
      <c r="O221" s="8">
        <v>1</v>
      </c>
      <c r="P221" s="8">
        <v>16</v>
      </c>
      <c r="Q221" s="7">
        <v>0.23215855473296679</v>
      </c>
      <c r="R221" s="7">
        <v>9.9015389508305698E-2</v>
      </c>
      <c r="S221" s="8">
        <v>0</v>
      </c>
      <c r="T221" s="8">
        <v>1</v>
      </c>
      <c r="U221" s="8">
        <v>19</v>
      </c>
      <c r="V221" s="7">
        <v>0.47441656189365872</v>
      </c>
      <c r="W221" s="7">
        <v>0.1275876604219422</v>
      </c>
      <c r="X221" s="8">
        <v>0</v>
      </c>
      <c r="Y221" s="8">
        <v>1</v>
      </c>
      <c r="Z221" s="8">
        <v>18</v>
      </c>
      <c r="AA221" s="7">
        <v>0.50100347893857933</v>
      </c>
      <c r="AB221" s="7">
        <v>0.15741214876712428</v>
      </c>
      <c r="AC221" s="8">
        <v>0</v>
      </c>
      <c r="AD221" s="8">
        <v>1</v>
      </c>
      <c r="AE221" s="8">
        <v>14</v>
      </c>
      <c r="AF221" s="7">
        <v>0.38621991000499384</v>
      </c>
      <c r="AG221" s="7">
        <v>6.6639473541989111E-2</v>
      </c>
      <c r="AH221" s="8">
        <v>0</v>
      </c>
      <c r="AI221" s="8">
        <v>1</v>
      </c>
      <c r="AJ221" s="8">
        <v>100</v>
      </c>
      <c r="AK221">
        <f>(AF222/AF220)-AF221</f>
        <v>0.2801443015806459</v>
      </c>
    </row>
    <row r="222" spans="1:37" ht="39.4" x14ac:dyDescent="0.45">
      <c r="A222" s="6" t="s">
        <v>102</v>
      </c>
      <c r="B222" s="7">
        <v>0</v>
      </c>
      <c r="C222" s="7">
        <v>0</v>
      </c>
      <c r="D222" s="8">
        <v>0</v>
      </c>
      <c r="E222" s="8">
        <v>0</v>
      </c>
      <c r="F222" s="8">
        <v>28</v>
      </c>
      <c r="G222" s="7">
        <v>0</v>
      </c>
      <c r="H222" s="7">
        <v>0</v>
      </c>
      <c r="I222" s="8">
        <v>0</v>
      </c>
      <c r="J222" s="8">
        <v>0</v>
      </c>
      <c r="K222" s="8">
        <v>5</v>
      </c>
      <c r="L222" s="7">
        <v>6.2263124728341786E-2</v>
      </c>
      <c r="M222" s="7">
        <v>6.2375305389036399E-2</v>
      </c>
      <c r="N222" s="8">
        <v>0</v>
      </c>
      <c r="O222" s="8">
        <v>1</v>
      </c>
      <c r="P222" s="8">
        <v>16</v>
      </c>
      <c r="Q222" s="7">
        <v>0</v>
      </c>
      <c r="R222" s="7">
        <v>0</v>
      </c>
      <c r="S222" s="8">
        <v>0</v>
      </c>
      <c r="T222" s="8">
        <v>0</v>
      </c>
      <c r="U222" s="8">
        <v>19</v>
      </c>
      <c r="V222" s="7">
        <v>0.10055724988722109</v>
      </c>
      <c r="W222" s="7">
        <v>7.0534767449922611E-2</v>
      </c>
      <c r="X222" s="8">
        <v>0</v>
      </c>
      <c r="Y222" s="8">
        <v>1</v>
      </c>
      <c r="Z222" s="8">
        <v>18</v>
      </c>
      <c r="AA222" s="7">
        <v>0</v>
      </c>
      <c r="AB222" s="7">
        <v>0</v>
      </c>
      <c r="AC222" s="8">
        <v>0</v>
      </c>
      <c r="AD222" s="8">
        <v>0</v>
      </c>
      <c r="AE222" s="8">
        <v>14</v>
      </c>
      <c r="AF222" s="7">
        <v>2.6551619133684964E-2</v>
      </c>
      <c r="AG222" s="7">
        <v>2.0482208695823803E-2</v>
      </c>
      <c r="AH222" s="8">
        <v>0</v>
      </c>
      <c r="AI222" s="8">
        <v>1</v>
      </c>
      <c r="AJ222" s="8">
        <v>100</v>
      </c>
    </row>
    <row r="223" spans="1:37" x14ac:dyDescent="0.45">
      <c r="A223" s="6" t="s">
        <v>34</v>
      </c>
      <c r="B223" s="7">
        <v>5.0869262003460196E-3</v>
      </c>
      <c r="C223" s="7">
        <v>5.2833334995758627E-3</v>
      </c>
      <c r="D223" s="8">
        <v>0</v>
      </c>
      <c r="E223" s="8">
        <v>1</v>
      </c>
      <c r="F223" s="8">
        <v>28</v>
      </c>
      <c r="G223" s="7">
        <v>0</v>
      </c>
      <c r="H223" s="7">
        <v>0</v>
      </c>
      <c r="I223" s="8">
        <v>0</v>
      </c>
      <c r="J223" s="8">
        <v>0</v>
      </c>
      <c r="K223" s="8">
        <v>5</v>
      </c>
      <c r="L223" s="7">
        <v>6.2263124728341786E-2</v>
      </c>
      <c r="M223" s="7">
        <v>6.2375305389036399E-2</v>
      </c>
      <c r="N223" s="8">
        <v>0</v>
      </c>
      <c r="O223" s="8">
        <v>1</v>
      </c>
      <c r="P223" s="8">
        <v>16</v>
      </c>
      <c r="Q223" s="7">
        <v>0</v>
      </c>
      <c r="R223" s="7">
        <v>0</v>
      </c>
      <c r="S223" s="8">
        <v>0</v>
      </c>
      <c r="T223" s="8">
        <v>0</v>
      </c>
      <c r="U223" s="8">
        <v>19</v>
      </c>
      <c r="V223" s="7">
        <v>0.18749442370539304</v>
      </c>
      <c r="W223" s="7">
        <v>9.5653225655299184E-2</v>
      </c>
      <c r="X223" s="8">
        <v>0</v>
      </c>
      <c r="Y223" s="8">
        <v>1</v>
      </c>
      <c r="Z223" s="8">
        <v>18</v>
      </c>
      <c r="AA223" s="7">
        <v>0.10851687170393783</v>
      </c>
      <c r="AB223" s="7">
        <v>9.1959813331468687E-2</v>
      </c>
      <c r="AC223" s="8">
        <v>0</v>
      </c>
      <c r="AD223" s="8">
        <v>1</v>
      </c>
      <c r="AE223" s="8">
        <v>14</v>
      </c>
      <c r="AF223" s="7">
        <v>3.9845505914107161E-2</v>
      </c>
      <c r="AG223" s="7">
        <v>2.1780217848510454E-2</v>
      </c>
      <c r="AH223" s="8">
        <v>0</v>
      </c>
      <c r="AI223" s="8">
        <v>1</v>
      </c>
      <c r="AJ223" s="8">
        <v>100</v>
      </c>
      <c r="AK223">
        <f>(AF225/AF224)-AF223</f>
        <v>1.4159108299700178E-2</v>
      </c>
    </row>
    <row r="224" spans="1:37" x14ac:dyDescent="0.45">
      <c r="A224" s="6" t="s">
        <v>40</v>
      </c>
      <c r="B224" s="7">
        <v>0.24021275260760397</v>
      </c>
      <c r="C224" s="7">
        <v>9.9804594593725232E-2</v>
      </c>
      <c r="D224" s="8">
        <v>0</v>
      </c>
      <c r="E224" s="8">
        <v>1</v>
      </c>
      <c r="F224" s="8">
        <v>28</v>
      </c>
      <c r="G224" s="7">
        <v>0.28413340654229741</v>
      </c>
      <c r="H224" s="7">
        <v>0.2635701019519151</v>
      </c>
      <c r="I224" s="8">
        <v>0</v>
      </c>
      <c r="J224" s="8">
        <v>1</v>
      </c>
      <c r="K224" s="8">
        <v>5</v>
      </c>
      <c r="L224" s="7">
        <v>1</v>
      </c>
      <c r="M224" s="7">
        <v>0</v>
      </c>
      <c r="N224" s="8">
        <v>1</v>
      </c>
      <c r="O224" s="8">
        <v>1</v>
      </c>
      <c r="P224" s="8">
        <v>16</v>
      </c>
      <c r="Q224" s="7">
        <v>0.85289731615094222</v>
      </c>
      <c r="R224" s="7">
        <v>0.10368836461541529</v>
      </c>
      <c r="S224" s="8">
        <v>0</v>
      </c>
      <c r="T224" s="8">
        <v>1</v>
      </c>
      <c r="U224" s="8">
        <v>19</v>
      </c>
      <c r="V224" s="7">
        <v>0.86634111546445414</v>
      </c>
      <c r="W224" s="7">
        <v>8.7661072043173624E-2</v>
      </c>
      <c r="X224" s="8">
        <v>0</v>
      </c>
      <c r="Y224" s="8">
        <v>1</v>
      </c>
      <c r="Z224" s="8">
        <v>18</v>
      </c>
      <c r="AA224" s="7">
        <v>0.68542702638902031</v>
      </c>
      <c r="AB224" s="7">
        <v>0.14449500923918335</v>
      </c>
      <c r="AC224" s="8">
        <v>0</v>
      </c>
      <c r="AD224" s="8">
        <v>1</v>
      </c>
      <c r="AE224" s="8">
        <v>14</v>
      </c>
      <c r="AF224" s="7">
        <v>0.62802955981828001</v>
      </c>
      <c r="AG224" s="7">
        <v>6.9009852430896662E-2</v>
      </c>
      <c r="AH224" s="8">
        <v>0</v>
      </c>
      <c r="AI224" s="8">
        <v>1</v>
      </c>
      <c r="AJ224" s="8">
        <v>100</v>
      </c>
      <c r="AK224">
        <f>(AF225/AF223)-AF224</f>
        <v>0.22317042659839226</v>
      </c>
    </row>
    <row r="225" spans="1:37" ht="26.25" x14ac:dyDescent="0.45">
      <c r="A225" s="6" t="s">
        <v>103</v>
      </c>
      <c r="B225" s="7">
        <v>0</v>
      </c>
      <c r="C225" s="7">
        <v>0</v>
      </c>
      <c r="D225" s="8">
        <v>0</v>
      </c>
      <c r="E225" s="8">
        <v>0</v>
      </c>
      <c r="F225" s="8">
        <v>28</v>
      </c>
      <c r="G225" s="7">
        <v>0</v>
      </c>
      <c r="H225" s="7">
        <v>0</v>
      </c>
      <c r="I225" s="8">
        <v>0</v>
      </c>
      <c r="J225" s="8">
        <v>0</v>
      </c>
      <c r="K225" s="8">
        <v>5</v>
      </c>
      <c r="L225" s="7">
        <v>6.2263124728341786E-2</v>
      </c>
      <c r="M225" s="7">
        <v>6.2375305389036399E-2</v>
      </c>
      <c r="N225" s="8">
        <v>0</v>
      </c>
      <c r="O225" s="8">
        <v>1</v>
      </c>
      <c r="P225" s="8">
        <v>16</v>
      </c>
      <c r="Q225" s="7">
        <v>0</v>
      </c>
      <c r="R225" s="7">
        <v>0</v>
      </c>
      <c r="S225" s="8">
        <v>0</v>
      </c>
      <c r="T225" s="8">
        <v>0</v>
      </c>
      <c r="U225" s="8">
        <v>19</v>
      </c>
      <c r="V225" s="7">
        <v>0.13254540619687616</v>
      </c>
      <c r="W225" s="7">
        <v>8.2787652361548586E-2</v>
      </c>
      <c r="X225" s="8">
        <v>0</v>
      </c>
      <c r="Y225" s="8">
        <v>1</v>
      </c>
      <c r="Z225" s="8">
        <v>18</v>
      </c>
      <c r="AA225" s="7">
        <v>9.1385137798670593E-2</v>
      </c>
      <c r="AB225" s="7">
        <v>9.0431079609862339E-2</v>
      </c>
      <c r="AC225" s="8">
        <v>0</v>
      </c>
      <c r="AD225" s="8">
        <v>1</v>
      </c>
      <c r="AE225" s="8">
        <v>14</v>
      </c>
      <c r="AF225" s="7">
        <v>3.3916494092853453E-2</v>
      </c>
      <c r="AG225" s="7">
        <v>2.1378971991854272E-2</v>
      </c>
      <c r="AH225" s="8">
        <v>0</v>
      </c>
      <c r="AI225" s="8">
        <v>1</v>
      </c>
      <c r="AJ225" s="8">
        <v>100</v>
      </c>
    </row>
    <row r="226" spans="1:37" x14ac:dyDescent="0.45">
      <c r="A226" s="6" t="s">
        <v>34</v>
      </c>
      <c r="B226" s="7">
        <v>5.0869262003460196E-3</v>
      </c>
      <c r="C226" s="7">
        <v>5.2833334995758627E-3</v>
      </c>
      <c r="D226" s="8">
        <v>0</v>
      </c>
      <c r="E226" s="8">
        <v>1</v>
      </c>
      <c r="F226" s="8">
        <v>28</v>
      </c>
      <c r="G226" s="7">
        <v>0</v>
      </c>
      <c r="H226" s="7">
        <v>0</v>
      </c>
      <c r="I226" s="8">
        <v>0</v>
      </c>
      <c r="J226" s="8">
        <v>0</v>
      </c>
      <c r="K226" s="8">
        <v>5</v>
      </c>
      <c r="L226" s="7">
        <v>6.2263124728341786E-2</v>
      </c>
      <c r="M226" s="7">
        <v>6.2375305389036399E-2</v>
      </c>
      <c r="N226" s="8">
        <v>0</v>
      </c>
      <c r="O226" s="8">
        <v>1</v>
      </c>
      <c r="P226" s="8">
        <v>16</v>
      </c>
      <c r="Q226" s="7">
        <v>0</v>
      </c>
      <c r="R226" s="7">
        <v>0</v>
      </c>
      <c r="S226" s="8">
        <v>0</v>
      </c>
      <c r="T226" s="8">
        <v>0</v>
      </c>
      <c r="U226" s="8">
        <v>19</v>
      </c>
      <c r="V226" s="7">
        <v>0.18749442370539304</v>
      </c>
      <c r="W226" s="7">
        <v>9.5653225655299184E-2</v>
      </c>
      <c r="X226" s="8">
        <v>0</v>
      </c>
      <c r="Y226" s="8">
        <v>1</v>
      </c>
      <c r="Z226" s="8">
        <v>18</v>
      </c>
      <c r="AA226" s="7">
        <v>0.10851687170393783</v>
      </c>
      <c r="AB226" s="7">
        <v>9.1959813331468687E-2</v>
      </c>
      <c r="AC226" s="8">
        <v>0</v>
      </c>
      <c r="AD226" s="8">
        <v>1</v>
      </c>
      <c r="AE226" s="8">
        <v>14</v>
      </c>
      <c r="AF226" s="7">
        <v>3.9845505914107161E-2</v>
      </c>
      <c r="AG226" s="7">
        <v>2.1780217848510454E-2</v>
      </c>
      <c r="AH226" s="8">
        <v>0</v>
      </c>
      <c r="AI226" s="8">
        <v>1</v>
      </c>
      <c r="AJ226" s="8">
        <v>100</v>
      </c>
      <c r="AK226">
        <f>(AF228/AF227)-AF226</f>
        <v>2.0248755343838555E-2</v>
      </c>
    </row>
    <row r="227" spans="1:37" x14ac:dyDescent="0.45">
      <c r="A227" s="6" t="s">
        <v>42</v>
      </c>
      <c r="B227" s="7">
        <v>0.14941160928574393</v>
      </c>
      <c r="C227" s="7">
        <v>7.3542009243322798E-2</v>
      </c>
      <c r="D227" s="8">
        <v>0</v>
      </c>
      <c r="E227" s="8">
        <v>1</v>
      </c>
      <c r="F227" s="8">
        <v>28</v>
      </c>
      <c r="G227" s="7">
        <v>0.28413340654229741</v>
      </c>
      <c r="H227" s="7">
        <v>0.2635701019519151</v>
      </c>
      <c r="I227" s="8">
        <v>0</v>
      </c>
      <c r="J227" s="8">
        <v>1</v>
      </c>
      <c r="K227" s="8">
        <v>5</v>
      </c>
      <c r="L227" s="7">
        <v>0.8067852407664784</v>
      </c>
      <c r="M227" s="7">
        <v>0.10368902289601112</v>
      </c>
      <c r="N227" s="8">
        <v>0</v>
      </c>
      <c r="O227" s="8">
        <v>1</v>
      </c>
      <c r="P227" s="8">
        <v>16</v>
      </c>
      <c r="Q227" s="7">
        <v>0.89861962585941668</v>
      </c>
      <c r="R227" s="7">
        <v>9.6845778169611332E-2</v>
      </c>
      <c r="S227" s="8">
        <v>0</v>
      </c>
      <c r="T227" s="8">
        <v>1</v>
      </c>
      <c r="U227" s="8">
        <v>19</v>
      </c>
      <c r="V227" s="7">
        <v>0.94505098249148323</v>
      </c>
      <c r="W227" s="7">
        <v>5.5165329624764066E-2</v>
      </c>
      <c r="X227" s="8">
        <v>0</v>
      </c>
      <c r="Y227" s="8">
        <v>1</v>
      </c>
      <c r="Z227" s="8">
        <v>18</v>
      </c>
      <c r="AA227" s="7">
        <v>0.91590414556129873</v>
      </c>
      <c r="AB227" s="7">
        <v>5.7720093761496942E-2</v>
      </c>
      <c r="AC227" s="8">
        <v>0</v>
      </c>
      <c r="AD227" s="8">
        <v>1</v>
      </c>
      <c r="AE227" s="8">
        <v>14</v>
      </c>
      <c r="AF227" s="7">
        <v>0.56438823579629216</v>
      </c>
      <c r="AG227" s="7">
        <v>7.0335671964889795E-2</v>
      </c>
      <c r="AH227" s="8">
        <v>0</v>
      </c>
      <c r="AI227" s="8">
        <v>1</v>
      </c>
      <c r="AJ227" s="8">
        <v>100</v>
      </c>
      <c r="AK227">
        <f>(AF228/AF226)-AF227</f>
        <v>0.28681175062038011</v>
      </c>
    </row>
    <row r="228" spans="1:37" ht="26.25" x14ac:dyDescent="0.45">
      <c r="A228" s="6" t="s">
        <v>104</v>
      </c>
      <c r="B228" s="7">
        <v>0</v>
      </c>
      <c r="C228" s="7">
        <v>0</v>
      </c>
      <c r="D228" s="8">
        <v>0</v>
      </c>
      <c r="E228" s="8">
        <v>0</v>
      </c>
      <c r="F228" s="8">
        <v>28</v>
      </c>
      <c r="G228" s="7">
        <v>0</v>
      </c>
      <c r="H228" s="7">
        <v>0</v>
      </c>
      <c r="I228" s="8">
        <v>0</v>
      </c>
      <c r="J228" s="8">
        <v>0</v>
      </c>
      <c r="K228" s="8">
        <v>5</v>
      </c>
      <c r="L228" s="7">
        <v>6.2263124728341786E-2</v>
      </c>
      <c r="M228" s="7">
        <v>6.2375305389036399E-2</v>
      </c>
      <c r="N228" s="8">
        <v>0</v>
      </c>
      <c r="O228" s="8">
        <v>1</v>
      </c>
      <c r="P228" s="8">
        <v>16</v>
      </c>
      <c r="Q228" s="7">
        <v>0</v>
      </c>
      <c r="R228" s="7">
        <v>0</v>
      </c>
      <c r="S228" s="8">
        <v>0</v>
      </c>
      <c r="T228" s="8">
        <v>0</v>
      </c>
      <c r="U228" s="8">
        <v>19</v>
      </c>
      <c r="V228" s="7">
        <v>0.13254540619687616</v>
      </c>
      <c r="W228" s="7">
        <v>8.2787652361548586E-2</v>
      </c>
      <c r="X228" s="8">
        <v>0</v>
      </c>
      <c r="Y228" s="8">
        <v>1</v>
      </c>
      <c r="Z228" s="8">
        <v>18</v>
      </c>
      <c r="AA228" s="7">
        <v>9.1385137798670593E-2</v>
      </c>
      <c r="AB228" s="7">
        <v>9.0431079609862339E-2</v>
      </c>
      <c r="AC228" s="8">
        <v>0</v>
      </c>
      <c r="AD228" s="8">
        <v>1</v>
      </c>
      <c r="AE228" s="8">
        <v>14</v>
      </c>
      <c r="AF228" s="7">
        <v>3.3916494092853453E-2</v>
      </c>
      <c r="AG228" s="7">
        <v>2.1378971991854272E-2</v>
      </c>
      <c r="AH228" s="8">
        <v>0</v>
      </c>
      <c r="AI228" s="8">
        <v>1</v>
      </c>
      <c r="AJ228" s="8">
        <v>100</v>
      </c>
    </row>
    <row r="229" spans="1:37" x14ac:dyDescent="0.45">
      <c r="A229" s="6" t="s">
        <v>34</v>
      </c>
      <c r="B229" s="7">
        <v>5.0869262003460196E-3</v>
      </c>
      <c r="C229" s="7">
        <v>5.2833334995758627E-3</v>
      </c>
      <c r="D229" s="8">
        <v>0</v>
      </c>
      <c r="E229" s="8">
        <v>1</v>
      </c>
      <c r="F229" s="8">
        <v>28</v>
      </c>
      <c r="G229" s="7">
        <v>0</v>
      </c>
      <c r="H229" s="7">
        <v>0</v>
      </c>
      <c r="I229" s="8">
        <v>0</v>
      </c>
      <c r="J229" s="8">
        <v>0</v>
      </c>
      <c r="K229" s="8">
        <v>5</v>
      </c>
      <c r="L229" s="7">
        <v>6.2263124728341786E-2</v>
      </c>
      <c r="M229" s="7">
        <v>6.2375305389036399E-2</v>
      </c>
      <c r="N229" s="8">
        <v>0</v>
      </c>
      <c r="O229" s="8">
        <v>1</v>
      </c>
      <c r="P229" s="8">
        <v>16</v>
      </c>
      <c r="Q229" s="7">
        <v>0</v>
      </c>
      <c r="R229" s="7">
        <v>0</v>
      </c>
      <c r="S229" s="8">
        <v>0</v>
      </c>
      <c r="T229" s="8">
        <v>0</v>
      </c>
      <c r="U229" s="8">
        <v>19</v>
      </c>
      <c r="V229" s="7">
        <v>0.18749442370539304</v>
      </c>
      <c r="W229" s="7">
        <v>9.5653225655299184E-2</v>
      </c>
      <c r="X229" s="8">
        <v>0</v>
      </c>
      <c r="Y229" s="8">
        <v>1</v>
      </c>
      <c r="Z229" s="8">
        <v>18</v>
      </c>
      <c r="AA229" s="7">
        <v>0.10851687170393783</v>
      </c>
      <c r="AB229" s="7">
        <v>9.1959813331468687E-2</v>
      </c>
      <c r="AC229" s="8">
        <v>0</v>
      </c>
      <c r="AD229" s="8">
        <v>1</v>
      </c>
      <c r="AE229" s="8">
        <v>14</v>
      </c>
      <c r="AF229" s="7">
        <v>3.9845505914107161E-2</v>
      </c>
      <c r="AG229" s="7">
        <v>2.1780217848510454E-2</v>
      </c>
      <c r="AH229" s="8">
        <v>0</v>
      </c>
      <c r="AI229" s="8">
        <v>1</v>
      </c>
      <c r="AJ229" s="8">
        <v>100</v>
      </c>
      <c r="AK229">
        <f>(AF231/AF230)-AF229</f>
        <v>6.3325960133015224E-2</v>
      </c>
    </row>
    <row r="230" spans="1:37" x14ac:dyDescent="0.45">
      <c r="A230" s="6" t="s">
        <v>44</v>
      </c>
      <c r="B230" s="7">
        <v>0</v>
      </c>
      <c r="C230" s="7">
        <v>0</v>
      </c>
      <c r="D230" s="8">
        <v>0</v>
      </c>
      <c r="E230" s="8">
        <v>0</v>
      </c>
      <c r="F230" s="8">
        <v>28</v>
      </c>
      <c r="G230" s="7">
        <v>0</v>
      </c>
      <c r="H230" s="7">
        <v>0</v>
      </c>
      <c r="I230" s="8">
        <v>0</v>
      </c>
      <c r="J230" s="8">
        <v>0</v>
      </c>
      <c r="K230" s="8">
        <v>5</v>
      </c>
      <c r="L230" s="7">
        <v>0.45315303207398538</v>
      </c>
      <c r="M230" s="7">
        <v>0.1313901892098365</v>
      </c>
      <c r="N230" s="8">
        <v>0</v>
      </c>
      <c r="O230" s="8">
        <v>1</v>
      </c>
      <c r="P230" s="8">
        <v>16</v>
      </c>
      <c r="Q230" s="7">
        <v>0.58179797025751767</v>
      </c>
      <c r="R230" s="7">
        <v>0.13112718214255636</v>
      </c>
      <c r="S230" s="8">
        <v>0</v>
      </c>
      <c r="T230" s="8">
        <v>1</v>
      </c>
      <c r="U230" s="8">
        <v>19</v>
      </c>
      <c r="V230" s="7">
        <v>0.27840718326047831</v>
      </c>
      <c r="W230" s="7">
        <v>0.11962958289453833</v>
      </c>
      <c r="X230" s="8">
        <v>0</v>
      </c>
      <c r="Y230" s="8">
        <v>1</v>
      </c>
      <c r="Z230" s="8">
        <v>18</v>
      </c>
      <c r="AA230" s="7">
        <v>0.27889208014984646</v>
      </c>
      <c r="AB230" s="7">
        <v>0.14163420824029879</v>
      </c>
      <c r="AC230" s="8">
        <v>0</v>
      </c>
      <c r="AD230" s="8">
        <v>1</v>
      </c>
      <c r="AE230" s="8">
        <v>14</v>
      </c>
      <c r="AF230" s="7">
        <v>0.24605417111353658</v>
      </c>
      <c r="AG230" s="7">
        <v>5.5580698511919616E-2</v>
      </c>
      <c r="AH230" s="8">
        <v>0</v>
      </c>
      <c r="AI230" s="8">
        <v>1</v>
      </c>
      <c r="AJ230" s="8">
        <v>100</v>
      </c>
      <c r="AK230">
        <f>(AF231/AF229)-AF230</f>
        <v>0.39105079162720102</v>
      </c>
    </row>
    <row r="231" spans="1:37" ht="26.25" x14ac:dyDescent="0.45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28</v>
      </c>
      <c r="G231" s="7">
        <v>0</v>
      </c>
      <c r="H231" s="7">
        <v>0</v>
      </c>
      <c r="I231" s="8">
        <v>0</v>
      </c>
      <c r="J231" s="8">
        <v>0</v>
      </c>
      <c r="K231" s="8">
        <v>5</v>
      </c>
      <c r="L231" s="7">
        <v>6.2263124728341786E-2</v>
      </c>
      <c r="M231" s="7">
        <v>6.2375305389036399E-2</v>
      </c>
      <c r="N231" s="8">
        <v>0</v>
      </c>
      <c r="O231" s="8">
        <v>1</v>
      </c>
      <c r="P231" s="8">
        <v>16</v>
      </c>
      <c r="Q231" s="7">
        <v>0</v>
      </c>
      <c r="R231" s="7">
        <v>0</v>
      </c>
      <c r="S231" s="8">
        <v>0</v>
      </c>
      <c r="T231" s="8">
        <v>0</v>
      </c>
      <c r="U231" s="8">
        <v>19</v>
      </c>
      <c r="V231" s="7">
        <v>0</v>
      </c>
      <c r="W231" s="7">
        <v>0</v>
      </c>
      <c r="X231" s="8">
        <v>0</v>
      </c>
      <c r="Y231" s="8">
        <v>0</v>
      </c>
      <c r="Z231" s="8">
        <v>18</v>
      </c>
      <c r="AA231" s="7">
        <v>9.1385137798670593E-2</v>
      </c>
      <c r="AB231" s="7">
        <v>9.0431079609862339E-2</v>
      </c>
      <c r="AC231" s="8">
        <v>0</v>
      </c>
      <c r="AD231" s="8">
        <v>1</v>
      </c>
      <c r="AE231" s="8">
        <v>14</v>
      </c>
      <c r="AF231" s="7">
        <v>2.5385769560793081E-2</v>
      </c>
      <c r="AG231" s="7">
        <v>2.0641869904138996E-2</v>
      </c>
      <c r="AH231" s="8">
        <v>0</v>
      </c>
      <c r="AI231" s="8">
        <v>1</v>
      </c>
      <c r="AJ231" s="8">
        <v>100</v>
      </c>
    </row>
    <row r="232" spans="1:37" x14ac:dyDescent="0.45">
      <c r="A232" s="6" t="s">
        <v>34</v>
      </c>
      <c r="B232" s="7">
        <v>5.0869262003460196E-3</v>
      </c>
      <c r="C232" s="7">
        <v>5.2833334995758627E-3</v>
      </c>
      <c r="D232" s="8">
        <v>0</v>
      </c>
      <c r="E232" s="8">
        <v>1</v>
      </c>
      <c r="F232" s="8">
        <v>28</v>
      </c>
      <c r="G232" s="7">
        <v>0</v>
      </c>
      <c r="H232" s="7">
        <v>0</v>
      </c>
      <c r="I232" s="8">
        <v>0</v>
      </c>
      <c r="J232" s="8">
        <v>0</v>
      </c>
      <c r="K232" s="8">
        <v>5</v>
      </c>
      <c r="L232" s="7">
        <v>6.2263124728341786E-2</v>
      </c>
      <c r="M232" s="7">
        <v>6.2375305389036399E-2</v>
      </c>
      <c r="N232" s="8">
        <v>0</v>
      </c>
      <c r="O232" s="8">
        <v>1</v>
      </c>
      <c r="P232" s="8">
        <v>16</v>
      </c>
      <c r="Q232" s="7">
        <v>0</v>
      </c>
      <c r="R232" s="7">
        <v>0</v>
      </c>
      <c r="S232" s="8">
        <v>0</v>
      </c>
      <c r="T232" s="8">
        <v>0</v>
      </c>
      <c r="U232" s="8">
        <v>19</v>
      </c>
      <c r="V232" s="7">
        <v>0.18749442370539304</v>
      </c>
      <c r="W232" s="7">
        <v>9.5653225655299184E-2</v>
      </c>
      <c r="X232" s="8">
        <v>0</v>
      </c>
      <c r="Y232" s="8">
        <v>1</v>
      </c>
      <c r="Z232" s="8">
        <v>18</v>
      </c>
      <c r="AA232" s="7">
        <v>0.10851687170393783</v>
      </c>
      <c r="AB232" s="7">
        <v>9.1959813331468687E-2</v>
      </c>
      <c r="AC232" s="8">
        <v>0</v>
      </c>
      <c r="AD232" s="8">
        <v>1</v>
      </c>
      <c r="AE232" s="8">
        <v>14</v>
      </c>
      <c r="AF232" s="7">
        <v>3.9845505914107161E-2</v>
      </c>
      <c r="AG232" s="7">
        <v>2.1780217848510454E-2</v>
      </c>
      <c r="AH232" s="8">
        <v>0</v>
      </c>
      <c r="AI232" s="8">
        <v>1</v>
      </c>
      <c r="AJ232" s="8">
        <v>100</v>
      </c>
      <c r="AK232">
        <f>(AF234/AF233)-AF232</f>
        <v>1.9402830091955127E-2</v>
      </c>
    </row>
    <row r="233" spans="1:37" ht="39.4" x14ac:dyDescent="0.45">
      <c r="A233" s="6" t="s">
        <v>16</v>
      </c>
      <c r="B233" s="7">
        <v>0.24021275260760397</v>
      </c>
      <c r="C233" s="7">
        <v>9.9804594593725232E-2</v>
      </c>
      <c r="D233" s="8">
        <v>0</v>
      </c>
      <c r="E233" s="8">
        <v>1</v>
      </c>
      <c r="F233" s="8">
        <v>28</v>
      </c>
      <c r="G233" s="7">
        <v>0.28413340654229741</v>
      </c>
      <c r="H233" s="7">
        <v>0.2635701019519151</v>
      </c>
      <c r="I233" s="8">
        <v>0</v>
      </c>
      <c r="J233" s="8">
        <v>1</v>
      </c>
      <c r="K233" s="8">
        <v>5</v>
      </c>
      <c r="L233" s="7">
        <v>1</v>
      </c>
      <c r="M233" s="7">
        <v>0</v>
      </c>
      <c r="N233" s="8">
        <v>1</v>
      </c>
      <c r="O233" s="8">
        <v>1</v>
      </c>
      <c r="P233" s="8">
        <v>16</v>
      </c>
      <c r="Q233" s="7">
        <v>0.85289731615094222</v>
      </c>
      <c r="R233" s="7">
        <v>0.10368836461541529</v>
      </c>
      <c r="S233" s="8">
        <v>0</v>
      </c>
      <c r="T233" s="8">
        <v>1</v>
      </c>
      <c r="U233" s="8">
        <v>19</v>
      </c>
      <c r="V233" s="7">
        <v>0.92129013297297091</v>
      </c>
      <c r="W233" s="7">
        <v>7.2142407889520602E-2</v>
      </c>
      <c r="X233" s="8">
        <v>0</v>
      </c>
      <c r="Y233" s="8">
        <v>1</v>
      </c>
      <c r="Z233" s="8">
        <v>18</v>
      </c>
      <c r="AA233" s="7">
        <v>0.69525614240739586</v>
      </c>
      <c r="AB233" s="7">
        <v>0.14429635514835867</v>
      </c>
      <c r="AC233" s="8">
        <v>0</v>
      </c>
      <c r="AD233" s="8">
        <v>1</v>
      </c>
      <c r="AE233" s="8">
        <v>14</v>
      </c>
      <c r="AF233" s="7">
        <v>0.63213682862253961</v>
      </c>
      <c r="AG233" s="7">
        <v>6.9040852741309167E-2</v>
      </c>
      <c r="AH233" s="8">
        <v>0</v>
      </c>
      <c r="AI233" s="8">
        <v>1</v>
      </c>
      <c r="AJ233" s="8">
        <v>100</v>
      </c>
      <c r="AK233">
        <f>(AF234/AF232)-AF233</f>
        <v>0.30781999623922518</v>
      </c>
    </row>
    <row r="234" spans="1:37" ht="26.25" x14ac:dyDescent="0.45">
      <c r="A234" s="6" t="s">
        <v>106</v>
      </c>
      <c r="B234" s="7">
        <v>0</v>
      </c>
      <c r="C234" s="7">
        <v>0</v>
      </c>
      <c r="D234" s="8">
        <v>0</v>
      </c>
      <c r="E234" s="8">
        <v>0</v>
      </c>
      <c r="F234" s="8">
        <v>28</v>
      </c>
      <c r="G234" s="7">
        <v>0</v>
      </c>
      <c r="H234" s="7">
        <v>0</v>
      </c>
      <c r="I234" s="8">
        <v>0</v>
      </c>
      <c r="J234" s="8">
        <v>0</v>
      </c>
      <c r="K234" s="8">
        <v>5</v>
      </c>
      <c r="L234" s="7">
        <v>6.2263124728341786E-2</v>
      </c>
      <c r="M234" s="7">
        <v>6.2375305389036399E-2</v>
      </c>
      <c r="N234" s="8">
        <v>0</v>
      </c>
      <c r="O234" s="8">
        <v>1</v>
      </c>
      <c r="P234" s="8">
        <v>16</v>
      </c>
      <c r="Q234" s="7">
        <v>0</v>
      </c>
      <c r="R234" s="7">
        <v>0</v>
      </c>
      <c r="S234" s="8">
        <v>0</v>
      </c>
      <c r="T234" s="8">
        <v>0</v>
      </c>
      <c r="U234" s="8">
        <v>19</v>
      </c>
      <c r="V234" s="7">
        <v>0.18749442370539304</v>
      </c>
      <c r="W234" s="7">
        <v>9.5653225655299184E-2</v>
      </c>
      <c r="X234" s="8">
        <v>0</v>
      </c>
      <c r="Y234" s="8">
        <v>1</v>
      </c>
      <c r="Z234" s="8">
        <v>18</v>
      </c>
      <c r="AA234" s="7">
        <v>9.1385137798670593E-2</v>
      </c>
      <c r="AB234" s="7">
        <v>9.0431079609862339E-2</v>
      </c>
      <c r="AC234" s="8">
        <v>0</v>
      </c>
      <c r="AD234" s="8">
        <v>1</v>
      </c>
      <c r="AE234" s="8">
        <v>14</v>
      </c>
      <c r="AF234" s="7">
        <v>3.7453055224034838E-2</v>
      </c>
      <c r="AG234" s="7">
        <v>2.1687461321267837E-2</v>
      </c>
      <c r="AH234" s="8">
        <v>0</v>
      </c>
      <c r="AI234" s="8">
        <v>1</v>
      </c>
      <c r="AJ234" s="8">
        <v>100</v>
      </c>
    </row>
    <row r="235" spans="1:37" x14ac:dyDescent="0.45">
      <c r="A235" s="6" t="s">
        <v>34</v>
      </c>
      <c r="B235" s="7">
        <v>5.0869262003460196E-3</v>
      </c>
      <c r="C235" s="7">
        <v>5.2833334995758627E-3</v>
      </c>
      <c r="D235" s="8">
        <v>0</v>
      </c>
      <c r="E235" s="8">
        <v>1</v>
      </c>
      <c r="F235" s="8">
        <v>28</v>
      </c>
      <c r="G235" s="7">
        <v>0</v>
      </c>
      <c r="H235" s="7">
        <v>0</v>
      </c>
      <c r="I235" s="8">
        <v>0</v>
      </c>
      <c r="J235" s="8">
        <v>0</v>
      </c>
      <c r="K235" s="8">
        <v>5</v>
      </c>
      <c r="L235" s="7">
        <v>6.2263124728341786E-2</v>
      </c>
      <c r="M235" s="7">
        <v>6.2375305389036399E-2</v>
      </c>
      <c r="N235" s="8">
        <v>0</v>
      </c>
      <c r="O235" s="8">
        <v>1</v>
      </c>
      <c r="P235" s="8">
        <v>16</v>
      </c>
      <c r="Q235" s="7">
        <v>0</v>
      </c>
      <c r="R235" s="7">
        <v>0</v>
      </c>
      <c r="S235" s="8">
        <v>0</v>
      </c>
      <c r="T235" s="8">
        <v>0</v>
      </c>
      <c r="U235" s="8">
        <v>19</v>
      </c>
      <c r="V235" s="7">
        <v>0.18749442370539304</v>
      </c>
      <c r="W235" s="7">
        <v>9.5653225655299184E-2</v>
      </c>
      <c r="X235" s="8">
        <v>0</v>
      </c>
      <c r="Y235" s="8">
        <v>1</v>
      </c>
      <c r="Z235" s="8">
        <v>18</v>
      </c>
      <c r="AA235" s="7">
        <v>0.10851687170393783</v>
      </c>
      <c r="AB235" s="7">
        <v>9.1959813331468687E-2</v>
      </c>
      <c r="AC235" s="8">
        <v>0</v>
      </c>
      <c r="AD235" s="8">
        <v>1</v>
      </c>
      <c r="AE235" s="8">
        <v>14</v>
      </c>
      <c r="AF235" s="7">
        <v>3.9845505914107161E-2</v>
      </c>
      <c r="AG235" s="7">
        <v>2.1780217848510454E-2</v>
      </c>
      <c r="AH235" s="8">
        <v>0</v>
      </c>
      <c r="AI235" s="8">
        <v>1</v>
      </c>
      <c r="AJ235" s="8">
        <v>100</v>
      </c>
      <c r="AK235">
        <f>(AF237/AF236)-AF235</f>
        <v>1.9581526917562882E-2</v>
      </c>
    </row>
    <row r="236" spans="1:37" ht="39.4" x14ac:dyDescent="0.45">
      <c r="A236" s="6" t="s">
        <v>18</v>
      </c>
      <c r="B236" s="7">
        <v>0.14941160928574393</v>
      </c>
      <c r="C236" s="7">
        <v>7.3542009243322798E-2</v>
      </c>
      <c r="D236" s="8">
        <v>0</v>
      </c>
      <c r="E236" s="8">
        <v>1</v>
      </c>
      <c r="F236" s="8">
        <v>28</v>
      </c>
      <c r="G236" s="7">
        <v>0.28413340654229741</v>
      </c>
      <c r="H236" s="7">
        <v>0.2635701019519151</v>
      </c>
      <c r="I236" s="8">
        <v>0</v>
      </c>
      <c r="J236" s="8">
        <v>1</v>
      </c>
      <c r="K236" s="8">
        <v>5</v>
      </c>
      <c r="L236" s="7">
        <v>1</v>
      </c>
      <c r="M236" s="7">
        <v>0</v>
      </c>
      <c r="N236" s="8">
        <v>1</v>
      </c>
      <c r="O236" s="8">
        <v>1</v>
      </c>
      <c r="P236" s="8">
        <v>16</v>
      </c>
      <c r="Q236" s="7">
        <v>0.89861962585941668</v>
      </c>
      <c r="R236" s="7">
        <v>9.6845778169611332E-2</v>
      </c>
      <c r="S236" s="8">
        <v>0</v>
      </c>
      <c r="T236" s="8">
        <v>1</v>
      </c>
      <c r="U236" s="8">
        <v>19</v>
      </c>
      <c r="V236" s="7">
        <v>1</v>
      </c>
      <c r="W236" s="7">
        <v>0</v>
      </c>
      <c r="X236" s="8">
        <v>1</v>
      </c>
      <c r="Y236" s="8">
        <v>1</v>
      </c>
      <c r="Z236" s="8">
        <v>18</v>
      </c>
      <c r="AA236" s="7">
        <v>0.91590414556129873</v>
      </c>
      <c r="AB236" s="7">
        <v>5.7720093761496942E-2</v>
      </c>
      <c r="AC236" s="8">
        <v>0</v>
      </c>
      <c r="AD236" s="8">
        <v>1</v>
      </c>
      <c r="AE236" s="8">
        <v>14</v>
      </c>
      <c r="AF236" s="7">
        <v>0.63023599596706159</v>
      </c>
      <c r="AG236" s="7">
        <v>6.9774465060460464E-2</v>
      </c>
      <c r="AH236" s="8">
        <v>0</v>
      </c>
      <c r="AI236" s="8">
        <v>1</v>
      </c>
      <c r="AJ236" s="8">
        <v>100</v>
      </c>
      <c r="AK236">
        <f>(AF237/AF235)-AF236</f>
        <v>0.3097208288947032</v>
      </c>
    </row>
    <row r="237" spans="1:37" ht="26.25" x14ac:dyDescent="0.45">
      <c r="A237" s="6" t="s">
        <v>107</v>
      </c>
      <c r="B237" s="7">
        <v>0</v>
      </c>
      <c r="C237" s="7">
        <v>0</v>
      </c>
      <c r="D237" s="8">
        <v>0</v>
      </c>
      <c r="E237" s="8">
        <v>0</v>
      </c>
      <c r="F237" s="8">
        <v>28</v>
      </c>
      <c r="G237" s="7">
        <v>0</v>
      </c>
      <c r="H237" s="7">
        <v>0</v>
      </c>
      <c r="I237" s="8">
        <v>0</v>
      </c>
      <c r="J237" s="8">
        <v>0</v>
      </c>
      <c r="K237" s="8">
        <v>5</v>
      </c>
      <c r="L237" s="7">
        <v>6.2263124728341786E-2</v>
      </c>
      <c r="M237" s="7">
        <v>6.2375305389036399E-2</v>
      </c>
      <c r="N237" s="8">
        <v>0</v>
      </c>
      <c r="O237" s="8">
        <v>1</v>
      </c>
      <c r="P237" s="8">
        <v>16</v>
      </c>
      <c r="Q237" s="7">
        <v>0</v>
      </c>
      <c r="R237" s="7">
        <v>0</v>
      </c>
      <c r="S237" s="8">
        <v>0</v>
      </c>
      <c r="T237" s="8">
        <v>0</v>
      </c>
      <c r="U237" s="8">
        <v>19</v>
      </c>
      <c r="V237" s="7">
        <v>0.18749442370539304</v>
      </c>
      <c r="W237" s="7">
        <v>9.5653225655299184E-2</v>
      </c>
      <c r="X237" s="8">
        <v>0</v>
      </c>
      <c r="Y237" s="8">
        <v>1</v>
      </c>
      <c r="Z237" s="8">
        <v>18</v>
      </c>
      <c r="AA237" s="7">
        <v>9.1385137798670593E-2</v>
      </c>
      <c r="AB237" s="7">
        <v>9.0431079609862339E-2</v>
      </c>
      <c r="AC237" s="8">
        <v>0</v>
      </c>
      <c r="AD237" s="8">
        <v>1</v>
      </c>
      <c r="AE237" s="8">
        <v>14</v>
      </c>
      <c r="AF237" s="7">
        <v>3.7453055224034838E-2</v>
      </c>
      <c r="AG237" s="7">
        <v>2.1687461321267837E-2</v>
      </c>
      <c r="AH237" s="8">
        <v>0</v>
      </c>
      <c r="AI237" s="8">
        <v>1</v>
      </c>
      <c r="AJ237" s="8">
        <v>100</v>
      </c>
    </row>
    <row r="238" spans="1:37" x14ac:dyDescent="0.45">
      <c r="A238" s="6" t="s">
        <v>34</v>
      </c>
      <c r="B238" s="7">
        <v>5.0869262003460196E-3</v>
      </c>
      <c r="C238" s="7">
        <v>5.2833334995758627E-3</v>
      </c>
      <c r="D238" s="8">
        <v>0</v>
      </c>
      <c r="E238" s="8">
        <v>1</v>
      </c>
      <c r="F238" s="8">
        <v>28</v>
      </c>
      <c r="G238" s="7">
        <v>0</v>
      </c>
      <c r="H238" s="7">
        <v>0</v>
      </c>
      <c r="I238" s="8">
        <v>0</v>
      </c>
      <c r="J238" s="8">
        <v>0</v>
      </c>
      <c r="K238" s="8">
        <v>5</v>
      </c>
      <c r="L238" s="7">
        <v>6.2263124728341786E-2</v>
      </c>
      <c r="M238" s="7">
        <v>6.2375305389036399E-2</v>
      </c>
      <c r="N238" s="8">
        <v>0</v>
      </c>
      <c r="O238" s="8">
        <v>1</v>
      </c>
      <c r="P238" s="8">
        <v>16</v>
      </c>
      <c r="Q238" s="7">
        <v>0</v>
      </c>
      <c r="R238" s="7">
        <v>0</v>
      </c>
      <c r="S238" s="8">
        <v>0</v>
      </c>
      <c r="T238" s="8">
        <v>0</v>
      </c>
      <c r="U238" s="8">
        <v>19</v>
      </c>
      <c r="V238" s="7">
        <v>0.18749442370539304</v>
      </c>
      <c r="W238" s="7">
        <v>9.5653225655299184E-2</v>
      </c>
      <c r="X238" s="8">
        <v>0</v>
      </c>
      <c r="Y238" s="8">
        <v>1</v>
      </c>
      <c r="Z238" s="8">
        <v>18</v>
      </c>
      <c r="AA238" s="7">
        <v>0.10851687170393783</v>
      </c>
      <c r="AB238" s="7">
        <v>9.1959813331468687E-2</v>
      </c>
      <c r="AC238" s="8">
        <v>0</v>
      </c>
      <c r="AD238" s="8">
        <v>1</v>
      </c>
      <c r="AE238" s="8">
        <v>14</v>
      </c>
      <c r="AF238" s="7">
        <v>3.9845505914107161E-2</v>
      </c>
      <c r="AG238" s="7">
        <v>2.1780217848510454E-2</v>
      </c>
      <c r="AH238" s="8">
        <v>0</v>
      </c>
      <c r="AI238" s="8">
        <v>1</v>
      </c>
      <c r="AJ238" s="8">
        <v>100</v>
      </c>
      <c r="AK238">
        <f>(AF240/AF239)-AF238</f>
        <v>2.8364963816035767E-2</v>
      </c>
    </row>
    <row r="239" spans="1:37" ht="39.4" x14ac:dyDescent="0.45">
      <c r="A239" s="6" t="s">
        <v>20</v>
      </c>
      <c r="B239" s="7">
        <v>0</v>
      </c>
      <c r="C239" s="7">
        <v>0</v>
      </c>
      <c r="D239" s="8">
        <v>0</v>
      </c>
      <c r="E239" s="8">
        <v>0</v>
      </c>
      <c r="F239" s="8">
        <v>28</v>
      </c>
      <c r="G239" s="7">
        <v>0</v>
      </c>
      <c r="H239" s="7">
        <v>0</v>
      </c>
      <c r="I239" s="8">
        <v>0</v>
      </c>
      <c r="J239" s="8">
        <v>0</v>
      </c>
      <c r="K239" s="8">
        <v>5</v>
      </c>
      <c r="L239" s="7">
        <v>1</v>
      </c>
      <c r="M239" s="7">
        <v>0</v>
      </c>
      <c r="N239" s="8">
        <v>1</v>
      </c>
      <c r="O239" s="8">
        <v>1</v>
      </c>
      <c r="P239" s="8">
        <v>16</v>
      </c>
      <c r="Q239" s="7">
        <v>0.61840113049179313</v>
      </c>
      <c r="R239" s="7">
        <v>0.13006566375416401</v>
      </c>
      <c r="S239" s="8">
        <v>0</v>
      </c>
      <c r="T239" s="8">
        <v>1</v>
      </c>
      <c r="U239" s="8">
        <v>19</v>
      </c>
      <c r="V239" s="7">
        <v>0.62484576595299168</v>
      </c>
      <c r="W239" s="7">
        <v>0.12235387804662534</v>
      </c>
      <c r="X239" s="8">
        <v>0</v>
      </c>
      <c r="Y239" s="8">
        <v>1</v>
      </c>
      <c r="Z239" s="8">
        <v>18</v>
      </c>
      <c r="AA239" s="7">
        <v>0.59238861673724996</v>
      </c>
      <c r="AB239" s="7">
        <v>0.15320552322461192</v>
      </c>
      <c r="AC239" s="8">
        <v>0</v>
      </c>
      <c r="AD239" s="8">
        <v>1</v>
      </c>
      <c r="AE239" s="8">
        <v>14</v>
      </c>
      <c r="AF239" s="7">
        <v>0.46705017304122987</v>
      </c>
      <c r="AG239" s="7">
        <v>6.8874379217115159E-2</v>
      </c>
      <c r="AH239" s="8">
        <v>0</v>
      </c>
      <c r="AI239" s="8">
        <v>1</v>
      </c>
      <c r="AJ239" s="8">
        <v>100</v>
      </c>
      <c r="AK239">
        <f>(AF240/AF238)-AF239</f>
        <v>0.33248068896767025</v>
      </c>
    </row>
    <row r="240" spans="1:37" ht="26.25" x14ac:dyDescent="0.45">
      <c r="A240" s="6" t="s">
        <v>108</v>
      </c>
      <c r="B240" s="7">
        <v>0</v>
      </c>
      <c r="C240" s="7">
        <v>0</v>
      </c>
      <c r="D240" s="8">
        <v>0</v>
      </c>
      <c r="E240" s="8">
        <v>0</v>
      </c>
      <c r="F240" s="8">
        <v>28</v>
      </c>
      <c r="G240" s="7">
        <v>0</v>
      </c>
      <c r="H240" s="7">
        <v>0</v>
      </c>
      <c r="I240" s="8">
        <v>0</v>
      </c>
      <c r="J240" s="8">
        <v>0</v>
      </c>
      <c r="K240" s="8">
        <v>5</v>
      </c>
      <c r="L240" s="7">
        <v>6.2263124728341786E-2</v>
      </c>
      <c r="M240" s="7">
        <v>6.2375305389036399E-2</v>
      </c>
      <c r="N240" s="8">
        <v>0</v>
      </c>
      <c r="O240" s="8">
        <v>1</v>
      </c>
      <c r="P240" s="8">
        <v>16</v>
      </c>
      <c r="Q240" s="7">
        <v>0</v>
      </c>
      <c r="R240" s="7">
        <v>0</v>
      </c>
      <c r="S240" s="8">
        <v>0</v>
      </c>
      <c r="T240" s="8">
        <v>0</v>
      </c>
      <c r="U240" s="8">
        <v>19</v>
      </c>
      <c r="V240" s="7">
        <v>0.10055724988722109</v>
      </c>
      <c r="W240" s="7">
        <v>7.0534767449922611E-2</v>
      </c>
      <c r="X240" s="8">
        <v>0</v>
      </c>
      <c r="Y240" s="8">
        <v>1</v>
      </c>
      <c r="Z240" s="8">
        <v>18</v>
      </c>
      <c r="AA240" s="7">
        <v>9.1385137798670593E-2</v>
      </c>
      <c r="AB240" s="7">
        <v>9.0431079609862339E-2</v>
      </c>
      <c r="AC240" s="8">
        <v>0</v>
      </c>
      <c r="AD240" s="8">
        <v>1</v>
      </c>
      <c r="AE240" s="8">
        <v>14</v>
      </c>
      <c r="AF240" s="7">
        <v>3.1857711690686824E-2</v>
      </c>
      <c r="AG240" s="7">
        <v>2.1156854873506766E-2</v>
      </c>
      <c r="AH240" s="8">
        <v>0</v>
      </c>
      <c r="AI240" s="8">
        <v>1</v>
      </c>
      <c r="AJ240" s="8">
        <v>100</v>
      </c>
    </row>
    <row r="241" spans="1:37" x14ac:dyDescent="0.45">
      <c r="A241" s="6" t="s">
        <v>34</v>
      </c>
      <c r="B241" s="7">
        <v>5.0869262003460196E-3</v>
      </c>
      <c r="C241" s="7">
        <v>5.2833334995758627E-3</v>
      </c>
      <c r="D241" s="8">
        <v>0</v>
      </c>
      <c r="E241" s="8">
        <v>1</v>
      </c>
      <c r="F241" s="8">
        <v>28</v>
      </c>
      <c r="G241" s="7">
        <v>0</v>
      </c>
      <c r="H241" s="7">
        <v>0</v>
      </c>
      <c r="I241" s="8">
        <v>0</v>
      </c>
      <c r="J241" s="8">
        <v>0</v>
      </c>
      <c r="K241" s="8">
        <v>5</v>
      </c>
      <c r="L241" s="7">
        <v>6.2263124728341786E-2</v>
      </c>
      <c r="M241" s="7">
        <v>6.2375305389036399E-2</v>
      </c>
      <c r="N241" s="8">
        <v>0</v>
      </c>
      <c r="O241" s="8">
        <v>1</v>
      </c>
      <c r="P241" s="8">
        <v>16</v>
      </c>
      <c r="Q241" s="7">
        <v>0</v>
      </c>
      <c r="R241" s="7">
        <v>0</v>
      </c>
      <c r="S241" s="8">
        <v>0</v>
      </c>
      <c r="T241" s="8">
        <v>0</v>
      </c>
      <c r="U241" s="8">
        <v>19</v>
      </c>
      <c r="V241" s="7">
        <v>0.18749442370539304</v>
      </c>
      <c r="W241" s="7">
        <v>9.5653225655299184E-2</v>
      </c>
      <c r="X241" s="8">
        <v>0</v>
      </c>
      <c r="Y241" s="8">
        <v>1</v>
      </c>
      <c r="Z241" s="8">
        <v>18</v>
      </c>
      <c r="AA241" s="7">
        <v>0.10851687170393783</v>
      </c>
      <c r="AB241" s="7">
        <v>9.1959813331468687E-2</v>
      </c>
      <c r="AC241" s="8">
        <v>0</v>
      </c>
      <c r="AD241" s="8">
        <v>1</v>
      </c>
      <c r="AE241" s="8">
        <v>14</v>
      </c>
      <c r="AF241" s="7">
        <v>3.9845505914107161E-2</v>
      </c>
      <c r="AG241" s="7">
        <v>2.1780217848510454E-2</v>
      </c>
      <c r="AH241" s="8">
        <v>0</v>
      </c>
      <c r="AI241" s="8">
        <v>1</v>
      </c>
      <c r="AJ241" s="8">
        <v>100</v>
      </c>
      <c r="AK241">
        <f>(AF243/AF242)-AF241</f>
        <v>1.1559426382506829E-2</v>
      </c>
    </row>
    <row r="242" spans="1:37" ht="26.25" x14ac:dyDescent="0.45">
      <c r="A242" s="6" t="s">
        <v>22</v>
      </c>
      <c r="B242" s="7">
        <v>0.26984434576365129</v>
      </c>
      <c r="C242" s="7">
        <v>0.10088535446125156</v>
      </c>
      <c r="D242" s="8">
        <v>0</v>
      </c>
      <c r="E242" s="8">
        <v>1</v>
      </c>
      <c r="F242" s="8">
        <v>28</v>
      </c>
      <c r="G242" s="7">
        <v>0.28413340654229741</v>
      </c>
      <c r="H242" s="7">
        <v>0.2635701019519151</v>
      </c>
      <c r="I242" s="8">
        <v>0</v>
      </c>
      <c r="J242" s="8">
        <v>1</v>
      </c>
      <c r="K242" s="8">
        <v>5</v>
      </c>
      <c r="L242" s="7">
        <v>1</v>
      </c>
      <c r="M242" s="7">
        <v>0</v>
      </c>
      <c r="N242" s="8">
        <v>1</v>
      </c>
      <c r="O242" s="8">
        <v>1</v>
      </c>
      <c r="P242" s="8">
        <v>16</v>
      </c>
      <c r="Q242" s="7">
        <v>0.89861962585941668</v>
      </c>
      <c r="R242" s="7">
        <v>9.6845778169611332E-2</v>
      </c>
      <c r="S242" s="8">
        <v>0</v>
      </c>
      <c r="T242" s="8">
        <v>1</v>
      </c>
      <c r="U242" s="8">
        <v>19</v>
      </c>
      <c r="V242" s="7">
        <v>0.94505098249148323</v>
      </c>
      <c r="W242" s="7">
        <v>5.5165329624764066E-2</v>
      </c>
      <c r="X242" s="8">
        <v>0</v>
      </c>
      <c r="Y242" s="8">
        <v>1</v>
      </c>
      <c r="Z242" s="8">
        <v>18</v>
      </c>
      <c r="AA242" s="7">
        <v>0.91590414556129873</v>
      </c>
      <c r="AB242" s="7">
        <v>5.7720093761496942E-2</v>
      </c>
      <c r="AC242" s="8">
        <v>0</v>
      </c>
      <c r="AD242" s="8">
        <v>1</v>
      </c>
      <c r="AE242" s="8">
        <v>14</v>
      </c>
      <c r="AF242" s="7">
        <v>0.65979065777482815</v>
      </c>
      <c r="AG242" s="7">
        <v>6.9173406705135554E-2</v>
      </c>
      <c r="AH242" s="8">
        <v>0</v>
      </c>
      <c r="AI242" s="8">
        <v>1</v>
      </c>
      <c r="AJ242" s="8">
        <v>100</v>
      </c>
      <c r="AK242">
        <f>(AF243/AF241)-AF242</f>
        <v>0.19140932864184412</v>
      </c>
    </row>
    <row r="243" spans="1:37" ht="26.25" x14ac:dyDescent="0.45">
      <c r="A243" s="6" t="s">
        <v>109</v>
      </c>
      <c r="B243" s="7">
        <v>0</v>
      </c>
      <c r="C243" s="7">
        <v>0</v>
      </c>
      <c r="D243" s="8">
        <v>0</v>
      </c>
      <c r="E243" s="8">
        <v>0</v>
      </c>
      <c r="F243" s="8">
        <v>28</v>
      </c>
      <c r="G243" s="7">
        <v>0</v>
      </c>
      <c r="H243" s="7">
        <v>0</v>
      </c>
      <c r="I243" s="8">
        <v>0</v>
      </c>
      <c r="J243" s="8">
        <v>0</v>
      </c>
      <c r="K243" s="8">
        <v>5</v>
      </c>
      <c r="L243" s="7">
        <v>6.2263124728341786E-2</v>
      </c>
      <c r="M243" s="7">
        <v>6.2375305389036399E-2</v>
      </c>
      <c r="N243" s="8">
        <v>0</v>
      </c>
      <c r="O243" s="8">
        <v>1</v>
      </c>
      <c r="P243" s="8">
        <v>16</v>
      </c>
      <c r="Q243" s="7">
        <v>0</v>
      </c>
      <c r="R243" s="7">
        <v>0</v>
      </c>
      <c r="S243" s="8">
        <v>0</v>
      </c>
      <c r="T243" s="8">
        <v>0</v>
      </c>
      <c r="U243" s="8">
        <v>19</v>
      </c>
      <c r="V243" s="7">
        <v>0.13254540619687616</v>
      </c>
      <c r="W243" s="7">
        <v>8.2787652361548586E-2</v>
      </c>
      <c r="X243" s="8">
        <v>0</v>
      </c>
      <c r="Y243" s="8">
        <v>1</v>
      </c>
      <c r="Z243" s="8">
        <v>18</v>
      </c>
      <c r="AA243" s="7">
        <v>9.1385137798670593E-2</v>
      </c>
      <c r="AB243" s="7">
        <v>9.0431079609862339E-2</v>
      </c>
      <c r="AC243" s="8">
        <v>0</v>
      </c>
      <c r="AD243" s="8">
        <v>1</v>
      </c>
      <c r="AE243" s="8">
        <v>14</v>
      </c>
      <c r="AF243" s="7">
        <v>3.3916494092853453E-2</v>
      </c>
      <c r="AG243" s="7">
        <v>2.1378971991854272E-2</v>
      </c>
      <c r="AH243" s="8">
        <v>0</v>
      </c>
      <c r="AI243" s="8">
        <v>1</v>
      </c>
      <c r="AJ243" s="8">
        <v>100</v>
      </c>
    </row>
    <row r="244" spans="1:37" x14ac:dyDescent="0.45">
      <c r="A244" s="6" t="s">
        <v>34</v>
      </c>
      <c r="B244" s="7">
        <v>5.0869262003460196E-3</v>
      </c>
      <c r="C244" s="7">
        <v>5.2833334995758627E-3</v>
      </c>
      <c r="D244" s="8">
        <v>0</v>
      </c>
      <c r="E244" s="8">
        <v>1</v>
      </c>
      <c r="F244" s="8">
        <v>28</v>
      </c>
      <c r="G244" s="7">
        <v>0</v>
      </c>
      <c r="H244" s="7">
        <v>0</v>
      </c>
      <c r="I244" s="8">
        <v>0</v>
      </c>
      <c r="J244" s="8">
        <v>0</v>
      </c>
      <c r="K244" s="8">
        <v>5</v>
      </c>
      <c r="L244" s="7">
        <v>6.2263124728341786E-2</v>
      </c>
      <c r="M244" s="7">
        <v>6.2375305389036399E-2</v>
      </c>
      <c r="N244" s="8">
        <v>0</v>
      </c>
      <c r="O244" s="8">
        <v>1</v>
      </c>
      <c r="P244" s="8">
        <v>16</v>
      </c>
      <c r="Q244" s="7">
        <v>0</v>
      </c>
      <c r="R244" s="7">
        <v>0</v>
      </c>
      <c r="S244" s="8">
        <v>0</v>
      </c>
      <c r="T244" s="8">
        <v>0</v>
      </c>
      <c r="U244" s="8">
        <v>19</v>
      </c>
      <c r="V244" s="7">
        <v>0.18749442370539304</v>
      </c>
      <c r="W244" s="7">
        <v>9.5653225655299184E-2</v>
      </c>
      <c r="X244" s="8">
        <v>0</v>
      </c>
      <c r="Y244" s="8">
        <v>1</v>
      </c>
      <c r="Z244" s="8">
        <v>18</v>
      </c>
      <c r="AA244" s="7">
        <v>0.10851687170393783</v>
      </c>
      <c r="AB244" s="7">
        <v>9.1959813331468687E-2</v>
      </c>
      <c r="AC244" s="8">
        <v>0</v>
      </c>
      <c r="AD244" s="8">
        <v>1</v>
      </c>
      <c r="AE244" s="8">
        <v>14</v>
      </c>
      <c r="AF244" s="7">
        <v>3.9845505914107161E-2</v>
      </c>
      <c r="AG244" s="7">
        <v>2.1780217848510454E-2</v>
      </c>
      <c r="AH244" s="8">
        <v>0</v>
      </c>
      <c r="AI244" s="8">
        <v>1</v>
      </c>
      <c r="AJ244" s="8">
        <v>100</v>
      </c>
      <c r="AK244">
        <f>(AF246/AF245)-AF244</f>
        <v>1.3718062845119602E-2</v>
      </c>
    </row>
    <row r="245" spans="1:37" ht="26.25" x14ac:dyDescent="0.45">
      <c r="A245" s="6" t="s">
        <v>24</v>
      </c>
      <c r="B245" s="7">
        <v>0.24021275260760397</v>
      </c>
      <c r="C245" s="7">
        <v>9.9804594593725232E-2</v>
      </c>
      <c r="D245" s="8">
        <v>0</v>
      </c>
      <c r="E245" s="8">
        <v>1</v>
      </c>
      <c r="F245" s="8">
        <v>28</v>
      </c>
      <c r="G245" s="7">
        <v>0.28413340654229741</v>
      </c>
      <c r="H245" s="7">
        <v>0.2635701019519151</v>
      </c>
      <c r="I245" s="8">
        <v>0</v>
      </c>
      <c r="J245" s="8">
        <v>1</v>
      </c>
      <c r="K245" s="8">
        <v>5</v>
      </c>
      <c r="L245" s="7">
        <v>1</v>
      </c>
      <c r="M245" s="7">
        <v>0</v>
      </c>
      <c r="N245" s="8">
        <v>1</v>
      </c>
      <c r="O245" s="8">
        <v>1</v>
      </c>
      <c r="P245" s="8">
        <v>16</v>
      </c>
      <c r="Q245" s="7">
        <v>0.89861962585941668</v>
      </c>
      <c r="R245" s="7">
        <v>9.6845778169611332E-2</v>
      </c>
      <c r="S245" s="8">
        <v>0</v>
      </c>
      <c r="T245" s="8">
        <v>1</v>
      </c>
      <c r="U245" s="8">
        <v>19</v>
      </c>
      <c r="V245" s="7">
        <v>0.86634111546445414</v>
      </c>
      <c r="W245" s="7">
        <v>8.7661072043173624E-2</v>
      </c>
      <c r="X245" s="8">
        <v>0</v>
      </c>
      <c r="Y245" s="8">
        <v>1</v>
      </c>
      <c r="Z245" s="8">
        <v>18</v>
      </c>
      <c r="AA245" s="7">
        <v>0.68542702638902031</v>
      </c>
      <c r="AB245" s="7">
        <v>0.14449500923918335</v>
      </c>
      <c r="AC245" s="8">
        <v>0</v>
      </c>
      <c r="AD245" s="8">
        <v>1</v>
      </c>
      <c r="AE245" s="8">
        <v>14</v>
      </c>
      <c r="AF245" s="7">
        <v>0.63320079073355351</v>
      </c>
      <c r="AG245" s="7">
        <v>6.9028775174729731E-2</v>
      </c>
      <c r="AH245" s="8">
        <v>0</v>
      </c>
      <c r="AI245" s="8">
        <v>1</v>
      </c>
      <c r="AJ245" s="8">
        <v>100</v>
      </c>
      <c r="AK245">
        <f>(AF246/AF244)-AF245</f>
        <v>0.21799919568311876</v>
      </c>
    </row>
    <row r="246" spans="1:37" ht="26.25" x14ac:dyDescent="0.45">
      <c r="A246" s="6" t="s">
        <v>110</v>
      </c>
      <c r="B246" s="7">
        <v>0</v>
      </c>
      <c r="C246" s="7">
        <v>0</v>
      </c>
      <c r="D246" s="8">
        <v>0</v>
      </c>
      <c r="E246" s="8">
        <v>0</v>
      </c>
      <c r="F246" s="8">
        <v>28</v>
      </c>
      <c r="G246" s="7">
        <v>0</v>
      </c>
      <c r="H246" s="7">
        <v>0</v>
      </c>
      <c r="I246" s="8">
        <v>0</v>
      </c>
      <c r="J246" s="8">
        <v>0</v>
      </c>
      <c r="K246" s="8">
        <v>5</v>
      </c>
      <c r="L246" s="7">
        <v>6.2263124728341786E-2</v>
      </c>
      <c r="M246" s="7">
        <v>6.2375305389036399E-2</v>
      </c>
      <c r="N246" s="8">
        <v>0</v>
      </c>
      <c r="O246" s="8">
        <v>1</v>
      </c>
      <c r="P246" s="8">
        <v>16</v>
      </c>
      <c r="Q246" s="7">
        <v>0</v>
      </c>
      <c r="R246" s="7">
        <v>0</v>
      </c>
      <c r="S246" s="8">
        <v>0</v>
      </c>
      <c r="T246" s="8">
        <v>0</v>
      </c>
      <c r="U246" s="8">
        <v>19</v>
      </c>
      <c r="V246" s="7">
        <v>0.13254540619687616</v>
      </c>
      <c r="W246" s="7">
        <v>8.2787652361548586E-2</v>
      </c>
      <c r="X246" s="8">
        <v>0</v>
      </c>
      <c r="Y246" s="8">
        <v>1</v>
      </c>
      <c r="Z246" s="8">
        <v>18</v>
      </c>
      <c r="AA246" s="7">
        <v>9.1385137798670593E-2</v>
      </c>
      <c r="AB246" s="7">
        <v>9.0431079609862339E-2</v>
      </c>
      <c r="AC246" s="8">
        <v>0</v>
      </c>
      <c r="AD246" s="8">
        <v>1</v>
      </c>
      <c r="AE246" s="8">
        <v>14</v>
      </c>
      <c r="AF246" s="7">
        <v>3.3916494092853453E-2</v>
      </c>
      <c r="AG246" s="7">
        <v>2.1378971991854272E-2</v>
      </c>
      <c r="AH246" s="8">
        <v>0</v>
      </c>
      <c r="AI246" s="8">
        <v>1</v>
      </c>
      <c r="AJ246" s="8">
        <v>100</v>
      </c>
    </row>
    <row r="247" spans="1:37" x14ac:dyDescent="0.45">
      <c r="A247" s="6" t="s">
        <v>36</v>
      </c>
      <c r="B247" s="7">
        <v>0.75033349718812381</v>
      </c>
      <c r="C247" s="7">
        <v>0.11113628937183456</v>
      </c>
      <c r="D247" s="8">
        <v>0</v>
      </c>
      <c r="E247" s="8">
        <v>1</v>
      </c>
      <c r="F247" s="8">
        <v>28</v>
      </c>
      <c r="G247" s="7">
        <v>0.69890286206955909</v>
      </c>
      <c r="H247" s="7">
        <v>0.26064905237909602</v>
      </c>
      <c r="I247" s="8">
        <v>0</v>
      </c>
      <c r="J247" s="8">
        <v>1</v>
      </c>
      <c r="K247" s="8">
        <v>5</v>
      </c>
      <c r="L247" s="7">
        <v>7.6528749224782755E-2</v>
      </c>
      <c r="M247" s="7">
        <v>6.4008315307330796E-2</v>
      </c>
      <c r="N247" s="8">
        <v>0</v>
      </c>
      <c r="O247" s="8">
        <v>1</v>
      </c>
      <c r="P247" s="8">
        <v>16</v>
      </c>
      <c r="Q247" s="7">
        <v>0.13638212532932661</v>
      </c>
      <c r="R247" s="7">
        <v>0.12489587163927413</v>
      </c>
      <c r="S247" s="8">
        <v>0</v>
      </c>
      <c r="T247" s="8">
        <v>1</v>
      </c>
      <c r="U247" s="8">
        <v>19</v>
      </c>
      <c r="V247" s="7">
        <v>0.35584441822330487</v>
      </c>
      <c r="W247" s="7">
        <v>0.12202753204157965</v>
      </c>
      <c r="X247" s="8">
        <v>0</v>
      </c>
      <c r="Y247" s="8">
        <v>1</v>
      </c>
      <c r="Z247" s="8">
        <v>18</v>
      </c>
      <c r="AA247" s="7">
        <v>0.74429546837714122</v>
      </c>
      <c r="AB247" s="7">
        <v>0.12930236493328284</v>
      </c>
      <c r="AC247" s="8">
        <v>0</v>
      </c>
      <c r="AD247" s="8">
        <v>1</v>
      </c>
      <c r="AE247" s="8">
        <v>14</v>
      </c>
      <c r="AF247" s="7">
        <v>0.42925514319553509</v>
      </c>
      <c r="AG247" s="7">
        <v>6.917480911456024E-2</v>
      </c>
      <c r="AH247" s="8">
        <v>0</v>
      </c>
      <c r="AI247" s="8">
        <v>1</v>
      </c>
      <c r="AJ247" s="8">
        <v>100</v>
      </c>
      <c r="AK247">
        <f>(AF249/AF248)-AF247</f>
        <v>-0.25513196646355851</v>
      </c>
    </row>
    <row r="248" spans="1:37" ht="26.25" x14ac:dyDescent="0.45">
      <c r="A248" s="6" t="s">
        <v>38</v>
      </c>
      <c r="B248" s="7">
        <v>0</v>
      </c>
      <c r="C248" s="7">
        <v>0</v>
      </c>
      <c r="D248" s="8">
        <v>0</v>
      </c>
      <c r="E248" s="8">
        <v>0</v>
      </c>
      <c r="F248" s="8">
        <v>28</v>
      </c>
      <c r="G248" s="7">
        <v>0</v>
      </c>
      <c r="H248" s="7">
        <v>0</v>
      </c>
      <c r="I248" s="8">
        <v>0</v>
      </c>
      <c r="J248" s="8">
        <v>0</v>
      </c>
      <c r="K248" s="8">
        <v>5</v>
      </c>
      <c r="L248" s="7">
        <v>0.93129216535876924</v>
      </c>
      <c r="M248" s="7">
        <v>6.8358528251634604E-2</v>
      </c>
      <c r="N248" s="8">
        <v>0</v>
      </c>
      <c r="O248" s="8">
        <v>1</v>
      </c>
      <c r="P248" s="8">
        <v>16</v>
      </c>
      <c r="Q248" s="7">
        <v>0.23215855473296679</v>
      </c>
      <c r="R248" s="7">
        <v>9.9015389508305698E-2</v>
      </c>
      <c r="S248" s="8">
        <v>0</v>
      </c>
      <c r="T248" s="8">
        <v>1</v>
      </c>
      <c r="U248" s="8">
        <v>19</v>
      </c>
      <c r="V248" s="7">
        <v>0.47441656189365872</v>
      </c>
      <c r="W248" s="7">
        <v>0.1275876604219422</v>
      </c>
      <c r="X248" s="8">
        <v>0</v>
      </c>
      <c r="Y248" s="8">
        <v>1</v>
      </c>
      <c r="Z248" s="8">
        <v>18</v>
      </c>
      <c r="AA248" s="7">
        <v>0.50100347893857933</v>
      </c>
      <c r="AB248" s="7">
        <v>0.15741214876712428</v>
      </c>
      <c r="AC248" s="8">
        <v>0</v>
      </c>
      <c r="AD248" s="8">
        <v>1</v>
      </c>
      <c r="AE248" s="8">
        <v>14</v>
      </c>
      <c r="AF248" s="7">
        <v>0.38621991000499384</v>
      </c>
      <c r="AG248" s="7">
        <v>6.6639473541989111E-2</v>
      </c>
      <c r="AH248" s="8">
        <v>0</v>
      </c>
      <c r="AI248" s="8">
        <v>1</v>
      </c>
      <c r="AJ248" s="8">
        <v>100</v>
      </c>
      <c r="AK248">
        <f>(AF249/AF247)-AF248</f>
        <v>-0.22955355733982874</v>
      </c>
    </row>
    <row r="249" spans="1:37" ht="26.25" x14ac:dyDescent="0.45">
      <c r="A249" s="6" t="s">
        <v>111</v>
      </c>
      <c r="B249" s="7">
        <v>0</v>
      </c>
      <c r="C249" s="7">
        <v>0</v>
      </c>
      <c r="D249" s="8">
        <v>0</v>
      </c>
      <c r="E249" s="8">
        <v>0</v>
      </c>
      <c r="F249" s="8">
        <v>28</v>
      </c>
      <c r="G249" s="7">
        <v>0</v>
      </c>
      <c r="H249" s="7">
        <v>0</v>
      </c>
      <c r="I249" s="8">
        <v>0</v>
      </c>
      <c r="J249" s="8">
        <v>0</v>
      </c>
      <c r="K249" s="8">
        <v>5</v>
      </c>
      <c r="L249" s="7">
        <v>7.6528749224782755E-2</v>
      </c>
      <c r="M249" s="7">
        <v>6.4008315307330796E-2</v>
      </c>
      <c r="N249" s="8">
        <v>0</v>
      </c>
      <c r="O249" s="8">
        <v>1</v>
      </c>
      <c r="P249" s="8">
        <v>16</v>
      </c>
      <c r="Q249" s="7">
        <v>0</v>
      </c>
      <c r="R249" s="7">
        <v>0</v>
      </c>
      <c r="S249" s="8">
        <v>0</v>
      </c>
      <c r="T249" s="8">
        <v>0</v>
      </c>
      <c r="U249" s="8">
        <v>19</v>
      </c>
      <c r="V249" s="7">
        <v>0.30346127168364773</v>
      </c>
      <c r="W249" s="7">
        <v>0.11785360493754786</v>
      </c>
      <c r="X249" s="8">
        <v>0</v>
      </c>
      <c r="Y249" s="8">
        <v>1</v>
      </c>
      <c r="Z249" s="8">
        <v>18</v>
      </c>
      <c r="AA249" s="7">
        <v>0.39678536179574359</v>
      </c>
      <c r="AB249" s="7">
        <v>0.15618057097922988</v>
      </c>
      <c r="AC249" s="8">
        <v>0</v>
      </c>
      <c r="AD249" s="8">
        <v>1</v>
      </c>
      <c r="AE249" s="8">
        <v>14</v>
      </c>
      <c r="AF249" s="7">
        <v>6.7249837647207641E-2</v>
      </c>
      <c r="AG249" s="7">
        <v>2.5374599058167691E-2</v>
      </c>
      <c r="AH249" s="8">
        <v>0</v>
      </c>
      <c r="AI249" s="8">
        <v>1</v>
      </c>
      <c r="AJ249" s="8">
        <v>100</v>
      </c>
    </row>
    <row r="250" spans="1:37" x14ac:dyDescent="0.45">
      <c r="A250" s="6" t="s">
        <v>36</v>
      </c>
      <c r="B250" s="7">
        <v>0.75033349718812381</v>
      </c>
      <c r="C250" s="7">
        <v>0.11113628937183456</v>
      </c>
      <c r="D250" s="8">
        <v>0</v>
      </c>
      <c r="E250" s="8">
        <v>1</v>
      </c>
      <c r="F250" s="8">
        <v>28</v>
      </c>
      <c r="G250" s="7">
        <v>0.69890286206955909</v>
      </c>
      <c r="H250" s="7">
        <v>0.26064905237909602</v>
      </c>
      <c r="I250" s="8">
        <v>0</v>
      </c>
      <c r="J250" s="8">
        <v>1</v>
      </c>
      <c r="K250" s="8">
        <v>5</v>
      </c>
      <c r="L250" s="7">
        <v>7.6528749224782755E-2</v>
      </c>
      <c r="M250" s="7">
        <v>6.4008315307330796E-2</v>
      </c>
      <c r="N250" s="8">
        <v>0</v>
      </c>
      <c r="O250" s="8">
        <v>1</v>
      </c>
      <c r="P250" s="8">
        <v>16</v>
      </c>
      <c r="Q250" s="7">
        <v>0.13638212532932661</v>
      </c>
      <c r="R250" s="7">
        <v>0.12489587163927413</v>
      </c>
      <c r="S250" s="8">
        <v>0</v>
      </c>
      <c r="T250" s="8">
        <v>1</v>
      </c>
      <c r="U250" s="8">
        <v>19</v>
      </c>
      <c r="V250" s="7">
        <v>0.35584441822330487</v>
      </c>
      <c r="W250" s="7">
        <v>0.12202753204157965</v>
      </c>
      <c r="X250" s="8">
        <v>0</v>
      </c>
      <c r="Y250" s="8">
        <v>1</v>
      </c>
      <c r="Z250" s="8">
        <v>18</v>
      </c>
      <c r="AA250" s="7">
        <v>0.74429546837714122</v>
      </c>
      <c r="AB250" s="7">
        <v>0.12930236493328284</v>
      </c>
      <c r="AC250" s="8">
        <v>0</v>
      </c>
      <c r="AD250" s="8">
        <v>1</v>
      </c>
      <c r="AE250" s="8">
        <v>14</v>
      </c>
      <c r="AF250" s="7">
        <v>0.42925514319553509</v>
      </c>
      <c r="AG250" s="7">
        <v>6.917480911456024E-2</v>
      </c>
      <c r="AH250" s="8">
        <v>0</v>
      </c>
      <c r="AI250" s="8">
        <v>1</v>
      </c>
      <c r="AJ250" s="8">
        <v>100</v>
      </c>
      <c r="AK250">
        <f>(AF252/AF251)-AF250</f>
        <v>-0.10541369660422123</v>
      </c>
    </row>
    <row r="251" spans="1:37" x14ac:dyDescent="0.45">
      <c r="A251" s="6" t="s">
        <v>40</v>
      </c>
      <c r="B251" s="7">
        <v>0.24021275260760397</v>
      </c>
      <c r="C251" s="7">
        <v>9.9804594593725232E-2</v>
      </c>
      <c r="D251" s="8">
        <v>0</v>
      </c>
      <c r="E251" s="8">
        <v>1</v>
      </c>
      <c r="F251" s="8">
        <v>28</v>
      </c>
      <c r="G251" s="7">
        <v>0.28413340654229741</v>
      </c>
      <c r="H251" s="7">
        <v>0.2635701019519151</v>
      </c>
      <c r="I251" s="8">
        <v>0</v>
      </c>
      <c r="J251" s="8">
        <v>1</v>
      </c>
      <c r="K251" s="8">
        <v>5</v>
      </c>
      <c r="L251" s="7">
        <v>1</v>
      </c>
      <c r="M251" s="7">
        <v>0</v>
      </c>
      <c r="N251" s="8">
        <v>1</v>
      </c>
      <c r="O251" s="8">
        <v>1</v>
      </c>
      <c r="P251" s="8">
        <v>16</v>
      </c>
      <c r="Q251" s="7">
        <v>0.85289731615094222</v>
      </c>
      <c r="R251" s="7">
        <v>0.10368836461541529</v>
      </c>
      <c r="S251" s="8">
        <v>0</v>
      </c>
      <c r="T251" s="8">
        <v>1</v>
      </c>
      <c r="U251" s="8">
        <v>19</v>
      </c>
      <c r="V251" s="7">
        <v>0.86634111546445414</v>
      </c>
      <c r="W251" s="7">
        <v>8.7661072043173624E-2</v>
      </c>
      <c r="X251" s="8">
        <v>0</v>
      </c>
      <c r="Y251" s="8">
        <v>1</v>
      </c>
      <c r="Z251" s="8">
        <v>18</v>
      </c>
      <c r="AA251" s="7">
        <v>0.68542702638902031</v>
      </c>
      <c r="AB251" s="7">
        <v>0.14449500923918335</v>
      </c>
      <c r="AC251" s="8">
        <v>0</v>
      </c>
      <c r="AD251" s="8">
        <v>1</v>
      </c>
      <c r="AE251" s="8">
        <v>14</v>
      </c>
      <c r="AF251" s="7">
        <v>0.62802955981828001</v>
      </c>
      <c r="AG251" s="7">
        <v>6.9009852430896662E-2</v>
      </c>
      <c r="AH251" s="8">
        <v>0</v>
      </c>
      <c r="AI251" s="8">
        <v>1</v>
      </c>
      <c r="AJ251" s="8">
        <v>100</v>
      </c>
      <c r="AK251">
        <f>(AF252/AF250)-AF251</f>
        <v>-0.15422742983188886</v>
      </c>
    </row>
    <row r="252" spans="1:37" ht="26.25" x14ac:dyDescent="0.45">
      <c r="A252" s="6" t="s">
        <v>112</v>
      </c>
      <c r="B252" s="7">
        <v>0.21682296520720104</v>
      </c>
      <c r="C252" s="7">
        <v>9.8523445787326885E-2</v>
      </c>
      <c r="D252" s="8">
        <v>0</v>
      </c>
      <c r="E252" s="8">
        <v>1</v>
      </c>
      <c r="F252" s="8">
        <v>28</v>
      </c>
      <c r="G252" s="7">
        <v>0.28413340654229741</v>
      </c>
      <c r="H252" s="7">
        <v>0.2635701019519151</v>
      </c>
      <c r="I252" s="8">
        <v>0</v>
      </c>
      <c r="J252" s="8">
        <v>1</v>
      </c>
      <c r="K252" s="8">
        <v>5</v>
      </c>
      <c r="L252" s="7">
        <v>7.6528749224782755E-2</v>
      </c>
      <c r="M252" s="7">
        <v>6.4008315307330796E-2</v>
      </c>
      <c r="N252" s="8">
        <v>0</v>
      </c>
      <c r="O252" s="8">
        <v>1</v>
      </c>
      <c r="P252" s="8">
        <v>16</v>
      </c>
      <c r="Q252" s="7">
        <v>0.13638212532932661</v>
      </c>
      <c r="R252" s="7">
        <v>0.12489587163927413</v>
      </c>
      <c r="S252" s="8">
        <v>0</v>
      </c>
      <c r="T252" s="8">
        <v>1</v>
      </c>
      <c r="U252" s="8">
        <v>19</v>
      </c>
      <c r="V252" s="7">
        <v>0.35584441822330487</v>
      </c>
      <c r="W252" s="7">
        <v>0.12202753204157965</v>
      </c>
      <c r="X252" s="8">
        <v>0</v>
      </c>
      <c r="Y252" s="8">
        <v>1</v>
      </c>
      <c r="Z252" s="8">
        <v>18</v>
      </c>
      <c r="AA252" s="7">
        <v>0.57331521710359223</v>
      </c>
      <c r="AB252" s="7">
        <v>0.15453635161302337</v>
      </c>
      <c r="AC252" s="8">
        <v>0</v>
      </c>
      <c r="AD252" s="8">
        <v>1</v>
      </c>
      <c r="AE252" s="8">
        <v>14</v>
      </c>
      <c r="AF252" s="7">
        <v>0.20338200115365787</v>
      </c>
      <c r="AG252" s="7">
        <v>5.7234203087656595E-2</v>
      </c>
      <c r="AH252" s="8">
        <v>0</v>
      </c>
      <c r="AI252" s="8">
        <v>1</v>
      </c>
      <c r="AJ252" s="8">
        <v>100</v>
      </c>
    </row>
    <row r="253" spans="1:37" x14ac:dyDescent="0.45">
      <c r="A253" s="6" t="s">
        <v>36</v>
      </c>
      <c r="B253" s="7">
        <v>0.75033349718812381</v>
      </c>
      <c r="C253" s="7">
        <v>0.11113628937183456</v>
      </c>
      <c r="D253" s="8">
        <v>0</v>
      </c>
      <c r="E253" s="8">
        <v>1</v>
      </c>
      <c r="F253" s="8">
        <v>28</v>
      </c>
      <c r="G253" s="7">
        <v>0.69890286206955909</v>
      </c>
      <c r="H253" s="7">
        <v>0.26064905237909602</v>
      </c>
      <c r="I253" s="8">
        <v>0</v>
      </c>
      <c r="J253" s="8">
        <v>1</v>
      </c>
      <c r="K253" s="8">
        <v>5</v>
      </c>
      <c r="L253" s="7">
        <v>7.6528749224782755E-2</v>
      </c>
      <c r="M253" s="7">
        <v>6.4008315307330796E-2</v>
      </c>
      <c r="N253" s="8">
        <v>0</v>
      </c>
      <c r="O253" s="8">
        <v>1</v>
      </c>
      <c r="P253" s="8">
        <v>16</v>
      </c>
      <c r="Q253" s="7">
        <v>0.13638212532932661</v>
      </c>
      <c r="R253" s="7">
        <v>0.12489587163927413</v>
      </c>
      <c r="S253" s="8">
        <v>0</v>
      </c>
      <c r="T253" s="8">
        <v>1</v>
      </c>
      <c r="U253" s="8">
        <v>19</v>
      </c>
      <c r="V253" s="7">
        <v>0.35584441822330487</v>
      </c>
      <c r="W253" s="7">
        <v>0.12202753204157965</v>
      </c>
      <c r="X253" s="8">
        <v>0</v>
      </c>
      <c r="Y253" s="8">
        <v>1</v>
      </c>
      <c r="Z253" s="8">
        <v>18</v>
      </c>
      <c r="AA253" s="7">
        <v>0.74429546837714122</v>
      </c>
      <c r="AB253" s="7">
        <v>0.12930236493328284</v>
      </c>
      <c r="AC253" s="8">
        <v>0</v>
      </c>
      <c r="AD253" s="8">
        <v>1</v>
      </c>
      <c r="AE253" s="8">
        <v>14</v>
      </c>
      <c r="AF253" s="7">
        <v>0.42925514319553509</v>
      </c>
      <c r="AG253" s="7">
        <v>6.917480911456024E-2</v>
      </c>
      <c r="AH253" s="8">
        <v>0</v>
      </c>
      <c r="AI253" s="8">
        <v>1</v>
      </c>
      <c r="AJ253" s="8">
        <v>100</v>
      </c>
      <c r="AK253">
        <f>(AF255/AF254)-AF253</f>
        <v>-0.10601628491470405</v>
      </c>
    </row>
    <row r="254" spans="1:37" x14ac:dyDescent="0.45">
      <c r="A254" s="6" t="s">
        <v>42</v>
      </c>
      <c r="B254" s="7">
        <v>0.14941160928574393</v>
      </c>
      <c r="C254" s="7">
        <v>7.3542009243322798E-2</v>
      </c>
      <c r="D254" s="8">
        <v>0</v>
      </c>
      <c r="E254" s="8">
        <v>1</v>
      </c>
      <c r="F254" s="8">
        <v>28</v>
      </c>
      <c r="G254" s="7">
        <v>0.28413340654229741</v>
      </c>
      <c r="H254" s="7">
        <v>0.2635701019519151</v>
      </c>
      <c r="I254" s="8">
        <v>0</v>
      </c>
      <c r="J254" s="8">
        <v>1</v>
      </c>
      <c r="K254" s="8">
        <v>5</v>
      </c>
      <c r="L254" s="7">
        <v>0.8067852407664784</v>
      </c>
      <c r="M254" s="7">
        <v>0.10368902289601112</v>
      </c>
      <c r="N254" s="8">
        <v>0</v>
      </c>
      <c r="O254" s="8">
        <v>1</v>
      </c>
      <c r="P254" s="8">
        <v>16</v>
      </c>
      <c r="Q254" s="7">
        <v>0.89861962585941668</v>
      </c>
      <c r="R254" s="7">
        <v>9.6845778169611332E-2</v>
      </c>
      <c r="S254" s="8">
        <v>0</v>
      </c>
      <c r="T254" s="8">
        <v>1</v>
      </c>
      <c r="U254" s="8">
        <v>19</v>
      </c>
      <c r="V254" s="7">
        <v>0.94505098249148323</v>
      </c>
      <c r="W254" s="7">
        <v>5.5165329624764066E-2</v>
      </c>
      <c r="X254" s="8">
        <v>0</v>
      </c>
      <c r="Y254" s="8">
        <v>1</v>
      </c>
      <c r="Z254" s="8">
        <v>18</v>
      </c>
      <c r="AA254" s="7">
        <v>0.91590414556129873</v>
      </c>
      <c r="AB254" s="7">
        <v>5.7720093761496942E-2</v>
      </c>
      <c r="AC254" s="8">
        <v>0</v>
      </c>
      <c r="AD254" s="8">
        <v>1</v>
      </c>
      <c r="AE254" s="8">
        <v>14</v>
      </c>
      <c r="AF254" s="7">
        <v>0.56438823579629216</v>
      </c>
      <c r="AG254" s="7">
        <v>7.0335671964889795E-2</v>
      </c>
      <c r="AH254" s="8">
        <v>0</v>
      </c>
      <c r="AI254" s="8">
        <v>1</v>
      </c>
      <c r="AJ254" s="8">
        <v>100</v>
      </c>
      <c r="AK254">
        <f>(AF255/AF253)-AF254</f>
        <v>-0.13939109398493804</v>
      </c>
    </row>
    <row r="255" spans="1:37" ht="26.25" x14ac:dyDescent="0.45">
      <c r="A255" s="6" t="s">
        <v>113</v>
      </c>
      <c r="B255" s="7">
        <v>0.11451436991320693</v>
      </c>
      <c r="C255" s="7">
        <v>6.9328511232040618E-2</v>
      </c>
      <c r="D255" s="8">
        <v>0</v>
      </c>
      <c r="E255" s="8">
        <v>1</v>
      </c>
      <c r="F255" s="8">
        <v>28</v>
      </c>
      <c r="G255" s="7">
        <v>0.28413340654229741</v>
      </c>
      <c r="H255" s="7">
        <v>0.2635701019519151</v>
      </c>
      <c r="I255" s="8">
        <v>0</v>
      </c>
      <c r="J255" s="8">
        <v>1</v>
      </c>
      <c r="K255" s="8">
        <v>5</v>
      </c>
      <c r="L255" s="7">
        <v>7.6528749224782755E-2</v>
      </c>
      <c r="M255" s="7">
        <v>6.4008315307330796E-2</v>
      </c>
      <c r="N255" s="8">
        <v>0</v>
      </c>
      <c r="O255" s="8">
        <v>1</v>
      </c>
      <c r="P255" s="8">
        <v>16</v>
      </c>
      <c r="Q255" s="7">
        <v>0.13638212532932661</v>
      </c>
      <c r="R255" s="7">
        <v>0.12489587163927413</v>
      </c>
      <c r="S255" s="8">
        <v>0</v>
      </c>
      <c r="T255" s="8">
        <v>1</v>
      </c>
      <c r="U255" s="8">
        <v>19</v>
      </c>
      <c r="V255" s="7">
        <v>0.35584441822330487</v>
      </c>
      <c r="W255" s="7">
        <v>0.12202753204157965</v>
      </c>
      <c r="X255" s="8">
        <v>0</v>
      </c>
      <c r="Y255" s="8">
        <v>1</v>
      </c>
      <c r="Z255" s="8">
        <v>18</v>
      </c>
      <c r="AA255" s="7">
        <v>0.69665497167557722</v>
      </c>
      <c r="AB255" s="7">
        <v>0.13536758124396708</v>
      </c>
      <c r="AC255" s="8">
        <v>0</v>
      </c>
      <c r="AD255" s="8">
        <v>1</v>
      </c>
      <c r="AE255" s="8">
        <v>14</v>
      </c>
      <c r="AF255" s="7">
        <v>0.18243220896592593</v>
      </c>
      <c r="AG255" s="7">
        <v>5.4572694382061936E-2</v>
      </c>
      <c r="AH255" s="8">
        <v>0</v>
      </c>
      <c r="AI255" s="8">
        <v>1</v>
      </c>
      <c r="AJ255" s="8">
        <v>100</v>
      </c>
    </row>
    <row r="256" spans="1:37" x14ac:dyDescent="0.45">
      <c r="A256" s="6" t="s">
        <v>36</v>
      </c>
      <c r="B256" s="7">
        <v>0.75033349718812381</v>
      </c>
      <c r="C256" s="7">
        <v>0.11113628937183456</v>
      </c>
      <c r="D256" s="8">
        <v>0</v>
      </c>
      <c r="E256" s="8">
        <v>1</v>
      </c>
      <c r="F256" s="8">
        <v>28</v>
      </c>
      <c r="G256" s="7">
        <v>0.69890286206955909</v>
      </c>
      <c r="H256" s="7">
        <v>0.26064905237909602</v>
      </c>
      <c r="I256" s="8">
        <v>0</v>
      </c>
      <c r="J256" s="8">
        <v>1</v>
      </c>
      <c r="K256" s="8">
        <v>5</v>
      </c>
      <c r="L256" s="7">
        <v>7.6528749224782755E-2</v>
      </c>
      <c r="M256" s="7">
        <v>6.4008315307330796E-2</v>
      </c>
      <c r="N256" s="8">
        <v>0</v>
      </c>
      <c r="O256" s="8">
        <v>1</v>
      </c>
      <c r="P256" s="8">
        <v>16</v>
      </c>
      <c r="Q256" s="7">
        <v>0.13638212532932661</v>
      </c>
      <c r="R256" s="7">
        <v>0.12489587163927413</v>
      </c>
      <c r="S256" s="8">
        <v>0</v>
      </c>
      <c r="T256" s="8">
        <v>1</v>
      </c>
      <c r="U256" s="8">
        <v>19</v>
      </c>
      <c r="V256" s="7">
        <v>0.35584441822330487</v>
      </c>
      <c r="W256" s="7">
        <v>0.12202753204157965</v>
      </c>
      <c r="X256" s="8">
        <v>0</v>
      </c>
      <c r="Y256" s="8">
        <v>1</v>
      </c>
      <c r="Z256" s="8">
        <v>18</v>
      </c>
      <c r="AA256" s="7">
        <v>0.74429546837714122</v>
      </c>
      <c r="AB256" s="7">
        <v>0.12930236493328284</v>
      </c>
      <c r="AC256" s="8">
        <v>0</v>
      </c>
      <c r="AD256" s="8">
        <v>1</v>
      </c>
      <c r="AE256" s="8">
        <v>14</v>
      </c>
      <c r="AF256" s="7">
        <v>0.42925514319553509</v>
      </c>
      <c r="AG256" s="7">
        <v>6.917480911456024E-2</v>
      </c>
      <c r="AH256" s="8">
        <v>0</v>
      </c>
      <c r="AI256" s="8">
        <v>1</v>
      </c>
      <c r="AJ256" s="8">
        <v>100</v>
      </c>
      <c r="AK256">
        <f>(AF258/AF257)-AF256</f>
        <v>-0.20790954629106978</v>
      </c>
    </row>
    <row r="257" spans="1:37" x14ac:dyDescent="0.45">
      <c r="A257" s="6" t="s">
        <v>44</v>
      </c>
      <c r="B257" s="7">
        <v>0</v>
      </c>
      <c r="C257" s="7">
        <v>0</v>
      </c>
      <c r="D257" s="8">
        <v>0</v>
      </c>
      <c r="E257" s="8">
        <v>0</v>
      </c>
      <c r="F257" s="8">
        <v>28</v>
      </c>
      <c r="G257" s="7">
        <v>0</v>
      </c>
      <c r="H257" s="7">
        <v>0</v>
      </c>
      <c r="I257" s="8">
        <v>0</v>
      </c>
      <c r="J257" s="8">
        <v>0</v>
      </c>
      <c r="K257" s="8">
        <v>5</v>
      </c>
      <c r="L257" s="7">
        <v>0.45315303207398538</v>
      </c>
      <c r="M257" s="7">
        <v>0.1313901892098365</v>
      </c>
      <c r="N257" s="8">
        <v>0</v>
      </c>
      <c r="O257" s="8">
        <v>1</v>
      </c>
      <c r="P257" s="8">
        <v>16</v>
      </c>
      <c r="Q257" s="7">
        <v>0.58179797025751767</v>
      </c>
      <c r="R257" s="7">
        <v>0.13112718214255636</v>
      </c>
      <c r="S257" s="8">
        <v>0</v>
      </c>
      <c r="T257" s="8">
        <v>1</v>
      </c>
      <c r="U257" s="8">
        <v>19</v>
      </c>
      <c r="V257" s="7">
        <v>0.27840718326047831</v>
      </c>
      <c r="W257" s="7">
        <v>0.11962958289453833</v>
      </c>
      <c r="X257" s="8">
        <v>0</v>
      </c>
      <c r="Y257" s="8">
        <v>1</v>
      </c>
      <c r="Z257" s="8">
        <v>18</v>
      </c>
      <c r="AA257" s="7">
        <v>0.27889208014984646</v>
      </c>
      <c r="AB257" s="7">
        <v>0.14163420824029879</v>
      </c>
      <c r="AC257" s="8">
        <v>0</v>
      </c>
      <c r="AD257" s="8">
        <v>1</v>
      </c>
      <c r="AE257" s="8">
        <v>14</v>
      </c>
      <c r="AF257" s="7">
        <v>0.24605417111353658</v>
      </c>
      <c r="AG257" s="7">
        <v>5.5580698511919616E-2</v>
      </c>
      <c r="AH257" s="8">
        <v>0</v>
      </c>
      <c r="AI257" s="8">
        <v>1</v>
      </c>
      <c r="AJ257" s="8">
        <v>100</v>
      </c>
      <c r="AK257">
        <f>(AF258/AF256)-AF257</f>
        <v>-0.11917623327331339</v>
      </c>
    </row>
    <row r="258" spans="1:37" x14ac:dyDescent="0.45">
      <c r="A258" s="6" t="s">
        <v>114</v>
      </c>
      <c r="B258" s="7">
        <v>0</v>
      </c>
      <c r="C258" s="7">
        <v>0</v>
      </c>
      <c r="D258" s="8">
        <v>0</v>
      </c>
      <c r="E258" s="8">
        <v>0</v>
      </c>
      <c r="F258" s="8">
        <v>28</v>
      </c>
      <c r="G258" s="7">
        <v>0</v>
      </c>
      <c r="H258" s="7">
        <v>0</v>
      </c>
      <c r="I258" s="8">
        <v>0</v>
      </c>
      <c r="J258" s="8">
        <v>0</v>
      </c>
      <c r="K258" s="8">
        <v>5</v>
      </c>
      <c r="L258" s="7">
        <v>6.229053999852549E-2</v>
      </c>
      <c r="M258" s="7">
        <v>6.2400951743931066E-2</v>
      </c>
      <c r="N258" s="8">
        <v>0</v>
      </c>
      <c r="O258" s="8">
        <v>1</v>
      </c>
      <c r="P258" s="8">
        <v>16</v>
      </c>
      <c r="Q258" s="7">
        <v>0.13638212532932661</v>
      </c>
      <c r="R258" s="7">
        <v>0.12489587163927413</v>
      </c>
      <c r="S258" s="8">
        <v>0</v>
      </c>
      <c r="T258" s="8">
        <v>1</v>
      </c>
      <c r="U258" s="8">
        <v>19</v>
      </c>
      <c r="V258" s="7">
        <v>0.1279779792011454</v>
      </c>
      <c r="W258" s="7">
        <v>8.747509216245157E-2</v>
      </c>
      <c r="X258" s="8">
        <v>0</v>
      </c>
      <c r="Y258" s="8">
        <v>1</v>
      </c>
      <c r="Z258" s="8">
        <v>18</v>
      </c>
      <c r="AA258" s="7">
        <v>0.18450307902538621</v>
      </c>
      <c r="AB258" s="7">
        <v>0.12223678985561112</v>
      </c>
      <c r="AC258" s="8">
        <v>0</v>
      </c>
      <c r="AD258" s="8">
        <v>1</v>
      </c>
      <c r="AE258" s="8">
        <v>14</v>
      </c>
      <c r="AF258" s="7">
        <v>5.4463007375959202E-2</v>
      </c>
      <c r="AG258" s="7">
        <v>2.6790318322450535E-2</v>
      </c>
      <c r="AH258" s="8">
        <v>0</v>
      </c>
      <c r="AI258" s="8">
        <v>1</v>
      </c>
      <c r="AJ258" s="8">
        <v>100</v>
      </c>
    </row>
    <row r="259" spans="1:37" x14ac:dyDescent="0.45">
      <c r="A259" s="6" t="s">
        <v>36</v>
      </c>
      <c r="B259" s="7">
        <v>0.75033349718812381</v>
      </c>
      <c r="C259" s="7">
        <v>0.11113628937183456</v>
      </c>
      <c r="D259" s="8">
        <v>0</v>
      </c>
      <c r="E259" s="8">
        <v>1</v>
      </c>
      <c r="F259" s="8">
        <v>28</v>
      </c>
      <c r="G259" s="7">
        <v>0.69890286206955909</v>
      </c>
      <c r="H259" s="7">
        <v>0.26064905237909602</v>
      </c>
      <c r="I259" s="8">
        <v>0</v>
      </c>
      <c r="J259" s="8">
        <v>1</v>
      </c>
      <c r="K259" s="8">
        <v>5</v>
      </c>
      <c r="L259" s="7">
        <v>7.6528749224782755E-2</v>
      </c>
      <c r="M259" s="7">
        <v>6.4008315307330796E-2</v>
      </c>
      <c r="N259" s="8">
        <v>0</v>
      </c>
      <c r="O259" s="8">
        <v>1</v>
      </c>
      <c r="P259" s="8">
        <v>16</v>
      </c>
      <c r="Q259" s="7">
        <v>0.13638212532932661</v>
      </c>
      <c r="R259" s="7">
        <v>0.12489587163927413</v>
      </c>
      <c r="S259" s="8">
        <v>0</v>
      </c>
      <c r="T259" s="8">
        <v>1</v>
      </c>
      <c r="U259" s="8">
        <v>19</v>
      </c>
      <c r="V259" s="7">
        <v>0.35584441822330487</v>
      </c>
      <c r="W259" s="7">
        <v>0.12202753204157965</v>
      </c>
      <c r="X259" s="8">
        <v>0</v>
      </c>
      <c r="Y259" s="8">
        <v>1</v>
      </c>
      <c r="Z259" s="8">
        <v>18</v>
      </c>
      <c r="AA259" s="7">
        <v>0.74429546837714122</v>
      </c>
      <c r="AB259" s="7">
        <v>0.12930236493328284</v>
      </c>
      <c r="AC259" s="8">
        <v>0</v>
      </c>
      <c r="AD259" s="8">
        <v>1</v>
      </c>
      <c r="AE259" s="8">
        <v>14</v>
      </c>
      <c r="AF259" s="7">
        <v>0.42925514319553509</v>
      </c>
      <c r="AG259" s="7">
        <v>6.917480911456024E-2</v>
      </c>
      <c r="AH259" s="8">
        <v>0</v>
      </c>
      <c r="AI259" s="8">
        <v>1</v>
      </c>
      <c r="AJ259" s="8">
        <v>100</v>
      </c>
      <c r="AK259">
        <f>(AF261/AF260)-AF259</f>
        <v>-0.10751783578878543</v>
      </c>
    </row>
    <row r="260" spans="1:37" ht="39.4" x14ac:dyDescent="0.45">
      <c r="A260" s="6" t="s">
        <v>16</v>
      </c>
      <c r="B260" s="7">
        <v>0.24021275260760397</v>
      </c>
      <c r="C260" s="7">
        <v>9.9804594593725232E-2</v>
      </c>
      <c r="D260" s="8">
        <v>0</v>
      </c>
      <c r="E260" s="8">
        <v>1</v>
      </c>
      <c r="F260" s="8">
        <v>28</v>
      </c>
      <c r="G260" s="7">
        <v>0.28413340654229741</v>
      </c>
      <c r="H260" s="7">
        <v>0.2635701019519151</v>
      </c>
      <c r="I260" s="8">
        <v>0</v>
      </c>
      <c r="J260" s="8">
        <v>1</v>
      </c>
      <c r="K260" s="8">
        <v>5</v>
      </c>
      <c r="L260" s="7">
        <v>1</v>
      </c>
      <c r="M260" s="7">
        <v>0</v>
      </c>
      <c r="N260" s="8">
        <v>1</v>
      </c>
      <c r="O260" s="8">
        <v>1</v>
      </c>
      <c r="P260" s="8">
        <v>16</v>
      </c>
      <c r="Q260" s="7">
        <v>0.85289731615094222</v>
      </c>
      <c r="R260" s="7">
        <v>0.10368836461541529</v>
      </c>
      <c r="S260" s="8">
        <v>0</v>
      </c>
      <c r="T260" s="8">
        <v>1</v>
      </c>
      <c r="U260" s="8">
        <v>19</v>
      </c>
      <c r="V260" s="7">
        <v>0.92129013297297091</v>
      </c>
      <c r="W260" s="7">
        <v>7.2142407889520602E-2</v>
      </c>
      <c r="X260" s="8">
        <v>0</v>
      </c>
      <c r="Y260" s="8">
        <v>1</v>
      </c>
      <c r="Z260" s="8">
        <v>18</v>
      </c>
      <c r="AA260" s="7">
        <v>0.69525614240739586</v>
      </c>
      <c r="AB260" s="7">
        <v>0.14429635514835867</v>
      </c>
      <c r="AC260" s="8">
        <v>0</v>
      </c>
      <c r="AD260" s="8">
        <v>1</v>
      </c>
      <c r="AE260" s="8">
        <v>14</v>
      </c>
      <c r="AF260" s="7">
        <v>0.63213682862253961</v>
      </c>
      <c r="AG260" s="7">
        <v>6.9040852741309167E-2</v>
      </c>
      <c r="AH260" s="8">
        <v>0</v>
      </c>
      <c r="AI260" s="8">
        <v>1</v>
      </c>
      <c r="AJ260" s="8">
        <v>100</v>
      </c>
      <c r="AK260">
        <f>(AF261/AF259)-AF260</f>
        <v>-0.15833469863614846</v>
      </c>
    </row>
    <row r="261" spans="1:37" x14ac:dyDescent="0.45">
      <c r="A261" s="6" t="s">
        <v>115</v>
      </c>
      <c r="B261" s="7">
        <v>0.21682296520720104</v>
      </c>
      <c r="C261" s="7">
        <v>9.8523445787326885E-2</v>
      </c>
      <c r="D261" s="8">
        <v>0</v>
      </c>
      <c r="E261" s="8">
        <v>1</v>
      </c>
      <c r="F261" s="8">
        <v>28</v>
      </c>
      <c r="G261" s="7">
        <v>0.28413340654229741</v>
      </c>
      <c r="H261" s="7">
        <v>0.2635701019519151</v>
      </c>
      <c r="I261" s="8">
        <v>0</v>
      </c>
      <c r="J261" s="8">
        <v>1</v>
      </c>
      <c r="K261" s="8">
        <v>5</v>
      </c>
      <c r="L261" s="7">
        <v>7.6528749224782755E-2</v>
      </c>
      <c r="M261" s="7">
        <v>6.4008315307330796E-2</v>
      </c>
      <c r="N261" s="8">
        <v>0</v>
      </c>
      <c r="O261" s="8">
        <v>1</v>
      </c>
      <c r="P261" s="8">
        <v>16</v>
      </c>
      <c r="Q261" s="7">
        <v>0.13638212532932661</v>
      </c>
      <c r="R261" s="7">
        <v>0.12489587163927413</v>
      </c>
      <c r="S261" s="8">
        <v>0</v>
      </c>
      <c r="T261" s="8">
        <v>1</v>
      </c>
      <c r="U261" s="8">
        <v>19</v>
      </c>
      <c r="V261" s="7">
        <v>0.35584441822330487</v>
      </c>
      <c r="W261" s="7">
        <v>0.12202753204157965</v>
      </c>
      <c r="X261" s="8">
        <v>0</v>
      </c>
      <c r="Y261" s="8">
        <v>1</v>
      </c>
      <c r="Z261" s="8">
        <v>18</v>
      </c>
      <c r="AA261" s="7">
        <v>0.57331521710359223</v>
      </c>
      <c r="AB261" s="7">
        <v>0.15453635161302337</v>
      </c>
      <c r="AC261" s="8">
        <v>0</v>
      </c>
      <c r="AD261" s="8">
        <v>1</v>
      </c>
      <c r="AE261" s="8">
        <v>14</v>
      </c>
      <c r="AF261" s="7">
        <v>0.20338200115365787</v>
      </c>
      <c r="AG261" s="7">
        <v>5.7234203087656595E-2</v>
      </c>
      <c r="AH261" s="8">
        <v>0</v>
      </c>
      <c r="AI261" s="8">
        <v>1</v>
      </c>
      <c r="AJ261" s="8">
        <v>100</v>
      </c>
    </row>
    <row r="262" spans="1:37" x14ac:dyDescent="0.45">
      <c r="A262" s="6" t="s">
        <v>36</v>
      </c>
      <c r="B262" s="7">
        <v>0.75033349718812381</v>
      </c>
      <c r="C262" s="7">
        <v>0.11113628937183456</v>
      </c>
      <c r="D262" s="8">
        <v>0</v>
      </c>
      <c r="E262" s="8">
        <v>1</v>
      </c>
      <c r="F262" s="8">
        <v>28</v>
      </c>
      <c r="G262" s="7">
        <v>0.69890286206955909</v>
      </c>
      <c r="H262" s="7">
        <v>0.26064905237909602</v>
      </c>
      <c r="I262" s="8">
        <v>0</v>
      </c>
      <c r="J262" s="8">
        <v>1</v>
      </c>
      <c r="K262" s="8">
        <v>5</v>
      </c>
      <c r="L262" s="7">
        <v>7.6528749224782755E-2</v>
      </c>
      <c r="M262" s="7">
        <v>6.4008315307330796E-2</v>
      </c>
      <c r="N262" s="8">
        <v>0</v>
      </c>
      <c r="O262" s="8">
        <v>1</v>
      </c>
      <c r="P262" s="8">
        <v>16</v>
      </c>
      <c r="Q262" s="7">
        <v>0.13638212532932661</v>
      </c>
      <c r="R262" s="7">
        <v>0.12489587163927413</v>
      </c>
      <c r="S262" s="8">
        <v>0</v>
      </c>
      <c r="T262" s="8">
        <v>1</v>
      </c>
      <c r="U262" s="8">
        <v>19</v>
      </c>
      <c r="V262" s="7">
        <v>0.35584441822330487</v>
      </c>
      <c r="W262" s="7">
        <v>0.12202753204157965</v>
      </c>
      <c r="X262" s="8">
        <v>0</v>
      </c>
      <c r="Y262" s="8">
        <v>1</v>
      </c>
      <c r="Z262" s="8">
        <v>18</v>
      </c>
      <c r="AA262" s="7">
        <v>0.74429546837714122</v>
      </c>
      <c r="AB262" s="7">
        <v>0.12930236493328284</v>
      </c>
      <c r="AC262" s="8">
        <v>0</v>
      </c>
      <c r="AD262" s="8">
        <v>1</v>
      </c>
      <c r="AE262" s="8">
        <v>14</v>
      </c>
      <c r="AF262" s="7">
        <v>0.42925514319553509</v>
      </c>
      <c r="AG262" s="7">
        <v>6.917480911456024E-2</v>
      </c>
      <c r="AH262" s="8">
        <v>0</v>
      </c>
      <c r="AI262" s="8">
        <v>1</v>
      </c>
      <c r="AJ262" s="8">
        <v>100</v>
      </c>
      <c r="AK262">
        <f>(AF264/AF263)-AF262</f>
        <v>-0.13978864154642823</v>
      </c>
    </row>
    <row r="263" spans="1:37" ht="39.4" x14ac:dyDescent="0.45">
      <c r="A263" s="6" t="s">
        <v>18</v>
      </c>
      <c r="B263" s="7">
        <v>0.14941160928574393</v>
      </c>
      <c r="C263" s="7">
        <v>7.3542009243322798E-2</v>
      </c>
      <c r="D263" s="8">
        <v>0</v>
      </c>
      <c r="E263" s="8">
        <v>1</v>
      </c>
      <c r="F263" s="8">
        <v>28</v>
      </c>
      <c r="G263" s="7">
        <v>0.28413340654229741</v>
      </c>
      <c r="H263" s="7">
        <v>0.2635701019519151</v>
      </c>
      <c r="I263" s="8">
        <v>0</v>
      </c>
      <c r="J263" s="8">
        <v>1</v>
      </c>
      <c r="K263" s="8">
        <v>5</v>
      </c>
      <c r="L263" s="7">
        <v>1</v>
      </c>
      <c r="M263" s="7">
        <v>0</v>
      </c>
      <c r="N263" s="8">
        <v>1</v>
      </c>
      <c r="O263" s="8">
        <v>1</v>
      </c>
      <c r="P263" s="8">
        <v>16</v>
      </c>
      <c r="Q263" s="7">
        <v>0.89861962585941668</v>
      </c>
      <c r="R263" s="7">
        <v>9.6845778169611332E-2</v>
      </c>
      <c r="S263" s="8">
        <v>0</v>
      </c>
      <c r="T263" s="8">
        <v>1</v>
      </c>
      <c r="U263" s="8">
        <v>19</v>
      </c>
      <c r="V263" s="7">
        <v>1</v>
      </c>
      <c r="W263" s="7">
        <v>0</v>
      </c>
      <c r="X263" s="8">
        <v>1</v>
      </c>
      <c r="Y263" s="8">
        <v>1</v>
      </c>
      <c r="Z263" s="8">
        <v>18</v>
      </c>
      <c r="AA263" s="7">
        <v>0.91590414556129873</v>
      </c>
      <c r="AB263" s="7">
        <v>5.7720093761496942E-2</v>
      </c>
      <c r="AC263" s="8">
        <v>0</v>
      </c>
      <c r="AD263" s="8">
        <v>1</v>
      </c>
      <c r="AE263" s="8">
        <v>14</v>
      </c>
      <c r="AF263" s="7">
        <v>0.63023599596706159</v>
      </c>
      <c r="AG263" s="7">
        <v>6.9774465060460464E-2</v>
      </c>
      <c r="AH263" s="8">
        <v>0</v>
      </c>
      <c r="AI263" s="8">
        <v>1</v>
      </c>
      <c r="AJ263" s="8">
        <v>100</v>
      </c>
      <c r="AK263">
        <f>(AF264/AF262)-AF263</f>
        <v>-0.20523885415570747</v>
      </c>
    </row>
    <row r="264" spans="1:37" x14ac:dyDescent="0.45">
      <c r="A264" s="6" t="s">
        <v>116</v>
      </c>
      <c r="B264" s="7">
        <v>0.11451436991320693</v>
      </c>
      <c r="C264" s="7">
        <v>6.9328511232040618E-2</v>
      </c>
      <c r="D264" s="8">
        <v>0</v>
      </c>
      <c r="E264" s="8">
        <v>1</v>
      </c>
      <c r="F264" s="8">
        <v>28</v>
      </c>
      <c r="G264" s="7">
        <v>0.28413340654229741</v>
      </c>
      <c r="H264" s="7">
        <v>0.2635701019519151</v>
      </c>
      <c r="I264" s="8">
        <v>0</v>
      </c>
      <c r="J264" s="8">
        <v>1</v>
      </c>
      <c r="K264" s="8">
        <v>5</v>
      </c>
      <c r="L264" s="7">
        <v>7.6528749224782755E-2</v>
      </c>
      <c r="M264" s="7">
        <v>6.4008315307330796E-2</v>
      </c>
      <c r="N264" s="8">
        <v>0</v>
      </c>
      <c r="O264" s="8">
        <v>1</v>
      </c>
      <c r="P264" s="8">
        <v>16</v>
      </c>
      <c r="Q264" s="7">
        <v>0.13638212532932661</v>
      </c>
      <c r="R264" s="7">
        <v>0.12489587163927413</v>
      </c>
      <c r="S264" s="8">
        <v>0</v>
      </c>
      <c r="T264" s="8">
        <v>1</v>
      </c>
      <c r="U264" s="8">
        <v>19</v>
      </c>
      <c r="V264" s="7">
        <v>0.35584441822330487</v>
      </c>
      <c r="W264" s="7">
        <v>0.12202753204157965</v>
      </c>
      <c r="X264" s="8">
        <v>0</v>
      </c>
      <c r="Y264" s="8">
        <v>1</v>
      </c>
      <c r="Z264" s="8">
        <v>18</v>
      </c>
      <c r="AA264" s="7">
        <v>0.69665497167557722</v>
      </c>
      <c r="AB264" s="7">
        <v>0.13536758124396708</v>
      </c>
      <c r="AC264" s="8">
        <v>0</v>
      </c>
      <c r="AD264" s="8">
        <v>1</v>
      </c>
      <c r="AE264" s="8">
        <v>14</v>
      </c>
      <c r="AF264" s="7">
        <v>0.18243220896592593</v>
      </c>
      <c r="AG264" s="7">
        <v>5.4572694382061936E-2</v>
      </c>
      <c r="AH264" s="8">
        <v>0</v>
      </c>
      <c r="AI264" s="8">
        <v>1</v>
      </c>
      <c r="AJ264" s="8">
        <v>100</v>
      </c>
    </row>
    <row r="265" spans="1:37" x14ac:dyDescent="0.45">
      <c r="A265" s="6" t="s">
        <v>36</v>
      </c>
      <c r="B265" s="7">
        <v>0.75033349718812381</v>
      </c>
      <c r="C265" s="7">
        <v>0.11113628937183456</v>
      </c>
      <c r="D265" s="8">
        <v>0</v>
      </c>
      <c r="E265" s="8">
        <v>1</v>
      </c>
      <c r="F265" s="8">
        <v>28</v>
      </c>
      <c r="G265" s="7">
        <v>0.69890286206955909</v>
      </c>
      <c r="H265" s="7">
        <v>0.26064905237909602</v>
      </c>
      <c r="I265" s="8">
        <v>0</v>
      </c>
      <c r="J265" s="8">
        <v>1</v>
      </c>
      <c r="K265" s="8">
        <v>5</v>
      </c>
      <c r="L265" s="7">
        <v>7.6528749224782755E-2</v>
      </c>
      <c r="M265" s="7">
        <v>6.4008315307330796E-2</v>
      </c>
      <c r="N265" s="8">
        <v>0</v>
      </c>
      <c r="O265" s="8">
        <v>1</v>
      </c>
      <c r="P265" s="8">
        <v>16</v>
      </c>
      <c r="Q265" s="7">
        <v>0.13638212532932661</v>
      </c>
      <c r="R265" s="7">
        <v>0.12489587163927413</v>
      </c>
      <c r="S265" s="8">
        <v>0</v>
      </c>
      <c r="T265" s="8">
        <v>1</v>
      </c>
      <c r="U265" s="8">
        <v>19</v>
      </c>
      <c r="V265" s="7">
        <v>0.35584441822330487</v>
      </c>
      <c r="W265" s="7">
        <v>0.12202753204157965</v>
      </c>
      <c r="X265" s="8">
        <v>0</v>
      </c>
      <c r="Y265" s="8">
        <v>1</v>
      </c>
      <c r="Z265" s="8">
        <v>18</v>
      </c>
      <c r="AA265" s="7">
        <v>0.74429546837714122</v>
      </c>
      <c r="AB265" s="7">
        <v>0.12930236493328284</v>
      </c>
      <c r="AC265" s="8">
        <v>0</v>
      </c>
      <c r="AD265" s="8">
        <v>1</v>
      </c>
      <c r="AE265" s="8">
        <v>14</v>
      </c>
      <c r="AF265" s="7">
        <v>0.42925514319553509</v>
      </c>
      <c r="AG265" s="7">
        <v>6.917480911456024E-2</v>
      </c>
      <c r="AH265" s="8">
        <v>0</v>
      </c>
      <c r="AI265" s="8">
        <v>1</v>
      </c>
      <c r="AJ265" s="8">
        <v>100</v>
      </c>
      <c r="AK265">
        <f>(AF267/AF266)-AF265</f>
        <v>-0.24087953373817719</v>
      </c>
    </row>
    <row r="266" spans="1:37" ht="39.4" x14ac:dyDescent="0.45">
      <c r="A266" s="6" t="s">
        <v>20</v>
      </c>
      <c r="B266" s="7">
        <v>0</v>
      </c>
      <c r="C266" s="7">
        <v>0</v>
      </c>
      <c r="D266" s="8">
        <v>0</v>
      </c>
      <c r="E266" s="8">
        <v>0</v>
      </c>
      <c r="F266" s="8">
        <v>28</v>
      </c>
      <c r="G266" s="7">
        <v>0</v>
      </c>
      <c r="H266" s="7">
        <v>0</v>
      </c>
      <c r="I266" s="8">
        <v>0</v>
      </c>
      <c r="J266" s="8">
        <v>0</v>
      </c>
      <c r="K266" s="8">
        <v>5</v>
      </c>
      <c r="L266" s="7">
        <v>1</v>
      </c>
      <c r="M266" s="7">
        <v>0</v>
      </c>
      <c r="N266" s="8">
        <v>1</v>
      </c>
      <c r="O266" s="8">
        <v>1</v>
      </c>
      <c r="P266" s="8">
        <v>16</v>
      </c>
      <c r="Q266" s="7">
        <v>0.61840113049179313</v>
      </c>
      <c r="R266" s="7">
        <v>0.13006566375416401</v>
      </c>
      <c r="S266" s="8">
        <v>0</v>
      </c>
      <c r="T266" s="8">
        <v>1</v>
      </c>
      <c r="U266" s="8">
        <v>19</v>
      </c>
      <c r="V266" s="7">
        <v>0.62484576595299168</v>
      </c>
      <c r="W266" s="7">
        <v>0.12235387804662534</v>
      </c>
      <c r="X266" s="8">
        <v>0</v>
      </c>
      <c r="Y266" s="8">
        <v>1</v>
      </c>
      <c r="Z266" s="8">
        <v>18</v>
      </c>
      <c r="AA266" s="7">
        <v>0.59238861673724996</v>
      </c>
      <c r="AB266" s="7">
        <v>0.15320552322461192</v>
      </c>
      <c r="AC266" s="8">
        <v>0</v>
      </c>
      <c r="AD266" s="8">
        <v>1</v>
      </c>
      <c r="AE266" s="8">
        <v>14</v>
      </c>
      <c r="AF266" s="7">
        <v>0.46705017304122987</v>
      </c>
      <c r="AG266" s="7">
        <v>6.8874379217115159E-2</v>
      </c>
      <c r="AH266" s="8">
        <v>0</v>
      </c>
      <c r="AI266" s="8">
        <v>1</v>
      </c>
      <c r="AJ266" s="8">
        <v>100</v>
      </c>
      <c r="AK266">
        <f>(AF267/AF265)-AF266</f>
        <v>-0.26208847977217814</v>
      </c>
    </row>
    <row r="267" spans="1:37" x14ac:dyDescent="0.45">
      <c r="A267" s="6" t="s">
        <v>117</v>
      </c>
      <c r="B267" s="7">
        <v>0</v>
      </c>
      <c r="C267" s="7">
        <v>0</v>
      </c>
      <c r="D267" s="8">
        <v>0</v>
      </c>
      <c r="E267" s="8">
        <v>0</v>
      </c>
      <c r="F267" s="8">
        <v>28</v>
      </c>
      <c r="G267" s="7">
        <v>0</v>
      </c>
      <c r="H267" s="7">
        <v>0</v>
      </c>
      <c r="I267" s="8">
        <v>0</v>
      </c>
      <c r="J267" s="8">
        <v>0</v>
      </c>
      <c r="K267" s="8">
        <v>5</v>
      </c>
      <c r="L267" s="7">
        <v>7.6528749224782755E-2</v>
      </c>
      <c r="M267" s="7">
        <v>6.4008315307330796E-2</v>
      </c>
      <c r="N267" s="8">
        <v>0</v>
      </c>
      <c r="O267" s="8">
        <v>1</v>
      </c>
      <c r="P267" s="8">
        <v>16</v>
      </c>
      <c r="Q267" s="7">
        <v>0.13638212532932661</v>
      </c>
      <c r="R267" s="7">
        <v>0.12489587163927413</v>
      </c>
      <c r="S267" s="8">
        <v>0</v>
      </c>
      <c r="T267" s="8">
        <v>1</v>
      </c>
      <c r="U267" s="8">
        <v>19</v>
      </c>
      <c r="V267" s="7">
        <v>0.30346127168364773</v>
      </c>
      <c r="W267" s="7">
        <v>0.11785360493754786</v>
      </c>
      <c r="X267" s="8">
        <v>0</v>
      </c>
      <c r="Y267" s="8">
        <v>1</v>
      </c>
      <c r="Z267" s="8">
        <v>18</v>
      </c>
      <c r="AA267" s="7">
        <v>0.48817049959441422</v>
      </c>
      <c r="AB267" s="7">
        <v>0.15762174974179141</v>
      </c>
      <c r="AC267" s="8">
        <v>0</v>
      </c>
      <c r="AD267" s="8">
        <v>1</v>
      </c>
      <c r="AE267" s="8">
        <v>14</v>
      </c>
      <c r="AF267" s="7">
        <v>8.7980860993806143E-2</v>
      </c>
      <c r="AG267" s="7">
        <v>3.0019035047048642E-2</v>
      </c>
      <c r="AH267" s="8">
        <v>0</v>
      </c>
      <c r="AI267" s="8">
        <v>1</v>
      </c>
      <c r="AJ267" s="8">
        <v>100</v>
      </c>
    </row>
    <row r="268" spans="1:37" x14ac:dyDescent="0.45">
      <c r="A268" s="6" t="s">
        <v>36</v>
      </c>
      <c r="B268" s="7">
        <v>0.75033349718812381</v>
      </c>
      <c r="C268" s="7">
        <v>0.11113628937183456</v>
      </c>
      <c r="D268" s="8">
        <v>0</v>
      </c>
      <c r="E268" s="8">
        <v>1</v>
      </c>
      <c r="F268" s="8">
        <v>28</v>
      </c>
      <c r="G268" s="7">
        <v>0.69890286206955909</v>
      </c>
      <c r="H268" s="7">
        <v>0.26064905237909602</v>
      </c>
      <c r="I268" s="8">
        <v>0</v>
      </c>
      <c r="J268" s="8">
        <v>1</v>
      </c>
      <c r="K268" s="8">
        <v>5</v>
      </c>
      <c r="L268" s="7">
        <v>7.6528749224782755E-2</v>
      </c>
      <c r="M268" s="7">
        <v>6.4008315307330796E-2</v>
      </c>
      <c r="N268" s="8">
        <v>0</v>
      </c>
      <c r="O268" s="8">
        <v>1</v>
      </c>
      <c r="P268" s="8">
        <v>16</v>
      </c>
      <c r="Q268" s="7">
        <v>0.13638212532932661</v>
      </c>
      <c r="R268" s="7">
        <v>0.12489587163927413</v>
      </c>
      <c r="S268" s="8">
        <v>0</v>
      </c>
      <c r="T268" s="8">
        <v>1</v>
      </c>
      <c r="U268" s="8">
        <v>19</v>
      </c>
      <c r="V268" s="7">
        <v>0.35584441822330487</v>
      </c>
      <c r="W268" s="7">
        <v>0.12202753204157965</v>
      </c>
      <c r="X268" s="8">
        <v>0</v>
      </c>
      <c r="Y268" s="8">
        <v>1</v>
      </c>
      <c r="Z268" s="8">
        <v>18</v>
      </c>
      <c r="AA268" s="7">
        <v>0.74429546837714122</v>
      </c>
      <c r="AB268" s="7">
        <v>0.12930236493328284</v>
      </c>
      <c r="AC268" s="8">
        <v>0</v>
      </c>
      <c r="AD268" s="8">
        <v>1</v>
      </c>
      <c r="AE268" s="8">
        <v>14</v>
      </c>
      <c r="AF268" s="7">
        <v>0.42925514319553509</v>
      </c>
      <c r="AG268" s="7">
        <v>6.917480911456024E-2</v>
      </c>
      <c r="AH268" s="8">
        <v>0</v>
      </c>
      <c r="AI268" s="8">
        <v>1</v>
      </c>
      <c r="AJ268" s="8">
        <v>100</v>
      </c>
      <c r="AK268">
        <f>(AF270/AF269)-AF268</f>
        <v>-0.10260087889943892</v>
      </c>
    </row>
    <row r="269" spans="1:37" ht="26.25" x14ac:dyDescent="0.45">
      <c r="A269" s="6" t="s">
        <v>22</v>
      </c>
      <c r="B269" s="7">
        <v>0.26984434576365129</v>
      </c>
      <c r="C269" s="7">
        <v>0.10088535446125156</v>
      </c>
      <c r="D269" s="8">
        <v>0</v>
      </c>
      <c r="E269" s="8">
        <v>1</v>
      </c>
      <c r="F269" s="8">
        <v>28</v>
      </c>
      <c r="G269" s="7">
        <v>0.28413340654229741</v>
      </c>
      <c r="H269" s="7">
        <v>0.2635701019519151</v>
      </c>
      <c r="I269" s="8">
        <v>0</v>
      </c>
      <c r="J269" s="8">
        <v>1</v>
      </c>
      <c r="K269" s="8">
        <v>5</v>
      </c>
      <c r="L269" s="7">
        <v>1</v>
      </c>
      <c r="M269" s="7">
        <v>0</v>
      </c>
      <c r="N269" s="8">
        <v>1</v>
      </c>
      <c r="O269" s="8">
        <v>1</v>
      </c>
      <c r="P269" s="8">
        <v>16</v>
      </c>
      <c r="Q269" s="7">
        <v>0.89861962585941668</v>
      </c>
      <c r="R269" s="7">
        <v>9.6845778169611332E-2</v>
      </c>
      <c r="S269" s="8">
        <v>0</v>
      </c>
      <c r="T269" s="8">
        <v>1</v>
      </c>
      <c r="U269" s="8">
        <v>19</v>
      </c>
      <c r="V269" s="7">
        <v>0.94505098249148323</v>
      </c>
      <c r="W269" s="7">
        <v>5.5165329624764066E-2</v>
      </c>
      <c r="X269" s="8">
        <v>0</v>
      </c>
      <c r="Y269" s="8">
        <v>1</v>
      </c>
      <c r="Z269" s="8">
        <v>18</v>
      </c>
      <c r="AA269" s="7">
        <v>0.91590414556129873</v>
      </c>
      <c r="AB269" s="7">
        <v>5.7720093761496942E-2</v>
      </c>
      <c r="AC269" s="8">
        <v>0</v>
      </c>
      <c r="AD269" s="8">
        <v>1</v>
      </c>
      <c r="AE269" s="8">
        <v>14</v>
      </c>
      <c r="AF269" s="7">
        <v>0.65979065777482815</v>
      </c>
      <c r="AG269" s="7">
        <v>6.9173406705135554E-2</v>
      </c>
      <c r="AH269" s="8">
        <v>0</v>
      </c>
      <c r="AI269" s="8">
        <v>1</v>
      </c>
      <c r="AJ269" s="8">
        <v>100</v>
      </c>
      <c r="AK269">
        <f>(AF270/AF268)-AF269</f>
        <v>-0.15770364653848701</v>
      </c>
    </row>
    <row r="270" spans="1:37" x14ac:dyDescent="0.45">
      <c r="A270" s="6" t="s">
        <v>118</v>
      </c>
      <c r="B270" s="7">
        <v>0.23494710639111427</v>
      </c>
      <c r="C270" s="7">
        <v>9.9251884194354392E-2</v>
      </c>
      <c r="D270" s="8">
        <v>0</v>
      </c>
      <c r="E270" s="8">
        <v>1</v>
      </c>
      <c r="F270" s="8">
        <v>28</v>
      </c>
      <c r="G270" s="7">
        <v>0.28413340654229741</v>
      </c>
      <c r="H270" s="7">
        <v>0.2635701019519151</v>
      </c>
      <c r="I270" s="8">
        <v>0</v>
      </c>
      <c r="J270" s="8">
        <v>1</v>
      </c>
      <c r="K270" s="8">
        <v>5</v>
      </c>
      <c r="L270" s="7">
        <v>7.6528749224782755E-2</v>
      </c>
      <c r="M270" s="7">
        <v>6.4008315307330796E-2</v>
      </c>
      <c r="N270" s="8">
        <v>0</v>
      </c>
      <c r="O270" s="8">
        <v>1</v>
      </c>
      <c r="P270" s="8">
        <v>16</v>
      </c>
      <c r="Q270" s="7">
        <v>0.13638212532932661</v>
      </c>
      <c r="R270" s="7">
        <v>0.12489587163927413</v>
      </c>
      <c r="S270" s="8">
        <v>0</v>
      </c>
      <c r="T270" s="8">
        <v>1</v>
      </c>
      <c r="U270" s="8">
        <v>19</v>
      </c>
      <c r="V270" s="7">
        <v>0.35584441822330487</v>
      </c>
      <c r="W270" s="7">
        <v>0.12202753204157965</v>
      </c>
      <c r="X270" s="8">
        <v>0</v>
      </c>
      <c r="Y270" s="8">
        <v>1</v>
      </c>
      <c r="Z270" s="8">
        <v>18</v>
      </c>
      <c r="AA270" s="7">
        <v>0.69665497167557722</v>
      </c>
      <c r="AB270" s="7">
        <v>0.13536758124396708</v>
      </c>
      <c r="AC270" s="8">
        <v>0</v>
      </c>
      <c r="AD270" s="8">
        <v>1</v>
      </c>
      <c r="AE270" s="8">
        <v>14</v>
      </c>
      <c r="AF270" s="7">
        <v>0.21552343190487386</v>
      </c>
      <c r="AG270" s="7">
        <v>5.7592739252108976E-2</v>
      </c>
      <c r="AH270" s="8">
        <v>0</v>
      </c>
      <c r="AI270" s="8">
        <v>1</v>
      </c>
      <c r="AJ270" s="8">
        <v>100</v>
      </c>
    </row>
    <row r="271" spans="1:37" x14ac:dyDescent="0.45">
      <c r="A271" s="6" t="s">
        <v>36</v>
      </c>
      <c r="B271" s="7">
        <v>0.75033349718812381</v>
      </c>
      <c r="C271" s="7">
        <v>0.11113628937183456</v>
      </c>
      <c r="D271" s="8">
        <v>0</v>
      </c>
      <c r="E271" s="8">
        <v>1</v>
      </c>
      <c r="F271" s="8">
        <v>28</v>
      </c>
      <c r="G271" s="7">
        <v>0.69890286206955909</v>
      </c>
      <c r="H271" s="7">
        <v>0.26064905237909602</v>
      </c>
      <c r="I271" s="8">
        <v>0</v>
      </c>
      <c r="J271" s="8">
        <v>1</v>
      </c>
      <c r="K271" s="8">
        <v>5</v>
      </c>
      <c r="L271" s="7">
        <v>7.6528749224782755E-2</v>
      </c>
      <c r="M271" s="7">
        <v>6.4008315307330796E-2</v>
      </c>
      <c r="N271" s="8">
        <v>0</v>
      </c>
      <c r="O271" s="8">
        <v>1</v>
      </c>
      <c r="P271" s="8">
        <v>16</v>
      </c>
      <c r="Q271" s="7">
        <v>0.13638212532932661</v>
      </c>
      <c r="R271" s="7">
        <v>0.12489587163927413</v>
      </c>
      <c r="S271" s="8">
        <v>0</v>
      </c>
      <c r="T271" s="8">
        <v>1</v>
      </c>
      <c r="U271" s="8">
        <v>19</v>
      </c>
      <c r="V271" s="7">
        <v>0.35584441822330487</v>
      </c>
      <c r="W271" s="7">
        <v>0.12202753204157965</v>
      </c>
      <c r="X271" s="8">
        <v>0</v>
      </c>
      <c r="Y271" s="8">
        <v>1</v>
      </c>
      <c r="Z271" s="8">
        <v>18</v>
      </c>
      <c r="AA271" s="7">
        <v>0.74429546837714122</v>
      </c>
      <c r="AB271" s="7">
        <v>0.12930236493328284</v>
      </c>
      <c r="AC271" s="8">
        <v>0</v>
      </c>
      <c r="AD271" s="8">
        <v>1</v>
      </c>
      <c r="AE271" s="8">
        <v>14</v>
      </c>
      <c r="AF271" s="7">
        <v>0.42925514319553509</v>
      </c>
      <c r="AG271" s="7">
        <v>6.917480911456024E-2</v>
      </c>
      <c r="AH271" s="8">
        <v>0</v>
      </c>
      <c r="AI271" s="8">
        <v>1</v>
      </c>
      <c r="AJ271" s="8">
        <v>100</v>
      </c>
      <c r="AK271">
        <f>(AF273/AF272)-AF271</f>
        <v>-0.10805844835558881</v>
      </c>
    </row>
    <row r="272" spans="1:37" ht="26.25" x14ac:dyDescent="0.45">
      <c r="A272" s="6" t="s">
        <v>24</v>
      </c>
      <c r="B272" s="7">
        <v>0.24021275260760397</v>
      </c>
      <c r="C272" s="7">
        <v>9.9804594593725232E-2</v>
      </c>
      <c r="D272" s="8">
        <v>0</v>
      </c>
      <c r="E272" s="8">
        <v>1</v>
      </c>
      <c r="F272" s="8">
        <v>28</v>
      </c>
      <c r="G272" s="7">
        <v>0.28413340654229741</v>
      </c>
      <c r="H272" s="7">
        <v>0.2635701019519151</v>
      </c>
      <c r="I272" s="8">
        <v>0</v>
      </c>
      <c r="J272" s="8">
        <v>1</v>
      </c>
      <c r="K272" s="8">
        <v>5</v>
      </c>
      <c r="L272" s="7">
        <v>1</v>
      </c>
      <c r="M272" s="7">
        <v>0</v>
      </c>
      <c r="N272" s="8">
        <v>1</v>
      </c>
      <c r="O272" s="8">
        <v>1</v>
      </c>
      <c r="P272" s="8">
        <v>16</v>
      </c>
      <c r="Q272" s="7">
        <v>0.89861962585941668</v>
      </c>
      <c r="R272" s="7">
        <v>9.6845778169611332E-2</v>
      </c>
      <c r="S272" s="8">
        <v>0</v>
      </c>
      <c r="T272" s="8">
        <v>1</v>
      </c>
      <c r="U272" s="8">
        <v>19</v>
      </c>
      <c r="V272" s="7">
        <v>0.86634111546445414</v>
      </c>
      <c r="W272" s="7">
        <v>8.7661072043173624E-2</v>
      </c>
      <c r="X272" s="8">
        <v>0</v>
      </c>
      <c r="Y272" s="8">
        <v>1</v>
      </c>
      <c r="Z272" s="8">
        <v>18</v>
      </c>
      <c r="AA272" s="7">
        <v>0.68542702638902031</v>
      </c>
      <c r="AB272" s="7">
        <v>0.14449500923918335</v>
      </c>
      <c r="AC272" s="8">
        <v>0</v>
      </c>
      <c r="AD272" s="8">
        <v>1</v>
      </c>
      <c r="AE272" s="8">
        <v>14</v>
      </c>
      <c r="AF272" s="7">
        <v>0.63320079073355351</v>
      </c>
      <c r="AG272" s="7">
        <v>6.9028775174729731E-2</v>
      </c>
      <c r="AH272" s="8">
        <v>0</v>
      </c>
      <c r="AI272" s="8">
        <v>1</v>
      </c>
      <c r="AJ272" s="8">
        <v>100</v>
      </c>
      <c r="AK272">
        <f>(AF273/AF271)-AF272</f>
        <v>-0.15939866074716236</v>
      </c>
    </row>
    <row r="273" spans="1:37" x14ac:dyDescent="0.45">
      <c r="A273" s="6" t="s">
        <v>119</v>
      </c>
      <c r="B273" s="7">
        <v>0.21682296520720104</v>
      </c>
      <c r="C273" s="7">
        <v>9.8523445787326885E-2</v>
      </c>
      <c r="D273" s="8">
        <v>0</v>
      </c>
      <c r="E273" s="8">
        <v>1</v>
      </c>
      <c r="F273" s="8">
        <v>28</v>
      </c>
      <c r="G273" s="7">
        <v>0.28413340654229741</v>
      </c>
      <c r="H273" s="7">
        <v>0.2635701019519151</v>
      </c>
      <c r="I273" s="8">
        <v>0</v>
      </c>
      <c r="J273" s="8">
        <v>1</v>
      </c>
      <c r="K273" s="8">
        <v>5</v>
      </c>
      <c r="L273" s="7">
        <v>7.6528749224782755E-2</v>
      </c>
      <c r="M273" s="7">
        <v>6.4008315307330796E-2</v>
      </c>
      <c r="N273" s="8">
        <v>0</v>
      </c>
      <c r="O273" s="8">
        <v>1</v>
      </c>
      <c r="P273" s="8">
        <v>16</v>
      </c>
      <c r="Q273" s="7">
        <v>0.13638212532932661</v>
      </c>
      <c r="R273" s="7">
        <v>0.12489587163927413</v>
      </c>
      <c r="S273" s="8">
        <v>0</v>
      </c>
      <c r="T273" s="8">
        <v>1</v>
      </c>
      <c r="U273" s="8">
        <v>19</v>
      </c>
      <c r="V273" s="7">
        <v>0.35584441822330487</v>
      </c>
      <c r="W273" s="7">
        <v>0.12202753204157965</v>
      </c>
      <c r="X273" s="8">
        <v>0</v>
      </c>
      <c r="Y273" s="8">
        <v>1</v>
      </c>
      <c r="Z273" s="8">
        <v>18</v>
      </c>
      <c r="AA273" s="7">
        <v>0.57331521710359223</v>
      </c>
      <c r="AB273" s="7">
        <v>0.15453635161302337</v>
      </c>
      <c r="AC273" s="8">
        <v>0</v>
      </c>
      <c r="AD273" s="8">
        <v>1</v>
      </c>
      <c r="AE273" s="8">
        <v>14</v>
      </c>
      <c r="AF273" s="7">
        <v>0.20338200115365787</v>
      </c>
      <c r="AG273" s="7">
        <v>5.7234203087656595E-2</v>
      </c>
      <c r="AH273" s="8">
        <v>0</v>
      </c>
      <c r="AI273" s="8">
        <v>1</v>
      </c>
      <c r="AJ273" s="8">
        <v>100</v>
      </c>
    </row>
    <row r="274" spans="1:37" ht="26.25" x14ac:dyDescent="0.45">
      <c r="A274" s="6" t="s">
        <v>38</v>
      </c>
      <c r="B274" s="7">
        <v>0</v>
      </c>
      <c r="C274" s="7">
        <v>0</v>
      </c>
      <c r="D274" s="8">
        <v>0</v>
      </c>
      <c r="E274" s="8">
        <v>0</v>
      </c>
      <c r="F274" s="8">
        <v>28</v>
      </c>
      <c r="G274" s="7">
        <v>0</v>
      </c>
      <c r="H274" s="7">
        <v>0</v>
      </c>
      <c r="I274" s="8">
        <v>0</v>
      </c>
      <c r="J274" s="8">
        <v>0</v>
      </c>
      <c r="K274" s="8">
        <v>5</v>
      </c>
      <c r="L274" s="7">
        <v>0.93129216535876924</v>
      </c>
      <c r="M274" s="7">
        <v>6.8358528251634604E-2</v>
      </c>
      <c r="N274" s="8">
        <v>0</v>
      </c>
      <c r="O274" s="8">
        <v>1</v>
      </c>
      <c r="P274" s="8">
        <v>16</v>
      </c>
      <c r="Q274" s="7">
        <v>0.23215855473296679</v>
      </c>
      <c r="R274" s="7">
        <v>9.9015389508305698E-2</v>
      </c>
      <c r="S274" s="8">
        <v>0</v>
      </c>
      <c r="T274" s="8">
        <v>1</v>
      </c>
      <c r="U274" s="8">
        <v>19</v>
      </c>
      <c r="V274" s="7">
        <v>0.47441656189365872</v>
      </c>
      <c r="W274" s="7">
        <v>0.1275876604219422</v>
      </c>
      <c r="X274" s="8">
        <v>0</v>
      </c>
      <c r="Y274" s="8">
        <v>1</v>
      </c>
      <c r="Z274" s="8">
        <v>18</v>
      </c>
      <c r="AA274" s="7">
        <v>0.50100347893857933</v>
      </c>
      <c r="AB274" s="7">
        <v>0.15741214876712428</v>
      </c>
      <c r="AC274" s="8">
        <v>0</v>
      </c>
      <c r="AD274" s="8">
        <v>1</v>
      </c>
      <c r="AE274" s="8">
        <v>14</v>
      </c>
      <c r="AF274" s="7">
        <v>0.38621991000499384</v>
      </c>
      <c r="AG274" s="7">
        <v>6.6639473541989111E-2</v>
      </c>
      <c r="AH274" s="8">
        <v>0</v>
      </c>
      <c r="AI274" s="8">
        <v>1</v>
      </c>
      <c r="AJ274" s="8">
        <v>100</v>
      </c>
      <c r="AK274">
        <f>(AF276/AF275)-AF274</f>
        <v>0.22221107103242482</v>
      </c>
    </row>
    <row r="275" spans="1:37" x14ac:dyDescent="0.45">
      <c r="A275" s="6" t="s">
        <v>40</v>
      </c>
      <c r="B275" s="7">
        <v>0.24021275260760397</v>
      </c>
      <c r="C275" s="7">
        <v>9.9804594593725232E-2</v>
      </c>
      <c r="D275" s="8">
        <v>0</v>
      </c>
      <c r="E275" s="8">
        <v>1</v>
      </c>
      <c r="F275" s="8">
        <v>28</v>
      </c>
      <c r="G275" s="7">
        <v>0.28413340654229741</v>
      </c>
      <c r="H275" s="7">
        <v>0.2635701019519151</v>
      </c>
      <c r="I275" s="8">
        <v>0</v>
      </c>
      <c r="J275" s="8">
        <v>1</v>
      </c>
      <c r="K275" s="8">
        <v>5</v>
      </c>
      <c r="L275" s="7">
        <v>1</v>
      </c>
      <c r="M275" s="7">
        <v>0</v>
      </c>
      <c r="N275" s="8">
        <v>1</v>
      </c>
      <c r="O275" s="8">
        <v>1</v>
      </c>
      <c r="P275" s="8">
        <v>16</v>
      </c>
      <c r="Q275" s="7">
        <v>0.85289731615094222</v>
      </c>
      <c r="R275" s="7">
        <v>0.10368836461541529</v>
      </c>
      <c r="S275" s="8">
        <v>0</v>
      </c>
      <c r="T275" s="8">
        <v>1</v>
      </c>
      <c r="U275" s="8">
        <v>19</v>
      </c>
      <c r="V275" s="7">
        <v>0.86634111546445414</v>
      </c>
      <c r="W275" s="7">
        <v>8.7661072043173624E-2</v>
      </c>
      <c r="X275" s="8">
        <v>0</v>
      </c>
      <c r="Y275" s="8">
        <v>1</v>
      </c>
      <c r="Z275" s="8">
        <v>18</v>
      </c>
      <c r="AA275" s="7">
        <v>0.68542702638902031</v>
      </c>
      <c r="AB275" s="7">
        <v>0.14449500923918335</v>
      </c>
      <c r="AC275" s="8">
        <v>0</v>
      </c>
      <c r="AD275" s="8">
        <v>1</v>
      </c>
      <c r="AE275" s="8">
        <v>14</v>
      </c>
      <c r="AF275" s="7">
        <v>0.62802955981828001</v>
      </c>
      <c r="AG275" s="7">
        <v>6.9009852430896662E-2</v>
      </c>
      <c r="AH275" s="8">
        <v>0</v>
      </c>
      <c r="AI275" s="8">
        <v>1</v>
      </c>
      <c r="AJ275" s="8">
        <v>100</v>
      </c>
      <c r="AK275">
        <f>(AF276/AF274)-AF275</f>
        <v>0.36133590607858057</v>
      </c>
    </row>
    <row r="276" spans="1:37" ht="39.4" x14ac:dyDescent="0.45">
      <c r="A276" s="6" t="s">
        <v>120</v>
      </c>
      <c r="B276" s="7">
        <v>0</v>
      </c>
      <c r="C276" s="7">
        <v>0</v>
      </c>
      <c r="D276" s="8">
        <v>0</v>
      </c>
      <c r="E276" s="8">
        <v>0</v>
      </c>
      <c r="F276" s="8">
        <v>28</v>
      </c>
      <c r="G276" s="7">
        <v>0</v>
      </c>
      <c r="H276" s="7">
        <v>0</v>
      </c>
      <c r="I276" s="8">
        <v>0</v>
      </c>
      <c r="J276" s="8">
        <v>0</v>
      </c>
      <c r="K276" s="8">
        <v>5</v>
      </c>
      <c r="L276" s="7">
        <v>0.93129216535876924</v>
      </c>
      <c r="M276" s="7">
        <v>6.8358528251634604E-2</v>
      </c>
      <c r="N276" s="8">
        <v>0</v>
      </c>
      <c r="O276" s="8">
        <v>1</v>
      </c>
      <c r="P276" s="8">
        <v>16</v>
      </c>
      <c r="Q276" s="7">
        <v>0.23215855473296679</v>
      </c>
      <c r="R276" s="7">
        <v>9.9015389508305698E-2</v>
      </c>
      <c r="S276" s="8">
        <v>0</v>
      </c>
      <c r="T276" s="8">
        <v>1</v>
      </c>
      <c r="U276" s="8">
        <v>19</v>
      </c>
      <c r="V276" s="7">
        <v>0.41946754438514189</v>
      </c>
      <c r="W276" s="7">
        <v>0.12603556547178971</v>
      </c>
      <c r="X276" s="8">
        <v>0</v>
      </c>
      <c r="Y276" s="8">
        <v>1</v>
      </c>
      <c r="Z276" s="8">
        <v>18</v>
      </c>
      <c r="AA276" s="7">
        <v>0.49117436292020389</v>
      </c>
      <c r="AB276" s="7">
        <v>0.15759813381687748</v>
      </c>
      <c r="AC276" s="8">
        <v>0</v>
      </c>
      <c r="AD276" s="8">
        <v>1</v>
      </c>
      <c r="AE276" s="8">
        <v>14</v>
      </c>
      <c r="AF276" s="7">
        <v>0.38211264120073429</v>
      </c>
      <c r="AG276" s="7">
        <v>6.6576063160910692E-2</v>
      </c>
      <c r="AH276" s="8">
        <v>0</v>
      </c>
      <c r="AI276" s="8">
        <v>1</v>
      </c>
      <c r="AJ276" s="8">
        <v>100</v>
      </c>
    </row>
    <row r="277" spans="1:37" ht="26.25" x14ac:dyDescent="0.45">
      <c r="A277" s="6" t="s">
        <v>38</v>
      </c>
      <c r="B277" s="7">
        <v>0</v>
      </c>
      <c r="C277" s="7">
        <v>0</v>
      </c>
      <c r="D277" s="8">
        <v>0</v>
      </c>
      <c r="E277" s="8">
        <v>0</v>
      </c>
      <c r="F277" s="8">
        <v>28</v>
      </c>
      <c r="G277" s="7">
        <v>0</v>
      </c>
      <c r="H277" s="7">
        <v>0</v>
      </c>
      <c r="I277" s="8">
        <v>0</v>
      </c>
      <c r="J277" s="8">
        <v>0</v>
      </c>
      <c r="K277" s="8">
        <v>5</v>
      </c>
      <c r="L277" s="7">
        <v>0.93129216535876924</v>
      </c>
      <c r="M277" s="7">
        <v>6.8358528251634604E-2</v>
      </c>
      <c r="N277" s="8">
        <v>0</v>
      </c>
      <c r="O277" s="8">
        <v>1</v>
      </c>
      <c r="P277" s="8">
        <v>16</v>
      </c>
      <c r="Q277" s="7">
        <v>0.23215855473296679</v>
      </c>
      <c r="R277" s="7">
        <v>9.9015389508305698E-2</v>
      </c>
      <c r="S277" s="8">
        <v>0</v>
      </c>
      <c r="T277" s="8">
        <v>1</v>
      </c>
      <c r="U277" s="8">
        <v>19</v>
      </c>
      <c r="V277" s="7">
        <v>0.47441656189365872</v>
      </c>
      <c r="W277" s="7">
        <v>0.1275876604219422</v>
      </c>
      <c r="X277" s="8">
        <v>0</v>
      </c>
      <c r="Y277" s="8">
        <v>1</v>
      </c>
      <c r="Z277" s="8">
        <v>18</v>
      </c>
      <c r="AA277" s="7">
        <v>0.50100347893857933</v>
      </c>
      <c r="AB277" s="7">
        <v>0.15741214876712428</v>
      </c>
      <c r="AC277" s="8">
        <v>0</v>
      </c>
      <c r="AD277" s="8">
        <v>1</v>
      </c>
      <c r="AE277" s="8">
        <v>14</v>
      </c>
      <c r="AF277" s="7">
        <v>0.38621991000499384</v>
      </c>
      <c r="AG277" s="7">
        <v>6.6639473541989111E-2</v>
      </c>
      <c r="AH277" s="8">
        <v>0</v>
      </c>
      <c r="AI277" s="8">
        <v>1</v>
      </c>
      <c r="AJ277" s="8">
        <v>100</v>
      </c>
      <c r="AK277">
        <f>(AF279/AF278)-AF277</f>
        <v>0.18142507179058381</v>
      </c>
    </row>
    <row r="278" spans="1:37" x14ac:dyDescent="0.45">
      <c r="A278" s="6" t="s">
        <v>42</v>
      </c>
      <c r="B278" s="7">
        <v>0.14941160928574393</v>
      </c>
      <c r="C278" s="7">
        <v>7.3542009243322798E-2</v>
      </c>
      <c r="D278" s="8">
        <v>0</v>
      </c>
      <c r="E278" s="8">
        <v>1</v>
      </c>
      <c r="F278" s="8">
        <v>28</v>
      </c>
      <c r="G278" s="7">
        <v>0.28413340654229741</v>
      </c>
      <c r="H278" s="7">
        <v>0.2635701019519151</v>
      </c>
      <c r="I278" s="8">
        <v>0</v>
      </c>
      <c r="J278" s="8">
        <v>1</v>
      </c>
      <c r="K278" s="8">
        <v>5</v>
      </c>
      <c r="L278" s="7">
        <v>0.8067852407664784</v>
      </c>
      <c r="M278" s="7">
        <v>0.10368902289601112</v>
      </c>
      <c r="N278" s="8">
        <v>0</v>
      </c>
      <c r="O278" s="8">
        <v>1</v>
      </c>
      <c r="P278" s="8">
        <v>16</v>
      </c>
      <c r="Q278" s="7">
        <v>0.89861962585941668</v>
      </c>
      <c r="R278" s="7">
        <v>9.6845778169611332E-2</v>
      </c>
      <c r="S278" s="8">
        <v>0</v>
      </c>
      <c r="T278" s="8">
        <v>1</v>
      </c>
      <c r="U278" s="8">
        <v>19</v>
      </c>
      <c r="V278" s="7">
        <v>0.94505098249148323</v>
      </c>
      <c r="W278" s="7">
        <v>5.5165329624764066E-2</v>
      </c>
      <c r="X278" s="8">
        <v>0</v>
      </c>
      <c r="Y278" s="8">
        <v>1</v>
      </c>
      <c r="Z278" s="8">
        <v>18</v>
      </c>
      <c r="AA278" s="7">
        <v>0.91590414556129873</v>
      </c>
      <c r="AB278" s="7">
        <v>5.7720093761496942E-2</v>
      </c>
      <c r="AC278" s="8">
        <v>0</v>
      </c>
      <c r="AD278" s="8">
        <v>1</v>
      </c>
      <c r="AE278" s="8">
        <v>14</v>
      </c>
      <c r="AF278" s="7">
        <v>0.56438823579629216</v>
      </c>
      <c r="AG278" s="7">
        <v>7.0335671964889795E-2</v>
      </c>
      <c r="AH278" s="8">
        <v>0</v>
      </c>
      <c r="AI278" s="8">
        <v>1</v>
      </c>
      <c r="AJ278" s="8">
        <v>100</v>
      </c>
      <c r="AK278">
        <f>(AF279/AF277)-AF278</f>
        <v>0.26511884432829813</v>
      </c>
    </row>
    <row r="279" spans="1:37" ht="39.4" x14ac:dyDescent="0.45">
      <c r="A279" s="6" t="s">
        <v>121</v>
      </c>
      <c r="B279" s="7">
        <v>0</v>
      </c>
      <c r="C279" s="7">
        <v>0</v>
      </c>
      <c r="D279" s="8">
        <v>0</v>
      </c>
      <c r="E279" s="8">
        <v>0</v>
      </c>
      <c r="F279" s="8">
        <v>28</v>
      </c>
      <c r="G279" s="7">
        <v>0</v>
      </c>
      <c r="H279" s="7">
        <v>0</v>
      </c>
      <c r="I279" s="8">
        <v>0</v>
      </c>
      <c r="J279" s="8">
        <v>0</v>
      </c>
      <c r="K279" s="8">
        <v>5</v>
      </c>
      <c r="L279" s="7">
        <v>0.73807740612524775</v>
      </c>
      <c r="M279" s="7">
        <v>0.11621644811377729</v>
      </c>
      <c r="N279" s="8">
        <v>0</v>
      </c>
      <c r="O279" s="8">
        <v>1</v>
      </c>
      <c r="P279" s="8">
        <v>16</v>
      </c>
      <c r="Q279" s="7">
        <v>0.23215855473296679</v>
      </c>
      <c r="R279" s="7">
        <v>9.9015389508305698E-2</v>
      </c>
      <c r="S279" s="8">
        <v>0</v>
      </c>
      <c r="T279" s="8">
        <v>1</v>
      </c>
      <c r="U279" s="8">
        <v>19</v>
      </c>
      <c r="V279" s="7">
        <v>0.41946754438514189</v>
      </c>
      <c r="W279" s="7">
        <v>0.12603556547178971</v>
      </c>
      <c r="X279" s="8">
        <v>0</v>
      </c>
      <c r="Y279" s="8">
        <v>1</v>
      </c>
      <c r="Z279" s="8">
        <v>18</v>
      </c>
      <c r="AA279" s="7">
        <v>0.50100347893857933</v>
      </c>
      <c r="AB279" s="7">
        <v>0.15741214876712428</v>
      </c>
      <c r="AC279" s="8">
        <v>0</v>
      </c>
      <c r="AD279" s="8">
        <v>1</v>
      </c>
      <c r="AE279" s="8">
        <v>14</v>
      </c>
      <c r="AF279" s="7">
        <v>0.32037214983422446</v>
      </c>
      <c r="AG279" s="7">
        <v>6.291999472199733E-2</v>
      </c>
      <c r="AH279" s="8">
        <v>0</v>
      </c>
      <c r="AI279" s="8">
        <v>1</v>
      </c>
      <c r="AJ279" s="8">
        <v>100</v>
      </c>
    </row>
    <row r="280" spans="1:37" ht="26.25" x14ac:dyDescent="0.45">
      <c r="A280" s="6" t="s">
        <v>38</v>
      </c>
      <c r="B280" s="7">
        <v>0</v>
      </c>
      <c r="C280" s="7">
        <v>0</v>
      </c>
      <c r="D280" s="8">
        <v>0</v>
      </c>
      <c r="E280" s="8">
        <v>0</v>
      </c>
      <c r="F280" s="8">
        <v>28</v>
      </c>
      <c r="G280" s="7">
        <v>0</v>
      </c>
      <c r="H280" s="7">
        <v>0</v>
      </c>
      <c r="I280" s="8">
        <v>0</v>
      </c>
      <c r="J280" s="8">
        <v>0</v>
      </c>
      <c r="K280" s="8">
        <v>5</v>
      </c>
      <c r="L280" s="7">
        <v>0.93129216535876924</v>
      </c>
      <c r="M280" s="7">
        <v>6.8358528251634604E-2</v>
      </c>
      <c r="N280" s="8">
        <v>0</v>
      </c>
      <c r="O280" s="8">
        <v>1</v>
      </c>
      <c r="P280" s="8">
        <v>16</v>
      </c>
      <c r="Q280" s="7">
        <v>0.23215855473296679</v>
      </c>
      <c r="R280" s="7">
        <v>9.9015389508305698E-2</v>
      </c>
      <c r="S280" s="8">
        <v>0</v>
      </c>
      <c r="T280" s="8">
        <v>1</v>
      </c>
      <c r="U280" s="8">
        <v>19</v>
      </c>
      <c r="V280" s="7">
        <v>0.47441656189365872</v>
      </c>
      <c r="W280" s="7">
        <v>0.1275876604219422</v>
      </c>
      <c r="X280" s="8">
        <v>0</v>
      </c>
      <c r="Y280" s="8">
        <v>1</v>
      </c>
      <c r="Z280" s="8">
        <v>18</v>
      </c>
      <c r="AA280" s="7">
        <v>0.50100347893857933</v>
      </c>
      <c r="AB280" s="7">
        <v>0.15741214876712428</v>
      </c>
      <c r="AC280" s="8">
        <v>0</v>
      </c>
      <c r="AD280" s="8">
        <v>1</v>
      </c>
      <c r="AE280" s="8">
        <v>14</v>
      </c>
      <c r="AF280" s="7">
        <v>0.38621991000499384</v>
      </c>
      <c r="AG280" s="7">
        <v>6.6639473541989111E-2</v>
      </c>
      <c r="AH280" s="8">
        <v>0</v>
      </c>
      <c r="AI280" s="8">
        <v>1</v>
      </c>
      <c r="AJ280" s="8">
        <v>100</v>
      </c>
      <c r="AK280">
        <f>(AF282/AF281)-AF280</f>
        <v>0.28527412453856799</v>
      </c>
    </row>
    <row r="281" spans="1:37" x14ac:dyDescent="0.45">
      <c r="A281" s="6" t="s">
        <v>44</v>
      </c>
      <c r="B281" s="7">
        <v>0</v>
      </c>
      <c r="C281" s="7">
        <v>0</v>
      </c>
      <c r="D281" s="8">
        <v>0</v>
      </c>
      <c r="E281" s="8">
        <v>0</v>
      </c>
      <c r="F281" s="8">
        <v>28</v>
      </c>
      <c r="G281" s="7">
        <v>0</v>
      </c>
      <c r="H281" s="7">
        <v>0</v>
      </c>
      <c r="I281" s="8">
        <v>0</v>
      </c>
      <c r="J281" s="8">
        <v>0</v>
      </c>
      <c r="K281" s="8">
        <v>5</v>
      </c>
      <c r="L281" s="7">
        <v>0.45315303207398538</v>
      </c>
      <c r="M281" s="7">
        <v>0.1313901892098365</v>
      </c>
      <c r="N281" s="8">
        <v>0</v>
      </c>
      <c r="O281" s="8">
        <v>1</v>
      </c>
      <c r="P281" s="8">
        <v>16</v>
      </c>
      <c r="Q281" s="7">
        <v>0.58179797025751767</v>
      </c>
      <c r="R281" s="7">
        <v>0.13112718214255636</v>
      </c>
      <c r="S281" s="8">
        <v>0</v>
      </c>
      <c r="T281" s="8">
        <v>1</v>
      </c>
      <c r="U281" s="8">
        <v>19</v>
      </c>
      <c r="V281" s="7">
        <v>0.27840718326047831</v>
      </c>
      <c r="W281" s="7">
        <v>0.11962958289453833</v>
      </c>
      <c r="X281" s="8">
        <v>0</v>
      </c>
      <c r="Y281" s="8">
        <v>1</v>
      </c>
      <c r="Z281" s="8">
        <v>18</v>
      </c>
      <c r="AA281" s="7">
        <v>0.27889208014984646</v>
      </c>
      <c r="AB281" s="7">
        <v>0.14163420824029879</v>
      </c>
      <c r="AC281" s="8">
        <v>0</v>
      </c>
      <c r="AD281" s="8">
        <v>1</v>
      </c>
      <c r="AE281" s="8">
        <v>14</v>
      </c>
      <c r="AF281" s="7">
        <v>0.24605417111353658</v>
      </c>
      <c r="AG281" s="7">
        <v>5.5580698511919616E-2</v>
      </c>
      <c r="AH281" s="8">
        <v>0</v>
      </c>
      <c r="AI281" s="8">
        <v>1</v>
      </c>
      <c r="AJ281" s="8">
        <v>100</v>
      </c>
      <c r="AK281">
        <f>(AF282/AF280)-AF281</f>
        <v>0.18174331885834047</v>
      </c>
    </row>
    <row r="282" spans="1:37" ht="26.25" x14ac:dyDescent="0.45">
      <c r="A282" s="6" t="s">
        <v>122</v>
      </c>
      <c r="B282" s="7">
        <v>0</v>
      </c>
      <c r="C282" s="7">
        <v>0</v>
      </c>
      <c r="D282" s="8">
        <v>0</v>
      </c>
      <c r="E282" s="8">
        <v>0</v>
      </c>
      <c r="F282" s="8">
        <v>28</v>
      </c>
      <c r="G282" s="7">
        <v>0</v>
      </c>
      <c r="H282" s="7">
        <v>0</v>
      </c>
      <c r="I282" s="8">
        <v>0</v>
      </c>
      <c r="J282" s="8">
        <v>0</v>
      </c>
      <c r="K282" s="8">
        <v>5</v>
      </c>
      <c r="L282" s="7">
        <v>0.38444519743275463</v>
      </c>
      <c r="M282" s="7">
        <v>0.1280296138144483</v>
      </c>
      <c r="N282" s="8">
        <v>0</v>
      </c>
      <c r="O282" s="8">
        <v>1</v>
      </c>
      <c r="P282" s="8">
        <v>16</v>
      </c>
      <c r="Q282" s="7">
        <v>0.19555539449869125</v>
      </c>
      <c r="R282" s="7">
        <v>9.2994313396750475E-2</v>
      </c>
      <c r="S282" s="8">
        <v>0</v>
      </c>
      <c r="T282" s="8">
        <v>1</v>
      </c>
      <c r="U282" s="8">
        <v>19</v>
      </c>
      <c r="V282" s="7">
        <v>0.1279779792011454</v>
      </c>
      <c r="W282" s="7">
        <v>8.747509216245157E-2</v>
      </c>
      <c r="X282" s="8">
        <v>0</v>
      </c>
      <c r="Y282" s="8">
        <v>1</v>
      </c>
      <c r="Z282" s="8">
        <v>18</v>
      </c>
      <c r="AA282" s="7">
        <v>0.18750694235117588</v>
      </c>
      <c r="AB282" s="7">
        <v>0.12376622257532736</v>
      </c>
      <c r="AC282" s="8">
        <v>0</v>
      </c>
      <c r="AD282" s="8">
        <v>1</v>
      </c>
      <c r="AE282" s="8">
        <v>14</v>
      </c>
      <c r="AF282" s="7">
        <v>0.16522390807730061</v>
      </c>
      <c r="AG282" s="7">
        <v>4.906945891651137E-2</v>
      </c>
      <c r="AH282" s="8">
        <v>0</v>
      </c>
      <c r="AI282" s="8">
        <v>1</v>
      </c>
      <c r="AJ282" s="8">
        <v>100</v>
      </c>
    </row>
    <row r="283" spans="1:37" x14ac:dyDescent="0.45">
      <c r="A283" s="6" t="s">
        <v>40</v>
      </c>
      <c r="B283" s="7">
        <v>0.24021275260760397</v>
      </c>
      <c r="C283" s="7">
        <v>9.9804594593725232E-2</v>
      </c>
      <c r="D283" s="8">
        <v>0</v>
      </c>
      <c r="E283" s="8">
        <v>1</v>
      </c>
      <c r="F283" s="8">
        <v>28</v>
      </c>
      <c r="G283" s="7">
        <v>0.28413340654229741</v>
      </c>
      <c r="H283" s="7">
        <v>0.2635701019519151</v>
      </c>
      <c r="I283" s="8">
        <v>0</v>
      </c>
      <c r="J283" s="8">
        <v>1</v>
      </c>
      <c r="K283" s="8">
        <v>5</v>
      </c>
      <c r="L283" s="7">
        <v>1</v>
      </c>
      <c r="M283" s="7">
        <v>0</v>
      </c>
      <c r="N283" s="8">
        <v>1</v>
      </c>
      <c r="O283" s="8">
        <v>1</v>
      </c>
      <c r="P283" s="8">
        <v>16</v>
      </c>
      <c r="Q283" s="7">
        <v>0.85289731615094222</v>
      </c>
      <c r="R283" s="7">
        <v>0.10368836461541529</v>
      </c>
      <c r="S283" s="8">
        <v>0</v>
      </c>
      <c r="T283" s="8">
        <v>1</v>
      </c>
      <c r="U283" s="8">
        <v>19</v>
      </c>
      <c r="V283" s="7">
        <v>0.86634111546445414</v>
      </c>
      <c r="W283" s="7">
        <v>8.7661072043173624E-2</v>
      </c>
      <c r="X283" s="8">
        <v>0</v>
      </c>
      <c r="Y283" s="8">
        <v>1</v>
      </c>
      <c r="Z283" s="8">
        <v>18</v>
      </c>
      <c r="AA283" s="7">
        <v>0.68542702638902031</v>
      </c>
      <c r="AB283" s="7">
        <v>0.14449500923918335</v>
      </c>
      <c r="AC283" s="8">
        <v>0</v>
      </c>
      <c r="AD283" s="8">
        <v>1</v>
      </c>
      <c r="AE283" s="8">
        <v>14</v>
      </c>
      <c r="AF283" s="7">
        <v>0.62802955981828001</v>
      </c>
      <c r="AG283" s="7">
        <v>6.9009852430896662E-2</v>
      </c>
      <c r="AH283" s="8">
        <v>0</v>
      </c>
      <c r="AI283" s="8">
        <v>1</v>
      </c>
      <c r="AJ283" s="8">
        <v>100</v>
      </c>
      <c r="AK283">
        <f>(AF285/AF284)-AF283</f>
        <v>0.31569517443005779</v>
      </c>
    </row>
    <row r="284" spans="1:37" x14ac:dyDescent="0.45">
      <c r="A284" s="6" t="s">
        <v>42</v>
      </c>
      <c r="B284" s="7">
        <v>0.14941160928574393</v>
      </c>
      <c r="C284" s="7">
        <v>7.3542009243322798E-2</v>
      </c>
      <c r="D284" s="8">
        <v>0</v>
      </c>
      <c r="E284" s="8">
        <v>1</v>
      </c>
      <c r="F284" s="8">
        <v>28</v>
      </c>
      <c r="G284" s="7">
        <v>0.28413340654229741</v>
      </c>
      <c r="H284" s="7">
        <v>0.2635701019519151</v>
      </c>
      <c r="I284" s="8">
        <v>0</v>
      </c>
      <c r="J284" s="8">
        <v>1</v>
      </c>
      <c r="K284" s="8">
        <v>5</v>
      </c>
      <c r="L284" s="7">
        <v>0.8067852407664784</v>
      </c>
      <c r="M284" s="7">
        <v>0.10368902289601112</v>
      </c>
      <c r="N284" s="8">
        <v>0</v>
      </c>
      <c r="O284" s="8">
        <v>1</v>
      </c>
      <c r="P284" s="8">
        <v>16</v>
      </c>
      <c r="Q284" s="7">
        <v>0.89861962585941668</v>
      </c>
      <c r="R284" s="7">
        <v>9.6845778169611332E-2</v>
      </c>
      <c r="S284" s="8">
        <v>0</v>
      </c>
      <c r="T284" s="8">
        <v>1</v>
      </c>
      <c r="U284" s="8">
        <v>19</v>
      </c>
      <c r="V284" s="7">
        <v>0.94505098249148323</v>
      </c>
      <c r="W284" s="7">
        <v>5.5165329624764066E-2</v>
      </c>
      <c r="X284" s="8">
        <v>0</v>
      </c>
      <c r="Y284" s="8">
        <v>1</v>
      </c>
      <c r="Z284" s="8">
        <v>18</v>
      </c>
      <c r="AA284" s="7">
        <v>0.91590414556129873</v>
      </c>
      <c r="AB284" s="7">
        <v>5.7720093761496942E-2</v>
      </c>
      <c r="AC284" s="8">
        <v>0</v>
      </c>
      <c r="AD284" s="8">
        <v>1</v>
      </c>
      <c r="AE284" s="8">
        <v>14</v>
      </c>
      <c r="AF284" s="7">
        <v>0.56438823579629216</v>
      </c>
      <c r="AG284" s="7">
        <v>7.0335671964889795E-2</v>
      </c>
      <c r="AH284" s="8">
        <v>0</v>
      </c>
      <c r="AI284" s="8">
        <v>1</v>
      </c>
      <c r="AJ284" s="8">
        <v>100</v>
      </c>
      <c r="AK284">
        <f>(AF285/AF283)-AF284</f>
        <v>0.28370422977787502</v>
      </c>
    </row>
    <row r="285" spans="1:37" ht="26.25" x14ac:dyDescent="0.45">
      <c r="A285" s="6" t="s">
        <v>123</v>
      </c>
      <c r="B285" s="7">
        <v>0.1197800161296966</v>
      </c>
      <c r="C285" s="7">
        <v>7.0618410377051716E-2</v>
      </c>
      <c r="D285" s="8">
        <v>0</v>
      </c>
      <c r="E285" s="8">
        <v>1</v>
      </c>
      <c r="F285" s="8">
        <v>28</v>
      </c>
      <c r="G285" s="7">
        <v>0.28413340654229741</v>
      </c>
      <c r="H285" s="7">
        <v>0.2635701019519151</v>
      </c>
      <c r="I285" s="8">
        <v>0</v>
      </c>
      <c r="J285" s="8">
        <v>1</v>
      </c>
      <c r="K285" s="8">
        <v>5</v>
      </c>
      <c r="L285" s="7">
        <v>0.8067852407664784</v>
      </c>
      <c r="M285" s="7">
        <v>0.10368902289601112</v>
      </c>
      <c r="N285" s="8">
        <v>0</v>
      </c>
      <c r="O285" s="8">
        <v>1</v>
      </c>
      <c r="P285" s="8">
        <v>16</v>
      </c>
      <c r="Q285" s="7">
        <v>0.85289731615094222</v>
      </c>
      <c r="R285" s="7">
        <v>0.10368836461541529</v>
      </c>
      <c r="S285" s="8">
        <v>0</v>
      </c>
      <c r="T285" s="8">
        <v>1</v>
      </c>
      <c r="U285" s="8">
        <v>19</v>
      </c>
      <c r="V285" s="7">
        <v>0.86634111546445414</v>
      </c>
      <c r="W285" s="7">
        <v>8.7661072043173624E-2</v>
      </c>
      <c r="X285" s="8">
        <v>0</v>
      </c>
      <c r="Y285" s="8">
        <v>1</v>
      </c>
      <c r="Z285" s="8">
        <v>18</v>
      </c>
      <c r="AA285" s="7">
        <v>0.68542702638902031</v>
      </c>
      <c r="AB285" s="7">
        <v>0.14449500923918335</v>
      </c>
      <c r="AC285" s="8">
        <v>0</v>
      </c>
      <c r="AD285" s="8">
        <v>1</v>
      </c>
      <c r="AE285" s="8">
        <v>14</v>
      </c>
      <c r="AF285" s="7">
        <v>0.53262713783974402</v>
      </c>
      <c r="AG285" s="7">
        <v>6.9930889420316264E-2</v>
      </c>
      <c r="AH285" s="8">
        <v>0</v>
      </c>
      <c r="AI285" s="8">
        <v>1</v>
      </c>
      <c r="AJ285" s="8">
        <v>100</v>
      </c>
    </row>
    <row r="286" spans="1:37" x14ac:dyDescent="0.45">
      <c r="A286" s="6" t="s">
        <v>40</v>
      </c>
      <c r="B286" s="7">
        <v>0.24021275260760397</v>
      </c>
      <c r="C286" s="7">
        <v>9.9804594593725232E-2</v>
      </c>
      <c r="D286" s="8">
        <v>0</v>
      </c>
      <c r="E286" s="8">
        <v>1</v>
      </c>
      <c r="F286" s="8">
        <v>28</v>
      </c>
      <c r="G286" s="7">
        <v>0.28413340654229741</v>
      </c>
      <c r="H286" s="7">
        <v>0.2635701019519151</v>
      </c>
      <c r="I286" s="8">
        <v>0</v>
      </c>
      <c r="J286" s="8">
        <v>1</v>
      </c>
      <c r="K286" s="8">
        <v>5</v>
      </c>
      <c r="L286" s="7">
        <v>1</v>
      </c>
      <c r="M286" s="7">
        <v>0</v>
      </c>
      <c r="N286" s="8">
        <v>1</v>
      </c>
      <c r="O286" s="8">
        <v>1</v>
      </c>
      <c r="P286" s="8">
        <v>16</v>
      </c>
      <c r="Q286" s="7">
        <v>0.85289731615094222</v>
      </c>
      <c r="R286" s="7">
        <v>0.10368836461541529</v>
      </c>
      <c r="S286" s="8">
        <v>0</v>
      </c>
      <c r="T286" s="8">
        <v>1</v>
      </c>
      <c r="U286" s="8">
        <v>19</v>
      </c>
      <c r="V286" s="7">
        <v>0.86634111546445414</v>
      </c>
      <c r="W286" s="7">
        <v>8.7661072043173624E-2</v>
      </c>
      <c r="X286" s="8">
        <v>0</v>
      </c>
      <c r="Y286" s="8">
        <v>1</v>
      </c>
      <c r="Z286" s="8">
        <v>18</v>
      </c>
      <c r="AA286" s="7">
        <v>0.68542702638902031</v>
      </c>
      <c r="AB286" s="7">
        <v>0.14449500923918335</v>
      </c>
      <c r="AC286" s="8">
        <v>0</v>
      </c>
      <c r="AD286" s="8">
        <v>1</v>
      </c>
      <c r="AE286" s="8">
        <v>14</v>
      </c>
      <c r="AF286" s="7">
        <v>0.62802955981828001</v>
      </c>
      <c r="AG286" s="7">
        <v>6.9009852430896662E-2</v>
      </c>
      <c r="AH286" s="8">
        <v>0</v>
      </c>
      <c r="AI286" s="8">
        <v>1</v>
      </c>
      <c r="AJ286" s="8">
        <v>100</v>
      </c>
      <c r="AK286">
        <f>(AF288/AF287)-AF286</f>
        <v>0.35095380432518986</v>
      </c>
    </row>
    <row r="287" spans="1:37" x14ac:dyDescent="0.45">
      <c r="A287" s="6" t="s">
        <v>44</v>
      </c>
      <c r="B287" s="7">
        <v>0</v>
      </c>
      <c r="C287" s="7">
        <v>0</v>
      </c>
      <c r="D287" s="8">
        <v>0</v>
      </c>
      <c r="E287" s="8">
        <v>0</v>
      </c>
      <c r="F287" s="8">
        <v>28</v>
      </c>
      <c r="G287" s="7">
        <v>0</v>
      </c>
      <c r="H287" s="7">
        <v>0</v>
      </c>
      <c r="I287" s="8">
        <v>0</v>
      </c>
      <c r="J287" s="8">
        <v>0</v>
      </c>
      <c r="K287" s="8">
        <v>5</v>
      </c>
      <c r="L287" s="7">
        <v>0.45315303207398538</v>
      </c>
      <c r="M287" s="7">
        <v>0.1313901892098365</v>
      </c>
      <c r="N287" s="8">
        <v>0</v>
      </c>
      <c r="O287" s="8">
        <v>1</v>
      </c>
      <c r="P287" s="8">
        <v>16</v>
      </c>
      <c r="Q287" s="7">
        <v>0.58179797025751767</v>
      </c>
      <c r="R287" s="7">
        <v>0.13112718214255636</v>
      </c>
      <c r="S287" s="8">
        <v>0</v>
      </c>
      <c r="T287" s="8">
        <v>1</v>
      </c>
      <c r="U287" s="8">
        <v>19</v>
      </c>
      <c r="V287" s="7">
        <v>0.27840718326047831</v>
      </c>
      <c r="W287" s="7">
        <v>0.11962958289453833</v>
      </c>
      <c r="X287" s="8">
        <v>0</v>
      </c>
      <c r="Y287" s="8">
        <v>1</v>
      </c>
      <c r="Z287" s="8">
        <v>18</v>
      </c>
      <c r="AA287" s="7">
        <v>0.27889208014984646</v>
      </c>
      <c r="AB287" s="7">
        <v>0.14163420824029879</v>
      </c>
      <c r="AC287" s="8">
        <v>0</v>
      </c>
      <c r="AD287" s="8">
        <v>1</v>
      </c>
      <c r="AE287" s="8">
        <v>14</v>
      </c>
      <c r="AF287" s="7">
        <v>0.24605417111353658</v>
      </c>
      <c r="AG287" s="7">
        <v>5.5580698511919616E-2</v>
      </c>
      <c r="AH287" s="8">
        <v>0</v>
      </c>
      <c r="AI287" s="8">
        <v>1</v>
      </c>
      <c r="AJ287" s="8">
        <v>100</v>
      </c>
      <c r="AK287">
        <f>(AF288/AF286)-AF287</f>
        <v>0.13749933593470229</v>
      </c>
    </row>
    <row r="288" spans="1:37" ht="26.25" x14ac:dyDescent="0.45">
      <c r="A288" s="6" t="s">
        <v>124</v>
      </c>
      <c r="B288" s="7">
        <v>0</v>
      </c>
      <c r="C288" s="7">
        <v>0</v>
      </c>
      <c r="D288" s="8">
        <v>0</v>
      </c>
      <c r="E288" s="8">
        <v>0</v>
      </c>
      <c r="F288" s="8">
        <v>28</v>
      </c>
      <c r="G288" s="7">
        <v>0</v>
      </c>
      <c r="H288" s="7">
        <v>0</v>
      </c>
      <c r="I288" s="8">
        <v>0</v>
      </c>
      <c r="J288" s="8">
        <v>0</v>
      </c>
      <c r="K288" s="8">
        <v>5</v>
      </c>
      <c r="L288" s="7">
        <v>0.45315303207398538</v>
      </c>
      <c r="M288" s="7">
        <v>0.1313901892098365</v>
      </c>
      <c r="N288" s="8">
        <v>0</v>
      </c>
      <c r="O288" s="8">
        <v>1</v>
      </c>
      <c r="P288" s="8">
        <v>16</v>
      </c>
      <c r="Q288" s="7">
        <v>0.5360756605490431</v>
      </c>
      <c r="R288" s="7">
        <v>0.13247213099065239</v>
      </c>
      <c r="S288" s="8">
        <v>0</v>
      </c>
      <c r="T288" s="8">
        <v>1</v>
      </c>
      <c r="U288" s="8">
        <v>19</v>
      </c>
      <c r="V288" s="7">
        <v>0.27840718326047831</v>
      </c>
      <c r="W288" s="7">
        <v>0.11962958289453833</v>
      </c>
      <c r="X288" s="8">
        <v>0</v>
      </c>
      <c r="Y288" s="8">
        <v>1</v>
      </c>
      <c r="Z288" s="8">
        <v>18</v>
      </c>
      <c r="AA288" s="7">
        <v>0.27889208014984646</v>
      </c>
      <c r="AB288" s="7">
        <v>0.14163420824029879</v>
      </c>
      <c r="AC288" s="8">
        <v>0</v>
      </c>
      <c r="AD288" s="8">
        <v>1</v>
      </c>
      <c r="AE288" s="8">
        <v>14</v>
      </c>
      <c r="AF288" s="7">
        <v>0.24088294019826303</v>
      </c>
      <c r="AG288" s="7">
        <v>5.5365593582945627E-2</v>
      </c>
      <c r="AH288" s="8">
        <v>0</v>
      </c>
      <c r="AI288" s="8">
        <v>1</v>
      </c>
      <c r="AJ288" s="8">
        <v>100</v>
      </c>
    </row>
    <row r="289" spans="1:36" ht="26.65" thickBot="1" x14ac:dyDescent="0.5">
      <c r="A289" s="9" t="s">
        <v>125</v>
      </c>
      <c r="B289" s="10">
        <v>28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5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16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19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18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14</v>
      </c>
      <c r="AB289" s="10" t="s">
        <v>126</v>
      </c>
      <c r="AC289" s="11" t="s">
        <v>126</v>
      </c>
      <c r="AD289" s="11" t="s">
        <v>126</v>
      </c>
      <c r="AE289" s="11" t="s">
        <v>126</v>
      </c>
      <c r="AF289" s="10">
        <v>100</v>
      </c>
      <c r="AG289" s="10" t="s">
        <v>126</v>
      </c>
      <c r="AH289" s="11" t="s">
        <v>126</v>
      </c>
      <c r="AI289" s="11" t="s">
        <v>126</v>
      </c>
      <c r="AJ289" s="11" t="s">
        <v>126</v>
      </c>
    </row>
    <row r="290" spans="1:36" ht="14.65" thickTop="1" x14ac:dyDescent="0.45">
      <c r="A290" s="12" t="s">
        <v>127</v>
      </c>
    </row>
    <row r="291" spans="1:36" x14ac:dyDescent="0.45">
      <c r="A291" s="12" t="s">
        <v>128</v>
      </c>
    </row>
    <row r="292" spans="1:36" x14ac:dyDescent="0.45">
      <c r="A292" s="12" t="s">
        <v>129</v>
      </c>
    </row>
    <row r="293" spans="1:36" x14ac:dyDescent="0.45">
      <c r="A293" s="12" t="s">
        <v>22</v>
      </c>
    </row>
    <row r="294" spans="1:36" x14ac:dyDescent="0.45">
      <c r="A294" s="12" t="s">
        <v>130</v>
      </c>
    </row>
  </sheetData>
  <mergeCells count="8">
    <mergeCell ref="A1:AJ1"/>
    <mergeCell ref="B2:F2"/>
    <mergeCell ref="G2:K2"/>
    <mergeCell ref="L2:P2"/>
    <mergeCell ref="Q2:U2"/>
    <mergeCell ref="V2:Z2"/>
    <mergeCell ref="AA2:AE2"/>
    <mergeCell ref="AF2:A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4"/>
  <sheetViews>
    <sheetView tabSelected="1" workbookViewId="0">
      <pane xSplit="1" ySplit="3" topLeftCell="AA267" activePane="bottomRight" state="frozen"/>
      <selection pane="topRight" activeCell="B1" sqref="B1"/>
      <selection pane="bottomLeft" activeCell="A4" sqref="A4"/>
      <selection pane="bottomRight" activeCell="AF289" sqref="AF289"/>
    </sheetView>
  </sheetViews>
  <sheetFormatPr defaultRowHeight="14.25" x14ac:dyDescent="0.45"/>
  <cols>
    <col min="1" max="1" width="19.53125" customWidth="1"/>
    <col min="2" max="3" width="9.796875" customWidth="1"/>
    <col min="4" max="5" width="5.33203125" customWidth="1"/>
    <col min="6" max="6" width="7.1328125" customWidth="1"/>
    <col min="7" max="8" width="9.796875" customWidth="1"/>
    <col min="9" max="10" width="5.33203125" customWidth="1"/>
    <col min="11" max="11" width="7.1328125" customWidth="1"/>
    <col min="12" max="13" width="9.796875" customWidth="1"/>
    <col min="14" max="15" width="5.33203125" customWidth="1"/>
    <col min="16" max="16" width="7.1328125" customWidth="1"/>
    <col min="17" max="18" width="9.796875" customWidth="1"/>
    <col min="19" max="20" width="5.33203125" customWidth="1"/>
    <col min="21" max="21" width="7.1328125" customWidth="1"/>
    <col min="22" max="23" width="9.796875" customWidth="1"/>
    <col min="24" max="25" width="5.33203125" customWidth="1"/>
    <col min="26" max="26" width="7.1328125" customWidth="1"/>
    <col min="27" max="28" width="9.796875" customWidth="1"/>
    <col min="29" max="30" width="5.33203125" customWidth="1"/>
    <col min="31" max="31" width="7.1328125" customWidth="1"/>
  </cols>
  <sheetData>
    <row r="1" spans="1:32" ht="12.75" customHeight="1" x14ac:dyDescent="0.45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x14ac:dyDescent="0.45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2" x14ac:dyDescent="0.45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2" x14ac:dyDescent="0.45">
      <c r="A4" s="6" t="s">
        <v>13</v>
      </c>
      <c r="B4" s="7">
        <v>0.73095089154698034</v>
      </c>
      <c r="C4" s="7">
        <v>2.9111469250049479E-2</v>
      </c>
      <c r="D4" s="8">
        <v>0</v>
      </c>
      <c r="E4" s="8">
        <v>1</v>
      </c>
      <c r="F4" s="8">
        <v>377</v>
      </c>
      <c r="G4" s="7">
        <v>0.84179305124646708</v>
      </c>
      <c r="H4" s="7">
        <v>1.721318857754606E-2</v>
      </c>
      <c r="I4" s="8">
        <v>0</v>
      </c>
      <c r="J4" s="8">
        <v>1</v>
      </c>
      <c r="K4" s="8">
        <v>473</v>
      </c>
      <c r="L4" s="7">
        <v>0.59014669291052402</v>
      </c>
      <c r="M4" s="7">
        <v>2.4159482294212328E-2</v>
      </c>
      <c r="N4" s="8">
        <v>0</v>
      </c>
      <c r="O4" s="8">
        <v>1</v>
      </c>
      <c r="P4" s="8">
        <v>443</v>
      </c>
      <c r="Q4" s="7">
        <v>0.59230493585026966</v>
      </c>
      <c r="R4" s="7">
        <v>2.447481198118856E-2</v>
      </c>
      <c r="S4" s="8">
        <v>0</v>
      </c>
      <c r="T4" s="8">
        <v>1</v>
      </c>
      <c r="U4" s="8">
        <v>423</v>
      </c>
      <c r="V4" s="7">
        <v>0.41852525742691382</v>
      </c>
      <c r="W4" s="7">
        <v>2.0855988955482106E-2</v>
      </c>
      <c r="X4" s="8">
        <v>0</v>
      </c>
      <c r="Y4" s="8">
        <v>1</v>
      </c>
      <c r="Z4" s="8">
        <v>1073</v>
      </c>
      <c r="AA4" s="7">
        <v>0.66367275508263268</v>
      </c>
      <c r="AB4" s="7">
        <v>1.2541509515000998E-2</v>
      </c>
      <c r="AC4" s="8">
        <v>0</v>
      </c>
      <c r="AD4" s="8">
        <v>1</v>
      </c>
      <c r="AE4" s="8">
        <v>2789</v>
      </c>
      <c r="AF4">
        <f>(AA6/AA5)-AA4</f>
        <v>0.18679801369952342</v>
      </c>
    </row>
    <row r="5" spans="1:32" x14ac:dyDescent="0.45">
      <c r="A5" s="6" t="s">
        <v>14</v>
      </c>
      <c r="B5" s="7">
        <v>1.6299713809069992E-2</v>
      </c>
      <c r="C5" s="7">
        <v>6.7559290889246722E-3</v>
      </c>
      <c r="D5" s="8">
        <v>0</v>
      </c>
      <c r="E5" s="8">
        <v>1</v>
      </c>
      <c r="F5" s="8">
        <v>377</v>
      </c>
      <c r="G5" s="7">
        <v>4.0930105229345877E-2</v>
      </c>
      <c r="H5" s="7">
        <v>9.2283380702012606E-3</v>
      </c>
      <c r="I5" s="8">
        <v>0</v>
      </c>
      <c r="J5" s="8">
        <v>1</v>
      </c>
      <c r="K5" s="8">
        <v>473</v>
      </c>
      <c r="L5" s="7">
        <v>2.6947627675517876E-2</v>
      </c>
      <c r="M5" s="7">
        <v>8.1956483655165769E-3</v>
      </c>
      <c r="N5" s="8">
        <v>0</v>
      </c>
      <c r="O5" s="8">
        <v>1</v>
      </c>
      <c r="P5" s="8">
        <v>443</v>
      </c>
      <c r="Q5" s="7">
        <v>4.4859347935278154E-2</v>
      </c>
      <c r="R5" s="7">
        <v>1.0696186820389126E-2</v>
      </c>
      <c r="S5" s="8">
        <v>0</v>
      </c>
      <c r="T5" s="8">
        <v>1</v>
      </c>
      <c r="U5" s="8">
        <v>423</v>
      </c>
      <c r="V5" s="7">
        <v>6.7866822673877614E-2</v>
      </c>
      <c r="W5" s="7">
        <v>1.042915216029173E-2</v>
      </c>
      <c r="X5" s="8">
        <v>0</v>
      </c>
      <c r="Y5" s="8">
        <v>1</v>
      </c>
      <c r="Z5" s="8">
        <v>1073</v>
      </c>
      <c r="AA5" s="7">
        <v>3.5536578942749503E-2</v>
      </c>
      <c r="AB5" s="7">
        <v>4.8204560203450415E-3</v>
      </c>
      <c r="AC5" s="8">
        <v>0</v>
      </c>
      <c r="AD5" s="8">
        <v>1</v>
      </c>
      <c r="AE5" s="8">
        <v>2789</v>
      </c>
      <c r="AF5">
        <f>(AA6/AA4)-AA5</f>
        <v>1.00021619229426E-2</v>
      </c>
    </row>
    <row r="6" spans="1:32" x14ac:dyDescent="0.45">
      <c r="A6" s="6" t="s">
        <v>15</v>
      </c>
      <c r="B6" s="7">
        <v>1.6299713809069992E-2</v>
      </c>
      <c r="C6" s="7">
        <v>6.7559290889246722E-3</v>
      </c>
      <c r="D6" s="8">
        <v>0</v>
      </c>
      <c r="E6" s="8">
        <v>1</v>
      </c>
      <c r="F6" s="8">
        <v>377</v>
      </c>
      <c r="G6" s="7">
        <v>4.0930105229345877E-2</v>
      </c>
      <c r="H6" s="7">
        <v>9.2283380702012606E-3</v>
      </c>
      <c r="I6" s="8">
        <v>0</v>
      </c>
      <c r="J6" s="8">
        <v>1</v>
      </c>
      <c r="K6" s="8">
        <v>473</v>
      </c>
      <c r="L6" s="7">
        <v>1.6324067709395863E-2</v>
      </c>
      <c r="M6" s="7">
        <v>6.1643900587497729E-3</v>
      </c>
      <c r="N6" s="8">
        <v>0</v>
      </c>
      <c r="O6" s="8">
        <v>1</v>
      </c>
      <c r="P6" s="8">
        <v>443</v>
      </c>
      <c r="Q6" s="7">
        <v>4.2338837177183043E-2</v>
      </c>
      <c r="R6" s="7">
        <v>1.0422928595259237E-2</v>
      </c>
      <c r="S6" s="8">
        <v>0</v>
      </c>
      <c r="T6" s="8">
        <v>1</v>
      </c>
      <c r="U6" s="8">
        <v>423</v>
      </c>
      <c r="V6" s="7">
        <v>5.2562020088538497E-2</v>
      </c>
      <c r="W6" s="7">
        <v>9.3725438997571062E-3</v>
      </c>
      <c r="X6" s="8">
        <v>0</v>
      </c>
      <c r="Y6" s="8">
        <v>1</v>
      </c>
      <c r="Z6" s="8">
        <v>1073</v>
      </c>
      <c r="AA6" s="7">
        <v>3.0222821613327951E-2</v>
      </c>
      <c r="AB6" s="7">
        <v>4.2898348805505042E-3</v>
      </c>
      <c r="AC6" s="8">
        <v>0</v>
      </c>
      <c r="AD6" s="8">
        <v>1</v>
      </c>
      <c r="AE6" s="8">
        <v>2789</v>
      </c>
    </row>
    <row r="7" spans="1:32" x14ac:dyDescent="0.45">
      <c r="A7" s="6" t="s">
        <v>13</v>
      </c>
      <c r="B7" s="7">
        <v>0.73095089154698034</v>
      </c>
      <c r="C7" s="7">
        <v>2.9111469250049479E-2</v>
      </c>
      <c r="D7" s="8">
        <v>0</v>
      </c>
      <c r="E7" s="8">
        <v>1</v>
      </c>
      <c r="F7" s="8">
        <v>377</v>
      </c>
      <c r="G7" s="7">
        <v>0.84179305124646708</v>
      </c>
      <c r="H7" s="7">
        <v>1.721318857754606E-2</v>
      </c>
      <c r="I7" s="8">
        <v>0</v>
      </c>
      <c r="J7" s="8">
        <v>1</v>
      </c>
      <c r="K7" s="8">
        <v>473</v>
      </c>
      <c r="L7" s="7">
        <v>0.59014669291052402</v>
      </c>
      <c r="M7" s="7">
        <v>2.4159482294212328E-2</v>
      </c>
      <c r="N7" s="8">
        <v>0</v>
      </c>
      <c r="O7" s="8">
        <v>1</v>
      </c>
      <c r="P7" s="8">
        <v>443</v>
      </c>
      <c r="Q7" s="7">
        <v>0.59230493585026966</v>
      </c>
      <c r="R7" s="7">
        <v>2.447481198118856E-2</v>
      </c>
      <c r="S7" s="8">
        <v>0</v>
      </c>
      <c r="T7" s="8">
        <v>1</v>
      </c>
      <c r="U7" s="8">
        <v>423</v>
      </c>
      <c r="V7" s="7">
        <v>0.41852525742691382</v>
      </c>
      <c r="W7" s="7">
        <v>2.0855988955482106E-2</v>
      </c>
      <c r="X7" s="8">
        <v>0</v>
      </c>
      <c r="Y7" s="8">
        <v>1</v>
      </c>
      <c r="Z7" s="8">
        <v>1073</v>
      </c>
      <c r="AA7" s="7">
        <v>0.66367275508263268</v>
      </c>
      <c r="AB7" s="7">
        <v>1.2541509515000998E-2</v>
      </c>
      <c r="AC7" s="8">
        <v>0</v>
      </c>
      <c r="AD7" s="8">
        <v>1</v>
      </c>
      <c r="AE7" s="8">
        <v>2789</v>
      </c>
      <c r="AF7">
        <f>(AA9/AA8)-AA7</f>
        <v>0.11115132899707736</v>
      </c>
    </row>
    <row r="8" spans="1:32" ht="39.4" x14ac:dyDescent="0.45">
      <c r="A8" s="6" t="s">
        <v>16</v>
      </c>
      <c r="B8" s="7">
        <v>0.51199366560399728</v>
      </c>
      <c r="C8" s="7">
        <v>2.9021889994445865E-2</v>
      </c>
      <c r="D8" s="8">
        <v>0</v>
      </c>
      <c r="E8" s="8">
        <v>1</v>
      </c>
      <c r="F8" s="8">
        <v>377</v>
      </c>
      <c r="G8" s="7">
        <v>0.75248336082973521</v>
      </c>
      <c r="H8" s="7">
        <v>2.0449467587927744E-2</v>
      </c>
      <c r="I8" s="8">
        <v>0</v>
      </c>
      <c r="J8" s="8">
        <v>1</v>
      </c>
      <c r="K8" s="8">
        <v>473</v>
      </c>
      <c r="L8" s="7">
        <v>0.55666891088221959</v>
      </c>
      <c r="M8" s="7">
        <v>2.4460269691669399E-2</v>
      </c>
      <c r="N8" s="8">
        <v>0</v>
      </c>
      <c r="O8" s="8">
        <v>1</v>
      </c>
      <c r="P8" s="8">
        <v>443</v>
      </c>
      <c r="Q8" s="7">
        <v>0.83603306383602227</v>
      </c>
      <c r="R8" s="7">
        <v>1.8289048327108152E-2</v>
      </c>
      <c r="S8" s="8">
        <v>0</v>
      </c>
      <c r="T8" s="8">
        <v>1</v>
      </c>
      <c r="U8" s="8">
        <v>423</v>
      </c>
      <c r="V8" s="7">
        <v>0.44289642409572316</v>
      </c>
      <c r="W8" s="7">
        <v>2.1056261249825466E-2</v>
      </c>
      <c r="X8" s="8">
        <v>0</v>
      </c>
      <c r="Y8" s="8">
        <v>1</v>
      </c>
      <c r="Z8" s="8">
        <v>1073</v>
      </c>
      <c r="AA8" s="7">
        <v>0.66677630791100306</v>
      </c>
      <c r="AB8" s="7">
        <v>1.2587121178159334E-2</v>
      </c>
      <c r="AC8" s="8">
        <v>0</v>
      </c>
      <c r="AD8" s="8">
        <v>1</v>
      </c>
      <c r="AE8" s="8">
        <v>2789</v>
      </c>
      <c r="AF8">
        <f>(AA9/AA7)-AA8</f>
        <v>0.11167110929368318</v>
      </c>
    </row>
    <row r="9" spans="1:32" x14ac:dyDescent="0.45">
      <c r="A9" s="6" t="s">
        <v>17</v>
      </c>
      <c r="B9" s="7">
        <v>0.46681428129503932</v>
      </c>
      <c r="C9" s="7">
        <v>2.8608577148081227E-2</v>
      </c>
      <c r="D9" s="8">
        <v>0</v>
      </c>
      <c r="E9" s="8">
        <v>1</v>
      </c>
      <c r="F9" s="8">
        <v>377</v>
      </c>
      <c r="G9" s="7">
        <v>0.72040406142452151</v>
      </c>
      <c r="H9" s="7">
        <v>2.1298857945223557E-2</v>
      </c>
      <c r="I9" s="8">
        <v>0</v>
      </c>
      <c r="J9" s="8">
        <v>1</v>
      </c>
      <c r="K9" s="8">
        <v>473</v>
      </c>
      <c r="L9" s="7">
        <v>0.38020909115928564</v>
      </c>
      <c r="M9" s="7">
        <v>2.3924394399921289E-2</v>
      </c>
      <c r="N9" s="8">
        <v>0</v>
      </c>
      <c r="O9" s="8">
        <v>1</v>
      </c>
      <c r="P9" s="8">
        <v>443</v>
      </c>
      <c r="Q9" s="7">
        <v>0.54948872214761246</v>
      </c>
      <c r="R9" s="7">
        <v>2.4801966649021061E-2</v>
      </c>
      <c r="S9" s="8">
        <v>0</v>
      </c>
      <c r="T9" s="8">
        <v>1</v>
      </c>
      <c r="U9" s="8">
        <v>423</v>
      </c>
      <c r="V9" s="7">
        <v>0.33754968673644298</v>
      </c>
      <c r="W9" s="7">
        <v>1.9571073405945879E-2</v>
      </c>
      <c r="X9" s="8">
        <v>0</v>
      </c>
      <c r="Y9" s="8">
        <v>1</v>
      </c>
      <c r="Z9" s="8">
        <v>1073</v>
      </c>
      <c r="AA9" s="7">
        <v>0.5166343420631937</v>
      </c>
      <c r="AB9" s="7">
        <v>1.3210129531414181E-2</v>
      </c>
      <c r="AC9" s="8">
        <v>0</v>
      </c>
      <c r="AD9" s="8">
        <v>1</v>
      </c>
      <c r="AE9" s="8">
        <v>2789</v>
      </c>
    </row>
    <row r="10" spans="1:32" x14ac:dyDescent="0.45">
      <c r="A10" s="6" t="s">
        <v>13</v>
      </c>
      <c r="B10" s="7">
        <v>0.73095089154698034</v>
      </c>
      <c r="C10" s="7">
        <v>2.9111469250049479E-2</v>
      </c>
      <c r="D10" s="8">
        <v>0</v>
      </c>
      <c r="E10" s="8">
        <v>1</v>
      </c>
      <c r="F10" s="8">
        <v>377</v>
      </c>
      <c r="G10" s="7">
        <v>0.84179305124646708</v>
      </c>
      <c r="H10" s="7">
        <v>1.721318857754606E-2</v>
      </c>
      <c r="I10" s="8">
        <v>0</v>
      </c>
      <c r="J10" s="8">
        <v>1</v>
      </c>
      <c r="K10" s="8">
        <v>473</v>
      </c>
      <c r="L10" s="7">
        <v>0.59014669291052402</v>
      </c>
      <c r="M10" s="7">
        <v>2.4159482294212328E-2</v>
      </c>
      <c r="N10" s="8">
        <v>0</v>
      </c>
      <c r="O10" s="8">
        <v>1</v>
      </c>
      <c r="P10" s="8">
        <v>443</v>
      </c>
      <c r="Q10" s="7">
        <v>0.59230493585026966</v>
      </c>
      <c r="R10" s="7">
        <v>2.447481198118856E-2</v>
      </c>
      <c r="S10" s="8">
        <v>0</v>
      </c>
      <c r="T10" s="8">
        <v>1</v>
      </c>
      <c r="U10" s="8">
        <v>423</v>
      </c>
      <c r="V10" s="7">
        <v>0.41852525742691382</v>
      </c>
      <c r="W10" s="7">
        <v>2.0855988955482106E-2</v>
      </c>
      <c r="X10" s="8">
        <v>0</v>
      </c>
      <c r="Y10" s="8">
        <v>1</v>
      </c>
      <c r="Z10" s="8">
        <v>1073</v>
      </c>
      <c r="AA10" s="7">
        <v>0.66367275508263268</v>
      </c>
      <c r="AB10" s="7">
        <v>1.2541509515000998E-2</v>
      </c>
      <c r="AC10" s="8">
        <v>0</v>
      </c>
      <c r="AD10" s="8">
        <v>1</v>
      </c>
      <c r="AE10" s="8">
        <v>2789</v>
      </c>
      <c r="AF10">
        <f>(AA12/AA11)-AA10</f>
        <v>0.11813728059364403</v>
      </c>
    </row>
    <row r="11" spans="1:32" ht="39.4" x14ac:dyDescent="0.45">
      <c r="A11" s="6" t="s">
        <v>18</v>
      </c>
      <c r="B11" s="7">
        <v>0.57798625450849994</v>
      </c>
      <c r="C11" s="7">
        <v>2.931190088877576E-2</v>
      </c>
      <c r="D11" s="8">
        <v>0</v>
      </c>
      <c r="E11" s="8">
        <v>1</v>
      </c>
      <c r="F11" s="8">
        <v>377</v>
      </c>
      <c r="G11" s="7">
        <v>0.7759090962333085</v>
      </c>
      <c r="H11" s="7">
        <v>1.9819100780919589E-2</v>
      </c>
      <c r="I11" s="8">
        <v>0</v>
      </c>
      <c r="J11" s="8">
        <v>1</v>
      </c>
      <c r="K11" s="8">
        <v>473</v>
      </c>
      <c r="L11" s="7">
        <v>0.54937707697091009</v>
      </c>
      <c r="M11" s="7">
        <v>2.442131248989543E-2</v>
      </c>
      <c r="N11" s="8">
        <v>0</v>
      </c>
      <c r="O11" s="8">
        <v>1</v>
      </c>
      <c r="P11" s="8">
        <v>443</v>
      </c>
      <c r="Q11" s="7">
        <v>0.74315598481496103</v>
      </c>
      <c r="R11" s="7">
        <v>2.153023882484394E-2</v>
      </c>
      <c r="S11" s="8">
        <v>0</v>
      </c>
      <c r="T11" s="8">
        <v>1</v>
      </c>
      <c r="U11" s="8">
        <v>423</v>
      </c>
      <c r="V11" s="7">
        <v>0.39927975706290247</v>
      </c>
      <c r="W11" s="7">
        <v>2.0519705334594719E-2</v>
      </c>
      <c r="X11" s="8">
        <v>0</v>
      </c>
      <c r="Y11" s="8">
        <v>1</v>
      </c>
      <c r="Z11" s="8">
        <v>1073</v>
      </c>
      <c r="AA11" s="7">
        <v>0.65235181396445241</v>
      </c>
      <c r="AB11" s="7">
        <v>1.2624611213770981E-2</v>
      </c>
      <c r="AC11" s="8">
        <v>0</v>
      </c>
      <c r="AD11" s="8">
        <v>1</v>
      </c>
      <c r="AE11" s="8">
        <v>2789</v>
      </c>
      <c r="AF11">
        <f>(AA12/AA10)-AA11</f>
        <v>0.11612209285658515</v>
      </c>
    </row>
    <row r="12" spans="1:32" x14ac:dyDescent="0.45">
      <c r="A12" s="6" t="s">
        <v>19</v>
      </c>
      <c r="B12" s="7">
        <v>0.51445093089138516</v>
      </c>
      <c r="C12" s="7">
        <v>2.9044456452618824E-2</v>
      </c>
      <c r="D12" s="8">
        <v>0</v>
      </c>
      <c r="E12" s="8">
        <v>1</v>
      </c>
      <c r="F12" s="8">
        <v>377</v>
      </c>
      <c r="G12" s="7">
        <v>0.7373973450813962</v>
      </c>
      <c r="H12" s="7">
        <v>2.0932046448738938E-2</v>
      </c>
      <c r="I12" s="8">
        <v>0</v>
      </c>
      <c r="J12" s="8">
        <v>1</v>
      </c>
      <c r="K12" s="8">
        <v>473</v>
      </c>
      <c r="L12" s="7">
        <v>0.3889482022645091</v>
      </c>
      <c r="M12" s="7">
        <v>2.4074739639071356E-2</v>
      </c>
      <c r="N12" s="8">
        <v>0</v>
      </c>
      <c r="O12" s="8">
        <v>1</v>
      </c>
      <c r="P12" s="8">
        <v>443</v>
      </c>
      <c r="Q12" s="7">
        <v>0.47895151395150581</v>
      </c>
      <c r="R12" s="7">
        <v>2.4968634724343998E-2</v>
      </c>
      <c r="S12" s="8">
        <v>0</v>
      </c>
      <c r="T12" s="8">
        <v>1</v>
      </c>
      <c r="U12" s="8">
        <v>423</v>
      </c>
      <c r="V12" s="7">
        <v>0.27678319015947822</v>
      </c>
      <c r="W12" s="7">
        <v>1.8575723840364614E-2</v>
      </c>
      <c r="X12" s="8">
        <v>0</v>
      </c>
      <c r="Y12" s="8">
        <v>1</v>
      </c>
      <c r="Z12" s="8">
        <v>1073</v>
      </c>
      <c r="AA12" s="7">
        <v>0.51001519494903236</v>
      </c>
      <c r="AB12" s="7">
        <v>1.3205702764333574E-2</v>
      </c>
      <c r="AC12" s="8">
        <v>0</v>
      </c>
      <c r="AD12" s="8">
        <v>1</v>
      </c>
      <c r="AE12" s="8">
        <v>2789</v>
      </c>
    </row>
    <row r="13" spans="1:32" x14ac:dyDescent="0.45">
      <c r="A13" s="6" t="s">
        <v>13</v>
      </c>
      <c r="B13" s="7">
        <v>0.73095089154698034</v>
      </c>
      <c r="C13" s="7">
        <v>2.9111469250049479E-2</v>
      </c>
      <c r="D13" s="8">
        <v>0</v>
      </c>
      <c r="E13" s="8">
        <v>1</v>
      </c>
      <c r="F13" s="8">
        <v>377</v>
      </c>
      <c r="G13" s="7">
        <v>0.84179305124646708</v>
      </c>
      <c r="H13" s="7">
        <v>1.721318857754606E-2</v>
      </c>
      <c r="I13" s="8">
        <v>0</v>
      </c>
      <c r="J13" s="8">
        <v>1</v>
      </c>
      <c r="K13" s="8">
        <v>473</v>
      </c>
      <c r="L13" s="7">
        <v>0.59014669291052402</v>
      </c>
      <c r="M13" s="7">
        <v>2.4159482294212328E-2</v>
      </c>
      <c r="N13" s="8">
        <v>0</v>
      </c>
      <c r="O13" s="8">
        <v>1</v>
      </c>
      <c r="P13" s="8">
        <v>443</v>
      </c>
      <c r="Q13" s="7">
        <v>0.59230493585026966</v>
      </c>
      <c r="R13" s="7">
        <v>2.447481198118856E-2</v>
      </c>
      <c r="S13" s="8">
        <v>0</v>
      </c>
      <c r="T13" s="8">
        <v>1</v>
      </c>
      <c r="U13" s="8">
        <v>423</v>
      </c>
      <c r="V13" s="7">
        <v>0.41852525742691382</v>
      </c>
      <c r="W13" s="7">
        <v>2.0855988955482106E-2</v>
      </c>
      <c r="X13" s="8">
        <v>0</v>
      </c>
      <c r="Y13" s="8">
        <v>1</v>
      </c>
      <c r="Z13" s="8">
        <v>1073</v>
      </c>
      <c r="AA13" s="7">
        <v>0.66367275508263268</v>
      </c>
      <c r="AB13" s="7">
        <v>1.2541509515000998E-2</v>
      </c>
      <c r="AC13" s="8">
        <v>0</v>
      </c>
      <c r="AD13" s="8">
        <v>1</v>
      </c>
      <c r="AE13" s="8">
        <v>2789</v>
      </c>
      <c r="AF13">
        <f>(AA15/AA14)-AA13</f>
        <v>0.14832764811255705</v>
      </c>
    </row>
    <row r="14" spans="1:32" ht="39.4" x14ac:dyDescent="0.45">
      <c r="A14" s="6" t="s">
        <v>20</v>
      </c>
      <c r="B14" s="7">
        <v>0.49966441162735731</v>
      </c>
      <c r="C14" s="7">
        <v>2.8926538869362927E-2</v>
      </c>
      <c r="D14" s="8">
        <v>0</v>
      </c>
      <c r="E14" s="8">
        <v>1</v>
      </c>
      <c r="F14" s="8">
        <v>377</v>
      </c>
      <c r="G14" s="7">
        <v>0.694148109652721</v>
      </c>
      <c r="H14" s="7">
        <v>2.1903517365169416E-2</v>
      </c>
      <c r="I14" s="8">
        <v>0</v>
      </c>
      <c r="J14" s="8">
        <v>1</v>
      </c>
      <c r="K14" s="8">
        <v>473</v>
      </c>
      <c r="L14" s="7">
        <v>0.44678685166956866</v>
      </c>
      <c r="M14" s="7">
        <v>2.4472410267060745E-2</v>
      </c>
      <c r="N14" s="8">
        <v>0</v>
      </c>
      <c r="O14" s="8">
        <v>1</v>
      </c>
      <c r="P14" s="8">
        <v>443</v>
      </c>
      <c r="Q14" s="7">
        <v>0.58710843859266493</v>
      </c>
      <c r="R14" s="7">
        <v>2.4491537195724417E-2</v>
      </c>
      <c r="S14" s="8">
        <v>0</v>
      </c>
      <c r="T14" s="8">
        <v>1</v>
      </c>
      <c r="U14" s="8">
        <v>423</v>
      </c>
      <c r="V14" s="7">
        <v>0.24597703605277871</v>
      </c>
      <c r="W14" s="7">
        <v>1.7202819405463813E-2</v>
      </c>
      <c r="X14" s="8">
        <v>0</v>
      </c>
      <c r="Y14" s="8">
        <v>1</v>
      </c>
      <c r="Z14" s="8">
        <v>1073</v>
      </c>
      <c r="AA14" s="7">
        <v>0.54335791656094878</v>
      </c>
      <c r="AB14" s="7">
        <v>1.3167396812010984E-2</v>
      </c>
      <c r="AC14" s="8">
        <v>0</v>
      </c>
      <c r="AD14" s="8">
        <v>1</v>
      </c>
      <c r="AE14" s="8">
        <v>2789</v>
      </c>
      <c r="AF14">
        <f>(AA15/AA13)-AA14</f>
        <v>0.12143786411239643</v>
      </c>
    </row>
    <row r="15" spans="1:32" x14ac:dyDescent="0.45">
      <c r="A15" s="6" t="s">
        <v>21</v>
      </c>
      <c r="B15" s="7">
        <v>0.46367149614761671</v>
      </c>
      <c r="C15" s="7">
        <v>2.8579688807842264E-2</v>
      </c>
      <c r="D15" s="8">
        <v>0</v>
      </c>
      <c r="E15" s="8">
        <v>1</v>
      </c>
      <c r="F15" s="8">
        <v>377</v>
      </c>
      <c r="G15" s="7">
        <v>0.66211070627539226</v>
      </c>
      <c r="H15" s="7">
        <v>2.2501635738286747E-2</v>
      </c>
      <c r="I15" s="8">
        <v>0</v>
      </c>
      <c r="J15" s="8">
        <v>1</v>
      </c>
      <c r="K15" s="8">
        <v>473</v>
      </c>
      <c r="L15" s="7">
        <v>0.31963642909920326</v>
      </c>
      <c r="M15" s="7">
        <v>2.3043121288282894E-2</v>
      </c>
      <c r="N15" s="8">
        <v>0</v>
      </c>
      <c r="O15" s="8">
        <v>1</v>
      </c>
      <c r="P15" s="8">
        <v>443</v>
      </c>
      <c r="Q15" s="7">
        <v>0.41741684018366199</v>
      </c>
      <c r="R15" s="7">
        <v>2.4725691411619753E-2</v>
      </c>
      <c r="S15" s="8">
        <v>0</v>
      </c>
      <c r="T15" s="8">
        <v>1</v>
      </c>
      <c r="U15" s="8">
        <v>423</v>
      </c>
      <c r="V15" s="7">
        <v>0.18305963574588524</v>
      </c>
      <c r="W15" s="7">
        <v>1.5989691341272264E-2</v>
      </c>
      <c r="X15" s="8">
        <v>0</v>
      </c>
      <c r="Y15" s="8">
        <v>1</v>
      </c>
      <c r="Z15" s="8">
        <v>1073</v>
      </c>
      <c r="AA15" s="7">
        <v>0.44120684732678866</v>
      </c>
      <c r="AB15" s="7">
        <v>1.3073810766786055E-2</v>
      </c>
      <c r="AC15" s="8">
        <v>0</v>
      </c>
      <c r="AD15" s="8">
        <v>1</v>
      </c>
      <c r="AE15" s="8">
        <v>2789</v>
      </c>
    </row>
    <row r="16" spans="1:32" x14ac:dyDescent="0.45">
      <c r="A16" s="6" t="s">
        <v>13</v>
      </c>
      <c r="B16" s="7">
        <v>0.73095089154698034</v>
      </c>
      <c r="C16" s="7">
        <v>2.9111469250049479E-2</v>
      </c>
      <c r="D16" s="8">
        <v>0</v>
      </c>
      <c r="E16" s="8">
        <v>1</v>
      </c>
      <c r="F16" s="8">
        <v>377</v>
      </c>
      <c r="G16" s="7">
        <v>0.84179305124646708</v>
      </c>
      <c r="H16" s="7">
        <v>1.721318857754606E-2</v>
      </c>
      <c r="I16" s="8">
        <v>0</v>
      </c>
      <c r="J16" s="8">
        <v>1</v>
      </c>
      <c r="K16" s="8">
        <v>473</v>
      </c>
      <c r="L16" s="7">
        <v>0.59014669291052402</v>
      </c>
      <c r="M16" s="7">
        <v>2.4159482294212328E-2</v>
      </c>
      <c r="N16" s="8">
        <v>0</v>
      </c>
      <c r="O16" s="8">
        <v>1</v>
      </c>
      <c r="P16" s="8">
        <v>443</v>
      </c>
      <c r="Q16" s="7">
        <v>0.59230493585026966</v>
      </c>
      <c r="R16" s="7">
        <v>2.447481198118856E-2</v>
      </c>
      <c r="S16" s="8">
        <v>0</v>
      </c>
      <c r="T16" s="8">
        <v>1</v>
      </c>
      <c r="U16" s="8">
        <v>423</v>
      </c>
      <c r="V16" s="7">
        <v>0.41852525742691382</v>
      </c>
      <c r="W16" s="7">
        <v>2.0855988955482106E-2</v>
      </c>
      <c r="X16" s="8">
        <v>0</v>
      </c>
      <c r="Y16" s="8">
        <v>1</v>
      </c>
      <c r="Z16" s="8">
        <v>1073</v>
      </c>
      <c r="AA16" s="7">
        <v>0.66367275508263268</v>
      </c>
      <c r="AB16" s="7">
        <v>1.2541509515000998E-2</v>
      </c>
      <c r="AC16" s="8">
        <v>0</v>
      </c>
      <c r="AD16" s="8">
        <v>1</v>
      </c>
      <c r="AE16" s="8">
        <v>2789</v>
      </c>
      <c r="AF16">
        <f>(AA18/AA17)-AA16</f>
        <v>7.8804600041120665E-2</v>
      </c>
    </row>
    <row r="17" spans="1:32" ht="26.25" x14ac:dyDescent="0.45">
      <c r="A17" s="6" t="s">
        <v>22</v>
      </c>
      <c r="B17" s="7">
        <v>0.44337971510161078</v>
      </c>
      <c r="C17" s="7">
        <v>2.8333918098961602E-2</v>
      </c>
      <c r="D17" s="8">
        <v>0</v>
      </c>
      <c r="E17" s="8">
        <v>1</v>
      </c>
      <c r="F17" s="8">
        <v>377</v>
      </c>
      <c r="G17" s="7">
        <v>0.55003587184041547</v>
      </c>
      <c r="H17" s="7">
        <v>2.3701595165381402E-2</v>
      </c>
      <c r="I17" s="8">
        <v>0</v>
      </c>
      <c r="J17" s="8">
        <v>1</v>
      </c>
      <c r="K17" s="8">
        <v>473</v>
      </c>
      <c r="L17" s="7">
        <v>0.47073477299276273</v>
      </c>
      <c r="M17" s="7">
        <v>2.455632484408668E-2</v>
      </c>
      <c r="N17" s="8">
        <v>0</v>
      </c>
      <c r="O17" s="8">
        <v>1</v>
      </c>
      <c r="P17" s="8">
        <v>443</v>
      </c>
      <c r="Q17" s="7">
        <v>0.81611123613737024</v>
      </c>
      <c r="R17" s="7">
        <v>1.9017745333524308E-2</v>
      </c>
      <c r="S17" s="8">
        <v>0</v>
      </c>
      <c r="T17" s="8">
        <v>1</v>
      </c>
      <c r="U17" s="8">
        <v>423</v>
      </c>
      <c r="V17" s="7">
        <v>0.49101498998080567</v>
      </c>
      <c r="W17" s="7">
        <v>2.153423791962325E-2</v>
      </c>
      <c r="X17" s="8">
        <v>0</v>
      </c>
      <c r="Y17" s="8">
        <v>1</v>
      </c>
      <c r="Z17" s="8">
        <v>1073</v>
      </c>
      <c r="AA17" s="7">
        <v>0.56929096770433274</v>
      </c>
      <c r="AB17" s="7">
        <v>1.3133161955805486E-2</v>
      </c>
      <c r="AC17" s="8">
        <v>0</v>
      </c>
      <c r="AD17" s="8">
        <v>1</v>
      </c>
      <c r="AE17" s="8">
        <v>2789</v>
      </c>
      <c r="AF17">
        <f>(AA18/AA16)-AA17</f>
        <v>6.7597692798729847E-2</v>
      </c>
    </row>
    <row r="18" spans="1:32" x14ac:dyDescent="0.45">
      <c r="A18" s="6" t="s">
        <v>23</v>
      </c>
      <c r="B18" s="7">
        <v>0.38361613662523919</v>
      </c>
      <c r="C18" s="7">
        <v>2.7344359589065611E-2</v>
      </c>
      <c r="D18" s="8">
        <v>0</v>
      </c>
      <c r="E18" s="8">
        <v>1</v>
      </c>
      <c r="F18" s="8">
        <v>377</v>
      </c>
      <c r="G18" s="7">
        <v>0.51811191738136531</v>
      </c>
      <c r="H18" s="7">
        <v>2.3805587636912835E-2</v>
      </c>
      <c r="I18" s="8">
        <v>0</v>
      </c>
      <c r="J18" s="8">
        <v>1</v>
      </c>
      <c r="K18" s="8">
        <v>473</v>
      </c>
      <c r="L18" s="7">
        <v>0.30209709090928383</v>
      </c>
      <c r="M18" s="7">
        <v>2.2741083573024835E-2</v>
      </c>
      <c r="N18" s="8">
        <v>0</v>
      </c>
      <c r="O18" s="8">
        <v>1</v>
      </c>
      <c r="P18" s="8">
        <v>443</v>
      </c>
      <c r="Q18" s="7">
        <v>0.53908158716809174</v>
      </c>
      <c r="R18" s="7">
        <v>2.4860583126853953E-2</v>
      </c>
      <c r="S18" s="8">
        <v>0</v>
      </c>
      <c r="T18" s="8">
        <v>1</v>
      </c>
      <c r="U18" s="8">
        <v>423</v>
      </c>
      <c r="V18" s="7">
        <v>0.36295090600745844</v>
      </c>
      <c r="W18" s="7">
        <v>2.0002956931078709E-2</v>
      </c>
      <c r="X18" s="8">
        <v>0</v>
      </c>
      <c r="Y18" s="8">
        <v>1</v>
      </c>
      <c r="Z18" s="8">
        <v>1073</v>
      </c>
      <c r="AA18" s="7">
        <v>0.42268565199695507</v>
      </c>
      <c r="AB18" s="7">
        <v>1.296807463145134E-2</v>
      </c>
      <c r="AC18" s="8">
        <v>0</v>
      </c>
      <c r="AD18" s="8">
        <v>1</v>
      </c>
      <c r="AE18" s="8">
        <v>2789</v>
      </c>
    </row>
    <row r="19" spans="1:32" x14ac:dyDescent="0.45">
      <c r="A19" s="6" t="s">
        <v>13</v>
      </c>
      <c r="B19" s="7">
        <v>0.73095089154698034</v>
      </c>
      <c r="C19" s="7">
        <v>2.9111469250049479E-2</v>
      </c>
      <c r="D19" s="8">
        <v>0</v>
      </c>
      <c r="E19" s="8">
        <v>1</v>
      </c>
      <c r="F19" s="8">
        <v>377</v>
      </c>
      <c r="G19" s="7">
        <v>0.84179305124646708</v>
      </c>
      <c r="H19" s="7">
        <v>1.721318857754606E-2</v>
      </c>
      <c r="I19" s="8">
        <v>0</v>
      </c>
      <c r="J19" s="8">
        <v>1</v>
      </c>
      <c r="K19" s="8">
        <v>473</v>
      </c>
      <c r="L19" s="7">
        <v>0.59014669291052402</v>
      </c>
      <c r="M19" s="7">
        <v>2.4159482294212328E-2</v>
      </c>
      <c r="N19" s="8">
        <v>0</v>
      </c>
      <c r="O19" s="8">
        <v>1</v>
      </c>
      <c r="P19" s="8">
        <v>443</v>
      </c>
      <c r="Q19" s="7">
        <v>0.59230493585026966</v>
      </c>
      <c r="R19" s="7">
        <v>2.447481198118856E-2</v>
      </c>
      <c r="S19" s="8">
        <v>0</v>
      </c>
      <c r="T19" s="8">
        <v>1</v>
      </c>
      <c r="U19" s="8">
        <v>423</v>
      </c>
      <c r="V19" s="7">
        <v>0.41852525742691382</v>
      </c>
      <c r="W19" s="7">
        <v>2.0855988955482106E-2</v>
      </c>
      <c r="X19" s="8">
        <v>0</v>
      </c>
      <c r="Y19" s="8">
        <v>1</v>
      </c>
      <c r="Z19" s="8">
        <v>1073</v>
      </c>
      <c r="AA19" s="7">
        <v>0.66367275508263268</v>
      </c>
      <c r="AB19" s="7">
        <v>1.2541509515000998E-2</v>
      </c>
      <c r="AC19" s="8">
        <v>0</v>
      </c>
      <c r="AD19" s="8">
        <v>1</v>
      </c>
      <c r="AE19" s="8">
        <v>2789</v>
      </c>
      <c r="AF19">
        <f>(AA21/AA20)-AA19</f>
        <v>5.6814774499192811E-2</v>
      </c>
    </row>
    <row r="20" spans="1:32" ht="26.25" x14ac:dyDescent="0.45">
      <c r="A20" s="6" t="s">
        <v>24</v>
      </c>
      <c r="B20" s="7">
        <v>0.3143161872698384</v>
      </c>
      <c r="C20" s="7">
        <v>2.5988451099292102E-2</v>
      </c>
      <c r="D20" s="8">
        <v>0</v>
      </c>
      <c r="E20" s="8">
        <v>1</v>
      </c>
      <c r="F20" s="8">
        <v>377</v>
      </c>
      <c r="G20" s="7">
        <v>0.35720003177347953</v>
      </c>
      <c r="H20" s="7">
        <v>2.2786551411140134E-2</v>
      </c>
      <c r="I20" s="8">
        <v>0</v>
      </c>
      <c r="J20" s="8">
        <v>1</v>
      </c>
      <c r="K20" s="8">
        <v>473</v>
      </c>
      <c r="L20" s="7">
        <v>0.30880783343155294</v>
      </c>
      <c r="M20" s="7">
        <v>2.2515152770261254E-2</v>
      </c>
      <c r="N20" s="8">
        <v>0</v>
      </c>
      <c r="O20" s="8">
        <v>1</v>
      </c>
      <c r="P20" s="8">
        <v>443</v>
      </c>
      <c r="Q20" s="7">
        <v>0.74339061825172903</v>
      </c>
      <c r="R20" s="7">
        <v>2.1616709115009351E-2</v>
      </c>
      <c r="S20" s="8">
        <v>0</v>
      </c>
      <c r="T20" s="8">
        <v>1</v>
      </c>
      <c r="U20" s="8">
        <v>423</v>
      </c>
      <c r="V20" s="7">
        <v>0.44031925904016395</v>
      </c>
      <c r="W20" s="7">
        <v>2.0999240945587205E-2</v>
      </c>
      <c r="X20" s="8">
        <v>0</v>
      </c>
      <c r="Y20" s="8">
        <v>1</v>
      </c>
      <c r="Z20" s="8">
        <v>1073</v>
      </c>
      <c r="AA20" s="7">
        <v>0.42493856155989945</v>
      </c>
      <c r="AB20" s="7">
        <v>1.2928208456969242E-2</v>
      </c>
      <c r="AC20" s="8">
        <v>0</v>
      </c>
      <c r="AD20" s="8">
        <v>1</v>
      </c>
      <c r="AE20" s="8">
        <v>2789</v>
      </c>
      <c r="AF20">
        <f>(AA21/AA19)-AA20</f>
        <v>3.6377549577172374E-2</v>
      </c>
    </row>
    <row r="21" spans="1:32" x14ac:dyDescent="0.45">
      <c r="A21" s="6" t="s">
        <v>25</v>
      </c>
      <c r="B21" s="7">
        <v>0.27461629585438396</v>
      </c>
      <c r="C21" s="7">
        <v>2.4796751520241387E-2</v>
      </c>
      <c r="D21" s="8">
        <v>0</v>
      </c>
      <c r="E21" s="8">
        <v>1</v>
      </c>
      <c r="F21" s="8">
        <v>377</v>
      </c>
      <c r="G21" s="7">
        <v>0.34584512917602223</v>
      </c>
      <c r="H21" s="7">
        <v>2.2614029784423197E-2</v>
      </c>
      <c r="I21" s="8">
        <v>0</v>
      </c>
      <c r="J21" s="8">
        <v>1</v>
      </c>
      <c r="K21" s="8">
        <v>473</v>
      </c>
      <c r="L21" s="7">
        <v>0.16948956408925092</v>
      </c>
      <c r="M21" s="7">
        <v>1.8362262377192691E-2</v>
      </c>
      <c r="N21" s="8">
        <v>0</v>
      </c>
      <c r="O21" s="8">
        <v>1</v>
      </c>
      <c r="P21" s="8">
        <v>443</v>
      </c>
      <c r="Q21" s="7">
        <v>0.50538064672526561</v>
      </c>
      <c r="R21" s="7">
        <v>2.4960147456269413E-2</v>
      </c>
      <c r="S21" s="8">
        <v>0</v>
      </c>
      <c r="T21" s="8">
        <v>1</v>
      </c>
      <c r="U21" s="8">
        <v>423</v>
      </c>
      <c r="V21" s="7">
        <v>0.32300503952011156</v>
      </c>
      <c r="W21" s="7">
        <v>1.9301521571281788E-2</v>
      </c>
      <c r="X21" s="8">
        <v>0</v>
      </c>
      <c r="Y21" s="8">
        <v>1</v>
      </c>
      <c r="Z21" s="8">
        <v>1073</v>
      </c>
      <c r="AA21" s="7">
        <v>0.30616293444234643</v>
      </c>
      <c r="AB21" s="7">
        <v>1.18245133499642E-2</v>
      </c>
      <c r="AC21" s="8">
        <v>0</v>
      </c>
      <c r="AD21" s="8">
        <v>1</v>
      </c>
      <c r="AE21" s="8">
        <v>2789</v>
      </c>
    </row>
    <row r="22" spans="1:32" x14ac:dyDescent="0.45">
      <c r="A22" s="6" t="s">
        <v>13</v>
      </c>
      <c r="B22" s="7">
        <v>0.73095089154698034</v>
      </c>
      <c r="C22" s="7">
        <v>2.9111469250049479E-2</v>
      </c>
      <c r="D22" s="8">
        <v>0</v>
      </c>
      <c r="E22" s="8">
        <v>1</v>
      </c>
      <c r="F22" s="8">
        <v>377</v>
      </c>
      <c r="G22" s="7">
        <v>0.84179305124646708</v>
      </c>
      <c r="H22" s="7">
        <v>1.721318857754606E-2</v>
      </c>
      <c r="I22" s="8">
        <v>0</v>
      </c>
      <c r="J22" s="8">
        <v>1</v>
      </c>
      <c r="K22" s="8">
        <v>473</v>
      </c>
      <c r="L22" s="7">
        <v>0.59014669291052402</v>
      </c>
      <c r="M22" s="7">
        <v>2.4159482294212328E-2</v>
      </c>
      <c r="N22" s="8">
        <v>0</v>
      </c>
      <c r="O22" s="8">
        <v>1</v>
      </c>
      <c r="P22" s="8">
        <v>443</v>
      </c>
      <c r="Q22" s="7">
        <v>0.59230493585026966</v>
      </c>
      <c r="R22" s="7">
        <v>2.447481198118856E-2</v>
      </c>
      <c r="S22" s="8">
        <v>0</v>
      </c>
      <c r="T22" s="8">
        <v>1</v>
      </c>
      <c r="U22" s="8">
        <v>423</v>
      </c>
      <c r="V22" s="7">
        <v>0.41852525742691382</v>
      </c>
      <c r="W22" s="7">
        <v>2.0855988955482106E-2</v>
      </c>
      <c r="X22" s="8">
        <v>0</v>
      </c>
      <c r="Y22" s="8">
        <v>1</v>
      </c>
      <c r="Z22" s="8">
        <v>1073</v>
      </c>
      <c r="AA22" s="7">
        <v>0.66367275508263268</v>
      </c>
      <c r="AB22" s="7">
        <v>1.2541509515000998E-2</v>
      </c>
      <c r="AC22" s="8">
        <v>0</v>
      </c>
      <c r="AD22" s="8">
        <v>1</v>
      </c>
      <c r="AE22" s="8">
        <v>2789</v>
      </c>
      <c r="AF22">
        <f>(AA24/AA23)-AA22</f>
        <v>0.14090572628642606</v>
      </c>
    </row>
    <row r="23" spans="1:32" x14ac:dyDescent="0.45">
      <c r="A23" s="6" t="s">
        <v>26</v>
      </c>
      <c r="B23" s="7">
        <v>4.2417616022147671E-2</v>
      </c>
      <c r="C23" s="7">
        <v>1.0510324665511129E-2</v>
      </c>
      <c r="D23" s="8">
        <v>0</v>
      </c>
      <c r="E23" s="8">
        <v>1</v>
      </c>
      <c r="F23" s="8">
        <v>377</v>
      </c>
      <c r="G23" s="7">
        <v>0.13820208651722821</v>
      </c>
      <c r="H23" s="7">
        <v>1.6475096603360842E-2</v>
      </c>
      <c r="I23" s="8">
        <v>0</v>
      </c>
      <c r="J23" s="8">
        <v>1</v>
      </c>
      <c r="K23" s="8">
        <v>473</v>
      </c>
      <c r="L23" s="7">
        <v>0.10469634306542444</v>
      </c>
      <c r="M23" s="7">
        <v>1.5394889579067119E-2</v>
      </c>
      <c r="N23" s="8">
        <v>0</v>
      </c>
      <c r="O23" s="8">
        <v>1</v>
      </c>
      <c r="P23" s="8">
        <v>443</v>
      </c>
      <c r="Q23" s="7">
        <v>0.21697284641081702</v>
      </c>
      <c r="R23" s="7">
        <v>2.0889826904432647E-2</v>
      </c>
      <c r="S23" s="8">
        <v>0</v>
      </c>
      <c r="T23" s="8">
        <v>1</v>
      </c>
      <c r="U23" s="8">
        <v>423</v>
      </c>
      <c r="V23" s="7">
        <v>6.8214282763813486E-2</v>
      </c>
      <c r="W23" s="7">
        <v>1.0070079910351819E-2</v>
      </c>
      <c r="X23" s="8">
        <v>0</v>
      </c>
      <c r="Y23" s="8">
        <v>1</v>
      </c>
      <c r="Z23" s="8">
        <v>1073</v>
      </c>
      <c r="AA23" s="7">
        <v>0.13381594000174568</v>
      </c>
      <c r="AB23" s="7">
        <v>9.0632155667956203E-3</v>
      </c>
      <c r="AC23" s="8">
        <v>0</v>
      </c>
      <c r="AD23" s="8">
        <v>1</v>
      </c>
      <c r="AE23" s="8">
        <v>2789</v>
      </c>
      <c r="AF23">
        <f>(AA24/AA22)-AA23</f>
        <v>2.8410737174677514E-2</v>
      </c>
    </row>
    <row r="24" spans="1:32" x14ac:dyDescent="0.45">
      <c r="A24" s="6" t="s">
        <v>27</v>
      </c>
      <c r="B24" s="7">
        <v>3.9723824938204186E-2</v>
      </c>
      <c r="C24" s="7">
        <v>1.018053511659686E-2</v>
      </c>
      <c r="D24" s="8">
        <v>0</v>
      </c>
      <c r="E24" s="8">
        <v>1</v>
      </c>
      <c r="F24" s="8">
        <v>377</v>
      </c>
      <c r="G24" s="7">
        <v>0.13117723471177348</v>
      </c>
      <c r="H24" s="7">
        <v>1.6105190556129773E-2</v>
      </c>
      <c r="I24" s="8">
        <v>0</v>
      </c>
      <c r="J24" s="8">
        <v>1</v>
      </c>
      <c r="K24" s="8">
        <v>473</v>
      </c>
      <c r="L24" s="7">
        <v>7.5502858153451355E-2</v>
      </c>
      <c r="M24" s="7">
        <v>1.3326483597322749E-2</v>
      </c>
      <c r="N24" s="8">
        <v>0</v>
      </c>
      <c r="O24" s="8">
        <v>1</v>
      </c>
      <c r="P24" s="8">
        <v>443</v>
      </c>
      <c r="Q24" s="7">
        <v>0.16323907061323148</v>
      </c>
      <c r="R24" s="7">
        <v>1.885557853071031E-2</v>
      </c>
      <c r="S24" s="8">
        <v>0</v>
      </c>
      <c r="T24" s="8">
        <v>1</v>
      </c>
      <c r="U24" s="8">
        <v>423</v>
      </c>
      <c r="V24" s="7">
        <v>5.8603788726203691E-2</v>
      </c>
      <c r="W24" s="7">
        <v>9.592817128776545E-3</v>
      </c>
      <c r="X24" s="8">
        <v>0</v>
      </c>
      <c r="Y24" s="8">
        <v>1</v>
      </c>
      <c r="Z24" s="8">
        <v>1073</v>
      </c>
      <c r="AA24" s="7">
        <v>0.10766542578957762</v>
      </c>
      <c r="AB24" s="7">
        <v>8.203352320347284E-3</v>
      </c>
      <c r="AC24" s="8">
        <v>0</v>
      </c>
      <c r="AD24" s="8">
        <v>1</v>
      </c>
      <c r="AE24" s="8">
        <v>2789</v>
      </c>
    </row>
    <row r="25" spans="1:32" x14ac:dyDescent="0.45">
      <c r="A25" s="6" t="s">
        <v>13</v>
      </c>
      <c r="B25" s="7">
        <v>0.73095089154698034</v>
      </c>
      <c r="C25" s="7">
        <v>2.9111469250049479E-2</v>
      </c>
      <c r="D25" s="8">
        <v>0</v>
      </c>
      <c r="E25" s="8">
        <v>1</v>
      </c>
      <c r="F25" s="8">
        <v>377</v>
      </c>
      <c r="G25" s="7">
        <v>0.84179305124646708</v>
      </c>
      <c r="H25" s="7">
        <v>1.721318857754606E-2</v>
      </c>
      <c r="I25" s="8">
        <v>0</v>
      </c>
      <c r="J25" s="8">
        <v>1</v>
      </c>
      <c r="K25" s="8">
        <v>473</v>
      </c>
      <c r="L25" s="7">
        <v>0.59014669291052402</v>
      </c>
      <c r="M25" s="7">
        <v>2.4159482294212328E-2</v>
      </c>
      <c r="N25" s="8">
        <v>0</v>
      </c>
      <c r="O25" s="8">
        <v>1</v>
      </c>
      <c r="P25" s="8">
        <v>443</v>
      </c>
      <c r="Q25" s="7">
        <v>0.59230493585026966</v>
      </c>
      <c r="R25" s="7">
        <v>2.447481198118856E-2</v>
      </c>
      <c r="S25" s="8">
        <v>0</v>
      </c>
      <c r="T25" s="8">
        <v>1</v>
      </c>
      <c r="U25" s="8">
        <v>423</v>
      </c>
      <c r="V25" s="7">
        <v>0.41852525742691382</v>
      </c>
      <c r="W25" s="7">
        <v>2.0855988955482106E-2</v>
      </c>
      <c r="X25" s="8">
        <v>0</v>
      </c>
      <c r="Y25" s="8">
        <v>1</v>
      </c>
      <c r="Z25" s="8">
        <v>1073</v>
      </c>
      <c r="AA25" s="7">
        <v>0.66367275508263268</v>
      </c>
      <c r="AB25" s="7">
        <v>1.2541509515000998E-2</v>
      </c>
      <c r="AC25" s="8">
        <v>0</v>
      </c>
      <c r="AD25" s="8">
        <v>1</v>
      </c>
      <c r="AE25" s="8">
        <v>2789</v>
      </c>
      <c r="AF25">
        <f>(AA27/AA26)-AA25</f>
        <v>-4.9020782371863802E-2</v>
      </c>
    </row>
    <row r="26" spans="1:32" x14ac:dyDescent="0.45">
      <c r="A26" s="6" t="s">
        <v>28</v>
      </c>
      <c r="B26" s="7">
        <v>1.7483672993640127E-2</v>
      </c>
      <c r="C26" s="7">
        <v>6.2489221851230788E-3</v>
      </c>
      <c r="D26" s="8">
        <v>0</v>
      </c>
      <c r="E26" s="8">
        <v>1</v>
      </c>
      <c r="F26" s="8">
        <v>377</v>
      </c>
      <c r="G26" s="7">
        <v>5.8009185356960917E-2</v>
      </c>
      <c r="H26" s="7">
        <v>1.1092481530445291E-2</v>
      </c>
      <c r="I26" s="8">
        <v>0</v>
      </c>
      <c r="J26" s="8">
        <v>1</v>
      </c>
      <c r="K26" s="8">
        <v>473</v>
      </c>
      <c r="L26" s="7">
        <v>0.15058406137378161</v>
      </c>
      <c r="M26" s="7">
        <v>1.7370685125969107E-2</v>
      </c>
      <c r="N26" s="8">
        <v>0</v>
      </c>
      <c r="O26" s="8">
        <v>1</v>
      </c>
      <c r="P26" s="8">
        <v>443</v>
      </c>
      <c r="Q26" s="7">
        <v>0.34721164151992517</v>
      </c>
      <c r="R26" s="7">
        <v>2.3722190078450694E-2</v>
      </c>
      <c r="S26" s="8">
        <v>0</v>
      </c>
      <c r="T26" s="8">
        <v>1</v>
      </c>
      <c r="U26" s="8">
        <v>423</v>
      </c>
      <c r="V26" s="7">
        <v>0.2311815510554612</v>
      </c>
      <c r="W26" s="7">
        <v>1.6826076871654053E-2</v>
      </c>
      <c r="X26" s="8">
        <v>0</v>
      </c>
      <c r="Y26" s="8">
        <v>1</v>
      </c>
      <c r="Z26" s="8">
        <v>1073</v>
      </c>
      <c r="AA26" s="7">
        <v>0.16315632364836802</v>
      </c>
      <c r="AB26" s="7">
        <v>9.612518120869289E-3</v>
      </c>
      <c r="AC26" s="8">
        <v>0</v>
      </c>
      <c r="AD26" s="8">
        <v>1</v>
      </c>
      <c r="AE26" s="8">
        <v>2789</v>
      </c>
      <c r="AF26">
        <f>(AA27/AA25)-AA26</f>
        <v>-1.2051196275435799E-2</v>
      </c>
    </row>
    <row r="27" spans="1:32" x14ac:dyDescent="0.45">
      <c r="A27" s="6" t="s">
        <v>29</v>
      </c>
      <c r="B27" s="7">
        <v>1.7483672993640127E-2</v>
      </c>
      <c r="C27" s="7">
        <v>6.2489221851230788E-3</v>
      </c>
      <c r="D27" s="8">
        <v>0</v>
      </c>
      <c r="E27" s="8">
        <v>1</v>
      </c>
      <c r="F27" s="8">
        <v>377</v>
      </c>
      <c r="G27" s="7">
        <v>5.1244611430991835E-2</v>
      </c>
      <c r="H27" s="7">
        <v>1.0458481376902889E-2</v>
      </c>
      <c r="I27" s="8">
        <v>0</v>
      </c>
      <c r="J27" s="8">
        <v>1</v>
      </c>
      <c r="K27" s="8">
        <v>473</v>
      </c>
      <c r="L27" s="7">
        <v>6.2142076032890556E-2</v>
      </c>
      <c r="M27" s="7">
        <v>1.1848134491485937E-2</v>
      </c>
      <c r="N27" s="8">
        <v>0</v>
      </c>
      <c r="O27" s="8">
        <v>1</v>
      </c>
      <c r="P27" s="8">
        <v>443</v>
      </c>
      <c r="Q27" s="7">
        <v>0.24092653171136266</v>
      </c>
      <c r="R27" s="7">
        <v>2.1321590061773772E-2</v>
      </c>
      <c r="S27" s="8">
        <v>0</v>
      </c>
      <c r="T27" s="8">
        <v>1</v>
      </c>
      <c r="U27" s="8">
        <v>423</v>
      </c>
      <c r="V27" s="7">
        <v>0.17497651463598105</v>
      </c>
      <c r="W27" s="7">
        <v>1.5351682440410004E-2</v>
      </c>
      <c r="X27" s="8">
        <v>0</v>
      </c>
      <c r="Y27" s="8">
        <v>1</v>
      </c>
      <c r="Z27" s="8">
        <v>1073</v>
      </c>
      <c r="AA27" s="7">
        <v>0.10028435619070607</v>
      </c>
      <c r="AB27" s="7">
        <v>7.581224936916868E-3</v>
      </c>
      <c r="AC27" s="8">
        <v>0</v>
      </c>
      <c r="AD27" s="8">
        <v>1</v>
      </c>
      <c r="AE27" s="8">
        <v>2789</v>
      </c>
    </row>
    <row r="28" spans="1:32" x14ac:dyDescent="0.45">
      <c r="A28" s="6" t="s">
        <v>13</v>
      </c>
      <c r="B28" s="7">
        <v>0.73095089154698034</v>
      </c>
      <c r="C28" s="7">
        <v>2.9111469250049479E-2</v>
      </c>
      <c r="D28" s="8">
        <v>0</v>
      </c>
      <c r="E28" s="8">
        <v>1</v>
      </c>
      <c r="F28" s="8">
        <v>377</v>
      </c>
      <c r="G28" s="7">
        <v>0.84179305124646708</v>
      </c>
      <c r="H28" s="7">
        <v>1.721318857754606E-2</v>
      </c>
      <c r="I28" s="8">
        <v>0</v>
      </c>
      <c r="J28" s="8">
        <v>1</v>
      </c>
      <c r="K28" s="8">
        <v>473</v>
      </c>
      <c r="L28" s="7">
        <v>0.59014669291052402</v>
      </c>
      <c r="M28" s="7">
        <v>2.4159482294212328E-2</v>
      </c>
      <c r="N28" s="8">
        <v>0</v>
      </c>
      <c r="O28" s="8">
        <v>1</v>
      </c>
      <c r="P28" s="8">
        <v>443</v>
      </c>
      <c r="Q28" s="7">
        <v>0.59230493585026966</v>
      </c>
      <c r="R28" s="7">
        <v>2.447481198118856E-2</v>
      </c>
      <c r="S28" s="8">
        <v>0</v>
      </c>
      <c r="T28" s="8">
        <v>1</v>
      </c>
      <c r="U28" s="8">
        <v>423</v>
      </c>
      <c r="V28" s="7">
        <v>0.41852525742691382</v>
      </c>
      <c r="W28" s="7">
        <v>2.0855988955482106E-2</v>
      </c>
      <c r="X28" s="8">
        <v>0</v>
      </c>
      <c r="Y28" s="8">
        <v>1</v>
      </c>
      <c r="Z28" s="8">
        <v>1073</v>
      </c>
      <c r="AA28" s="7">
        <v>0.66367275508263268</v>
      </c>
      <c r="AB28" s="7">
        <v>1.2541509515000998E-2</v>
      </c>
      <c r="AC28" s="8">
        <v>0</v>
      </c>
      <c r="AD28" s="8">
        <v>1</v>
      </c>
      <c r="AE28" s="8">
        <v>2789</v>
      </c>
      <c r="AF28">
        <f>(AA30/AA29)-AA28</f>
        <v>0.20674931186005774</v>
      </c>
    </row>
    <row r="29" spans="1:32" x14ac:dyDescent="0.45">
      <c r="A29" s="6" t="s">
        <v>30</v>
      </c>
      <c r="B29" s="7">
        <v>1.1457136449351377E-2</v>
      </c>
      <c r="C29" s="7">
        <v>4.6446473101533657E-3</v>
      </c>
      <c r="D29" s="8">
        <v>0</v>
      </c>
      <c r="E29" s="8">
        <v>1</v>
      </c>
      <c r="F29" s="8">
        <v>377</v>
      </c>
      <c r="G29" s="7">
        <v>2.0584963623272376E-2</v>
      </c>
      <c r="H29" s="7">
        <v>6.8587892804406088E-3</v>
      </c>
      <c r="I29" s="8">
        <v>0</v>
      </c>
      <c r="J29" s="8">
        <v>1</v>
      </c>
      <c r="K29" s="8">
        <v>473</v>
      </c>
      <c r="L29" s="7">
        <v>7.0996410257994622E-2</v>
      </c>
      <c r="M29" s="7">
        <v>1.252912923237671E-2</v>
      </c>
      <c r="N29" s="8">
        <v>0</v>
      </c>
      <c r="O29" s="8">
        <v>1</v>
      </c>
      <c r="P29" s="8">
        <v>443</v>
      </c>
      <c r="Q29" s="7">
        <v>5.0630794411700999E-2</v>
      </c>
      <c r="R29" s="7">
        <v>1.0815749508243298E-2</v>
      </c>
      <c r="S29" s="8">
        <v>0</v>
      </c>
      <c r="T29" s="8">
        <v>1</v>
      </c>
      <c r="U29" s="8">
        <v>423</v>
      </c>
      <c r="V29" s="7">
        <v>1.7091392101286209E-2</v>
      </c>
      <c r="W29" s="7">
        <v>3.9414895332473051E-3</v>
      </c>
      <c r="X29" s="8">
        <v>0</v>
      </c>
      <c r="Y29" s="8">
        <v>1</v>
      </c>
      <c r="Z29" s="8">
        <v>1073</v>
      </c>
      <c r="AA29" s="7">
        <v>4.6647707162626499E-2</v>
      </c>
      <c r="AB29" s="7">
        <v>5.889810447475355E-3</v>
      </c>
      <c r="AC29" s="8">
        <v>0</v>
      </c>
      <c r="AD29" s="8">
        <v>1</v>
      </c>
      <c r="AE29" s="8">
        <v>2789</v>
      </c>
      <c r="AF29">
        <f>(AA30/AA28)-AA29</f>
        <v>1.4531832566370313E-2</v>
      </c>
    </row>
    <row r="30" spans="1:32" ht="26.25" x14ac:dyDescent="0.45">
      <c r="A30" s="6" t="s">
        <v>31</v>
      </c>
      <c r="B30" s="7">
        <v>8.1573696773374355E-3</v>
      </c>
      <c r="C30" s="7">
        <v>4.3375104039173702E-3</v>
      </c>
      <c r="D30" s="8">
        <v>0</v>
      </c>
      <c r="E30" s="8">
        <v>1</v>
      </c>
      <c r="F30" s="8">
        <v>377</v>
      </c>
      <c r="G30" s="7">
        <v>1.8174523895447138E-2</v>
      </c>
      <c r="H30" s="7">
        <v>6.4383035978342069E-3</v>
      </c>
      <c r="I30" s="8">
        <v>0</v>
      </c>
      <c r="J30" s="8">
        <v>1</v>
      </c>
      <c r="K30" s="8">
        <v>473</v>
      </c>
      <c r="L30" s="7">
        <v>6.8624985709419398E-2</v>
      </c>
      <c r="M30" s="7">
        <v>1.233352255138373E-2</v>
      </c>
      <c r="N30" s="8">
        <v>0</v>
      </c>
      <c r="O30" s="8">
        <v>1</v>
      </c>
      <c r="P30" s="8">
        <v>443</v>
      </c>
      <c r="Q30" s="7">
        <v>3.343108263476266E-2</v>
      </c>
      <c r="R30" s="7">
        <v>8.8351309633220871E-3</v>
      </c>
      <c r="S30" s="8">
        <v>0</v>
      </c>
      <c r="T30" s="8">
        <v>1</v>
      </c>
      <c r="U30" s="8">
        <v>423</v>
      </c>
      <c r="V30" s="7">
        <v>7.1362197475564543E-3</v>
      </c>
      <c r="W30" s="7">
        <v>2.4752861862838635E-3</v>
      </c>
      <c r="X30" s="8">
        <v>0</v>
      </c>
      <c r="Y30" s="8">
        <v>1</v>
      </c>
      <c r="Z30" s="8">
        <v>1073</v>
      </c>
      <c r="AA30" s="7">
        <v>4.0603193686630699E-2</v>
      </c>
      <c r="AB30" s="7">
        <v>5.6168058720743345E-3</v>
      </c>
      <c r="AC30" s="8">
        <v>0</v>
      </c>
      <c r="AD30" s="8">
        <v>1</v>
      </c>
      <c r="AE30" s="8">
        <v>2789</v>
      </c>
    </row>
    <row r="31" spans="1:32" x14ac:dyDescent="0.45">
      <c r="A31" s="6" t="s">
        <v>13</v>
      </c>
      <c r="B31" s="7">
        <v>0.73095089154698034</v>
      </c>
      <c r="C31" s="7">
        <v>2.9111469250049479E-2</v>
      </c>
      <c r="D31" s="8">
        <v>0</v>
      </c>
      <c r="E31" s="8">
        <v>1</v>
      </c>
      <c r="F31" s="8">
        <v>377</v>
      </c>
      <c r="G31" s="7">
        <v>0.84179305124646708</v>
      </c>
      <c r="H31" s="7">
        <v>1.721318857754606E-2</v>
      </c>
      <c r="I31" s="8">
        <v>0</v>
      </c>
      <c r="J31" s="8">
        <v>1</v>
      </c>
      <c r="K31" s="8">
        <v>473</v>
      </c>
      <c r="L31" s="7">
        <v>0.59014669291052402</v>
      </c>
      <c r="M31" s="7">
        <v>2.4159482294212328E-2</v>
      </c>
      <c r="N31" s="8">
        <v>0</v>
      </c>
      <c r="O31" s="8">
        <v>1</v>
      </c>
      <c r="P31" s="8">
        <v>443</v>
      </c>
      <c r="Q31" s="7">
        <v>0.59230493585026966</v>
      </c>
      <c r="R31" s="7">
        <v>2.447481198118856E-2</v>
      </c>
      <c r="S31" s="8">
        <v>0</v>
      </c>
      <c r="T31" s="8">
        <v>1</v>
      </c>
      <c r="U31" s="8">
        <v>423</v>
      </c>
      <c r="V31" s="7">
        <v>0.41852525742691382</v>
      </c>
      <c r="W31" s="7">
        <v>2.0855988955482106E-2</v>
      </c>
      <c r="X31" s="8">
        <v>0</v>
      </c>
      <c r="Y31" s="8">
        <v>1</v>
      </c>
      <c r="Z31" s="8">
        <v>1073</v>
      </c>
      <c r="AA31" s="7">
        <v>0.66367275508263268</v>
      </c>
      <c r="AB31" s="7">
        <v>1.2541509515000998E-2</v>
      </c>
      <c r="AC31" s="8">
        <v>0</v>
      </c>
      <c r="AD31" s="8">
        <v>1</v>
      </c>
      <c r="AE31" s="8">
        <v>2789</v>
      </c>
      <c r="AF31">
        <f>(AA33/AA32)-AA31</f>
        <v>8.8382367490822067E-2</v>
      </c>
    </row>
    <row r="32" spans="1:32" x14ac:dyDescent="0.45">
      <c r="A32" s="6" t="s">
        <v>32</v>
      </c>
      <c r="B32" s="7">
        <v>0.2527724281813617</v>
      </c>
      <c r="C32" s="7">
        <v>2.3581271808324908E-2</v>
      </c>
      <c r="D32" s="8">
        <v>0</v>
      </c>
      <c r="E32" s="8">
        <v>1</v>
      </c>
      <c r="F32" s="8">
        <v>377</v>
      </c>
      <c r="G32" s="7">
        <v>0.1554454589262585</v>
      </c>
      <c r="H32" s="7">
        <v>1.7390664147984094E-2</v>
      </c>
      <c r="I32" s="8">
        <v>0</v>
      </c>
      <c r="J32" s="8">
        <v>1</v>
      </c>
      <c r="K32" s="8">
        <v>473</v>
      </c>
      <c r="L32" s="7">
        <v>0.15877572477573559</v>
      </c>
      <c r="M32" s="7">
        <v>1.7885640487502231E-2</v>
      </c>
      <c r="N32" s="8">
        <v>0</v>
      </c>
      <c r="O32" s="8">
        <v>1</v>
      </c>
      <c r="P32" s="8">
        <v>443</v>
      </c>
      <c r="Q32" s="7">
        <v>0.13416252742816348</v>
      </c>
      <c r="R32" s="7">
        <v>1.6834266849755707E-2</v>
      </c>
      <c r="S32" s="8">
        <v>0</v>
      </c>
      <c r="T32" s="8">
        <v>1</v>
      </c>
      <c r="U32" s="8">
        <v>423</v>
      </c>
      <c r="V32" s="7">
        <v>3.5681116912385707E-2</v>
      </c>
      <c r="W32" s="7">
        <v>5.9694575574459905E-3</v>
      </c>
      <c r="X32" s="8">
        <v>0</v>
      </c>
      <c r="Y32" s="8">
        <v>1</v>
      </c>
      <c r="Z32" s="8">
        <v>1073</v>
      </c>
      <c r="AA32" s="7">
        <v>0.1543771286135118</v>
      </c>
      <c r="AB32" s="7">
        <v>9.5089024086530607E-3</v>
      </c>
      <c r="AC32" s="8">
        <v>0</v>
      </c>
      <c r="AD32" s="8">
        <v>1</v>
      </c>
      <c r="AE32" s="8">
        <v>2789</v>
      </c>
      <c r="AF32">
        <f>(AA33/AA31)-AA32</f>
        <v>2.0558650342062779E-2</v>
      </c>
    </row>
    <row r="33" spans="1:32" x14ac:dyDescent="0.45">
      <c r="A33" s="6" t="s">
        <v>33</v>
      </c>
      <c r="B33" s="7">
        <v>0.2146037508611385</v>
      </c>
      <c r="C33" s="7">
        <v>2.2221662799424217E-2</v>
      </c>
      <c r="D33" s="8">
        <v>0</v>
      </c>
      <c r="E33" s="8">
        <v>1</v>
      </c>
      <c r="F33" s="8">
        <v>377</v>
      </c>
      <c r="G33" s="7">
        <v>0.13833180114882665</v>
      </c>
      <c r="H33" s="7">
        <v>1.6512185909748907E-2</v>
      </c>
      <c r="I33" s="8">
        <v>0</v>
      </c>
      <c r="J33" s="8">
        <v>1</v>
      </c>
      <c r="K33" s="8">
        <v>473</v>
      </c>
      <c r="L33" s="7">
        <v>0.10146607142982958</v>
      </c>
      <c r="M33" s="7">
        <v>1.4809702723708155E-2</v>
      </c>
      <c r="N33" s="8">
        <v>0</v>
      </c>
      <c r="O33" s="8">
        <v>1</v>
      </c>
      <c r="P33" s="8">
        <v>443</v>
      </c>
      <c r="Q33" s="7">
        <v>9.8859665297675245E-2</v>
      </c>
      <c r="R33" s="7">
        <v>1.4760993640256452E-2</v>
      </c>
      <c r="S33" s="8">
        <v>0</v>
      </c>
      <c r="T33" s="8">
        <v>1</v>
      </c>
      <c r="U33" s="8">
        <v>423</v>
      </c>
      <c r="V33" s="7">
        <v>2.7632974712595855E-2</v>
      </c>
      <c r="W33" s="7">
        <v>5.6296334163334454E-3</v>
      </c>
      <c r="X33" s="8">
        <v>0</v>
      </c>
      <c r="Y33" s="8">
        <v>1</v>
      </c>
      <c r="Z33" s="8">
        <v>1073</v>
      </c>
      <c r="AA33" s="7">
        <v>0.11610011038197261</v>
      </c>
      <c r="AB33" s="7">
        <v>8.2992933623589459E-3</v>
      </c>
      <c r="AC33" s="8">
        <v>0</v>
      </c>
      <c r="AD33" s="8">
        <v>1</v>
      </c>
      <c r="AE33" s="8">
        <v>2789</v>
      </c>
    </row>
    <row r="34" spans="1:32" x14ac:dyDescent="0.45">
      <c r="A34" s="6" t="s">
        <v>13</v>
      </c>
      <c r="B34" s="7">
        <v>0.73095089154698034</v>
      </c>
      <c r="C34" s="7">
        <v>2.9111469250049479E-2</v>
      </c>
      <c r="D34" s="8">
        <v>0</v>
      </c>
      <c r="E34" s="8">
        <v>1</v>
      </c>
      <c r="F34" s="8">
        <v>377</v>
      </c>
      <c r="G34" s="7">
        <v>0.84179305124646708</v>
      </c>
      <c r="H34" s="7">
        <v>1.721318857754606E-2</v>
      </c>
      <c r="I34" s="8">
        <v>0</v>
      </c>
      <c r="J34" s="8">
        <v>1</v>
      </c>
      <c r="K34" s="8">
        <v>473</v>
      </c>
      <c r="L34" s="7">
        <v>0.59014669291052402</v>
      </c>
      <c r="M34" s="7">
        <v>2.4159482294212328E-2</v>
      </c>
      <c r="N34" s="8">
        <v>0</v>
      </c>
      <c r="O34" s="8">
        <v>1</v>
      </c>
      <c r="P34" s="8">
        <v>443</v>
      </c>
      <c r="Q34" s="7">
        <v>0.59230493585026966</v>
      </c>
      <c r="R34" s="7">
        <v>2.447481198118856E-2</v>
      </c>
      <c r="S34" s="8">
        <v>0</v>
      </c>
      <c r="T34" s="8">
        <v>1</v>
      </c>
      <c r="U34" s="8">
        <v>423</v>
      </c>
      <c r="V34" s="7">
        <v>0.41852525742691382</v>
      </c>
      <c r="W34" s="7">
        <v>2.0855988955482106E-2</v>
      </c>
      <c r="X34" s="8">
        <v>0</v>
      </c>
      <c r="Y34" s="8">
        <v>1</v>
      </c>
      <c r="Z34" s="8">
        <v>1073</v>
      </c>
      <c r="AA34" s="7">
        <v>0.66367275508263268</v>
      </c>
      <c r="AB34" s="7">
        <v>1.2541509515000998E-2</v>
      </c>
      <c r="AC34" s="8">
        <v>0</v>
      </c>
      <c r="AD34" s="8">
        <v>1</v>
      </c>
      <c r="AE34" s="8">
        <v>2789</v>
      </c>
      <c r="AF34">
        <f>(AA36/AA35)-AA34</f>
        <v>0.13178518601443534</v>
      </c>
    </row>
    <row r="35" spans="1:32" x14ac:dyDescent="0.45">
      <c r="A35" s="6" t="s">
        <v>34</v>
      </c>
      <c r="B35" s="7">
        <v>2.263311268250193E-2</v>
      </c>
      <c r="C35" s="7">
        <v>7.3421367292460923E-3</v>
      </c>
      <c r="D35" s="8">
        <v>0</v>
      </c>
      <c r="E35" s="8">
        <v>1</v>
      </c>
      <c r="F35" s="8">
        <v>377</v>
      </c>
      <c r="G35" s="7">
        <v>5.8327627768387631E-2</v>
      </c>
      <c r="H35" s="7">
        <v>1.1334403264176443E-2</v>
      </c>
      <c r="I35" s="8">
        <v>0</v>
      </c>
      <c r="J35" s="8">
        <v>1</v>
      </c>
      <c r="K35" s="8">
        <v>473</v>
      </c>
      <c r="L35" s="7">
        <v>8.3487078786845886E-2</v>
      </c>
      <c r="M35" s="7">
        <v>1.3594933601456751E-2</v>
      </c>
      <c r="N35" s="8">
        <v>0</v>
      </c>
      <c r="O35" s="8">
        <v>1</v>
      </c>
      <c r="P35" s="8">
        <v>443</v>
      </c>
      <c r="Q35" s="7">
        <v>5.2708548379860748E-2</v>
      </c>
      <c r="R35" s="7">
        <v>1.100803849809036E-2</v>
      </c>
      <c r="S35" s="8">
        <v>0</v>
      </c>
      <c r="T35" s="8">
        <v>1</v>
      </c>
      <c r="U35" s="8">
        <v>423</v>
      </c>
      <c r="V35" s="7">
        <v>3.9397663243172917E-3</v>
      </c>
      <c r="W35" s="7">
        <v>1.9732066657802663E-3</v>
      </c>
      <c r="X35" s="8">
        <v>0</v>
      </c>
      <c r="Y35" s="8">
        <v>1</v>
      </c>
      <c r="Z35" s="8">
        <v>1073</v>
      </c>
      <c r="AA35" s="7">
        <v>6.2799338760446702E-2</v>
      </c>
      <c r="AB35" s="7">
        <v>6.7450581638249926E-3</v>
      </c>
      <c r="AC35" s="8">
        <v>0</v>
      </c>
      <c r="AD35" s="8">
        <v>1</v>
      </c>
      <c r="AE35" s="8">
        <v>2789</v>
      </c>
      <c r="AF35">
        <f>(AA36/AA34)-AA35</f>
        <v>1.2470035083930145E-2</v>
      </c>
    </row>
    <row r="36" spans="1:32" ht="26.25" x14ac:dyDescent="0.45">
      <c r="A36" s="6" t="s">
        <v>35</v>
      </c>
      <c r="B36" s="7">
        <v>1.6895164347427601E-2</v>
      </c>
      <c r="C36" s="7">
        <v>6.6586586449522631E-3</v>
      </c>
      <c r="D36" s="8">
        <v>0</v>
      </c>
      <c r="E36" s="8">
        <v>1</v>
      </c>
      <c r="F36" s="8">
        <v>377</v>
      </c>
      <c r="G36" s="7">
        <v>5.335249851502822E-2</v>
      </c>
      <c r="H36" s="7">
        <v>1.083923390855405E-2</v>
      </c>
      <c r="I36" s="8">
        <v>0</v>
      </c>
      <c r="J36" s="8">
        <v>1</v>
      </c>
      <c r="K36" s="8">
        <v>473</v>
      </c>
      <c r="L36" s="7">
        <v>6.4955925176121629E-2</v>
      </c>
      <c r="M36" s="7">
        <v>1.2172585634173025E-2</v>
      </c>
      <c r="N36" s="8">
        <v>0</v>
      </c>
      <c r="O36" s="8">
        <v>1</v>
      </c>
      <c r="P36" s="8">
        <v>443</v>
      </c>
      <c r="Q36" s="7">
        <v>3.6183117752125196E-2</v>
      </c>
      <c r="R36" s="7">
        <v>9.205318701422804E-3</v>
      </c>
      <c r="S36" s="8">
        <v>0</v>
      </c>
      <c r="T36" s="8">
        <v>1</v>
      </c>
      <c r="U36" s="8">
        <v>423</v>
      </c>
      <c r="V36" s="7">
        <v>3.8513391753618592E-3</v>
      </c>
      <c r="W36" s="7">
        <v>1.9710857545346253E-3</v>
      </c>
      <c r="X36" s="8">
        <v>0</v>
      </c>
      <c r="Y36" s="8">
        <v>1</v>
      </c>
      <c r="Z36" s="8">
        <v>1073</v>
      </c>
      <c r="AA36" s="7">
        <v>4.9954232712642231E-2</v>
      </c>
      <c r="AB36" s="7">
        <v>6.0769403956423412E-3</v>
      </c>
      <c r="AC36" s="8">
        <v>0</v>
      </c>
      <c r="AD36" s="8">
        <v>1</v>
      </c>
      <c r="AE36" s="8">
        <v>2789</v>
      </c>
    </row>
    <row r="37" spans="1:32" x14ac:dyDescent="0.45">
      <c r="A37" s="6" t="s">
        <v>13</v>
      </c>
      <c r="B37" s="7">
        <v>0.73095089154698034</v>
      </c>
      <c r="C37" s="7">
        <v>2.9111469250049479E-2</v>
      </c>
      <c r="D37" s="8">
        <v>0</v>
      </c>
      <c r="E37" s="8">
        <v>1</v>
      </c>
      <c r="F37" s="8">
        <v>377</v>
      </c>
      <c r="G37" s="7">
        <v>0.84179305124646708</v>
      </c>
      <c r="H37" s="7">
        <v>1.721318857754606E-2</v>
      </c>
      <c r="I37" s="8">
        <v>0</v>
      </c>
      <c r="J37" s="8">
        <v>1</v>
      </c>
      <c r="K37" s="8">
        <v>473</v>
      </c>
      <c r="L37" s="7">
        <v>0.59014669291052402</v>
      </c>
      <c r="M37" s="7">
        <v>2.4159482294212328E-2</v>
      </c>
      <c r="N37" s="8">
        <v>0</v>
      </c>
      <c r="O37" s="8">
        <v>1</v>
      </c>
      <c r="P37" s="8">
        <v>443</v>
      </c>
      <c r="Q37" s="7">
        <v>0.59230493585026966</v>
      </c>
      <c r="R37" s="7">
        <v>2.447481198118856E-2</v>
      </c>
      <c r="S37" s="8">
        <v>0</v>
      </c>
      <c r="T37" s="8">
        <v>1</v>
      </c>
      <c r="U37" s="8">
        <v>423</v>
      </c>
      <c r="V37" s="7">
        <v>0.41852525742691382</v>
      </c>
      <c r="W37" s="7">
        <v>2.0855988955482106E-2</v>
      </c>
      <c r="X37" s="8">
        <v>0</v>
      </c>
      <c r="Y37" s="8">
        <v>1</v>
      </c>
      <c r="Z37" s="8">
        <v>1073</v>
      </c>
      <c r="AA37" s="7">
        <v>0.66367275508263268</v>
      </c>
      <c r="AB37" s="7">
        <v>1.2541509515000998E-2</v>
      </c>
      <c r="AC37" s="8">
        <v>0</v>
      </c>
      <c r="AD37" s="8">
        <v>1</v>
      </c>
      <c r="AE37" s="8">
        <v>2789</v>
      </c>
      <c r="AF37">
        <f>(AA39/AA38)-AA37</f>
        <v>0.11287335031792045</v>
      </c>
    </row>
    <row r="38" spans="1:32" x14ac:dyDescent="0.45">
      <c r="A38" s="6" t="s">
        <v>36</v>
      </c>
      <c r="B38" s="7">
        <v>0.26636125194779031</v>
      </c>
      <c r="C38" s="7">
        <v>2.4189991287900472E-2</v>
      </c>
      <c r="D38" s="8">
        <v>0</v>
      </c>
      <c r="E38" s="8">
        <v>1</v>
      </c>
      <c r="F38" s="8">
        <v>377</v>
      </c>
      <c r="G38" s="7">
        <v>0.17672760534526755</v>
      </c>
      <c r="H38" s="7">
        <v>1.8127456261163202E-2</v>
      </c>
      <c r="I38" s="8">
        <v>0</v>
      </c>
      <c r="J38" s="8">
        <v>1</v>
      </c>
      <c r="K38" s="8">
        <v>467</v>
      </c>
      <c r="L38" s="7">
        <v>4.3890875888197518E-2</v>
      </c>
      <c r="M38" s="7">
        <v>9.6682460234033402E-3</v>
      </c>
      <c r="N38" s="8">
        <v>0</v>
      </c>
      <c r="O38" s="8">
        <v>1</v>
      </c>
      <c r="P38" s="8">
        <v>441</v>
      </c>
      <c r="Q38" s="7">
        <v>8.371081995835053E-2</v>
      </c>
      <c r="R38" s="7">
        <v>1.4050470479779449E-2</v>
      </c>
      <c r="S38" s="8">
        <v>0</v>
      </c>
      <c r="T38" s="8">
        <v>1</v>
      </c>
      <c r="U38" s="8">
        <v>422</v>
      </c>
      <c r="V38" s="7">
        <v>0.17670361522524197</v>
      </c>
      <c r="W38" s="7">
        <v>1.6865782603968957E-2</v>
      </c>
      <c r="X38" s="8">
        <v>0</v>
      </c>
      <c r="Y38" s="8">
        <v>1</v>
      </c>
      <c r="Z38" s="8">
        <v>1068</v>
      </c>
      <c r="AA38" s="7">
        <v>0.10901593418102137</v>
      </c>
      <c r="AB38" s="7">
        <v>7.4445039199197852E-3</v>
      </c>
      <c r="AC38" s="8">
        <v>0</v>
      </c>
      <c r="AD38" s="8">
        <v>1</v>
      </c>
      <c r="AE38" s="8">
        <v>2775</v>
      </c>
      <c r="AF38">
        <f>(AA39/AA37)-AA38</f>
        <v>1.8540754663821796E-2</v>
      </c>
    </row>
    <row r="39" spans="1:32" x14ac:dyDescent="0.45">
      <c r="A39" s="6" t="s">
        <v>37</v>
      </c>
      <c r="B39" s="7">
        <v>0.21985030521610008</v>
      </c>
      <c r="C39" s="7">
        <v>2.2559572291894991E-2</v>
      </c>
      <c r="D39" s="8">
        <v>0</v>
      </c>
      <c r="E39" s="8">
        <v>1</v>
      </c>
      <c r="F39" s="8">
        <v>377</v>
      </c>
      <c r="G39" s="7">
        <v>0.16093774206582587</v>
      </c>
      <c r="H39" s="7">
        <v>1.7644932060902382E-2</v>
      </c>
      <c r="I39" s="8">
        <v>0</v>
      </c>
      <c r="J39" s="8">
        <v>1</v>
      </c>
      <c r="K39" s="8">
        <v>467</v>
      </c>
      <c r="L39" s="7">
        <v>3.2627814839872649E-2</v>
      </c>
      <c r="M39" s="7">
        <v>8.3610321904283094E-3</v>
      </c>
      <c r="N39" s="8">
        <v>0</v>
      </c>
      <c r="O39" s="8">
        <v>1</v>
      </c>
      <c r="P39" s="8">
        <v>441</v>
      </c>
      <c r="Q39" s="7">
        <v>4.7062539879064384E-2</v>
      </c>
      <c r="R39" s="7">
        <v>1.0640055560573802E-2</v>
      </c>
      <c r="S39" s="8">
        <v>0</v>
      </c>
      <c r="T39" s="8">
        <v>1</v>
      </c>
      <c r="U39" s="8">
        <v>422</v>
      </c>
      <c r="V39" s="7">
        <v>5.6358435774039428E-2</v>
      </c>
      <c r="W39" s="7">
        <v>9.440841338213669E-3</v>
      </c>
      <c r="X39" s="8">
        <v>0</v>
      </c>
      <c r="Y39" s="8">
        <v>1</v>
      </c>
      <c r="Z39" s="8">
        <v>1068</v>
      </c>
      <c r="AA39" s="7">
        <v>8.4655899114875185E-2</v>
      </c>
      <c r="AB39" s="7">
        <v>6.7286340748857788E-3</v>
      </c>
      <c r="AC39" s="8">
        <v>0</v>
      </c>
      <c r="AD39" s="8">
        <v>1</v>
      </c>
      <c r="AE39" s="8">
        <v>2775</v>
      </c>
    </row>
    <row r="40" spans="1:32" x14ac:dyDescent="0.45">
      <c r="A40" s="6" t="s">
        <v>13</v>
      </c>
      <c r="B40" s="7">
        <v>0.73095089154698034</v>
      </c>
      <c r="C40" s="7">
        <v>2.9111469250049479E-2</v>
      </c>
      <c r="D40" s="8">
        <v>0</v>
      </c>
      <c r="E40" s="8">
        <v>1</v>
      </c>
      <c r="F40" s="8">
        <v>377</v>
      </c>
      <c r="G40" s="7">
        <v>0.84179305124646708</v>
      </c>
      <c r="H40" s="7">
        <v>1.721318857754606E-2</v>
      </c>
      <c r="I40" s="8">
        <v>0</v>
      </c>
      <c r="J40" s="8">
        <v>1</v>
      </c>
      <c r="K40" s="8">
        <v>473</v>
      </c>
      <c r="L40" s="7">
        <v>0.59014669291052402</v>
      </c>
      <c r="M40" s="7">
        <v>2.4159482294212328E-2</v>
      </c>
      <c r="N40" s="8">
        <v>0</v>
      </c>
      <c r="O40" s="8">
        <v>1</v>
      </c>
      <c r="P40" s="8">
        <v>443</v>
      </c>
      <c r="Q40" s="7">
        <v>0.59230493585026966</v>
      </c>
      <c r="R40" s="7">
        <v>2.447481198118856E-2</v>
      </c>
      <c r="S40" s="8">
        <v>0</v>
      </c>
      <c r="T40" s="8">
        <v>1</v>
      </c>
      <c r="U40" s="8">
        <v>423</v>
      </c>
      <c r="V40" s="7">
        <v>0.41852525742691382</v>
      </c>
      <c r="W40" s="7">
        <v>2.0855988955482106E-2</v>
      </c>
      <c r="X40" s="8">
        <v>0</v>
      </c>
      <c r="Y40" s="8">
        <v>1</v>
      </c>
      <c r="Z40" s="8">
        <v>1073</v>
      </c>
      <c r="AA40" s="7">
        <v>0.66367275508263268</v>
      </c>
      <c r="AB40" s="7">
        <v>1.2541509515000998E-2</v>
      </c>
      <c r="AC40" s="8">
        <v>0</v>
      </c>
      <c r="AD40" s="8">
        <v>1</v>
      </c>
      <c r="AE40" s="8">
        <v>2789</v>
      </c>
      <c r="AF40">
        <f>(AA42/AA41)-AA40</f>
        <v>0.16987647355588376</v>
      </c>
    </row>
    <row r="41" spans="1:32" ht="26.25" x14ac:dyDescent="0.45">
      <c r="A41" s="6" t="s">
        <v>38</v>
      </c>
      <c r="B41" s="7">
        <v>0.44223301820394767</v>
      </c>
      <c r="C41" s="7">
        <v>2.8300310545730831E-2</v>
      </c>
      <c r="D41" s="8">
        <v>0</v>
      </c>
      <c r="E41" s="8">
        <v>1</v>
      </c>
      <c r="F41" s="8">
        <v>377</v>
      </c>
      <c r="G41" s="7">
        <v>0.67963669016962303</v>
      </c>
      <c r="H41" s="7">
        <v>2.2169291635117473E-2</v>
      </c>
      <c r="I41" s="8">
        <v>0</v>
      </c>
      <c r="J41" s="8">
        <v>1</v>
      </c>
      <c r="K41" s="8">
        <v>473</v>
      </c>
      <c r="L41" s="7">
        <v>0.41452170070524536</v>
      </c>
      <c r="M41" s="7">
        <v>2.4249093275481391E-2</v>
      </c>
      <c r="N41" s="8">
        <v>0</v>
      </c>
      <c r="O41" s="8">
        <v>1</v>
      </c>
      <c r="P41" s="8">
        <v>443</v>
      </c>
      <c r="Q41" s="7">
        <v>0.50232647922994245</v>
      </c>
      <c r="R41" s="7">
        <v>2.4962894154274457E-2</v>
      </c>
      <c r="S41" s="8">
        <v>0</v>
      </c>
      <c r="T41" s="8">
        <v>1</v>
      </c>
      <c r="U41" s="8">
        <v>423</v>
      </c>
      <c r="V41" s="7">
        <v>0.18691243882002603</v>
      </c>
      <c r="W41" s="7">
        <v>1.6206610488577019E-2</v>
      </c>
      <c r="X41" s="8">
        <v>0</v>
      </c>
      <c r="Y41" s="8">
        <v>1</v>
      </c>
      <c r="Z41" s="8">
        <v>1073</v>
      </c>
      <c r="AA41" s="7">
        <v>0.50156328466083933</v>
      </c>
      <c r="AB41" s="7">
        <v>1.320292147742998E-2</v>
      </c>
      <c r="AC41" s="8">
        <v>0</v>
      </c>
      <c r="AD41" s="8">
        <v>1</v>
      </c>
      <c r="AE41" s="8">
        <v>2789</v>
      </c>
      <c r="AF41">
        <f>(AA42/AA40)-AA41</f>
        <v>0.12838225075652032</v>
      </c>
    </row>
    <row r="42" spans="1:32" ht="26.25" x14ac:dyDescent="0.45">
      <c r="A42" s="6" t="s">
        <v>39</v>
      </c>
      <c r="B42" s="7">
        <v>0.4171233790767277</v>
      </c>
      <c r="C42" s="7">
        <v>2.7937978536967053E-2</v>
      </c>
      <c r="D42" s="8">
        <v>0</v>
      </c>
      <c r="E42" s="8">
        <v>1</v>
      </c>
      <c r="F42" s="8">
        <v>377</v>
      </c>
      <c r="G42" s="7">
        <v>0.65212303876499123</v>
      </c>
      <c r="H42" s="7">
        <v>2.2647155919137772E-2</v>
      </c>
      <c r="I42" s="8">
        <v>0</v>
      </c>
      <c r="J42" s="8">
        <v>1</v>
      </c>
      <c r="K42" s="8">
        <v>473</v>
      </c>
      <c r="L42" s="7">
        <v>0.30672907961742152</v>
      </c>
      <c r="M42" s="7">
        <v>2.277155998123144E-2</v>
      </c>
      <c r="N42" s="8">
        <v>0</v>
      </c>
      <c r="O42" s="8">
        <v>1</v>
      </c>
      <c r="P42" s="8">
        <v>443</v>
      </c>
      <c r="Q42" s="7">
        <v>0.36605434693443034</v>
      </c>
      <c r="R42" s="7">
        <v>2.423308241408223E-2</v>
      </c>
      <c r="S42" s="8">
        <v>0</v>
      </c>
      <c r="T42" s="8">
        <v>1</v>
      </c>
      <c r="U42" s="8">
        <v>423</v>
      </c>
      <c r="V42" s="7">
        <v>0.1668005727175508</v>
      </c>
      <c r="W42" s="7">
        <v>1.5528457528409447E-2</v>
      </c>
      <c r="X42" s="8">
        <v>0</v>
      </c>
      <c r="Y42" s="8">
        <v>1</v>
      </c>
      <c r="Z42" s="8">
        <v>1073</v>
      </c>
      <c r="AA42" s="7">
        <v>0.41807768904244325</v>
      </c>
      <c r="AB42" s="7">
        <v>1.2985347872095017E-2</v>
      </c>
      <c r="AC42" s="8">
        <v>0</v>
      </c>
      <c r="AD42" s="8">
        <v>1</v>
      </c>
      <c r="AE42" s="8">
        <v>2789</v>
      </c>
    </row>
    <row r="43" spans="1:32" x14ac:dyDescent="0.45">
      <c r="A43" s="6" t="s">
        <v>13</v>
      </c>
      <c r="B43" s="7">
        <v>0.73095089154698034</v>
      </c>
      <c r="C43" s="7">
        <v>2.9111469250049479E-2</v>
      </c>
      <c r="D43" s="8">
        <v>0</v>
      </c>
      <c r="E43" s="8">
        <v>1</v>
      </c>
      <c r="F43" s="8">
        <v>377</v>
      </c>
      <c r="G43" s="7">
        <v>0.84179305124646708</v>
      </c>
      <c r="H43" s="7">
        <v>1.721318857754606E-2</v>
      </c>
      <c r="I43" s="8">
        <v>0</v>
      </c>
      <c r="J43" s="8">
        <v>1</v>
      </c>
      <c r="K43" s="8">
        <v>473</v>
      </c>
      <c r="L43" s="7">
        <v>0.59014669291052402</v>
      </c>
      <c r="M43" s="7">
        <v>2.4159482294212328E-2</v>
      </c>
      <c r="N43" s="8">
        <v>0</v>
      </c>
      <c r="O43" s="8">
        <v>1</v>
      </c>
      <c r="P43" s="8">
        <v>443</v>
      </c>
      <c r="Q43" s="7">
        <v>0.59230493585026966</v>
      </c>
      <c r="R43" s="7">
        <v>2.447481198118856E-2</v>
      </c>
      <c r="S43" s="8">
        <v>0</v>
      </c>
      <c r="T43" s="8">
        <v>1</v>
      </c>
      <c r="U43" s="8">
        <v>423</v>
      </c>
      <c r="V43" s="7">
        <v>0.41852525742691382</v>
      </c>
      <c r="W43" s="7">
        <v>2.0855988955482106E-2</v>
      </c>
      <c r="X43" s="8">
        <v>0</v>
      </c>
      <c r="Y43" s="8">
        <v>1</v>
      </c>
      <c r="Z43" s="8">
        <v>1073</v>
      </c>
      <c r="AA43" s="7">
        <v>0.66367275508263268</v>
      </c>
      <c r="AB43" s="7">
        <v>1.2541509515000998E-2</v>
      </c>
      <c r="AC43" s="8">
        <v>0</v>
      </c>
      <c r="AD43" s="8">
        <v>1</v>
      </c>
      <c r="AE43" s="8">
        <v>2789</v>
      </c>
      <c r="AF43">
        <f>(AA45/AA44)-AA43</f>
        <v>5.7840591909490757E-2</v>
      </c>
    </row>
    <row r="44" spans="1:32" x14ac:dyDescent="0.45">
      <c r="A44" s="6" t="s">
        <v>40</v>
      </c>
      <c r="B44" s="7">
        <v>0.24786641106498949</v>
      </c>
      <c r="C44" s="7">
        <v>2.3847850003411539E-2</v>
      </c>
      <c r="D44" s="8">
        <v>0</v>
      </c>
      <c r="E44" s="8">
        <v>1</v>
      </c>
      <c r="F44" s="8">
        <v>377</v>
      </c>
      <c r="G44" s="7">
        <v>0.31149999401439304</v>
      </c>
      <c r="H44" s="7">
        <v>2.2025125692018081E-2</v>
      </c>
      <c r="I44" s="8">
        <v>0</v>
      </c>
      <c r="J44" s="8">
        <v>1</v>
      </c>
      <c r="K44" s="8">
        <v>473</v>
      </c>
      <c r="L44" s="7">
        <v>0.27873695588735009</v>
      </c>
      <c r="M44" s="7">
        <v>2.1757269898733667E-2</v>
      </c>
      <c r="N44" s="8">
        <v>0</v>
      </c>
      <c r="O44" s="8">
        <v>1</v>
      </c>
      <c r="P44" s="8">
        <v>443</v>
      </c>
      <c r="Q44" s="7">
        <v>0.7144739729494628</v>
      </c>
      <c r="R44" s="7">
        <v>2.2433009195978806E-2</v>
      </c>
      <c r="S44" s="8">
        <v>0</v>
      </c>
      <c r="T44" s="8">
        <v>1</v>
      </c>
      <c r="U44" s="8">
        <v>423</v>
      </c>
      <c r="V44" s="7">
        <v>0.42578593556370831</v>
      </c>
      <c r="W44" s="7">
        <v>2.0859115306836037E-2</v>
      </c>
      <c r="X44" s="8">
        <v>0</v>
      </c>
      <c r="Y44" s="8">
        <v>1</v>
      </c>
      <c r="Z44" s="8">
        <v>1073</v>
      </c>
      <c r="AA44" s="7">
        <v>0.38890886648264583</v>
      </c>
      <c r="AB44" s="7">
        <v>1.2688043853195404E-2</v>
      </c>
      <c r="AC44" s="8">
        <v>0</v>
      </c>
      <c r="AD44" s="8">
        <v>1</v>
      </c>
      <c r="AE44" s="8">
        <v>2789</v>
      </c>
      <c r="AF44">
        <f>(AA45/AA43)-AA44</f>
        <v>3.3894293330460068E-2</v>
      </c>
    </row>
    <row r="45" spans="1:32" ht="26.25" x14ac:dyDescent="0.45">
      <c r="A45" s="6" t="s">
        <v>41</v>
      </c>
      <c r="B45" s="7">
        <v>0.21904979600205593</v>
      </c>
      <c r="C45" s="7">
        <v>2.2752532610491576E-2</v>
      </c>
      <c r="D45" s="8">
        <v>0</v>
      </c>
      <c r="E45" s="8">
        <v>1</v>
      </c>
      <c r="F45" s="8">
        <v>377</v>
      </c>
      <c r="G45" s="7">
        <v>0.30693434601381059</v>
      </c>
      <c r="H45" s="7">
        <v>2.1933544170711163E-2</v>
      </c>
      <c r="I45" s="8">
        <v>0</v>
      </c>
      <c r="J45" s="8">
        <v>1</v>
      </c>
      <c r="K45" s="8">
        <v>473</v>
      </c>
      <c r="L45" s="7">
        <v>0.15651954604342846</v>
      </c>
      <c r="M45" s="7">
        <v>1.7711152021927176E-2</v>
      </c>
      <c r="N45" s="8">
        <v>0</v>
      </c>
      <c r="O45" s="8">
        <v>1</v>
      </c>
      <c r="P45" s="8">
        <v>443</v>
      </c>
      <c r="Q45" s="7">
        <v>0.4793180195310397</v>
      </c>
      <c r="R45" s="7">
        <v>2.4958763627068132E-2</v>
      </c>
      <c r="S45" s="8">
        <v>0</v>
      </c>
      <c r="T45" s="8">
        <v>1</v>
      </c>
      <c r="U45" s="8">
        <v>423</v>
      </c>
      <c r="V45" s="7">
        <v>0.32097333000142447</v>
      </c>
      <c r="W45" s="7">
        <v>1.9281342002672699E-2</v>
      </c>
      <c r="X45" s="8">
        <v>0</v>
      </c>
      <c r="Y45" s="8">
        <v>1</v>
      </c>
      <c r="Z45" s="8">
        <v>1073</v>
      </c>
      <c r="AA45" s="7">
        <v>0.28060293793080665</v>
      </c>
      <c r="AB45" s="7">
        <v>1.1491773336033377E-2</v>
      </c>
      <c r="AC45" s="8">
        <v>0</v>
      </c>
      <c r="AD45" s="8">
        <v>1</v>
      </c>
      <c r="AE45" s="8">
        <v>2789</v>
      </c>
    </row>
    <row r="46" spans="1:32" x14ac:dyDescent="0.45">
      <c r="A46" s="6" t="s">
        <v>13</v>
      </c>
      <c r="B46" s="7">
        <v>0.73095089154698034</v>
      </c>
      <c r="C46" s="7">
        <v>2.9111469250049479E-2</v>
      </c>
      <c r="D46" s="8">
        <v>0</v>
      </c>
      <c r="E46" s="8">
        <v>1</v>
      </c>
      <c r="F46" s="8">
        <v>377</v>
      </c>
      <c r="G46" s="7">
        <v>0.84179305124646708</v>
      </c>
      <c r="H46" s="7">
        <v>1.721318857754606E-2</v>
      </c>
      <c r="I46" s="8">
        <v>0</v>
      </c>
      <c r="J46" s="8">
        <v>1</v>
      </c>
      <c r="K46" s="8">
        <v>473</v>
      </c>
      <c r="L46" s="7">
        <v>0.59014669291052402</v>
      </c>
      <c r="M46" s="7">
        <v>2.4159482294212328E-2</v>
      </c>
      <c r="N46" s="8">
        <v>0</v>
      </c>
      <c r="O46" s="8">
        <v>1</v>
      </c>
      <c r="P46" s="8">
        <v>443</v>
      </c>
      <c r="Q46" s="7">
        <v>0.59230493585026966</v>
      </c>
      <c r="R46" s="7">
        <v>2.447481198118856E-2</v>
      </c>
      <c r="S46" s="8">
        <v>0</v>
      </c>
      <c r="T46" s="8">
        <v>1</v>
      </c>
      <c r="U46" s="8">
        <v>423</v>
      </c>
      <c r="V46" s="7">
        <v>0.41852525742691382</v>
      </c>
      <c r="W46" s="7">
        <v>2.0855988955482106E-2</v>
      </c>
      <c r="X46" s="8">
        <v>0</v>
      </c>
      <c r="Y46" s="8">
        <v>1</v>
      </c>
      <c r="Z46" s="8">
        <v>1073</v>
      </c>
      <c r="AA46" s="7">
        <v>0.66367275508263268</v>
      </c>
      <c r="AB46" s="7">
        <v>1.2541509515000998E-2</v>
      </c>
      <c r="AC46" s="8">
        <v>0</v>
      </c>
      <c r="AD46" s="8">
        <v>1</v>
      </c>
      <c r="AE46" s="8">
        <v>2789</v>
      </c>
      <c r="AF46">
        <f>(AA48/AA47)-AA46</f>
        <v>6.6599190148655008E-2</v>
      </c>
    </row>
    <row r="47" spans="1:32" x14ac:dyDescent="0.45">
      <c r="A47" s="6" t="s">
        <v>42</v>
      </c>
      <c r="B47" s="7">
        <v>0.25408442278087268</v>
      </c>
      <c r="C47" s="7">
        <v>2.3890244562588821E-2</v>
      </c>
      <c r="D47" s="8">
        <v>0</v>
      </c>
      <c r="E47" s="8">
        <v>1</v>
      </c>
      <c r="F47" s="8">
        <v>377</v>
      </c>
      <c r="G47" s="7">
        <v>0.38956592850901783</v>
      </c>
      <c r="H47" s="7">
        <v>2.3227425068734729E-2</v>
      </c>
      <c r="I47" s="8">
        <v>0</v>
      </c>
      <c r="J47" s="8">
        <v>1</v>
      </c>
      <c r="K47" s="8">
        <v>473</v>
      </c>
      <c r="L47" s="7">
        <v>0.29434907940891936</v>
      </c>
      <c r="M47" s="7">
        <v>2.2760326811863539E-2</v>
      </c>
      <c r="N47" s="8">
        <v>0</v>
      </c>
      <c r="O47" s="8">
        <v>1</v>
      </c>
      <c r="P47" s="8">
        <v>443</v>
      </c>
      <c r="Q47" s="7">
        <v>0.48120800183961793</v>
      </c>
      <c r="R47" s="7">
        <v>2.4961710177192679E-2</v>
      </c>
      <c r="S47" s="8">
        <v>0</v>
      </c>
      <c r="T47" s="8">
        <v>1</v>
      </c>
      <c r="U47" s="8">
        <v>423</v>
      </c>
      <c r="V47" s="7">
        <v>0.3185812605122561</v>
      </c>
      <c r="W47" s="7">
        <v>1.8993252911173444E-2</v>
      </c>
      <c r="X47" s="8">
        <v>0</v>
      </c>
      <c r="Y47" s="8">
        <v>1</v>
      </c>
      <c r="Z47" s="8">
        <v>1073</v>
      </c>
      <c r="AA47" s="7">
        <v>0.36087108047955696</v>
      </c>
      <c r="AB47" s="7">
        <v>1.2672536005467003E-2</v>
      </c>
      <c r="AC47" s="8">
        <v>0</v>
      </c>
      <c r="AD47" s="8">
        <v>1</v>
      </c>
      <c r="AE47" s="8">
        <v>2789</v>
      </c>
      <c r="AF47">
        <f>(AA48/AA46)-AA47</f>
        <v>3.621321129118249E-2</v>
      </c>
    </row>
    <row r="48" spans="1:32" ht="26.25" x14ac:dyDescent="0.45">
      <c r="A48" s="6" t="s">
        <v>43</v>
      </c>
      <c r="B48" s="7">
        <v>0.20783612151333758</v>
      </c>
      <c r="C48" s="7">
        <v>2.1941547846973764E-2</v>
      </c>
      <c r="D48" s="8">
        <v>0</v>
      </c>
      <c r="E48" s="8">
        <v>1</v>
      </c>
      <c r="F48" s="8">
        <v>377</v>
      </c>
      <c r="G48" s="7">
        <v>0.36220762205055035</v>
      </c>
      <c r="H48" s="7">
        <v>2.2886880180809102E-2</v>
      </c>
      <c r="I48" s="8">
        <v>0</v>
      </c>
      <c r="J48" s="8">
        <v>1</v>
      </c>
      <c r="K48" s="8">
        <v>473</v>
      </c>
      <c r="L48" s="7">
        <v>0.19058192643786664</v>
      </c>
      <c r="M48" s="7">
        <v>1.9712322175554717E-2</v>
      </c>
      <c r="N48" s="8">
        <v>0</v>
      </c>
      <c r="O48" s="8">
        <v>1</v>
      </c>
      <c r="P48" s="8">
        <v>443</v>
      </c>
      <c r="Q48" s="7">
        <v>0.29804167033695206</v>
      </c>
      <c r="R48" s="7">
        <v>2.2999291005938293E-2</v>
      </c>
      <c r="S48" s="8">
        <v>0</v>
      </c>
      <c r="T48" s="8">
        <v>1</v>
      </c>
      <c r="U48" s="8">
        <v>423</v>
      </c>
      <c r="V48" s="7">
        <v>0.19608469360883127</v>
      </c>
      <c r="W48" s="7">
        <v>1.6185591144955856E-2</v>
      </c>
      <c r="X48" s="8">
        <v>0</v>
      </c>
      <c r="Y48" s="8">
        <v>1</v>
      </c>
      <c r="Z48" s="8">
        <v>1073</v>
      </c>
      <c r="AA48" s="7">
        <v>0.26353402591952263</v>
      </c>
      <c r="AB48" s="7">
        <v>1.1566790664016932E-2</v>
      </c>
      <c r="AC48" s="8">
        <v>0</v>
      </c>
      <c r="AD48" s="8">
        <v>1</v>
      </c>
      <c r="AE48" s="8">
        <v>2789</v>
      </c>
    </row>
    <row r="49" spans="1:32" x14ac:dyDescent="0.45">
      <c r="A49" s="6" t="s">
        <v>13</v>
      </c>
      <c r="B49" s="7">
        <v>0.73095089154698034</v>
      </c>
      <c r="C49" s="7">
        <v>2.9111469250049479E-2</v>
      </c>
      <c r="D49" s="8">
        <v>0</v>
      </c>
      <c r="E49" s="8">
        <v>1</v>
      </c>
      <c r="F49" s="8">
        <v>377</v>
      </c>
      <c r="G49" s="7">
        <v>0.84179305124646708</v>
      </c>
      <c r="H49" s="7">
        <v>1.721318857754606E-2</v>
      </c>
      <c r="I49" s="8">
        <v>0</v>
      </c>
      <c r="J49" s="8">
        <v>1</v>
      </c>
      <c r="K49" s="8">
        <v>473</v>
      </c>
      <c r="L49" s="7">
        <v>0.59014669291052402</v>
      </c>
      <c r="M49" s="7">
        <v>2.4159482294212328E-2</v>
      </c>
      <c r="N49" s="8">
        <v>0</v>
      </c>
      <c r="O49" s="8">
        <v>1</v>
      </c>
      <c r="P49" s="8">
        <v>443</v>
      </c>
      <c r="Q49" s="7">
        <v>0.59230493585026966</v>
      </c>
      <c r="R49" s="7">
        <v>2.447481198118856E-2</v>
      </c>
      <c r="S49" s="8">
        <v>0</v>
      </c>
      <c r="T49" s="8">
        <v>1</v>
      </c>
      <c r="U49" s="8">
        <v>423</v>
      </c>
      <c r="V49" s="7">
        <v>0.41852525742691382</v>
      </c>
      <c r="W49" s="7">
        <v>2.0855988955482106E-2</v>
      </c>
      <c r="X49" s="8">
        <v>0</v>
      </c>
      <c r="Y49" s="8">
        <v>1</v>
      </c>
      <c r="Z49" s="8">
        <v>1073</v>
      </c>
      <c r="AA49" s="7">
        <v>0.66367275508263268</v>
      </c>
      <c r="AB49" s="7">
        <v>1.2541509515000998E-2</v>
      </c>
      <c r="AC49" s="8">
        <v>0</v>
      </c>
      <c r="AD49" s="8">
        <v>1</v>
      </c>
      <c r="AE49" s="8">
        <v>2789</v>
      </c>
      <c r="AF49">
        <f>(AA51/AA50)-AA49</f>
        <v>5.8942204027479961E-2</v>
      </c>
    </row>
    <row r="50" spans="1:32" x14ac:dyDescent="0.45">
      <c r="A50" s="6" t="s">
        <v>44</v>
      </c>
      <c r="B50" s="7">
        <v>8.0786565347683054E-2</v>
      </c>
      <c r="C50" s="7">
        <v>1.5016123840370335E-2</v>
      </c>
      <c r="D50" s="8">
        <v>0</v>
      </c>
      <c r="E50" s="8">
        <v>1</v>
      </c>
      <c r="F50" s="8">
        <v>377</v>
      </c>
      <c r="G50" s="7">
        <v>9.1853674780647654E-2</v>
      </c>
      <c r="H50" s="7">
        <v>1.3604205216173792E-2</v>
      </c>
      <c r="I50" s="8">
        <v>0</v>
      </c>
      <c r="J50" s="8">
        <v>1</v>
      </c>
      <c r="K50" s="8">
        <v>473</v>
      </c>
      <c r="L50" s="7">
        <v>4.9754031578703402E-2</v>
      </c>
      <c r="M50" s="7">
        <v>1.103367216294986E-2</v>
      </c>
      <c r="N50" s="8">
        <v>0</v>
      </c>
      <c r="O50" s="8">
        <v>1</v>
      </c>
      <c r="P50" s="8">
        <v>443</v>
      </c>
      <c r="Q50" s="7">
        <v>0.15234303743644023</v>
      </c>
      <c r="R50" s="7">
        <v>1.7921333577869139E-2</v>
      </c>
      <c r="S50" s="8">
        <v>0</v>
      </c>
      <c r="T50" s="8">
        <v>1</v>
      </c>
      <c r="U50" s="8">
        <v>423</v>
      </c>
      <c r="V50" s="7">
        <v>8.2961551505331077E-2</v>
      </c>
      <c r="W50" s="7">
        <v>8.9475819872891042E-3</v>
      </c>
      <c r="X50" s="8">
        <v>0</v>
      </c>
      <c r="Y50" s="8">
        <v>1</v>
      </c>
      <c r="Z50" s="8">
        <v>1073</v>
      </c>
      <c r="AA50" s="7">
        <v>8.7706153685111046E-2</v>
      </c>
      <c r="AB50" s="7">
        <v>7.1838488407195067E-3</v>
      </c>
      <c r="AC50" s="8">
        <v>0</v>
      </c>
      <c r="AD50" s="8">
        <v>1</v>
      </c>
      <c r="AE50" s="8">
        <v>2789</v>
      </c>
      <c r="AF50">
        <f>(AA51/AA49)-AA50</f>
        <v>7.7893720442534509E-3</v>
      </c>
    </row>
    <row r="51" spans="1:32" x14ac:dyDescent="0.45">
      <c r="A51" s="6" t="s">
        <v>45</v>
      </c>
      <c r="B51" s="7">
        <v>6.990328899516228E-2</v>
      </c>
      <c r="C51" s="7">
        <v>1.3828527416916347E-2</v>
      </c>
      <c r="D51" s="8">
        <v>0</v>
      </c>
      <c r="E51" s="8">
        <v>1</v>
      </c>
      <c r="F51" s="8">
        <v>377</v>
      </c>
      <c r="G51" s="7">
        <v>8.5064420183772693E-2</v>
      </c>
      <c r="H51" s="7">
        <v>1.3126709804822528E-2</v>
      </c>
      <c r="I51" s="8">
        <v>0</v>
      </c>
      <c r="J51" s="8">
        <v>1</v>
      </c>
      <c r="K51" s="8">
        <v>473</v>
      </c>
      <c r="L51" s="7">
        <v>2.2277071756105077E-2</v>
      </c>
      <c r="M51" s="7">
        <v>7.4192453304244349E-3</v>
      </c>
      <c r="N51" s="8">
        <v>0</v>
      </c>
      <c r="O51" s="8">
        <v>1</v>
      </c>
      <c r="P51" s="8">
        <v>443</v>
      </c>
      <c r="Q51" s="7">
        <v>0.11145785186246526</v>
      </c>
      <c r="R51" s="7">
        <v>1.5749911831975945E-2</v>
      </c>
      <c r="S51" s="8">
        <v>0</v>
      </c>
      <c r="T51" s="8">
        <v>1</v>
      </c>
      <c r="U51" s="8">
        <v>423</v>
      </c>
      <c r="V51" s="7">
        <v>3.6365141106828786E-2</v>
      </c>
      <c r="W51" s="7">
        <v>7.1115249031408244E-3</v>
      </c>
      <c r="X51" s="8">
        <v>0</v>
      </c>
      <c r="Y51" s="8">
        <v>1</v>
      </c>
      <c r="Z51" s="8">
        <v>1073</v>
      </c>
      <c r="AA51" s="7">
        <v>6.3377778658871772E-2</v>
      </c>
      <c r="AB51" s="7">
        <v>6.0201831596798441E-3</v>
      </c>
      <c r="AC51" s="8">
        <v>0</v>
      </c>
      <c r="AD51" s="8">
        <v>1</v>
      </c>
      <c r="AE51" s="8">
        <v>2789</v>
      </c>
    </row>
    <row r="52" spans="1:32" x14ac:dyDescent="0.45">
      <c r="A52" s="6" t="s">
        <v>14</v>
      </c>
      <c r="B52" s="7">
        <v>1.6299713809069992E-2</v>
      </c>
      <c r="C52" s="7">
        <v>6.7559290889246722E-3</v>
      </c>
      <c r="D52" s="8">
        <v>0</v>
      </c>
      <c r="E52" s="8">
        <v>1</v>
      </c>
      <c r="F52" s="8">
        <v>377</v>
      </c>
      <c r="G52" s="7">
        <v>4.0930105229345877E-2</v>
      </c>
      <c r="H52" s="7">
        <v>9.2283380702012606E-3</v>
      </c>
      <c r="I52" s="8">
        <v>0</v>
      </c>
      <c r="J52" s="8">
        <v>1</v>
      </c>
      <c r="K52" s="8">
        <v>473</v>
      </c>
      <c r="L52" s="7">
        <v>2.6947627675517876E-2</v>
      </c>
      <c r="M52" s="7">
        <v>8.1956483655165769E-3</v>
      </c>
      <c r="N52" s="8">
        <v>0</v>
      </c>
      <c r="O52" s="8">
        <v>1</v>
      </c>
      <c r="P52" s="8">
        <v>443</v>
      </c>
      <c r="Q52" s="7">
        <v>4.4859347935278154E-2</v>
      </c>
      <c r="R52" s="7">
        <v>1.0696186820389126E-2</v>
      </c>
      <c r="S52" s="8">
        <v>0</v>
      </c>
      <c r="T52" s="8">
        <v>1</v>
      </c>
      <c r="U52" s="8">
        <v>423</v>
      </c>
      <c r="V52" s="7">
        <v>6.7866822673877614E-2</v>
      </c>
      <c r="W52" s="7">
        <v>1.042915216029173E-2</v>
      </c>
      <c r="X52" s="8">
        <v>0</v>
      </c>
      <c r="Y52" s="8">
        <v>1</v>
      </c>
      <c r="Z52" s="8">
        <v>1073</v>
      </c>
      <c r="AA52" s="7">
        <v>3.5536578942749503E-2</v>
      </c>
      <c r="AB52" s="7">
        <v>4.8204560203450415E-3</v>
      </c>
      <c r="AC52" s="8">
        <v>0</v>
      </c>
      <c r="AD52" s="8">
        <v>1</v>
      </c>
      <c r="AE52" s="8">
        <v>2789</v>
      </c>
      <c r="AF52">
        <f>(AA54/AA53)-AA52</f>
        <v>4.2898238622720242E-2</v>
      </c>
    </row>
    <row r="53" spans="1:32" x14ac:dyDescent="0.45">
      <c r="A53" s="6" t="s">
        <v>26</v>
      </c>
      <c r="B53" s="7">
        <v>4.2417616022147671E-2</v>
      </c>
      <c r="C53" s="7">
        <v>1.0510324665511129E-2</v>
      </c>
      <c r="D53" s="8">
        <v>0</v>
      </c>
      <c r="E53" s="8">
        <v>1</v>
      </c>
      <c r="F53" s="8">
        <v>377</v>
      </c>
      <c r="G53" s="7">
        <v>0.13820208651722821</v>
      </c>
      <c r="H53" s="7">
        <v>1.6475096603360842E-2</v>
      </c>
      <c r="I53" s="8">
        <v>0</v>
      </c>
      <c r="J53" s="8">
        <v>1</v>
      </c>
      <c r="K53" s="8">
        <v>473</v>
      </c>
      <c r="L53" s="7">
        <v>0.10469634306542444</v>
      </c>
      <c r="M53" s="7">
        <v>1.5394889579067119E-2</v>
      </c>
      <c r="N53" s="8">
        <v>0</v>
      </c>
      <c r="O53" s="8">
        <v>1</v>
      </c>
      <c r="P53" s="8">
        <v>443</v>
      </c>
      <c r="Q53" s="7">
        <v>0.21697284641081702</v>
      </c>
      <c r="R53" s="7">
        <v>2.0889826904432647E-2</v>
      </c>
      <c r="S53" s="8">
        <v>0</v>
      </c>
      <c r="T53" s="8">
        <v>1</v>
      </c>
      <c r="U53" s="8">
        <v>423</v>
      </c>
      <c r="V53" s="7">
        <v>6.8214282763813486E-2</v>
      </c>
      <c r="W53" s="7">
        <v>1.0070079910351819E-2</v>
      </c>
      <c r="X53" s="8">
        <v>0</v>
      </c>
      <c r="Y53" s="8">
        <v>1</v>
      </c>
      <c r="Z53" s="8">
        <v>1073</v>
      </c>
      <c r="AA53" s="7">
        <v>0.13381594000174568</v>
      </c>
      <c r="AB53" s="7">
        <v>9.0632155667956203E-3</v>
      </c>
      <c r="AC53" s="8">
        <v>0</v>
      </c>
      <c r="AD53" s="8">
        <v>1</v>
      </c>
      <c r="AE53" s="8">
        <v>2789</v>
      </c>
      <c r="AF53">
        <f>(AA54/AA52)-AA53</f>
        <v>0.16153688105336667</v>
      </c>
    </row>
    <row r="54" spans="1:32" x14ac:dyDescent="0.45">
      <c r="A54" s="6" t="s">
        <v>46</v>
      </c>
      <c r="B54" s="7">
        <v>0</v>
      </c>
      <c r="C54" s="7">
        <v>0</v>
      </c>
      <c r="D54" s="8">
        <v>0</v>
      </c>
      <c r="E54" s="8">
        <v>0</v>
      </c>
      <c r="F54" s="8">
        <v>377</v>
      </c>
      <c r="G54" s="7">
        <v>1.5250920785752426E-2</v>
      </c>
      <c r="H54" s="7">
        <v>5.7280251381826791E-3</v>
      </c>
      <c r="I54" s="8">
        <v>0</v>
      </c>
      <c r="J54" s="8">
        <v>1</v>
      </c>
      <c r="K54" s="8">
        <v>473</v>
      </c>
      <c r="L54" s="7">
        <v>0</v>
      </c>
      <c r="M54" s="7">
        <v>0</v>
      </c>
      <c r="N54" s="8">
        <v>0</v>
      </c>
      <c r="O54" s="8">
        <v>0</v>
      </c>
      <c r="P54" s="8">
        <v>443</v>
      </c>
      <c r="Q54" s="7">
        <v>2.7124286740931671E-2</v>
      </c>
      <c r="R54" s="7">
        <v>8.4834460090411415E-3</v>
      </c>
      <c r="S54" s="8">
        <v>0</v>
      </c>
      <c r="T54" s="8">
        <v>1</v>
      </c>
      <c r="U54" s="8">
        <v>423</v>
      </c>
      <c r="V54" s="7">
        <v>5.073931137583935E-3</v>
      </c>
      <c r="W54" s="7">
        <v>2.6667194071823127E-3</v>
      </c>
      <c r="X54" s="8">
        <v>0</v>
      </c>
      <c r="Y54" s="8">
        <v>1</v>
      </c>
      <c r="Z54" s="8">
        <v>1073</v>
      </c>
      <c r="AA54" s="7">
        <v>1.0495828841388768E-2</v>
      </c>
      <c r="AB54" s="7">
        <v>2.4986266542151216E-3</v>
      </c>
      <c r="AC54" s="8">
        <v>0</v>
      </c>
      <c r="AD54" s="8">
        <v>1</v>
      </c>
      <c r="AE54" s="8">
        <v>2789</v>
      </c>
    </row>
    <row r="55" spans="1:32" x14ac:dyDescent="0.45">
      <c r="A55" s="6" t="s">
        <v>14</v>
      </c>
      <c r="B55" s="7">
        <v>1.6299713809069992E-2</v>
      </c>
      <c r="C55" s="7">
        <v>6.7559290889246722E-3</v>
      </c>
      <c r="D55" s="8">
        <v>0</v>
      </c>
      <c r="E55" s="8">
        <v>1</v>
      </c>
      <c r="F55" s="8">
        <v>377</v>
      </c>
      <c r="G55" s="7">
        <v>4.0930105229345877E-2</v>
      </c>
      <c r="H55" s="7">
        <v>9.2283380702012606E-3</v>
      </c>
      <c r="I55" s="8">
        <v>0</v>
      </c>
      <c r="J55" s="8">
        <v>1</v>
      </c>
      <c r="K55" s="8">
        <v>473</v>
      </c>
      <c r="L55" s="7">
        <v>2.6947627675517876E-2</v>
      </c>
      <c r="M55" s="7">
        <v>8.1956483655165769E-3</v>
      </c>
      <c r="N55" s="8">
        <v>0</v>
      </c>
      <c r="O55" s="8">
        <v>1</v>
      </c>
      <c r="P55" s="8">
        <v>443</v>
      </c>
      <c r="Q55" s="7">
        <v>4.4859347935278154E-2</v>
      </c>
      <c r="R55" s="7">
        <v>1.0696186820389126E-2</v>
      </c>
      <c r="S55" s="8">
        <v>0</v>
      </c>
      <c r="T55" s="8">
        <v>1</v>
      </c>
      <c r="U55" s="8">
        <v>423</v>
      </c>
      <c r="V55" s="7">
        <v>6.7866822673877614E-2</v>
      </c>
      <c r="W55" s="7">
        <v>1.042915216029173E-2</v>
      </c>
      <c r="X55" s="8">
        <v>0</v>
      </c>
      <c r="Y55" s="8">
        <v>1</v>
      </c>
      <c r="Z55" s="8">
        <v>1073</v>
      </c>
      <c r="AA55" s="7">
        <v>3.5536578942749503E-2</v>
      </c>
      <c r="AB55" s="7">
        <v>4.8204560203450415E-3</v>
      </c>
      <c r="AC55" s="8">
        <v>0</v>
      </c>
      <c r="AD55" s="8">
        <v>1</v>
      </c>
      <c r="AE55" s="8">
        <v>2789</v>
      </c>
      <c r="AF55">
        <f>(AA57/AA56)-AA55</f>
        <v>3.0964238377769265E-2</v>
      </c>
    </row>
    <row r="56" spans="1:32" x14ac:dyDescent="0.45">
      <c r="A56" s="6" t="s">
        <v>28</v>
      </c>
      <c r="B56" s="7">
        <v>1.7483672993640127E-2</v>
      </c>
      <c r="C56" s="7">
        <v>6.2489221851230788E-3</v>
      </c>
      <c r="D56" s="8">
        <v>0</v>
      </c>
      <c r="E56" s="8">
        <v>1</v>
      </c>
      <c r="F56" s="8">
        <v>377</v>
      </c>
      <c r="G56" s="7">
        <v>5.8009185356960917E-2</v>
      </c>
      <c r="H56" s="7">
        <v>1.1092481530445291E-2</v>
      </c>
      <c r="I56" s="8">
        <v>0</v>
      </c>
      <c r="J56" s="8">
        <v>1</v>
      </c>
      <c r="K56" s="8">
        <v>473</v>
      </c>
      <c r="L56" s="7">
        <v>0.15058406137378161</v>
      </c>
      <c r="M56" s="7">
        <v>1.7370685125969107E-2</v>
      </c>
      <c r="N56" s="8">
        <v>0</v>
      </c>
      <c r="O56" s="8">
        <v>1</v>
      </c>
      <c r="P56" s="8">
        <v>443</v>
      </c>
      <c r="Q56" s="7">
        <v>0.34721164151992517</v>
      </c>
      <c r="R56" s="7">
        <v>2.3722190078450694E-2</v>
      </c>
      <c r="S56" s="8">
        <v>0</v>
      </c>
      <c r="T56" s="8">
        <v>1</v>
      </c>
      <c r="U56" s="8">
        <v>423</v>
      </c>
      <c r="V56" s="7">
        <v>0.2311815510554612</v>
      </c>
      <c r="W56" s="7">
        <v>1.6826076871654053E-2</v>
      </c>
      <c r="X56" s="8">
        <v>0</v>
      </c>
      <c r="Y56" s="8">
        <v>1</v>
      </c>
      <c r="Z56" s="8">
        <v>1073</v>
      </c>
      <c r="AA56" s="7">
        <v>0.16315632364836802</v>
      </c>
      <c r="AB56" s="7">
        <v>9.612518120869289E-3</v>
      </c>
      <c r="AC56" s="8">
        <v>0</v>
      </c>
      <c r="AD56" s="8">
        <v>1</v>
      </c>
      <c r="AE56" s="8">
        <v>2789</v>
      </c>
      <c r="AF56">
        <f>(AA57/AA55)-AA56</f>
        <v>0.14216369297752279</v>
      </c>
    </row>
    <row r="57" spans="1:32" x14ac:dyDescent="0.45">
      <c r="A57" s="6" t="s">
        <v>47</v>
      </c>
      <c r="B57" s="7">
        <v>0</v>
      </c>
      <c r="C57" s="7">
        <v>0</v>
      </c>
      <c r="D57" s="8">
        <v>0</v>
      </c>
      <c r="E57" s="8">
        <v>0</v>
      </c>
      <c r="F57" s="8">
        <v>377</v>
      </c>
      <c r="G57" s="7">
        <v>0</v>
      </c>
      <c r="H57" s="7">
        <v>0</v>
      </c>
      <c r="I57" s="8">
        <v>0</v>
      </c>
      <c r="J57" s="8">
        <v>0</v>
      </c>
      <c r="K57" s="8">
        <v>473</v>
      </c>
      <c r="L57" s="7">
        <v>6.435433873599794E-3</v>
      </c>
      <c r="M57" s="7">
        <v>3.7935956946828584E-3</v>
      </c>
      <c r="N57" s="8">
        <v>0</v>
      </c>
      <c r="O57" s="8">
        <v>1</v>
      </c>
      <c r="P57" s="8">
        <v>443</v>
      </c>
      <c r="Q57" s="7">
        <v>3.1593667273249262E-2</v>
      </c>
      <c r="R57" s="7">
        <v>9.0193430246234465E-3</v>
      </c>
      <c r="S57" s="8">
        <v>0</v>
      </c>
      <c r="T57" s="8">
        <v>1</v>
      </c>
      <c r="U57" s="8">
        <v>423</v>
      </c>
      <c r="V57" s="7">
        <v>3.429055241547628E-2</v>
      </c>
      <c r="W57" s="7">
        <v>7.7502979638319914E-3</v>
      </c>
      <c r="X57" s="8">
        <v>0</v>
      </c>
      <c r="Y57" s="8">
        <v>1</v>
      </c>
      <c r="Z57" s="8">
        <v>1073</v>
      </c>
      <c r="AA57" s="7">
        <v>1.0850028873627559E-2</v>
      </c>
      <c r="AB57" s="7">
        <v>2.5600322172682085E-3</v>
      </c>
      <c r="AC57" s="8">
        <v>0</v>
      </c>
      <c r="AD57" s="8">
        <v>1</v>
      </c>
      <c r="AE57" s="8">
        <v>2789</v>
      </c>
    </row>
    <row r="58" spans="1:32" x14ac:dyDescent="0.45">
      <c r="A58" s="6" t="s">
        <v>14</v>
      </c>
      <c r="B58" s="7">
        <v>1.6299713809069992E-2</v>
      </c>
      <c r="C58" s="7">
        <v>6.7559290889246722E-3</v>
      </c>
      <c r="D58" s="8">
        <v>0</v>
      </c>
      <c r="E58" s="8">
        <v>1</v>
      </c>
      <c r="F58" s="8">
        <v>377</v>
      </c>
      <c r="G58" s="7">
        <v>4.0930105229345877E-2</v>
      </c>
      <c r="H58" s="7">
        <v>9.2283380702012606E-3</v>
      </c>
      <c r="I58" s="8">
        <v>0</v>
      </c>
      <c r="J58" s="8">
        <v>1</v>
      </c>
      <c r="K58" s="8">
        <v>473</v>
      </c>
      <c r="L58" s="7">
        <v>2.6947627675517876E-2</v>
      </c>
      <c r="M58" s="7">
        <v>8.1956483655165769E-3</v>
      </c>
      <c r="N58" s="8">
        <v>0</v>
      </c>
      <c r="O58" s="8">
        <v>1</v>
      </c>
      <c r="P58" s="8">
        <v>443</v>
      </c>
      <c r="Q58" s="7">
        <v>4.4859347935278154E-2</v>
      </c>
      <c r="R58" s="7">
        <v>1.0696186820389126E-2</v>
      </c>
      <c r="S58" s="8">
        <v>0</v>
      </c>
      <c r="T58" s="8">
        <v>1</v>
      </c>
      <c r="U58" s="8">
        <v>423</v>
      </c>
      <c r="V58" s="7">
        <v>6.7866822673877614E-2</v>
      </c>
      <c r="W58" s="7">
        <v>1.042915216029173E-2</v>
      </c>
      <c r="X58" s="8">
        <v>0</v>
      </c>
      <c r="Y58" s="8">
        <v>1</v>
      </c>
      <c r="Z58" s="8">
        <v>1073</v>
      </c>
      <c r="AA58" s="7">
        <v>3.5536578942749503E-2</v>
      </c>
      <c r="AB58" s="7">
        <v>4.8204560203450415E-3</v>
      </c>
      <c r="AC58" s="8">
        <v>0</v>
      </c>
      <c r="AD58" s="8">
        <v>1</v>
      </c>
      <c r="AE58" s="8">
        <v>2789</v>
      </c>
      <c r="AF58">
        <f>(AA60/AA59)-AA58</f>
        <v>4.3643497686738988E-3</v>
      </c>
    </row>
    <row r="59" spans="1:32" x14ac:dyDescent="0.45">
      <c r="A59" s="6" t="s">
        <v>30</v>
      </c>
      <c r="B59" s="7">
        <v>1.1457136449351377E-2</v>
      </c>
      <c r="C59" s="7">
        <v>4.6446473101533657E-3</v>
      </c>
      <c r="D59" s="8">
        <v>0</v>
      </c>
      <c r="E59" s="8">
        <v>1</v>
      </c>
      <c r="F59" s="8">
        <v>377</v>
      </c>
      <c r="G59" s="7">
        <v>2.0584963623272376E-2</v>
      </c>
      <c r="H59" s="7">
        <v>6.8587892804406088E-3</v>
      </c>
      <c r="I59" s="8">
        <v>0</v>
      </c>
      <c r="J59" s="8">
        <v>1</v>
      </c>
      <c r="K59" s="8">
        <v>473</v>
      </c>
      <c r="L59" s="7">
        <v>7.0996410257994622E-2</v>
      </c>
      <c r="M59" s="7">
        <v>1.252912923237671E-2</v>
      </c>
      <c r="N59" s="8">
        <v>0</v>
      </c>
      <c r="O59" s="8">
        <v>1</v>
      </c>
      <c r="P59" s="8">
        <v>443</v>
      </c>
      <c r="Q59" s="7">
        <v>5.0630794411700999E-2</v>
      </c>
      <c r="R59" s="7">
        <v>1.0815749508243298E-2</v>
      </c>
      <c r="S59" s="8">
        <v>0</v>
      </c>
      <c r="T59" s="8">
        <v>1</v>
      </c>
      <c r="U59" s="8">
        <v>423</v>
      </c>
      <c r="V59" s="7">
        <v>1.7091392101286209E-2</v>
      </c>
      <c r="W59" s="7">
        <v>3.9414895332473051E-3</v>
      </c>
      <c r="X59" s="8">
        <v>0</v>
      </c>
      <c r="Y59" s="8">
        <v>1</v>
      </c>
      <c r="Z59" s="8">
        <v>1073</v>
      </c>
      <c r="AA59" s="7">
        <v>4.6647707162626499E-2</v>
      </c>
      <c r="AB59" s="7">
        <v>5.889810447475355E-3</v>
      </c>
      <c r="AC59" s="8">
        <v>0</v>
      </c>
      <c r="AD59" s="8">
        <v>1</v>
      </c>
      <c r="AE59" s="8">
        <v>2789</v>
      </c>
      <c r="AF59">
        <f>(AA60/AA58)-AA59</f>
        <v>5.7289394764859503E-3</v>
      </c>
    </row>
    <row r="60" spans="1:32" x14ac:dyDescent="0.45">
      <c r="A60" s="6" t="s">
        <v>48</v>
      </c>
      <c r="B60" s="7">
        <v>0</v>
      </c>
      <c r="C60" s="7">
        <v>0</v>
      </c>
      <c r="D60" s="8">
        <v>0</v>
      </c>
      <c r="E60" s="8">
        <v>0</v>
      </c>
      <c r="F60" s="8">
        <v>377</v>
      </c>
      <c r="G60" s="7">
        <v>2.1755638733833333E-3</v>
      </c>
      <c r="H60" s="7">
        <v>2.1755942108386602E-3</v>
      </c>
      <c r="I60" s="8">
        <v>0</v>
      </c>
      <c r="J60" s="8">
        <v>1</v>
      </c>
      <c r="K60" s="8">
        <v>473</v>
      </c>
      <c r="L60" s="7">
        <v>0</v>
      </c>
      <c r="M60" s="7">
        <v>0</v>
      </c>
      <c r="N60" s="8">
        <v>0</v>
      </c>
      <c r="O60" s="8">
        <v>0</v>
      </c>
      <c r="P60" s="8">
        <v>443</v>
      </c>
      <c r="Q60" s="7">
        <v>5.5960651481997805E-3</v>
      </c>
      <c r="R60" s="7">
        <v>3.9493661030935E-3</v>
      </c>
      <c r="S60" s="8">
        <v>0</v>
      </c>
      <c r="T60" s="8">
        <v>1</v>
      </c>
      <c r="U60" s="8">
        <v>423</v>
      </c>
      <c r="V60" s="7">
        <v>0</v>
      </c>
      <c r="W60" s="7">
        <v>0</v>
      </c>
      <c r="X60" s="8">
        <v>0</v>
      </c>
      <c r="Y60" s="8">
        <v>0</v>
      </c>
      <c r="Z60" s="8">
        <v>1073</v>
      </c>
      <c r="AA60" s="7">
        <v>1.8612868380473149E-3</v>
      </c>
      <c r="AB60" s="7">
        <v>1.074194792316118E-3</v>
      </c>
      <c r="AC60" s="8">
        <v>0</v>
      </c>
      <c r="AD60" s="8">
        <v>1</v>
      </c>
      <c r="AE60" s="8">
        <v>2789</v>
      </c>
    </row>
    <row r="61" spans="1:32" x14ac:dyDescent="0.45">
      <c r="A61" s="6" t="s">
        <v>14</v>
      </c>
      <c r="B61" s="7">
        <v>1.6299713809069992E-2</v>
      </c>
      <c r="C61" s="7">
        <v>6.7559290889246722E-3</v>
      </c>
      <c r="D61" s="8">
        <v>0</v>
      </c>
      <c r="E61" s="8">
        <v>1</v>
      </c>
      <c r="F61" s="8">
        <v>377</v>
      </c>
      <c r="G61" s="7">
        <v>4.0930105229345877E-2</v>
      </c>
      <c r="H61" s="7">
        <v>9.2283380702012606E-3</v>
      </c>
      <c r="I61" s="8">
        <v>0</v>
      </c>
      <c r="J61" s="8">
        <v>1</v>
      </c>
      <c r="K61" s="8">
        <v>473</v>
      </c>
      <c r="L61" s="7">
        <v>2.6947627675517876E-2</v>
      </c>
      <c r="M61" s="7">
        <v>8.1956483655165769E-3</v>
      </c>
      <c r="N61" s="8">
        <v>0</v>
      </c>
      <c r="O61" s="8">
        <v>1</v>
      </c>
      <c r="P61" s="8">
        <v>443</v>
      </c>
      <c r="Q61" s="7">
        <v>4.4859347935278154E-2</v>
      </c>
      <c r="R61" s="7">
        <v>1.0696186820389126E-2</v>
      </c>
      <c r="S61" s="8">
        <v>0</v>
      </c>
      <c r="T61" s="8">
        <v>1</v>
      </c>
      <c r="U61" s="8">
        <v>423</v>
      </c>
      <c r="V61" s="7">
        <v>6.7866822673877614E-2</v>
      </c>
      <c r="W61" s="7">
        <v>1.042915216029173E-2</v>
      </c>
      <c r="X61" s="8">
        <v>0</v>
      </c>
      <c r="Y61" s="8">
        <v>1</v>
      </c>
      <c r="Z61" s="8">
        <v>1073</v>
      </c>
      <c r="AA61" s="7">
        <v>3.5536578942749503E-2</v>
      </c>
      <c r="AB61" s="7">
        <v>4.8204560203450415E-3</v>
      </c>
      <c r="AC61" s="8">
        <v>0</v>
      </c>
      <c r="AD61" s="8">
        <v>1</v>
      </c>
      <c r="AE61" s="8">
        <v>2789</v>
      </c>
      <c r="AF61">
        <f>(AA63/AA62)-AA61</f>
        <v>-5.5276682407150168E-3</v>
      </c>
    </row>
    <row r="62" spans="1:32" x14ac:dyDescent="0.45">
      <c r="A62" s="6" t="s">
        <v>32</v>
      </c>
      <c r="B62" s="7">
        <v>0.2527724281813617</v>
      </c>
      <c r="C62" s="7">
        <v>2.3581271808324908E-2</v>
      </c>
      <c r="D62" s="8">
        <v>0</v>
      </c>
      <c r="E62" s="8">
        <v>1</v>
      </c>
      <c r="F62" s="8">
        <v>377</v>
      </c>
      <c r="G62" s="7">
        <v>0.1554454589262585</v>
      </c>
      <c r="H62" s="7">
        <v>1.7390664147984094E-2</v>
      </c>
      <c r="I62" s="8">
        <v>0</v>
      </c>
      <c r="J62" s="8">
        <v>1</v>
      </c>
      <c r="K62" s="8">
        <v>473</v>
      </c>
      <c r="L62" s="7">
        <v>0.15877572477573559</v>
      </c>
      <c r="M62" s="7">
        <v>1.7885640487502231E-2</v>
      </c>
      <c r="N62" s="8">
        <v>0</v>
      </c>
      <c r="O62" s="8">
        <v>1</v>
      </c>
      <c r="P62" s="8">
        <v>443</v>
      </c>
      <c r="Q62" s="7">
        <v>0.13416252742816348</v>
      </c>
      <c r="R62" s="7">
        <v>1.6834266849755707E-2</v>
      </c>
      <c r="S62" s="8">
        <v>0</v>
      </c>
      <c r="T62" s="8">
        <v>1</v>
      </c>
      <c r="U62" s="8">
        <v>423</v>
      </c>
      <c r="V62" s="7">
        <v>3.5681116912385707E-2</v>
      </c>
      <c r="W62" s="7">
        <v>5.9694575574459905E-3</v>
      </c>
      <c r="X62" s="8">
        <v>0</v>
      </c>
      <c r="Y62" s="8">
        <v>1</v>
      </c>
      <c r="Z62" s="8">
        <v>1073</v>
      </c>
      <c r="AA62" s="7">
        <v>0.1543771286135118</v>
      </c>
      <c r="AB62" s="7">
        <v>9.5089024086530607E-3</v>
      </c>
      <c r="AC62" s="8">
        <v>0</v>
      </c>
      <c r="AD62" s="8">
        <v>1</v>
      </c>
      <c r="AE62" s="8">
        <v>2789</v>
      </c>
      <c r="AF62">
        <f>(AA63/AA61)-AA62</f>
        <v>-2.4013159857184108E-2</v>
      </c>
    </row>
    <row r="63" spans="1:32" x14ac:dyDescent="0.45">
      <c r="A63" s="6" t="s">
        <v>49</v>
      </c>
      <c r="B63" s="7">
        <v>5.0385504001123115E-3</v>
      </c>
      <c r="C63" s="7">
        <v>3.5631306892997924E-3</v>
      </c>
      <c r="D63" s="8">
        <v>0</v>
      </c>
      <c r="E63" s="8">
        <v>1</v>
      </c>
      <c r="F63" s="8">
        <v>377</v>
      </c>
      <c r="G63" s="7">
        <v>4.3102269671458377E-3</v>
      </c>
      <c r="H63" s="7">
        <v>3.0447705510676304E-3</v>
      </c>
      <c r="I63" s="8">
        <v>0</v>
      </c>
      <c r="J63" s="8">
        <v>1</v>
      </c>
      <c r="K63" s="8">
        <v>473</v>
      </c>
      <c r="L63" s="7">
        <v>4.8061387501353112E-3</v>
      </c>
      <c r="M63" s="7">
        <v>3.628226786530765E-3</v>
      </c>
      <c r="N63" s="8">
        <v>0</v>
      </c>
      <c r="O63" s="8">
        <v>1</v>
      </c>
      <c r="P63" s="8">
        <v>443</v>
      </c>
      <c r="Q63" s="7">
        <v>4.9615624301958027E-3</v>
      </c>
      <c r="R63" s="7">
        <v>3.5321999578969408E-3</v>
      </c>
      <c r="S63" s="8">
        <v>0</v>
      </c>
      <c r="T63" s="8">
        <v>1</v>
      </c>
      <c r="U63" s="8">
        <v>423</v>
      </c>
      <c r="V63" s="7">
        <v>2.2722128292394493E-3</v>
      </c>
      <c r="W63" s="7">
        <v>1.8495708468436243E-3</v>
      </c>
      <c r="X63" s="8">
        <v>0</v>
      </c>
      <c r="Y63" s="8">
        <v>1</v>
      </c>
      <c r="Z63" s="8">
        <v>1073</v>
      </c>
      <c r="AA63" s="7">
        <v>4.6326894669993686E-3</v>
      </c>
      <c r="AB63" s="7">
        <v>1.8633957901725334E-3</v>
      </c>
      <c r="AC63" s="8">
        <v>0</v>
      </c>
      <c r="AD63" s="8">
        <v>1</v>
      </c>
      <c r="AE63" s="8">
        <v>2789</v>
      </c>
    </row>
    <row r="64" spans="1:32" x14ac:dyDescent="0.45">
      <c r="A64" s="6" t="s">
        <v>14</v>
      </c>
      <c r="B64" s="7">
        <v>1.6299713809069992E-2</v>
      </c>
      <c r="C64" s="7">
        <v>6.7559290889246722E-3</v>
      </c>
      <c r="D64" s="8">
        <v>0</v>
      </c>
      <c r="E64" s="8">
        <v>1</v>
      </c>
      <c r="F64" s="8">
        <v>377</v>
      </c>
      <c r="G64" s="7">
        <v>4.0930105229345877E-2</v>
      </c>
      <c r="H64" s="7">
        <v>9.2283380702012606E-3</v>
      </c>
      <c r="I64" s="8">
        <v>0</v>
      </c>
      <c r="J64" s="8">
        <v>1</v>
      </c>
      <c r="K64" s="8">
        <v>473</v>
      </c>
      <c r="L64" s="7">
        <v>2.6947627675517876E-2</v>
      </c>
      <c r="M64" s="7">
        <v>8.1956483655165769E-3</v>
      </c>
      <c r="N64" s="8">
        <v>0</v>
      </c>
      <c r="O64" s="8">
        <v>1</v>
      </c>
      <c r="P64" s="8">
        <v>443</v>
      </c>
      <c r="Q64" s="7">
        <v>4.4859347935278154E-2</v>
      </c>
      <c r="R64" s="7">
        <v>1.0696186820389126E-2</v>
      </c>
      <c r="S64" s="8">
        <v>0</v>
      </c>
      <c r="T64" s="8">
        <v>1</v>
      </c>
      <c r="U64" s="8">
        <v>423</v>
      </c>
      <c r="V64" s="7">
        <v>6.7866822673877614E-2</v>
      </c>
      <c r="W64" s="7">
        <v>1.042915216029173E-2</v>
      </c>
      <c r="X64" s="8">
        <v>0</v>
      </c>
      <c r="Y64" s="8">
        <v>1</v>
      </c>
      <c r="Z64" s="8">
        <v>1073</v>
      </c>
      <c r="AA64" s="7">
        <v>3.5536578942749503E-2</v>
      </c>
      <c r="AB64" s="7">
        <v>4.8204560203450415E-3</v>
      </c>
      <c r="AC64" s="8">
        <v>0</v>
      </c>
      <c r="AD64" s="8">
        <v>1</v>
      </c>
      <c r="AE64" s="8">
        <v>2789</v>
      </c>
      <c r="AF64">
        <f>(AA66/AA65)-AA64</f>
        <v>-1.5602296138726275E-2</v>
      </c>
    </row>
    <row r="65" spans="1:32" x14ac:dyDescent="0.45">
      <c r="A65" s="6" t="s">
        <v>34</v>
      </c>
      <c r="B65" s="7">
        <v>2.263311268250193E-2</v>
      </c>
      <c r="C65" s="7">
        <v>7.3421367292460923E-3</v>
      </c>
      <c r="D65" s="8">
        <v>0</v>
      </c>
      <c r="E65" s="8">
        <v>1</v>
      </c>
      <c r="F65" s="8">
        <v>377</v>
      </c>
      <c r="G65" s="7">
        <v>5.8327627768387631E-2</v>
      </c>
      <c r="H65" s="7">
        <v>1.1334403264176443E-2</v>
      </c>
      <c r="I65" s="8">
        <v>0</v>
      </c>
      <c r="J65" s="8">
        <v>1</v>
      </c>
      <c r="K65" s="8">
        <v>473</v>
      </c>
      <c r="L65" s="7">
        <v>8.3487078786845886E-2</v>
      </c>
      <c r="M65" s="7">
        <v>1.3594933601456751E-2</v>
      </c>
      <c r="N65" s="8">
        <v>0</v>
      </c>
      <c r="O65" s="8">
        <v>1</v>
      </c>
      <c r="P65" s="8">
        <v>443</v>
      </c>
      <c r="Q65" s="7">
        <v>5.2708548379860748E-2</v>
      </c>
      <c r="R65" s="7">
        <v>1.100803849809036E-2</v>
      </c>
      <c r="S65" s="8">
        <v>0</v>
      </c>
      <c r="T65" s="8">
        <v>1</v>
      </c>
      <c r="U65" s="8">
        <v>423</v>
      </c>
      <c r="V65" s="7">
        <v>3.9397663243172917E-3</v>
      </c>
      <c r="W65" s="7">
        <v>1.9732066657802663E-3</v>
      </c>
      <c r="X65" s="8">
        <v>0</v>
      </c>
      <c r="Y65" s="8">
        <v>1</v>
      </c>
      <c r="Z65" s="8">
        <v>1073</v>
      </c>
      <c r="AA65" s="7">
        <v>6.2799338760446702E-2</v>
      </c>
      <c r="AB65" s="7">
        <v>6.7450581638249926E-3</v>
      </c>
      <c r="AC65" s="8">
        <v>0</v>
      </c>
      <c r="AD65" s="8">
        <v>1</v>
      </c>
      <c r="AE65" s="8">
        <v>2789</v>
      </c>
      <c r="AF65">
        <f>(AA66/AA64)-AA65</f>
        <v>-2.7571981034955298E-2</v>
      </c>
    </row>
    <row r="66" spans="1:32" ht="26.25" x14ac:dyDescent="0.45">
      <c r="A66" s="6" t="s">
        <v>50</v>
      </c>
      <c r="B66" s="7">
        <v>0</v>
      </c>
      <c r="C66" s="7">
        <v>0</v>
      </c>
      <c r="D66" s="8">
        <v>0</v>
      </c>
      <c r="E66" s="8">
        <v>0</v>
      </c>
      <c r="F66" s="8">
        <v>377</v>
      </c>
      <c r="G66" s="7">
        <v>4.3102269671458377E-3</v>
      </c>
      <c r="H66" s="7">
        <v>3.0447705510676304E-3</v>
      </c>
      <c r="I66" s="8">
        <v>0</v>
      </c>
      <c r="J66" s="8">
        <v>1</v>
      </c>
      <c r="K66" s="8">
        <v>473</v>
      </c>
      <c r="L66" s="7">
        <v>0</v>
      </c>
      <c r="M66" s="7">
        <v>0</v>
      </c>
      <c r="N66" s="8">
        <v>0</v>
      </c>
      <c r="O66" s="8">
        <v>0</v>
      </c>
      <c r="P66" s="8">
        <v>443</v>
      </c>
      <c r="Q66" s="7">
        <v>0</v>
      </c>
      <c r="R66" s="7">
        <v>0</v>
      </c>
      <c r="S66" s="8">
        <v>0</v>
      </c>
      <c r="T66" s="8">
        <v>0</v>
      </c>
      <c r="U66" s="8">
        <v>423</v>
      </c>
      <c r="V66" s="7">
        <v>1.7850146093546005E-3</v>
      </c>
      <c r="W66" s="7">
        <v>1.7843263693477316E-3</v>
      </c>
      <c r="X66" s="8">
        <v>0</v>
      </c>
      <c r="Y66" s="8">
        <v>1</v>
      </c>
      <c r="Z66" s="8">
        <v>1073</v>
      </c>
      <c r="AA66" s="7">
        <v>1.2518597787564019E-3</v>
      </c>
      <c r="AB66" s="7">
        <v>8.4381584262522256E-4</v>
      </c>
      <c r="AC66" s="8">
        <v>0</v>
      </c>
      <c r="AD66" s="8">
        <v>1</v>
      </c>
      <c r="AE66" s="8">
        <v>2789</v>
      </c>
    </row>
    <row r="67" spans="1:32" x14ac:dyDescent="0.45">
      <c r="A67" s="6" t="s">
        <v>14</v>
      </c>
      <c r="B67" s="7">
        <v>1.6299713809069992E-2</v>
      </c>
      <c r="C67" s="7">
        <v>6.7559290889246722E-3</v>
      </c>
      <c r="D67" s="8">
        <v>0</v>
      </c>
      <c r="E67" s="8">
        <v>1</v>
      </c>
      <c r="F67" s="8">
        <v>377</v>
      </c>
      <c r="G67" s="7">
        <v>4.0930105229345877E-2</v>
      </c>
      <c r="H67" s="7">
        <v>9.2283380702012606E-3</v>
      </c>
      <c r="I67" s="8">
        <v>0</v>
      </c>
      <c r="J67" s="8">
        <v>1</v>
      </c>
      <c r="K67" s="8">
        <v>473</v>
      </c>
      <c r="L67" s="7">
        <v>2.6947627675517876E-2</v>
      </c>
      <c r="M67" s="7">
        <v>8.1956483655165769E-3</v>
      </c>
      <c r="N67" s="8">
        <v>0</v>
      </c>
      <c r="O67" s="8">
        <v>1</v>
      </c>
      <c r="P67" s="8">
        <v>443</v>
      </c>
      <c r="Q67" s="7">
        <v>4.4859347935278154E-2</v>
      </c>
      <c r="R67" s="7">
        <v>1.0696186820389126E-2</v>
      </c>
      <c r="S67" s="8">
        <v>0</v>
      </c>
      <c r="T67" s="8">
        <v>1</v>
      </c>
      <c r="U67" s="8">
        <v>423</v>
      </c>
      <c r="V67" s="7">
        <v>6.7866822673877614E-2</v>
      </c>
      <c r="W67" s="7">
        <v>1.042915216029173E-2</v>
      </c>
      <c r="X67" s="8">
        <v>0</v>
      </c>
      <c r="Y67" s="8">
        <v>1</v>
      </c>
      <c r="Z67" s="8">
        <v>1073</v>
      </c>
      <c r="AA67" s="7">
        <v>3.5536578942749503E-2</v>
      </c>
      <c r="AB67" s="7">
        <v>4.8204560203450415E-3</v>
      </c>
      <c r="AC67" s="8">
        <v>0</v>
      </c>
      <c r="AD67" s="8">
        <v>1</v>
      </c>
      <c r="AE67" s="8">
        <v>2789</v>
      </c>
      <c r="AF67">
        <f>(AA69/AA68)-AA67</f>
        <v>-1.2502719481132379E-3</v>
      </c>
    </row>
    <row r="68" spans="1:32" x14ac:dyDescent="0.45">
      <c r="A68" s="6" t="s">
        <v>36</v>
      </c>
      <c r="B68" s="7">
        <v>0.26636125194779031</v>
      </c>
      <c r="C68" s="7">
        <v>2.4189991287900472E-2</v>
      </c>
      <c r="D68" s="8">
        <v>0</v>
      </c>
      <c r="E68" s="8">
        <v>1</v>
      </c>
      <c r="F68" s="8">
        <v>377</v>
      </c>
      <c r="G68" s="7">
        <v>0.17672760534526755</v>
      </c>
      <c r="H68" s="7">
        <v>1.8127456261163202E-2</v>
      </c>
      <c r="I68" s="8">
        <v>0</v>
      </c>
      <c r="J68" s="8">
        <v>1</v>
      </c>
      <c r="K68" s="8">
        <v>467</v>
      </c>
      <c r="L68" s="7">
        <v>4.3890875888197518E-2</v>
      </c>
      <c r="M68" s="7">
        <v>9.6682460234033402E-3</v>
      </c>
      <c r="N68" s="8">
        <v>0</v>
      </c>
      <c r="O68" s="8">
        <v>1</v>
      </c>
      <c r="P68" s="8">
        <v>441</v>
      </c>
      <c r="Q68" s="7">
        <v>8.371081995835053E-2</v>
      </c>
      <c r="R68" s="7">
        <v>1.4050470479779449E-2</v>
      </c>
      <c r="S68" s="8">
        <v>0</v>
      </c>
      <c r="T68" s="8">
        <v>1</v>
      </c>
      <c r="U68" s="8">
        <v>422</v>
      </c>
      <c r="V68" s="7">
        <v>0.17670361522524197</v>
      </c>
      <c r="W68" s="7">
        <v>1.6865782603968957E-2</v>
      </c>
      <c r="X68" s="8">
        <v>0</v>
      </c>
      <c r="Y68" s="8">
        <v>1</v>
      </c>
      <c r="Z68" s="8">
        <v>1068</v>
      </c>
      <c r="AA68" s="7">
        <v>0.10901593418102137</v>
      </c>
      <c r="AB68" s="7">
        <v>7.4445039199197852E-3</v>
      </c>
      <c r="AC68" s="8">
        <v>0</v>
      </c>
      <c r="AD68" s="8">
        <v>1</v>
      </c>
      <c r="AE68" s="8">
        <v>2775</v>
      </c>
      <c r="AF68">
        <f>(AA69/AA67)-AA68</f>
        <v>-3.8354723065344154E-3</v>
      </c>
    </row>
    <row r="69" spans="1:32" x14ac:dyDescent="0.45">
      <c r="A69" s="6" t="s">
        <v>51</v>
      </c>
      <c r="B69" s="7">
        <v>2.6609971055302538E-3</v>
      </c>
      <c r="C69" s="7">
        <v>2.6618897379259931E-3</v>
      </c>
      <c r="D69" s="8">
        <v>0</v>
      </c>
      <c r="E69" s="8">
        <v>1</v>
      </c>
      <c r="F69" s="8">
        <v>377</v>
      </c>
      <c r="G69" s="7">
        <v>9.1212889796979685E-3</v>
      </c>
      <c r="H69" s="7">
        <v>4.5464139787510082E-3</v>
      </c>
      <c r="I69" s="8">
        <v>0</v>
      </c>
      <c r="J69" s="8">
        <v>1</v>
      </c>
      <c r="K69" s="8">
        <v>467</v>
      </c>
      <c r="L69" s="7">
        <v>1.7397420224184116E-3</v>
      </c>
      <c r="M69" s="7">
        <v>1.7407986229793484E-3</v>
      </c>
      <c r="N69" s="8">
        <v>0</v>
      </c>
      <c r="O69" s="8">
        <v>1</v>
      </c>
      <c r="P69" s="8">
        <v>441</v>
      </c>
      <c r="Q69" s="7">
        <v>0</v>
      </c>
      <c r="R69" s="7">
        <v>0</v>
      </c>
      <c r="S69" s="8">
        <v>0</v>
      </c>
      <c r="T69" s="8">
        <v>0</v>
      </c>
      <c r="U69" s="8">
        <v>422</v>
      </c>
      <c r="V69" s="7">
        <v>1.035858340951756E-2</v>
      </c>
      <c r="W69" s="7">
        <v>3.4841607260629511E-3</v>
      </c>
      <c r="X69" s="8">
        <v>0</v>
      </c>
      <c r="Y69" s="8">
        <v>1</v>
      </c>
      <c r="Z69" s="8">
        <v>1068</v>
      </c>
      <c r="AA69" s="7">
        <v>3.7377537866375601E-3</v>
      </c>
      <c r="AB69" s="7">
        <v>1.4485517235922779E-3</v>
      </c>
      <c r="AC69" s="8">
        <v>0</v>
      </c>
      <c r="AD69" s="8">
        <v>1</v>
      </c>
      <c r="AE69" s="8">
        <v>2775</v>
      </c>
    </row>
    <row r="70" spans="1:32" x14ac:dyDescent="0.45">
      <c r="A70" s="6" t="s">
        <v>26</v>
      </c>
      <c r="B70" s="7">
        <v>4.2417616022147671E-2</v>
      </c>
      <c r="C70" s="7">
        <v>1.0510324665511129E-2</v>
      </c>
      <c r="D70" s="8">
        <v>0</v>
      </c>
      <c r="E70" s="8">
        <v>1</v>
      </c>
      <c r="F70" s="8">
        <v>377</v>
      </c>
      <c r="G70" s="7">
        <v>0.13820208651722821</v>
      </c>
      <c r="H70" s="7">
        <v>1.6475096603360842E-2</v>
      </c>
      <c r="I70" s="8">
        <v>0</v>
      </c>
      <c r="J70" s="8">
        <v>1</v>
      </c>
      <c r="K70" s="8">
        <v>473</v>
      </c>
      <c r="L70" s="7">
        <v>0.10469634306542444</v>
      </c>
      <c r="M70" s="7">
        <v>1.5394889579067119E-2</v>
      </c>
      <c r="N70" s="8">
        <v>0</v>
      </c>
      <c r="O70" s="8">
        <v>1</v>
      </c>
      <c r="P70" s="8">
        <v>443</v>
      </c>
      <c r="Q70" s="7">
        <v>0.21697284641081702</v>
      </c>
      <c r="R70" s="7">
        <v>2.0889826904432647E-2</v>
      </c>
      <c r="S70" s="8">
        <v>0</v>
      </c>
      <c r="T70" s="8">
        <v>1</v>
      </c>
      <c r="U70" s="8">
        <v>423</v>
      </c>
      <c r="V70" s="7">
        <v>6.8214282763813486E-2</v>
      </c>
      <c r="W70" s="7">
        <v>1.0070079910351819E-2</v>
      </c>
      <c r="X70" s="8">
        <v>0</v>
      </c>
      <c r="Y70" s="8">
        <v>1</v>
      </c>
      <c r="Z70" s="8">
        <v>1073</v>
      </c>
      <c r="AA70" s="7">
        <v>0.13381594000174568</v>
      </c>
      <c r="AB70" s="7">
        <v>9.0632155667956203E-3</v>
      </c>
      <c r="AC70" s="8">
        <v>0</v>
      </c>
      <c r="AD70" s="8">
        <v>1</v>
      </c>
      <c r="AE70" s="8">
        <v>2789</v>
      </c>
      <c r="AF70">
        <f>(AA72/AA71)-AA70</f>
        <v>3.8574291477376149E-2</v>
      </c>
    </row>
    <row r="71" spans="1:32" x14ac:dyDescent="0.45">
      <c r="A71" s="6" t="s">
        <v>28</v>
      </c>
      <c r="B71" s="7">
        <v>1.7483672993640127E-2</v>
      </c>
      <c r="C71" s="7">
        <v>6.2489221851230788E-3</v>
      </c>
      <c r="D71" s="8">
        <v>0</v>
      </c>
      <c r="E71" s="8">
        <v>1</v>
      </c>
      <c r="F71" s="8">
        <v>377</v>
      </c>
      <c r="G71" s="7">
        <v>5.8009185356960917E-2</v>
      </c>
      <c r="H71" s="7">
        <v>1.1092481530445291E-2</v>
      </c>
      <c r="I71" s="8">
        <v>0</v>
      </c>
      <c r="J71" s="8">
        <v>1</v>
      </c>
      <c r="K71" s="8">
        <v>473</v>
      </c>
      <c r="L71" s="7">
        <v>0.15058406137378161</v>
      </c>
      <c r="M71" s="7">
        <v>1.7370685125969107E-2</v>
      </c>
      <c r="N71" s="8">
        <v>0</v>
      </c>
      <c r="O71" s="8">
        <v>1</v>
      </c>
      <c r="P71" s="8">
        <v>443</v>
      </c>
      <c r="Q71" s="7">
        <v>0.34721164151992517</v>
      </c>
      <c r="R71" s="7">
        <v>2.3722190078450694E-2</v>
      </c>
      <c r="S71" s="8">
        <v>0</v>
      </c>
      <c r="T71" s="8">
        <v>1</v>
      </c>
      <c r="U71" s="8">
        <v>423</v>
      </c>
      <c r="V71" s="7">
        <v>0.2311815510554612</v>
      </c>
      <c r="W71" s="7">
        <v>1.6826076871654053E-2</v>
      </c>
      <c r="X71" s="8">
        <v>0</v>
      </c>
      <c r="Y71" s="8">
        <v>1</v>
      </c>
      <c r="Z71" s="8">
        <v>1073</v>
      </c>
      <c r="AA71" s="7">
        <v>0.16315632364836802</v>
      </c>
      <c r="AB71" s="7">
        <v>9.612518120869289E-3</v>
      </c>
      <c r="AC71" s="8">
        <v>0</v>
      </c>
      <c r="AD71" s="8">
        <v>1</v>
      </c>
      <c r="AE71" s="8">
        <v>2789</v>
      </c>
      <c r="AF71">
        <f>(AA72/AA70)-AA71</f>
        <v>4.7032061985344681E-2</v>
      </c>
    </row>
    <row r="72" spans="1:32" x14ac:dyDescent="0.45">
      <c r="A72" s="6" t="s">
        <v>52</v>
      </c>
      <c r="B72" s="7">
        <v>0</v>
      </c>
      <c r="C72" s="7">
        <v>0</v>
      </c>
      <c r="D72" s="8">
        <v>0</v>
      </c>
      <c r="E72" s="8">
        <v>0</v>
      </c>
      <c r="F72" s="8">
        <v>377</v>
      </c>
      <c r="G72" s="7">
        <v>2.1518205164495576E-3</v>
      </c>
      <c r="H72" s="7">
        <v>2.1519017211764531E-3</v>
      </c>
      <c r="I72" s="8">
        <v>0</v>
      </c>
      <c r="J72" s="8">
        <v>1</v>
      </c>
      <c r="K72" s="8">
        <v>473</v>
      </c>
      <c r="L72" s="7">
        <v>5.2653511802265591E-3</v>
      </c>
      <c r="M72" s="7">
        <v>3.7422250270949461E-3</v>
      </c>
      <c r="N72" s="8">
        <v>0</v>
      </c>
      <c r="O72" s="8">
        <v>1</v>
      </c>
      <c r="P72" s="8">
        <v>443</v>
      </c>
      <c r="Q72" s="7">
        <v>0.10716308659286111</v>
      </c>
      <c r="R72" s="7">
        <v>1.555308849223762E-2</v>
      </c>
      <c r="S72" s="8">
        <v>0</v>
      </c>
      <c r="T72" s="8">
        <v>1</v>
      </c>
      <c r="U72" s="8">
        <v>423</v>
      </c>
      <c r="V72" s="7">
        <v>3.7988160287831252E-2</v>
      </c>
      <c r="W72" s="7">
        <v>7.7401484615008936E-3</v>
      </c>
      <c r="X72" s="8">
        <v>0</v>
      </c>
      <c r="Y72" s="8">
        <v>1</v>
      </c>
      <c r="Z72" s="8">
        <v>1073</v>
      </c>
      <c r="AA72" s="7">
        <v>2.8126556401024683E-2</v>
      </c>
      <c r="AB72" s="7">
        <v>4.002062008370234E-3</v>
      </c>
      <c r="AC72" s="8">
        <v>0</v>
      </c>
      <c r="AD72" s="8">
        <v>1</v>
      </c>
      <c r="AE72" s="8">
        <v>2789</v>
      </c>
    </row>
    <row r="73" spans="1:32" x14ac:dyDescent="0.45">
      <c r="A73" s="6" t="s">
        <v>26</v>
      </c>
      <c r="B73" s="7">
        <v>4.2417616022147671E-2</v>
      </c>
      <c r="C73" s="7">
        <v>1.0510324665511129E-2</v>
      </c>
      <c r="D73" s="8">
        <v>0</v>
      </c>
      <c r="E73" s="8">
        <v>1</v>
      </c>
      <c r="F73" s="8">
        <v>377</v>
      </c>
      <c r="G73" s="7">
        <v>0.13820208651722821</v>
      </c>
      <c r="H73" s="7">
        <v>1.6475096603360842E-2</v>
      </c>
      <c r="I73" s="8">
        <v>0</v>
      </c>
      <c r="J73" s="8">
        <v>1</v>
      </c>
      <c r="K73" s="8">
        <v>473</v>
      </c>
      <c r="L73" s="7">
        <v>0.10469634306542444</v>
      </c>
      <c r="M73" s="7">
        <v>1.5394889579067119E-2</v>
      </c>
      <c r="N73" s="8">
        <v>0</v>
      </c>
      <c r="O73" s="8">
        <v>1</v>
      </c>
      <c r="P73" s="8">
        <v>443</v>
      </c>
      <c r="Q73" s="7">
        <v>0.21697284641081702</v>
      </c>
      <c r="R73" s="7">
        <v>2.0889826904432647E-2</v>
      </c>
      <c r="S73" s="8">
        <v>0</v>
      </c>
      <c r="T73" s="8">
        <v>1</v>
      </c>
      <c r="U73" s="8">
        <v>423</v>
      </c>
      <c r="V73" s="7">
        <v>6.8214282763813486E-2</v>
      </c>
      <c r="W73" s="7">
        <v>1.0070079910351819E-2</v>
      </c>
      <c r="X73" s="8">
        <v>0</v>
      </c>
      <c r="Y73" s="8">
        <v>1</v>
      </c>
      <c r="Z73" s="8">
        <v>1073</v>
      </c>
      <c r="AA73" s="7">
        <v>0.13381594000174568</v>
      </c>
      <c r="AB73" s="7">
        <v>9.0632155667956203E-3</v>
      </c>
      <c r="AC73" s="8">
        <v>0</v>
      </c>
      <c r="AD73" s="8">
        <v>1</v>
      </c>
      <c r="AE73" s="8">
        <v>2789</v>
      </c>
      <c r="AF73">
        <f>(AA75/AA74)-AA73</f>
        <v>2.235405771333418E-2</v>
      </c>
    </row>
    <row r="74" spans="1:32" x14ac:dyDescent="0.45">
      <c r="A74" s="6" t="s">
        <v>30</v>
      </c>
      <c r="B74" s="7">
        <v>1.1457136449351377E-2</v>
      </c>
      <c r="C74" s="7">
        <v>4.6446473101533657E-3</v>
      </c>
      <c r="D74" s="8">
        <v>0</v>
      </c>
      <c r="E74" s="8">
        <v>1</v>
      </c>
      <c r="F74" s="8">
        <v>377</v>
      </c>
      <c r="G74" s="7">
        <v>2.0584963623272376E-2</v>
      </c>
      <c r="H74" s="7">
        <v>6.8587892804406088E-3</v>
      </c>
      <c r="I74" s="8">
        <v>0</v>
      </c>
      <c r="J74" s="8">
        <v>1</v>
      </c>
      <c r="K74" s="8">
        <v>473</v>
      </c>
      <c r="L74" s="7">
        <v>7.0996410257994622E-2</v>
      </c>
      <c r="M74" s="7">
        <v>1.252912923237671E-2</v>
      </c>
      <c r="N74" s="8">
        <v>0</v>
      </c>
      <c r="O74" s="8">
        <v>1</v>
      </c>
      <c r="P74" s="8">
        <v>443</v>
      </c>
      <c r="Q74" s="7">
        <v>5.0630794411700999E-2</v>
      </c>
      <c r="R74" s="7">
        <v>1.0815749508243298E-2</v>
      </c>
      <c r="S74" s="8">
        <v>0</v>
      </c>
      <c r="T74" s="8">
        <v>1</v>
      </c>
      <c r="U74" s="8">
        <v>423</v>
      </c>
      <c r="V74" s="7">
        <v>1.7091392101286209E-2</v>
      </c>
      <c r="W74" s="7">
        <v>3.9414895332473051E-3</v>
      </c>
      <c r="X74" s="8">
        <v>0</v>
      </c>
      <c r="Y74" s="8">
        <v>1</v>
      </c>
      <c r="Z74" s="8">
        <v>1073</v>
      </c>
      <c r="AA74" s="7">
        <v>4.6647707162626499E-2</v>
      </c>
      <c r="AB74" s="7">
        <v>5.889810447475355E-3</v>
      </c>
      <c r="AC74" s="8">
        <v>0</v>
      </c>
      <c r="AD74" s="8">
        <v>1</v>
      </c>
      <c r="AE74" s="8">
        <v>2789</v>
      </c>
      <c r="AF74">
        <f>(AA75/AA73)-AA74</f>
        <v>7.7925360618059589E-3</v>
      </c>
    </row>
    <row r="75" spans="1:32" ht="26.25" x14ac:dyDescent="0.45">
      <c r="A75" s="6" t="s">
        <v>53</v>
      </c>
      <c r="B75" s="7">
        <v>0</v>
      </c>
      <c r="C75" s="7">
        <v>0</v>
      </c>
      <c r="D75" s="8">
        <v>0</v>
      </c>
      <c r="E75" s="8">
        <v>0</v>
      </c>
      <c r="F75" s="8">
        <v>377</v>
      </c>
      <c r="G75" s="7">
        <v>2.1755638733833333E-3</v>
      </c>
      <c r="H75" s="7">
        <v>2.1755942108386602E-3</v>
      </c>
      <c r="I75" s="8">
        <v>0</v>
      </c>
      <c r="J75" s="8">
        <v>1</v>
      </c>
      <c r="K75" s="8">
        <v>473</v>
      </c>
      <c r="L75" s="7">
        <v>6.8846506450185264E-3</v>
      </c>
      <c r="M75" s="7">
        <v>3.9717226756658796E-3</v>
      </c>
      <c r="N75" s="8">
        <v>0</v>
      </c>
      <c r="O75" s="8">
        <v>1</v>
      </c>
      <c r="P75" s="8">
        <v>443</v>
      </c>
      <c r="Q75" s="7">
        <v>1.7437843242915009E-2</v>
      </c>
      <c r="R75" s="7">
        <v>6.5837547618348069E-3</v>
      </c>
      <c r="S75" s="8">
        <v>0</v>
      </c>
      <c r="T75" s="8">
        <v>1</v>
      </c>
      <c r="U75" s="8">
        <v>423</v>
      </c>
      <c r="V75" s="7">
        <v>6.2877637771190087E-4</v>
      </c>
      <c r="W75" s="7">
        <v>4.4537016745651388E-4</v>
      </c>
      <c r="X75" s="8">
        <v>0</v>
      </c>
      <c r="Y75" s="8">
        <v>1</v>
      </c>
      <c r="Z75" s="8">
        <v>1073</v>
      </c>
      <c r="AA75" s="7">
        <v>7.2849723210010953E-3</v>
      </c>
      <c r="AB75" s="7">
        <v>2.2492859434448519E-3</v>
      </c>
      <c r="AC75" s="8">
        <v>0</v>
      </c>
      <c r="AD75" s="8">
        <v>1</v>
      </c>
      <c r="AE75" s="8">
        <v>2789</v>
      </c>
    </row>
    <row r="76" spans="1:32" x14ac:dyDescent="0.45">
      <c r="A76" s="6" t="s">
        <v>26</v>
      </c>
      <c r="B76" s="7">
        <v>4.2417616022147671E-2</v>
      </c>
      <c r="C76" s="7">
        <v>1.0510324665511129E-2</v>
      </c>
      <c r="D76" s="8">
        <v>0</v>
      </c>
      <c r="E76" s="8">
        <v>1</v>
      </c>
      <c r="F76" s="8">
        <v>377</v>
      </c>
      <c r="G76" s="7">
        <v>0.13820208651722821</v>
      </c>
      <c r="H76" s="7">
        <v>1.6475096603360842E-2</v>
      </c>
      <c r="I76" s="8">
        <v>0</v>
      </c>
      <c r="J76" s="8">
        <v>1</v>
      </c>
      <c r="K76" s="8">
        <v>473</v>
      </c>
      <c r="L76" s="7">
        <v>0.10469634306542444</v>
      </c>
      <c r="M76" s="7">
        <v>1.5394889579067119E-2</v>
      </c>
      <c r="N76" s="8">
        <v>0</v>
      </c>
      <c r="O76" s="8">
        <v>1</v>
      </c>
      <c r="P76" s="8">
        <v>443</v>
      </c>
      <c r="Q76" s="7">
        <v>0.21697284641081702</v>
      </c>
      <c r="R76" s="7">
        <v>2.0889826904432647E-2</v>
      </c>
      <c r="S76" s="8">
        <v>0</v>
      </c>
      <c r="T76" s="8">
        <v>1</v>
      </c>
      <c r="U76" s="8">
        <v>423</v>
      </c>
      <c r="V76" s="7">
        <v>6.8214282763813486E-2</v>
      </c>
      <c r="W76" s="7">
        <v>1.0070079910351819E-2</v>
      </c>
      <c r="X76" s="8">
        <v>0</v>
      </c>
      <c r="Y76" s="8">
        <v>1</v>
      </c>
      <c r="Z76" s="8">
        <v>1073</v>
      </c>
      <c r="AA76" s="7">
        <v>0.13381594000174568</v>
      </c>
      <c r="AB76" s="7">
        <v>9.0632155667956203E-3</v>
      </c>
      <c r="AC76" s="8">
        <v>0</v>
      </c>
      <c r="AD76" s="8">
        <v>1</v>
      </c>
      <c r="AE76" s="8">
        <v>2789</v>
      </c>
      <c r="AF76">
        <f>(AA78/AA77)-AA76</f>
        <v>2.6259109376225998E-3</v>
      </c>
    </row>
    <row r="77" spans="1:32" x14ac:dyDescent="0.45">
      <c r="A77" s="6" t="s">
        <v>32</v>
      </c>
      <c r="B77" s="7">
        <v>0.2527724281813617</v>
      </c>
      <c r="C77" s="7">
        <v>2.3581271808324908E-2</v>
      </c>
      <c r="D77" s="8">
        <v>0</v>
      </c>
      <c r="E77" s="8">
        <v>1</v>
      </c>
      <c r="F77" s="8">
        <v>377</v>
      </c>
      <c r="G77" s="7">
        <v>0.1554454589262585</v>
      </c>
      <c r="H77" s="7">
        <v>1.7390664147984094E-2</v>
      </c>
      <c r="I77" s="8">
        <v>0</v>
      </c>
      <c r="J77" s="8">
        <v>1</v>
      </c>
      <c r="K77" s="8">
        <v>473</v>
      </c>
      <c r="L77" s="7">
        <v>0.15877572477573559</v>
      </c>
      <c r="M77" s="7">
        <v>1.7885640487502231E-2</v>
      </c>
      <c r="N77" s="8">
        <v>0</v>
      </c>
      <c r="O77" s="8">
        <v>1</v>
      </c>
      <c r="P77" s="8">
        <v>443</v>
      </c>
      <c r="Q77" s="7">
        <v>0.13416252742816348</v>
      </c>
      <c r="R77" s="7">
        <v>1.6834266849755707E-2</v>
      </c>
      <c r="S77" s="8">
        <v>0</v>
      </c>
      <c r="T77" s="8">
        <v>1</v>
      </c>
      <c r="U77" s="8">
        <v>423</v>
      </c>
      <c r="V77" s="7">
        <v>3.5681116912385707E-2</v>
      </c>
      <c r="W77" s="7">
        <v>5.9694575574459905E-3</v>
      </c>
      <c r="X77" s="8">
        <v>0</v>
      </c>
      <c r="Y77" s="8">
        <v>1</v>
      </c>
      <c r="Z77" s="8">
        <v>1073</v>
      </c>
      <c r="AA77" s="7">
        <v>0.1543771286135118</v>
      </c>
      <c r="AB77" s="7">
        <v>9.5089024086530607E-3</v>
      </c>
      <c r="AC77" s="8">
        <v>0</v>
      </c>
      <c r="AD77" s="8">
        <v>1</v>
      </c>
      <c r="AE77" s="8">
        <v>2789</v>
      </c>
      <c r="AF77">
        <f>(AA78/AA76)-AA77</f>
        <v>3.029389402635474E-3</v>
      </c>
    </row>
    <row r="78" spans="1:32" ht="26.25" x14ac:dyDescent="0.45">
      <c r="A78" s="6" t="s">
        <v>54</v>
      </c>
      <c r="B78" s="7">
        <v>1.299287913145317E-2</v>
      </c>
      <c r="C78" s="7">
        <v>5.8253054443310045E-3</v>
      </c>
      <c r="D78" s="8">
        <v>0</v>
      </c>
      <c r="E78" s="8">
        <v>1</v>
      </c>
      <c r="F78" s="8">
        <v>377</v>
      </c>
      <c r="G78" s="7">
        <v>2.5874866343277774E-2</v>
      </c>
      <c r="H78" s="7">
        <v>7.7296620844697593E-3</v>
      </c>
      <c r="I78" s="8">
        <v>0</v>
      </c>
      <c r="J78" s="8">
        <v>1</v>
      </c>
      <c r="K78" s="8">
        <v>473</v>
      </c>
      <c r="L78" s="7">
        <v>1.1697824999979536E-2</v>
      </c>
      <c r="M78" s="7">
        <v>5.235545826192488E-3</v>
      </c>
      <c r="N78" s="8">
        <v>0</v>
      </c>
      <c r="O78" s="8">
        <v>1</v>
      </c>
      <c r="P78" s="8">
        <v>443</v>
      </c>
      <c r="Q78" s="7">
        <v>3.619739568401608E-2</v>
      </c>
      <c r="R78" s="7">
        <v>9.2723494231463574E-3</v>
      </c>
      <c r="S78" s="8">
        <v>0</v>
      </c>
      <c r="T78" s="8">
        <v>1</v>
      </c>
      <c r="U78" s="8">
        <v>423</v>
      </c>
      <c r="V78" s="7">
        <v>7.1908903055377957E-3</v>
      </c>
      <c r="W78" s="7">
        <v>3.3469522442551428E-3</v>
      </c>
      <c r="X78" s="8">
        <v>0</v>
      </c>
      <c r="Y78" s="8">
        <v>1</v>
      </c>
      <c r="Z78" s="8">
        <v>1073</v>
      </c>
      <c r="AA78" s="7">
        <v>2.1063501170732465E-2</v>
      </c>
      <c r="AB78" s="7">
        <v>3.6682508842638931E-3</v>
      </c>
      <c r="AC78" s="8">
        <v>0</v>
      </c>
      <c r="AD78" s="8">
        <v>1</v>
      </c>
      <c r="AE78" s="8">
        <v>2789</v>
      </c>
    </row>
    <row r="79" spans="1:32" x14ac:dyDescent="0.45">
      <c r="A79" s="6" t="s">
        <v>26</v>
      </c>
      <c r="B79" s="7">
        <v>4.2417616022147671E-2</v>
      </c>
      <c r="C79" s="7">
        <v>1.0510324665511129E-2</v>
      </c>
      <c r="D79" s="8">
        <v>0</v>
      </c>
      <c r="E79" s="8">
        <v>1</v>
      </c>
      <c r="F79" s="8">
        <v>377</v>
      </c>
      <c r="G79" s="7">
        <v>0.13820208651722821</v>
      </c>
      <c r="H79" s="7">
        <v>1.6475096603360842E-2</v>
      </c>
      <c r="I79" s="8">
        <v>0</v>
      </c>
      <c r="J79" s="8">
        <v>1</v>
      </c>
      <c r="K79" s="8">
        <v>473</v>
      </c>
      <c r="L79" s="7">
        <v>0.10469634306542444</v>
      </c>
      <c r="M79" s="7">
        <v>1.5394889579067119E-2</v>
      </c>
      <c r="N79" s="8">
        <v>0</v>
      </c>
      <c r="O79" s="8">
        <v>1</v>
      </c>
      <c r="P79" s="8">
        <v>443</v>
      </c>
      <c r="Q79" s="7">
        <v>0.21697284641081702</v>
      </c>
      <c r="R79" s="7">
        <v>2.0889826904432647E-2</v>
      </c>
      <c r="S79" s="8">
        <v>0</v>
      </c>
      <c r="T79" s="8">
        <v>1</v>
      </c>
      <c r="U79" s="8">
        <v>423</v>
      </c>
      <c r="V79" s="7">
        <v>6.8214282763813486E-2</v>
      </c>
      <c r="W79" s="7">
        <v>1.0070079910351819E-2</v>
      </c>
      <c r="X79" s="8">
        <v>0</v>
      </c>
      <c r="Y79" s="8">
        <v>1</v>
      </c>
      <c r="Z79" s="8">
        <v>1073</v>
      </c>
      <c r="AA79" s="7">
        <v>0.13381594000174568</v>
      </c>
      <c r="AB79" s="7">
        <v>9.0632155667956203E-3</v>
      </c>
      <c r="AC79" s="8">
        <v>0</v>
      </c>
      <c r="AD79" s="8">
        <v>1</v>
      </c>
      <c r="AE79" s="8">
        <v>2789</v>
      </c>
      <c r="AF79">
        <f>(AA81/AA80)-AA79</f>
        <v>1.2447352604228495E-2</v>
      </c>
    </row>
    <row r="80" spans="1:32" x14ac:dyDescent="0.45">
      <c r="A80" s="6" t="s">
        <v>34</v>
      </c>
      <c r="B80" s="7">
        <v>2.263311268250193E-2</v>
      </c>
      <c r="C80" s="7">
        <v>7.3421367292460923E-3</v>
      </c>
      <c r="D80" s="8">
        <v>0</v>
      </c>
      <c r="E80" s="8">
        <v>1</v>
      </c>
      <c r="F80" s="8">
        <v>377</v>
      </c>
      <c r="G80" s="7">
        <v>5.8327627768387631E-2</v>
      </c>
      <c r="H80" s="7">
        <v>1.1334403264176443E-2</v>
      </c>
      <c r="I80" s="8">
        <v>0</v>
      </c>
      <c r="J80" s="8">
        <v>1</v>
      </c>
      <c r="K80" s="8">
        <v>473</v>
      </c>
      <c r="L80" s="7">
        <v>8.3487078786845886E-2</v>
      </c>
      <c r="M80" s="7">
        <v>1.3594933601456751E-2</v>
      </c>
      <c r="N80" s="8">
        <v>0</v>
      </c>
      <c r="O80" s="8">
        <v>1</v>
      </c>
      <c r="P80" s="8">
        <v>443</v>
      </c>
      <c r="Q80" s="7">
        <v>5.2708548379860748E-2</v>
      </c>
      <c r="R80" s="7">
        <v>1.100803849809036E-2</v>
      </c>
      <c r="S80" s="8">
        <v>0</v>
      </c>
      <c r="T80" s="8">
        <v>1</v>
      </c>
      <c r="U80" s="8">
        <v>423</v>
      </c>
      <c r="V80" s="7">
        <v>3.9397663243172917E-3</v>
      </c>
      <c r="W80" s="7">
        <v>1.9732066657802663E-3</v>
      </c>
      <c r="X80" s="8">
        <v>0</v>
      </c>
      <c r="Y80" s="8">
        <v>1</v>
      </c>
      <c r="Z80" s="8">
        <v>1073</v>
      </c>
      <c r="AA80" s="7">
        <v>6.2799338760446702E-2</v>
      </c>
      <c r="AB80" s="7">
        <v>6.7450581638249926E-3</v>
      </c>
      <c r="AC80" s="8">
        <v>0</v>
      </c>
      <c r="AD80" s="8">
        <v>1</v>
      </c>
      <c r="AE80" s="8">
        <v>2789</v>
      </c>
      <c r="AF80">
        <f>(AA81/AA79)-AA80</f>
        <v>5.841497753208455E-3</v>
      </c>
    </row>
    <row r="81" spans="1:32" ht="26.25" x14ac:dyDescent="0.45">
      <c r="A81" s="6" t="s">
        <v>55</v>
      </c>
      <c r="B81" s="7">
        <v>0</v>
      </c>
      <c r="C81" s="7">
        <v>0</v>
      </c>
      <c r="D81" s="8">
        <v>0</v>
      </c>
      <c r="E81" s="8">
        <v>0</v>
      </c>
      <c r="F81" s="8">
        <v>377</v>
      </c>
      <c r="G81" s="7">
        <v>1.192990718918251E-2</v>
      </c>
      <c r="H81" s="7">
        <v>5.3108506571081229E-3</v>
      </c>
      <c r="I81" s="8">
        <v>0</v>
      </c>
      <c r="J81" s="8">
        <v>1</v>
      </c>
      <c r="K81" s="8">
        <v>473</v>
      </c>
      <c r="L81" s="7">
        <v>7.0173286170103523E-3</v>
      </c>
      <c r="M81" s="7">
        <v>4.0756127610856088E-3</v>
      </c>
      <c r="N81" s="8">
        <v>0</v>
      </c>
      <c r="O81" s="8">
        <v>1</v>
      </c>
      <c r="P81" s="8">
        <v>443</v>
      </c>
      <c r="Q81" s="7">
        <v>1.368645482464137E-2</v>
      </c>
      <c r="R81" s="7">
        <v>5.6208453963533644E-3</v>
      </c>
      <c r="S81" s="8">
        <v>0</v>
      </c>
      <c r="T81" s="8">
        <v>1</v>
      </c>
      <c r="U81" s="8">
        <v>423</v>
      </c>
      <c r="V81" s="7">
        <v>5.7533352008484263E-4</v>
      </c>
      <c r="W81" s="7">
        <v>4.0928558646790685E-4</v>
      </c>
      <c r="X81" s="8">
        <v>0</v>
      </c>
      <c r="Y81" s="8">
        <v>1</v>
      </c>
      <c r="Z81" s="8">
        <v>1073</v>
      </c>
      <c r="AA81" s="7">
        <v>9.1852380605809119E-3</v>
      </c>
      <c r="AB81" s="7">
        <v>2.5241163294229007E-3</v>
      </c>
      <c r="AC81" s="8">
        <v>0</v>
      </c>
      <c r="AD81" s="8">
        <v>1</v>
      </c>
      <c r="AE81" s="8">
        <v>2789</v>
      </c>
    </row>
    <row r="82" spans="1:32" x14ac:dyDescent="0.45">
      <c r="A82" s="6" t="s">
        <v>26</v>
      </c>
      <c r="B82" s="7">
        <v>4.2417616022147671E-2</v>
      </c>
      <c r="C82" s="7">
        <v>1.0510324665511129E-2</v>
      </c>
      <c r="D82" s="8">
        <v>0</v>
      </c>
      <c r="E82" s="8">
        <v>1</v>
      </c>
      <c r="F82" s="8">
        <v>377</v>
      </c>
      <c r="G82" s="7">
        <v>0.13820208651722821</v>
      </c>
      <c r="H82" s="7">
        <v>1.6475096603360842E-2</v>
      </c>
      <c r="I82" s="8">
        <v>0</v>
      </c>
      <c r="J82" s="8">
        <v>1</v>
      </c>
      <c r="K82" s="8">
        <v>473</v>
      </c>
      <c r="L82" s="7">
        <v>0.10469634306542444</v>
      </c>
      <c r="M82" s="7">
        <v>1.5394889579067119E-2</v>
      </c>
      <c r="N82" s="8">
        <v>0</v>
      </c>
      <c r="O82" s="8">
        <v>1</v>
      </c>
      <c r="P82" s="8">
        <v>443</v>
      </c>
      <c r="Q82" s="7">
        <v>0.21697284641081702</v>
      </c>
      <c r="R82" s="7">
        <v>2.0889826904432647E-2</v>
      </c>
      <c r="S82" s="8">
        <v>0</v>
      </c>
      <c r="T82" s="8">
        <v>1</v>
      </c>
      <c r="U82" s="8">
        <v>423</v>
      </c>
      <c r="V82" s="7">
        <v>6.8214282763813486E-2</v>
      </c>
      <c r="W82" s="7">
        <v>1.0070079910351819E-2</v>
      </c>
      <c r="X82" s="8">
        <v>0</v>
      </c>
      <c r="Y82" s="8">
        <v>1</v>
      </c>
      <c r="Z82" s="8">
        <v>1073</v>
      </c>
      <c r="AA82" s="7">
        <v>0.13381594000174568</v>
      </c>
      <c r="AB82" s="7">
        <v>9.0632155667956203E-3</v>
      </c>
      <c r="AC82" s="8">
        <v>0</v>
      </c>
      <c r="AD82" s="8">
        <v>1</v>
      </c>
      <c r="AE82" s="8">
        <v>2789</v>
      </c>
      <c r="AF82">
        <f>(AA84/AA83)-AA82</f>
        <v>1.3695406963128376E-2</v>
      </c>
    </row>
    <row r="83" spans="1:32" x14ac:dyDescent="0.45">
      <c r="A83" s="6" t="s">
        <v>36</v>
      </c>
      <c r="B83" s="7">
        <v>0.26636125194779031</v>
      </c>
      <c r="C83" s="7">
        <v>2.4189991287900472E-2</v>
      </c>
      <c r="D83" s="8">
        <v>0</v>
      </c>
      <c r="E83" s="8">
        <v>1</v>
      </c>
      <c r="F83" s="8">
        <v>377</v>
      </c>
      <c r="G83" s="7">
        <v>0.17672760534526755</v>
      </c>
      <c r="H83" s="7">
        <v>1.8127456261163202E-2</v>
      </c>
      <c r="I83" s="8">
        <v>0</v>
      </c>
      <c r="J83" s="8">
        <v>1</v>
      </c>
      <c r="K83" s="8">
        <v>467</v>
      </c>
      <c r="L83" s="7">
        <v>4.3890875888197518E-2</v>
      </c>
      <c r="M83" s="7">
        <v>9.6682460234033402E-3</v>
      </c>
      <c r="N83" s="8">
        <v>0</v>
      </c>
      <c r="O83" s="8">
        <v>1</v>
      </c>
      <c r="P83" s="8">
        <v>441</v>
      </c>
      <c r="Q83" s="7">
        <v>8.371081995835053E-2</v>
      </c>
      <c r="R83" s="7">
        <v>1.4050470479779449E-2</v>
      </c>
      <c r="S83" s="8">
        <v>0</v>
      </c>
      <c r="T83" s="8">
        <v>1</v>
      </c>
      <c r="U83" s="8">
        <v>422</v>
      </c>
      <c r="V83" s="7">
        <v>0.17670361522524197</v>
      </c>
      <c r="W83" s="7">
        <v>1.6865782603968957E-2</v>
      </c>
      <c r="X83" s="8">
        <v>0</v>
      </c>
      <c r="Y83" s="8">
        <v>1</v>
      </c>
      <c r="Z83" s="8">
        <v>1068</v>
      </c>
      <c r="AA83" s="7">
        <v>0.10901593418102137</v>
      </c>
      <c r="AB83" s="7">
        <v>7.4445039199197852E-3</v>
      </c>
      <c r="AC83" s="8">
        <v>0</v>
      </c>
      <c r="AD83" s="8">
        <v>1</v>
      </c>
      <c r="AE83" s="8">
        <v>2775</v>
      </c>
      <c r="AF83">
        <f>(AA84/AA82)-AA83</f>
        <v>1.1157247664629694E-2</v>
      </c>
    </row>
    <row r="84" spans="1:32" x14ac:dyDescent="0.45">
      <c r="A84" s="6" t="s">
        <v>56</v>
      </c>
      <c r="B84" s="7">
        <v>9.9524833702427755E-3</v>
      </c>
      <c r="C84" s="7">
        <v>4.980497574721166E-3</v>
      </c>
      <c r="D84" s="8">
        <v>0</v>
      </c>
      <c r="E84" s="8">
        <v>1</v>
      </c>
      <c r="F84" s="8">
        <v>377</v>
      </c>
      <c r="G84" s="7">
        <v>2.7271285686481465E-2</v>
      </c>
      <c r="H84" s="7">
        <v>7.7841479734337147E-3</v>
      </c>
      <c r="I84" s="8">
        <v>0</v>
      </c>
      <c r="J84" s="8">
        <v>1</v>
      </c>
      <c r="K84" s="8">
        <v>467</v>
      </c>
      <c r="L84" s="7">
        <v>5.5974105820633382E-3</v>
      </c>
      <c r="M84" s="7">
        <v>3.9563652955599783E-3</v>
      </c>
      <c r="N84" s="8">
        <v>0</v>
      </c>
      <c r="O84" s="8">
        <v>1</v>
      </c>
      <c r="P84" s="8">
        <v>441</v>
      </c>
      <c r="Q84" s="7">
        <v>2.4803418467396966E-2</v>
      </c>
      <c r="R84" s="7">
        <v>8.1815935937382001E-3</v>
      </c>
      <c r="S84" s="8">
        <v>0</v>
      </c>
      <c r="T84" s="8">
        <v>1</v>
      </c>
      <c r="U84" s="8">
        <v>422</v>
      </c>
      <c r="V84" s="7">
        <v>1.9343041328141147E-3</v>
      </c>
      <c r="W84" s="7">
        <v>9.6936164530321556E-4</v>
      </c>
      <c r="X84" s="8">
        <v>0</v>
      </c>
      <c r="Y84" s="8">
        <v>1</v>
      </c>
      <c r="Z84" s="8">
        <v>1068</v>
      </c>
      <c r="AA84" s="7">
        <v>1.6081087291676517E-2</v>
      </c>
      <c r="AB84" s="7">
        <v>3.2643644469211985E-3</v>
      </c>
      <c r="AC84" s="8">
        <v>0</v>
      </c>
      <c r="AD84" s="8">
        <v>1</v>
      </c>
      <c r="AE84" s="8">
        <v>2775</v>
      </c>
    </row>
    <row r="85" spans="1:32" x14ac:dyDescent="0.45">
      <c r="A85" s="6" t="s">
        <v>26</v>
      </c>
      <c r="B85" s="7">
        <v>4.2417616022147671E-2</v>
      </c>
      <c r="C85" s="7">
        <v>1.0510324665511129E-2</v>
      </c>
      <c r="D85" s="8">
        <v>0</v>
      </c>
      <c r="E85" s="8">
        <v>1</v>
      </c>
      <c r="F85" s="8">
        <v>377</v>
      </c>
      <c r="G85" s="7">
        <v>0.13820208651722821</v>
      </c>
      <c r="H85" s="7">
        <v>1.6475096603360842E-2</v>
      </c>
      <c r="I85" s="8">
        <v>0</v>
      </c>
      <c r="J85" s="8">
        <v>1</v>
      </c>
      <c r="K85" s="8">
        <v>473</v>
      </c>
      <c r="L85" s="7">
        <v>0.10469634306542444</v>
      </c>
      <c r="M85" s="7">
        <v>1.5394889579067119E-2</v>
      </c>
      <c r="N85" s="8">
        <v>0</v>
      </c>
      <c r="O85" s="8">
        <v>1</v>
      </c>
      <c r="P85" s="8">
        <v>443</v>
      </c>
      <c r="Q85" s="7">
        <v>0.21697284641081702</v>
      </c>
      <c r="R85" s="7">
        <v>2.0889826904432647E-2</v>
      </c>
      <c r="S85" s="8">
        <v>0</v>
      </c>
      <c r="T85" s="8">
        <v>1</v>
      </c>
      <c r="U85" s="8">
        <v>423</v>
      </c>
      <c r="V85" s="7">
        <v>6.8214282763813486E-2</v>
      </c>
      <c r="W85" s="7">
        <v>1.0070079910351819E-2</v>
      </c>
      <c r="X85" s="8">
        <v>0</v>
      </c>
      <c r="Y85" s="8">
        <v>1</v>
      </c>
      <c r="Z85" s="8">
        <v>1073</v>
      </c>
      <c r="AA85" s="7">
        <v>0.13381594000174568</v>
      </c>
      <c r="AB85" s="7">
        <v>9.0632155667956203E-3</v>
      </c>
      <c r="AC85" s="8">
        <v>0</v>
      </c>
      <c r="AD85" s="8">
        <v>1</v>
      </c>
      <c r="AE85" s="8">
        <v>2789</v>
      </c>
      <c r="AF85">
        <f>(AA87/AA86)-AA85</f>
        <v>6.8932181454988778E-2</v>
      </c>
    </row>
    <row r="86" spans="1:32" ht="26.25" x14ac:dyDescent="0.45">
      <c r="A86" s="6" t="s">
        <v>38</v>
      </c>
      <c r="B86" s="7">
        <v>0.44223301820394767</v>
      </c>
      <c r="C86" s="7">
        <v>2.8300310545730831E-2</v>
      </c>
      <c r="D86" s="8">
        <v>0</v>
      </c>
      <c r="E86" s="8">
        <v>1</v>
      </c>
      <c r="F86" s="8">
        <v>377</v>
      </c>
      <c r="G86" s="7">
        <v>0.67963669016962303</v>
      </c>
      <c r="H86" s="7">
        <v>2.2169291635117473E-2</v>
      </c>
      <c r="I86" s="8">
        <v>0</v>
      </c>
      <c r="J86" s="8">
        <v>1</v>
      </c>
      <c r="K86" s="8">
        <v>473</v>
      </c>
      <c r="L86" s="7">
        <v>0.41452170070524536</v>
      </c>
      <c r="M86" s="7">
        <v>2.4249093275481391E-2</v>
      </c>
      <c r="N86" s="8">
        <v>0</v>
      </c>
      <c r="O86" s="8">
        <v>1</v>
      </c>
      <c r="P86" s="8">
        <v>443</v>
      </c>
      <c r="Q86" s="7">
        <v>0.50232647922994245</v>
      </c>
      <c r="R86" s="7">
        <v>2.4962894154274457E-2</v>
      </c>
      <c r="S86" s="8">
        <v>0</v>
      </c>
      <c r="T86" s="8">
        <v>1</v>
      </c>
      <c r="U86" s="8">
        <v>423</v>
      </c>
      <c r="V86" s="7">
        <v>0.18691243882002603</v>
      </c>
      <c r="W86" s="7">
        <v>1.6206610488577019E-2</v>
      </c>
      <c r="X86" s="8">
        <v>0</v>
      </c>
      <c r="Y86" s="8">
        <v>1</v>
      </c>
      <c r="Z86" s="8">
        <v>1073</v>
      </c>
      <c r="AA86" s="7">
        <v>0.50156328466083933</v>
      </c>
      <c r="AB86" s="7">
        <v>1.320292147742998E-2</v>
      </c>
      <c r="AC86" s="8">
        <v>0</v>
      </c>
      <c r="AD86" s="8">
        <v>1</v>
      </c>
      <c r="AE86" s="8">
        <v>2789</v>
      </c>
      <c r="AF86">
        <f>(AA87/AA85)-AA86</f>
        <v>0.25836870666491696</v>
      </c>
    </row>
    <row r="87" spans="1:32" ht="26.25" x14ac:dyDescent="0.45">
      <c r="A87" s="6" t="s">
        <v>57</v>
      </c>
      <c r="B87" s="7">
        <v>2.8750969420227736E-2</v>
      </c>
      <c r="C87" s="7">
        <v>8.616891228600862E-3</v>
      </c>
      <c r="D87" s="8">
        <v>0</v>
      </c>
      <c r="E87" s="8">
        <v>1</v>
      </c>
      <c r="F87" s="8">
        <v>377</v>
      </c>
      <c r="G87" s="7">
        <v>0.13605026600077863</v>
      </c>
      <c r="H87" s="7">
        <v>1.6372794317438037E-2</v>
      </c>
      <c r="I87" s="8">
        <v>0</v>
      </c>
      <c r="J87" s="8">
        <v>1</v>
      </c>
      <c r="K87" s="8">
        <v>473</v>
      </c>
      <c r="L87" s="7">
        <v>6.0778722627681844E-2</v>
      </c>
      <c r="M87" s="7">
        <v>1.1909261933070131E-2</v>
      </c>
      <c r="N87" s="8">
        <v>0</v>
      </c>
      <c r="O87" s="8">
        <v>1</v>
      </c>
      <c r="P87" s="8">
        <v>443</v>
      </c>
      <c r="Q87" s="7">
        <v>0.16329027696077131</v>
      </c>
      <c r="R87" s="7">
        <v>1.888987256392511E-2</v>
      </c>
      <c r="S87" s="8">
        <v>0</v>
      </c>
      <c r="T87" s="8">
        <v>1</v>
      </c>
      <c r="U87" s="8">
        <v>423</v>
      </c>
      <c r="V87" s="7">
        <v>3.6828610500359502E-2</v>
      </c>
      <c r="W87" s="7">
        <v>7.7243436197545401E-3</v>
      </c>
      <c r="X87" s="8">
        <v>0</v>
      </c>
      <c r="Y87" s="8">
        <v>1</v>
      </c>
      <c r="Z87" s="8">
        <v>1073</v>
      </c>
      <c r="AA87" s="7">
        <v>0.10169101375665453</v>
      </c>
      <c r="AB87" s="7">
        <v>7.9216217995756698E-3</v>
      </c>
      <c r="AC87" s="8">
        <v>0</v>
      </c>
      <c r="AD87" s="8">
        <v>1</v>
      </c>
      <c r="AE87" s="8">
        <v>2789</v>
      </c>
    </row>
    <row r="88" spans="1:32" x14ac:dyDescent="0.45">
      <c r="A88" s="6" t="s">
        <v>26</v>
      </c>
      <c r="B88" s="7">
        <v>4.2417616022147671E-2</v>
      </c>
      <c r="C88" s="7">
        <v>1.0510324665511129E-2</v>
      </c>
      <c r="D88" s="8">
        <v>0</v>
      </c>
      <c r="E88" s="8">
        <v>1</v>
      </c>
      <c r="F88" s="8">
        <v>377</v>
      </c>
      <c r="G88" s="7">
        <v>0.13820208651722821</v>
      </c>
      <c r="H88" s="7">
        <v>1.6475096603360842E-2</v>
      </c>
      <c r="I88" s="8">
        <v>0</v>
      </c>
      <c r="J88" s="8">
        <v>1</v>
      </c>
      <c r="K88" s="8">
        <v>473</v>
      </c>
      <c r="L88" s="7">
        <v>0.10469634306542444</v>
      </c>
      <c r="M88" s="7">
        <v>1.5394889579067119E-2</v>
      </c>
      <c r="N88" s="8">
        <v>0</v>
      </c>
      <c r="O88" s="8">
        <v>1</v>
      </c>
      <c r="P88" s="8">
        <v>443</v>
      </c>
      <c r="Q88" s="7">
        <v>0.21697284641081702</v>
      </c>
      <c r="R88" s="7">
        <v>2.0889826904432647E-2</v>
      </c>
      <c r="S88" s="8">
        <v>0</v>
      </c>
      <c r="T88" s="8">
        <v>1</v>
      </c>
      <c r="U88" s="8">
        <v>423</v>
      </c>
      <c r="V88" s="7">
        <v>6.8214282763813486E-2</v>
      </c>
      <c r="W88" s="7">
        <v>1.0070079910351819E-2</v>
      </c>
      <c r="X88" s="8">
        <v>0</v>
      </c>
      <c r="Y88" s="8">
        <v>1</v>
      </c>
      <c r="Z88" s="8">
        <v>1073</v>
      </c>
      <c r="AA88" s="7">
        <v>0.13381594000174568</v>
      </c>
      <c r="AB88" s="7">
        <v>9.0632155667956203E-3</v>
      </c>
      <c r="AC88" s="8">
        <v>0</v>
      </c>
      <c r="AD88" s="8">
        <v>1</v>
      </c>
      <c r="AE88" s="8">
        <v>2789</v>
      </c>
      <c r="AF88">
        <f>(AA90/AA89)-AA88</f>
        <v>5.2677873435547196E-2</v>
      </c>
    </row>
    <row r="89" spans="1:32" x14ac:dyDescent="0.45">
      <c r="A89" s="6" t="s">
        <v>40</v>
      </c>
      <c r="B89" s="7">
        <v>0.24786641106498949</v>
      </c>
      <c r="C89" s="7">
        <v>2.3847850003411539E-2</v>
      </c>
      <c r="D89" s="8">
        <v>0</v>
      </c>
      <c r="E89" s="8">
        <v>1</v>
      </c>
      <c r="F89" s="8">
        <v>377</v>
      </c>
      <c r="G89" s="7">
        <v>0.31149999401439304</v>
      </c>
      <c r="H89" s="7">
        <v>2.2025125692018081E-2</v>
      </c>
      <c r="I89" s="8">
        <v>0</v>
      </c>
      <c r="J89" s="8">
        <v>1</v>
      </c>
      <c r="K89" s="8">
        <v>473</v>
      </c>
      <c r="L89" s="7">
        <v>0.27873695588735009</v>
      </c>
      <c r="M89" s="7">
        <v>2.1757269898733667E-2</v>
      </c>
      <c r="N89" s="8">
        <v>0</v>
      </c>
      <c r="O89" s="8">
        <v>1</v>
      </c>
      <c r="P89" s="8">
        <v>443</v>
      </c>
      <c r="Q89" s="7">
        <v>0.7144739729494628</v>
      </c>
      <c r="R89" s="7">
        <v>2.2433009195978806E-2</v>
      </c>
      <c r="S89" s="8">
        <v>0</v>
      </c>
      <c r="T89" s="8">
        <v>1</v>
      </c>
      <c r="U89" s="8">
        <v>423</v>
      </c>
      <c r="V89" s="7">
        <v>0.42578593556370831</v>
      </c>
      <c r="W89" s="7">
        <v>2.0859115306836037E-2</v>
      </c>
      <c r="X89" s="8">
        <v>0</v>
      </c>
      <c r="Y89" s="8">
        <v>1</v>
      </c>
      <c r="Z89" s="8">
        <v>1073</v>
      </c>
      <c r="AA89" s="7">
        <v>0.38890886648264583</v>
      </c>
      <c r="AB89" s="7">
        <v>1.2688043853195404E-2</v>
      </c>
      <c r="AC89" s="8">
        <v>0</v>
      </c>
      <c r="AD89" s="8">
        <v>1</v>
      </c>
      <c r="AE89" s="8">
        <v>2789</v>
      </c>
      <c r="AF89">
        <f>(AA90/AA88)-AA89</f>
        <v>0.15309754612393472</v>
      </c>
    </row>
    <row r="90" spans="1:32" ht="26.25" x14ac:dyDescent="0.45">
      <c r="A90" s="6" t="s">
        <v>58</v>
      </c>
      <c r="B90" s="7">
        <v>7.7902430353048663E-3</v>
      </c>
      <c r="C90" s="7">
        <v>4.4911284014905522E-3</v>
      </c>
      <c r="D90" s="8">
        <v>0</v>
      </c>
      <c r="E90" s="8">
        <v>1</v>
      </c>
      <c r="F90" s="8">
        <v>377</v>
      </c>
      <c r="G90" s="7">
        <v>6.0644223992012122E-2</v>
      </c>
      <c r="H90" s="7">
        <v>1.133828460278965E-2</v>
      </c>
      <c r="I90" s="8">
        <v>0</v>
      </c>
      <c r="J90" s="8">
        <v>1</v>
      </c>
      <c r="K90" s="8">
        <v>473</v>
      </c>
      <c r="L90" s="7">
        <v>2.2265615411869881E-2</v>
      </c>
      <c r="M90" s="7">
        <v>7.4296755993655634E-3</v>
      </c>
      <c r="N90" s="8">
        <v>0</v>
      </c>
      <c r="O90" s="8">
        <v>1</v>
      </c>
      <c r="P90" s="8">
        <v>443</v>
      </c>
      <c r="Q90" s="7">
        <v>0.19763699392018647</v>
      </c>
      <c r="R90" s="7">
        <v>2.0229568014455402E-2</v>
      </c>
      <c r="S90" s="8">
        <v>0</v>
      </c>
      <c r="T90" s="8">
        <v>1</v>
      </c>
      <c r="U90" s="8">
        <v>423</v>
      </c>
      <c r="V90" s="7">
        <v>5.5283854244451119E-2</v>
      </c>
      <c r="W90" s="7">
        <v>9.1964057399591178E-3</v>
      </c>
      <c r="X90" s="8">
        <v>0</v>
      </c>
      <c r="Y90" s="8">
        <v>1</v>
      </c>
      <c r="Z90" s="8">
        <v>1073</v>
      </c>
      <c r="AA90" s="7">
        <v>7.2529097589923597E-2</v>
      </c>
      <c r="AB90" s="7">
        <v>6.5324471783318738E-3</v>
      </c>
      <c r="AC90" s="8">
        <v>0</v>
      </c>
      <c r="AD90" s="8">
        <v>1</v>
      </c>
      <c r="AE90" s="8">
        <v>2789</v>
      </c>
    </row>
    <row r="91" spans="1:32" x14ac:dyDescent="0.45">
      <c r="A91" s="6" t="s">
        <v>26</v>
      </c>
      <c r="B91" s="7">
        <v>4.2417616022147671E-2</v>
      </c>
      <c r="C91" s="7">
        <v>1.0510324665511129E-2</v>
      </c>
      <c r="D91" s="8">
        <v>0</v>
      </c>
      <c r="E91" s="8">
        <v>1</v>
      </c>
      <c r="F91" s="8">
        <v>377</v>
      </c>
      <c r="G91" s="7">
        <v>0.13820208651722821</v>
      </c>
      <c r="H91" s="7">
        <v>1.6475096603360842E-2</v>
      </c>
      <c r="I91" s="8">
        <v>0</v>
      </c>
      <c r="J91" s="8">
        <v>1</v>
      </c>
      <c r="K91" s="8">
        <v>473</v>
      </c>
      <c r="L91" s="7">
        <v>0.10469634306542444</v>
      </c>
      <c r="M91" s="7">
        <v>1.5394889579067119E-2</v>
      </c>
      <c r="N91" s="8">
        <v>0</v>
      </c>
      <c r="O91" s="8">
        <v>1</v>
      </c>
      <c r="P91" s="8">
        <v>443</v>
      </c>
      <c r="Q91" s="7">
        <v>0.21697284641081702</v>
      </c>
      <c r="R91" s="7">
        <v>2.0889826904432647E-2</v>
      </c>
      <c r="S91" s="8">
        <v>0</v>
      </c>
      <c r="T91" s="8">
        <v>1</v>
      </c>
      <c r="U91" s="8">
        <v>423</v>
      </c>
      <c r="V91" s="7">
        <v>6.8214282763813486E-2</v>
      </c>
      <c r="W91" s="7">
        <v>1.0070079910351819E-2</v>
      </c>
      <c r="X91" s="8">
        <v>0</v>
      </c>
      <c r="Y91" s="8">
        <v>1</v>
      </c>
      <c r="Z91" s="8">
        <v>1073</v>
      </c>
      <c r="AA91" s="7">
        <v>0.13381594000174568</v>
      </c>
      <c r="AB91" s="7">
        <v>9.0632155667956203E-3</v>
      </c>
      <c r="AC91" s="8">
        <v>0</v>
      </c>
      <c r="AD91" s="8">
        <v>1</v>
      </c>
      <c r="AE91" s="8">
        <v>2789</v>
      </c>
      <c r="AF91">
        <f>(AA93/AA92)-AA91</f>
        <v>6.5692556357544618E-2</v>
      </c>
    </row>
    <row r="92" spans="1:32" x14ac:dyDescent="0.45">
      <c r="A92" s="6" t="s">
        <v>42</v>
      </c>
      <c r="B92" s="7">
        <v>0.25408442278087268</v>
      </c>
      <c r="C92" s="7">
        <v>2.3890244562588821E-2</v>
      </c>
      <c r="D92" s="8">
        <v>0</v>
      </c>
      <c r="E92" s="8">
        <v>1</v>
      </c>
      <c r="F92" s="8">
        <v>377</v>
      </c>
      <c r="G92" s="7">
        <v>0.38956592850901783</v>
      </c>
      <c r="H92" s="7">
        <v>2.3227425068734729E-2</v>
      </c>
      <c r="I92" s="8">
        <v>0</v>
      </c>
      <c r="J92" s="8">
        <v>1</v>
      </c>
      <c r="K92" s="8">
        <v>473</v>
      </c>
      <c r="L92" s="7">
        <v>0.29434907940891936</v>
      </c>
      <c r="M92" s="7">
        <v>2.2760326811863539E-2</v>
      </c>
      <c r="N92" s="8">
        <v>0</v>
      </c>
      <c r="O92" s="8">
        <v>1</v>
      </c>
      <c r="P92" s="8">
        <v>443</v>
      </c>
      <c r="Q92" s="7">
        <v>0.48120800183961793</v>
      </c>
      <c r="R92" s="7">
        <v>2.4961710177192679E-2</v>
      </c>
      <c r="S92" s="8">
        <v>0</v>
      </c>
      <c r="T92" s="8">
        <v>1</v>
      </c>
      <c r="U92" s="8">
        <v>423</v>
      </c>
      <c r="V92" s="7">
        <v>0.3185812605122561</v>
      </c>
      <c r="W92" s="7">
        <v>1.8993252911173444E-2</v>
      </c>
      <c r="X92" s="8">
        <v>0</v>
      </c>
      <c r="Y92" s="8">
        <v>1</v>
      </c>
      <c r="Z92" s="8">
        <v>1073</v>
      </c>
      <c r="AA92" s="7">
        <v>0.36087108047955696</v>
      </c>
      <c r="AB92" s="7">
        <v>1.2672536005467003E-2</v>
      </c>
      <c r="AC92" s="8">
        <v>0</v>
      </c>
      <c r="AD92" s="8">
        <v>1</v>
      </c>
      <c r="AE92" s="8">
        <v>2789</v>
      </c>
      <c r="AF92">
        <f>(AA93/AA91)-AA92</f>
        <v>0.1771578467550432</v>
      </c>
    </row>
    <row r="93" spans="1:32" ht="26.25" x14ac:dyDescent="0.45">
      <c r="A93" s="6" t="s">
        <v>59</v>
      </c>
      <c r="B93" s="7">
        <v>2.8802893146384647E-2</v>
      </c>
      <c r="C93" s="7">
        <v>8.6534611036885294E-3</v>
      </c>
      <c r="D93" s="8">
        <v>0</v>
      </c>
      <c r="E93" s="8">
        <v>1</v>
      </c>
      <c r="F93" s="8">
        <v>377</v>
      </c>
      <c r="G93" s="7">
        <v>9.0455160433014381E-2</v>
      </c>
      <c r="H93" s="7">
        <v>1.3683323868592653E-2</v>
      </c>
      <c r="I93" s="8">
        <v>0</v>
      </c>
      <c r="J93" s="8">
        <v>1</v>
      </c>
      <c r="K93" s="8">
        <v>473</v>
      </c>
      <c r="L93" s="7">
        <v>3.269377017299991E-2</v>
      </c>
      <c r="M93" s="7">
        <v>9.3127556763927845E-3</v>
      </c>
      <c r="N93" s="8">
        <v>0</v>
      </c>
      <c r="O93" s="8">
        <v>1</v>
      </c>
      <c r="P93" s="8">
        <v>443</v>
      </c>
      <c r="Q93" s="7">
        <v>0.13538150467648388</v>
      </c>
      <c r="R93" s="7">
        <v>1.7457690746360503E-2</v>
      </c>
      <c r="S93" s="8">
        <v>0</v>
      </c>
      <c r="T93" s="8">
        <v>1</v>
      </c>
      <c r="U93" s="8">
        <v>423</v>
      </c>
      <c r="V93" s="7">
        <v>4.6707557616548052E-2</v>
      </c>
      <c r="W93" s="7">
        <v>8.3782033883880256E-3</v>
      </c>
      <c r="X93" s="8">
        <v>0</v>
      </c>
      <c r="Y93" s="8">
        <v>1</v>
      </c>
      <c r="Z93" s="8">
        <v>1073</v>
      </c>
      <c r="AA93" s="7">
        <v>7.1996846646028845E-2</v>
      </c>
      <c r="AB93" s="7">
        <v>6.7037204311505179E-3</v>
      </c>
      <c r="AC93" s="8">
        <v>0</v>
      </c>
      <c r="AD93" s="8">
        <v>1</v>
      </c>
      <c r="AE93" s="8">
        <v>2789</v>
      </c>
    </row>
    <row r="94" spans="1:32" x14ac:dyDescent="0.45">
      <c r="A94" s="6" t="s">
        <v>26</v>
      </c>
      <c r="B94" s="7">
        <v>4.2417616022147671E-2</v>
      </c>
      <c r="C94" s="7">
        <v>1.0510324665511129E-2</v>
      </c>
      <c r="D94" s="8">
        <v>0</v>
      </c>
      <c r="E94" s="8">
        <v>1</v>
      </c>
      <c r="F94" s="8">
        <v>377</v>
      </c>
      <c r="G94" s="7">
        <v>0.13820208651722821</v>
      </c>
      <c r="H94" s="7">
        <v>1.6475096603360842E-2</v>
      </c>
      <c r="I94" s="8">
        <v>0</v>
      </c>
      <c r="J94" s="8">
        <v>1</v>
      </c>
      <c r="K94" s="8">
        <v>473</v>
      </c>
      <c r="L94" s="7">
        <v>0.10469634306542444</v>
      </c>
      <c r="M94" s="7">
        <v>1.5394889579067119E-2</v>
      </c>
      <c r="N94" s="8">
        <v>0</v>
      </c>
      <c r="O94" s="8">
        <v>1</v>
      </c>
      <c r="P94" s="8">
        <v>443</v>
      </c>
      <c r="Q94" s="7">
        <v>0.21697284641081702</v>
      </c>
      <c r="R94" s="7">
        <v>2.0889826904432647E-2</v>
      </c>
      <c r="S94" s="8">
        <v>0</v>
      </c>
      <c r="T94" s="8">
        <v>1</v>
      </c>
      <c r="U94" s="8">
        <v>423</v>
      </c>
      <c r="V94" s="7">
        <v>6.8214282763813486E-2</v>
      </c>
      <c r="W94" s="7">
        <v>1.0070079910351819E-2</v>
      </c>
      <c r="X94" s="8">
        <v>0</v>
      </c>
      <c r="Y94" s="8">
        <v>1</v>
      </c>
      <c r="Z94" s="8">
        <v>1073</v>
      </c>
      <c r="AA94" s="7">
        <v>0.13381594000174568</v>
      </c>
      <c r="AB94" s="7">
        <v>9.0632155667956203E-3</v>
      </c>
      <c r="AC94" s="8">
        <v>0</v>
      </c>
      <c r="AD94" s="8">
        <v>1</v>
      </c>
      <c r="AE94" s="8">
        <v>2789</v>
      </c>
      <c r="AF94">
        <f>(AA96/AA95)-AA94</f>
        <v>3.9138886533611972E-2</v>
      </c>
    </row>
    <row r="95" spans="1:32" x14ac:dyDescent="0.45">
      <c r="A95" s="6" t="s">
        <v>44</v>
      </c>
      <c r="B95" s="7">
        <v>8.0786565347683054E-2</v>
      </c>
      <c r="C95" s="7">
        <v>1.5016123840370335E-2</v>
      </c>
      <c r="D95" s="8">
        <v>0</v>
      </c>
      <c r="E95" s="8">
        <v>1</v>
      </c>
      <c r="F95" s="8">
        <v>377</v>
      </c>
      <c r="G95" s="7">
        <v>9.1853674780647654E-2</v>
      </c>
      <c r="H95" s="7">
        <v>1.3604205216173792E-2</v>
      </c>
      <c r="I95" s="8">
        <v>0</v>
      </c>
      <c r="J95" s="8">
        <v>1</v>
      </c>
      <c r="K95" s="8">
        <v>473</v>
      </c>
      <c r="L95" s="7">
        <v>4.9754031578703402E-2</v>
      </c>
      <c r="M95" s="7">
        <v>1.103367216294986E-2</v>
      </c>
      <c r="N95" s="8">
        <v>0</v>
      </c>
      <c r="O95" s="8">
        <v>1</v>
      </c>
      <c r="P95" s="8">
        <v>443</v>
      </c>
      <c r="Q95" s="7">
        <v>0.15234303743644023</v>
      </c>
      <c r="R95" s="7">
        <v>1.7921333577869139E-2</v>
      </c>
      <c r="S95" s="8">
        <v>0</v>
      </c>
      <c r="T95" s="8">
        <v>1</v>
      </c>
      <c r="U95" s="8">
        <v>423</v>
      </c>
      <c r="V95" s="7">
        <v>8.2961551505331077E-2</v>
      </c>
      <c r="W95" s="7">
        <v>8.9475819872891042E-3</v>
      </c>
      <c r="X95" s="8">
        <v>0</v>
      </c>
      <c r="Y95" s="8">
        <v>1</v>
      </c>
      <c r="Z95" s="8">
        <v>1073</v>
      </c>
      <c r="AA95" s="7">
        <v>8.7706153685111046E-2</v>
      </c>
      <c r="AB95" s="7">
        <v>7.1838488407195067E-3</v>
      </c>
      <c r="AC95" s="8">
        <v>0</v>
      </c>
      <c r="AD95" s="8">
        <v>1</v>
      </c>
      <c r="AE95" s="8">
        <v>2789</v>
      </c>
      <c r="AF95">
        <f>(AA96/AA94)-AA95</f>
        <v>2.5652558262762359E-2</v>
      </c>
    </row>
    <row r="96" spans="1:32" ht="26.25" x14ac:dyDescent="0.45">
      <c r="A96" s="6" t="s">
        <v>60</v>
      </c>
      <c r="B96" s="7">
        <v>3.0896806108327655E-3</v>
      </c>
      <c r="C96" s="7">
        <v>3.0893891876425448E-3</v>
      </c>
      <c r="D96" s="8">
        <v>0</v>
      </c>
      <c r="E96" s="8">
        <v>1</v>
      </c>
      <c r="F96" s="8">
        <v>377</v>
      </c>
      <c r="G96" s="7">
        <v>3.3309077783610093E-2</v>
      </c>
      <c r="H96" s="7">
        <v>8.4725329516190002E-3</v>
      </c>
      <c r="I96" s="8">
        <v>0</v>
      </c>
      <c r="J96" s="8">
        <v>1</v>
      </c>
      <c r="K96" s="8">
        <v>473</v>
      </c>
      <c r="L96" s="7">
        <v>0</v>
      </c>
      <c r="M96" s="7">
        <v>0</v>
      </c>
      <c r="N96" s="8">
        <v>0</v>
      </c>
      <c r="O96" s="8">
        <v>0</v>
      </c>
      <c r="P96" s="8">
        <v>443</v>
      </c>
      <c r="Q96" s="7">
        <v>2.2671432192761586E-2</v>
      </c>
      <c r="R96" s="7">
        <v>7.5383760073494469E-3</v>
      </c>
      <c r="S96" s="8">
        <v>0</v>
      </c>
      <c r="T96" s="8">
        <v>1</v>
      </c>
      <c r="U96" s="8">
        <v>423</v>
      </c>
      <c r="V96" s="7">
        <v>1.9091814623501006E-2</v>
      </c>
      <c r="W96" s="7">
        <v>5.546559770321014E-3</v>
      </c>
      <c r="X96" s="8">
        <v>0</v>
      </c>
      <c r="Y96" s="8">
        <v>1</v>
      </c>
      <c r="Z96" s="8">
        <v>1073</v>
      </c>
      <c r="AA96" s="7">
        <v>1.51692025966918E-2</v>
      </c>
      <c r="AB96" s="7">
        <v>2.92817164055001E-3</v>
      </c>
      <c r="AC96" s="8">
        <v>0</v>
      </c>
      <c r="AD96" s="8">
        <v>1</v>
      </c>
      <c r="AE96" s="8">
        <v>2789</v>
      </c>
    </row>
    <row r="97" spans="1:32" x14ac:dyDescent="0.45">
      <c r="A97" s="6" t="s">
        <v>26</v>
      </c>
      <c r="B97" s="7">
        <v>4.2417616022147671E-2</v>
      </c>
      <c r="C97" s="7">
        <v>1.0510324665511129E-2</v>
      </c>
      <c r="D97" s="8">
        <v>0</v>
      </c>
      <c r="E97" s="8">
        <v>1</v>
      </c>
      <c r="F97" s="8">
        <v>377</v>
      </c>
      <c r="G97" s="7">
        <v>0.13820208651722821</v>
      </c>
      <c r="H97" s="7">
        <v>1.6475096603360842E-2</v>
      </c>
      <c r="I97" s="8">
        <v>0</v>
      </c>
      <c r="J97" s="8">
        <v>1</v>
      </c>
      <c r="K97" s="8">
        <v>473</v>
      </c>
      <c r="L97" s="7">
        <v>0.10469634306542444</v>
      </c>
      <c r="M97" s="7">
        <v>1.5394889579067119E-2</v>
      </c>
      <c r="N97" s="8">
        <v>0</v>
      </c>
      <c r="O97" s="8">
        <v>1</v>
      </c>
      <c r="P97" s="8">
        <v>443</v>
      </c>
      <c r="Q97" s="7">
        <v>0.21697284641081702</v>
      </c>
      <c r="R97" s="7">
        <v>2.0889826904432647E-2</v>
      </c>
      <c r="S97" s="8">
        <v>0</v>
      </c>
      <c r="T97" s="8">
        <v>1</v>
      </c>
      <c r="U97" s="8">
        <v>423</v>
      </c>
      <c r="V97" s="7">
        <v>6.8214282763813486E-2</v>
      </c>
      <c r="W97" s="7">
        <v>1.0070079910351819E-2</v>
      </c>
      <c r="X97" s="8">
        <v>0</v>
      </c>
      <c r="Y97" s="8">
        <v>1</v>
      </c>
      <c r="Z97" s="8">
        <v>1073</v>
      </c>
      <c r="AA97" s="7">
        <v>0.13381594000174568</v>
      </c>
      <c r="AB97" s="7">
        <v>9.0632155667956203E-3</v>
      </c>
      <c r="AC97" s="8">
        <v>0</v>
      </c>
      <c r="AD97" s="8">
        <v>1</v>
      </c>
      <c r="AE97" s="8">
        <v>2789</v>
      </c>
      <c r="AF97">
        <f>(AA99/AA98)-AA97</f>
        <v>4.7896664208105177E-2</v>
      </c>
    </row>
    <row r="98" spans="1:32" ht="39.4" x14ac:dyDescent="0.45">
      <c r="A98" s="6" t="s">
        <v>16</v>
      </c>
      <c r="B98" s="7">
        <v>0.51199366560399728</v>
      </c>
      <c r="C98" s="7">
        <v>2.9021889994445865E-2</v>
      </c>
      <c r="D98" s="8">
        <v>0</v>
      </c>
      <c r="E98" s="8">
        <v>1</v>
      </c>
      <c r="F98" s="8">
        <v>377</v>
      </c>
      <c r="G98" s="7">
        <v>0.75248336082973521</v>
      </c>
      <c r="H98" s="7">
        <v>2.0449467587927744E-2</v>
      </c>
      <c r="I98" s="8">
        <v>0</v>
      </c>
      <c r="J98" s="8">
        <v>1</v>
      </c>
      <c r="K98" s="8">
        <v>473</v>
      </c>
      <c r="L98" s="7">
        <v>0.55666891088221959</v>
      </c>
      <c r="M98" s="7">
        <v>2.4460269691669399E-2</v>
      </c>
      <c r="N98" s="8">
        <v>0</v>
      </c>
      <c r="O98" s="8">
        <v>1</v>
      </c>
      <c r="P98" s="8">
        <v>443</v>
      </c>
      <c r="Q98" s="7">
        <v>0.83603306383602227</v>
      </c>
      <c r="R98" s="7">
        <v>1.8289048327108152E-2</v>
      </c>
      <c r="S98" s="8">
        <v>0</v>
      </c>
      <c r="T98" s="8">
        <v>1</v>
      </c>
      <c r="U98" s="8">
        <v>423</v>
      </c>
      <c r="V98" s="7">
        <v>0.44289642409572316</v>
      </c>
      <c r="W98" s="7">
        <v>2.1056261249825466E-2</v>
      </c>
      <c r="X98" s="8">
        <v>0</v>
      </c>
      <c r="Y98" s="8">
        <v>1</v>
      </c>
      <c r="Z98" s="8">
        <v>1073</v>
      </c>
      <c r="AA98" s="7">
        <v>0.66677630791100306</v>
      </c>
      <c r="AB98" s="7">
        <v>1.2587121178159334E-2</v>
      </c>
      <c r="AC98" s="8">
        <v>0</v>
      </c>
      <c r="AD98" s="8">
        <v>1</v>
      </c>
      <c r="AE98" s="8">
        <v>2789</v>
      </c>
      <c r="AF98">
        <f>(AA99/AA97)-AA98</f>
        <v>0.23865886920135848</v>
      </c>
    </row>
    <row r="99" spans="1:32" x14ac:dyDescent="0.45">
      <c r="A99" s="6" t="s">
        <v>61</v>
      </c>
      <c r="B99" s="7">
        <v>2.8750969420227736E-2</v>
      </c>
      <c r="C99" s="7">
        <v>8.616891228600862E-3</v>
      </c>
      <c r="D99" s="8">
        <v>0</v>
      </c>
      <c r="E99" s="8">
        <v>1</v>
      </c>
      <c r="F99" s="8">
        <v>377</v>
      </c>
      <c r="G99" s="7">
        <v>0.13820208651722821</v>
      </c>
      <c r="H99" s="7">
        <v>1.6475096603360842E-2</v>
      </c>
      <c r="I99" s="8">
        <v>0</v>
      </c>
      <c r="J99" s="8">
        <v>1</v>
      </c>
      <c r="K99" s="8">
        <v>473</v>
      </c>
      <c r="L99" s="7">
        <v>8.1423864598025336E-2</v>
      </c>
      <c r="M99" s="7">
        <v>1.3703855075928984E-2</v>
      </c>
      <c r="N99" s="8">
        <v>0</v>
      </c>
      <c r="O99" s="8">
        <v>1</v>
      </c>
      <c r="P99" s="8">
        <v>443</v>
      </c>
      <c r="Q99" s="7">
        <v>0.20710349139112802</v>
      </c>
      <c r="R99" s="7">
        <v>2.0560248436235124E-2</v>
      </c>
      <c r="S99" s="8">
        <v>0</v>
      </c>
      <c r="T99" s="8">
        <v>1</v>
      </c>
      <c r="U99" s="8">
        <v>423</v>
      </c>
      <c r="V99" s="7">
        <v>6.0320259440086794E-2</v>
      </c>
      <c r="W99" s="7">
        <v>9.5570714565921568E-3</v>
      </c>
      <c r="X99" s="8">
        <v>0</v>
      </c>
      <c r="Y99" s="8">
        <v>1</v>
      </c>
      <c r="Z99" s="8">
        <v>1073</v>
      </c>
      <c r="AA99" s="7">
        <v>0.12116165933593774</v>
      </c>
      <c r="AB99" s="7">
        <v>8.5983497157131675E-3</v>
      </c>
      <c r="AC99" s="8">
        <v>0</v>
      </c>
      <c r="AD99" s="8">
        <v>1</v>
      </c>
      <c r="AE99" s="8">
        <v>2789</v>
      </c>
    </row>
    <row r="100" spans="1:32" x14ac:dyDescent="0.45">
      <c r="A100" s="6" t="s">
        <v>26</v>
      </c>
      <c r="B100" s="7">
        <v>4.2417616022147671E-2</v>
      </c>
      <c r="C100" s="7">
        <v>1.0510324665511129E-2</v>
      </c>
      <c r="D100" s="8">
        <v>0</v>
      </c>
      <c r="E100" s="8">
        <v>1</v>
      </c>
      <c r="F100" s="8">
        <v>377</v>
      </c>
      <c r="G100" s="7">
        <v>0.13820208651722821</v>
      </c>
      <c r="H100" s="7">
        <v>1.6475096603360842E-2</v>
      </c>
      <c r="I100" s="8">
        <v>0</v>
      </c>
      <c r="J100" s="8">
        <v>1</v>
      </c>
      <c r="K100" s="8">
        <v>473</v>
      </c>
      <c r="L100" s="7">
        <v>0.10469634306542444</v>
      </c>
      <c r="M100" s="7">
        <v>1.5394889579067119E-2</v>
      </c>
      <c r="N100" s="8">
        <v>0</v>
      </c>
      <c r="O100" s="8">
        <v>1</v>
      </c>
      <c r="P100" s="8">
        <v>443</v>
      </c>
      <c r="Q100" s="7">
        <v>0.21697284641081702</v>
      </c>
      <c r="R100" s="7">
        <v>2.0889826904432647E-2</v>
      </c>
      <c r="S100" s="8">
        <v>0</v>
      </c>
      <c r="T100" s="8">
        <v>1</v>
      </c>
      <c r="U100" s="8">
        <v>423</v>
      </c>
      <c r="V100" s="7">
        <v>6.8214282763813486E-2</v>
      </c>
      <c r="W100" s="7">
        <v>1.0070079910351819E-2</v>
      </c>
      <c r="X100" s="8">
        <v>0</v>
      </c>
      <c r="Y100" s="8">
        <v>1</v>
      </c>
      <c r="Z100" s="8">
        <v>1073</v>
      </c>
      <c r="AA100" s="7">
        <v>0.13381594000174568</v>
      </c>
      <c r="AB100" s="7">
        <v>9.0632155667956203E-3</v>
      </c>
      <c r="AC100" s="8">
        <v>0</v>
      </c>
      <c r="AD100" s="8">
        <v>1</v>
      </c>
      <c r="AE100" s="8">
        <v>2789</v>
      </c>
      <c r="AF100">
        <f>(AA102/AA101)-AA100</f>
        <v>4.9030810574078959E-2</v>
      </c>
    </row>
    <row r="101" spans="1:32" ht="39.4" x14ac:dyDescent="0.45">
      <c r="A101" s="6" t="s">
        <v>18</v>
      </c>
      <c r="B101" s="7">
        <v>0.57798625450849994</v>
      </c>
      <c r="C101" s="7">
        <v>2.931190088877576E-2</v>
      </c>
      <c r="D101" s="8">
        <v>0</v>
      </c>
      <c r="E101" s="8">
        <v>1</v>
      </c>
      <c r="F101" s="8">
        <v>377</v>
      </c>
      <c r="G101" s="7">
        <v>0.7759090962333085</v>
      </c>
      <c r="H101" s="7">
        <v>1.9819100780919589E-2</v>
      </c>
      <c r="I101" s="8">
        <v>0</v>
      </c>
      <c r="J101" s="8">
        <v>1</v>
      </c>
      <c r="K101" s="8">
        <v>473</v>
      </c>
      <c r="L101" s="7">
        <v>0.54937707697091009</v>
      </c>
      <c r="M101" s="7">
        <v>2.442131248989543E-2</v>
      </c>
      <c r="N101" s="8">
        <v>0</v>
      </c>
      <c r="O101" s="8">
        <v>1</v>
      </c>
      <c r="P101" s="8">
        <v>443</v>
      </c>
      <c r="Q101" s="7">
        <v>0.74315598481496103</v>
      </c>
      <c r="R101" s="7">
        <v>2.153023882484394E-2</v>
      </c>
      <c r="S101" s="8">
        <v>0</v>
      </c>
      <c r="T101" s="8">
        <v>1</v>
      </c>
      <c r="U101" s="8">
        <v>423</v>
      </c>
      <c r="V101" s="7">
        <v>0.39927975706290247</v>
      </c>
      <c r="W101" s="7">
        <v>2.0519705334594719E-2</v>
      </c>
      <c r="X101" s="8">
        <v>0</v>
      </c>
      <c r="Y101" s="8">
        <v>1</v>
      </c>
      <c r="Z101" s="8">
        <v>1073</v>
      </c>
      <c r="AA101" s="7">
        <v>0.65235181396445241</v>
      </c>
      <c r="AB101" s="7">
        <v>1.2624611213770981E-2</v>
      </c>
      <c r="AC101" s="8">
        <v>0</v>
      </c>
      <c r="AD101" s="8">
        <v>1</v>
      </c>
      <c r="AE101" s="8">
        <v>2789</v>
      </c>
      <c r="AF101">
        <f>(AA102/AA100)-AA101</f>
        <v>0.23902487414975071</v>
      </c>
    </row>
    <row r="102" spans="1:32" x14ac:dyDescent="0.45">
      <c r="A102" s="6" t="s">
        <v>62</v>
      </c>
      <c r="B102" s="7">
        <v>3.3804155041096025E-2</v>
      </c>
      <c r="C102" s="7">
        <v>9.3311917093328728E-3</v>
      </c>
      <c r="D102" s="8">
        <v>0</v>
      </c>
      <c r="E102" s="8">
        <v>1</v>
      </c>
      <c r="F102" s="8">
        <v>377</v>
      </c>
      <c r="G102" s="7">
        <v>0.13820208651722821</v>
      </c>
      <c r="H102" s="7">
        <v>1.6475096603360842E-2</v>
      </c>
      <c r="I102" s="8">
        <v>0</v>
      </c>
      <c r="J102" s="8">
        <v>1</v>
      </c>
      <c r="K102" s="8">
        <v>473</v>
      </c>
      <c r="L102" s="7">
        <v>7.7381484662102762E-2</v>
      </c>
      <c r="M102" s="7">
        <v>1.3480945715166243E-2</v>
      </c>
      <c r="N102" s="8">
        <v>0</v>
      </c>
      <c r="O102" s="8">
        <v>1</v>
      </c>
      <c r="P102" s="8">
        <v>443</v>
      </c>
      <c r="Q102" s="7">
        <v>0.20382733529827907</v>
      </c>
      <c r="R102" s="7">
        <v>2.0496942378580078E-2</v>
      </c>
      <c r="S102" s="8">
        <v>0</v>
      </c>
      <c r="T102" s="8">
        <v>1</v>
      </c>
      <c r="U102" s="8">
        <v>423</v>
      </c>
      <c r="V102" s="7">
        <v>6.3936907432970022E-2</v>
      </c>
      <c r="W102" s="7">
        <v>9.8868499753047186E-3</v>
      </c>
      <c r="X102" s="8">
        <v>0</v>
      </c>
      <c r="Y102" s="8">
        <v>1</v>
      </c>
      <c r="Z102" s="8">
        <v>1073</v>
      </c>
      <c r="AA102" s="7">
        <v>0.11928040941564498</v>
      </c>
      <c r="AB102" s="7">
        <v>8.539860410725188E-3</v>
      </c>
      <c r="AC102" s="8">
        <v>0</v>
      </c>
      <c r="AD102" s="8">
        <v>1</v>
      </c>
      <c r="AE102" s="8">
        <v>2789</v>
      </c>
    </row>
    <row r="103" spans="1:32" x14ac:dyDescent="0.45">
      <c r="A103" s="6" t="s">
        <v>26</v>
      </c>
      <c r="B103" s="7">
        <v>4.2417616022147671E-2</v>
      </c>
      <c r="C103" s="7">
        <v>1.0510324665511129E-2</v>
      </c>
      <c r="D103" s="8">
        <v>0</v>
      </c>
      <c r="E103" s="8">
        <v>1</v>
      </c>
      <c r="F103" s="8">
        <v>377</v>
      </c>
      <c r="G103" s="7">
        <v>0.13820208651722821</v>
      </c>
      <c r="H103" s="7">
        <v>1.6475096603360842E-2</v>
      </c>
      <c r="I103" s="8">
        <v>0</v>
      </c>
      <c r="J103" s="8">
        <v>1</v>
      </c>
      <c r="K103" s="8">
        <v>473</v>
      </c>
      <c r="L103" s="7">
        <v>0.10469634306542444</v>
      </c>
      <c r="M103" s="7">
        <v>1.5394889579067119E-2</v>
      </c>
      <c r="N103" s="8">
        <v>0</v>
      </c>
      <c r="O103" s="8">
        <v>1</v>
      </c>
      <c r="P103" s="8">
        <v>443</v>
      </c>
      <c r="Q103" s="7">
        <v>0.21697284641081702</v>
      </c>
      <c r="R103" s="7">
        <v>2.0889826904432647E-2</v>
      </c>
      <c r="S103" s="8">
        <v>0</v>
      </c>
      <c r="T103" s="8">
        <v>1</v>
      </c>
      <c r="U103" s="8">
        <v>423</v>
      </c>
      <c r="V103" s="7">
        <v>6.8214282763813486E-2</v>
      </c>
      <c r="W103" s="7">
        <v>1.0070079910351819E-2</v>
      </c>
      <c r="X103" s="8">
        <v>0</v>
      </c>
      <c r="Y103" s="8">
        <v>1</v>
      </c>
      <c r="Z103" s="8">
        <v>1073</v>
      </c>
      <c r="AA103" s="7">
        <v>0.13381594000174568</v>
      </c>
      <c r="AB103" s="7">
        <v>9.0632155667956203E-3</v>
      </c>
      <c r="AC103" s="8">
        <v>0</v>
      </c>
      <c r="AD103" s="8">
        <v>1</v>
      </c>
      <c r="AE103" s="8">
        <v>2789</v>
      </c>
      <c r="AF103">
        <f>(AA105/AA104)-AA103</f>
        <v>5.839276574281918E-2</v>
      </c>
    </row>
    <row r="104" spans="1:32" ht="39.4" x14ac:dyDescent="0.45">
      <c r="A104" s="6" t="s">
        <v>20</v>
      </c>
      <c r="B104" s="7">
        <v>0.49966441162735731</v>
      </c>
      <c r="C104" s="7">
        <v>2.8926538869362927E-2</v>
      </c>
      <c r="D104" s="8">
        <v>0</v>
      </c>
      <c r="E104" s="8">
        <v>1</v>
      </c>
      <c r="F104" s="8">
        <v>377</v>
      </c>
      <c r="G104" s="7">
        <v>0.694148109652721</v>
      </c>
      <c r="H104" s="7">
        <v>2.1903517365169416E-2</v>
      </c>
      <c r="I104" s="8">
        <v>0</v>
      </c>
      <c r="J104" s="8">
        <v>1</v>
      </c>
      <c r="K104" s="8">
        <v>473</v>
      </c>
      <c r="L104" s="7">
        <v>0.44678685166956866</v>
      </c>
      <c r="M104" s="7">
        <v>2.4472410267060745E-2</v>
      </c>
      <c r="N104" s="8">
        <v>0</v>
      </c>
      <c r="O104" s="8">
        <v>1</v>
      </c>
      <c r="P104" s="8">
        <v>443</v>
      </c>
      <c r="Q104" s="7">
        <v>0.58710843859266493</v>
      </c>
      <c r="R104" s="7">
        <v>2.4491537195724417E-2</v>
      </c>
      <c r="S104" s="8">
        <v>0</v>
      </c>
      <c r="T104" s="8">
        <v>1</v>
      </c>
      <c r="U104" s="8">
        <v>423</v>
      </c>
      <c r="V104" s="7">
        <v>0.24597703605277871</v>
      </c>
      <c r="W104" s="7">
        <v>1.7202819405463813E-2</v>
      </c>
      <c r="X104" s="8">
        <v>0</v>
      </c>
      <c r="Y104" s="8">
        <v>1</v>
      </c>
      <c r="Z104" s="8">
        <v>1073</v>
      </c>
      <c r="AA104" s="7">
        <v>0.54335791656094878</v>
      </c>
      <c r="AB104" s="7">
        <v>1.3167396812010984E-2</v>
      </c>
      <c r="AC104" s="8">
        <v>0</v>
      </c>
      <c r="AD104" s="8">
        <v>1</v>
      </c>
      <c r="AE104" s="8">
        <v>2789</v>
      </c>
      <c r="AF104">
        <f>(AA105/AA103)-AA104</f>
        <v>0.23710308006531866</v>
      </c>
    </row>
    <row r="105" spans="1:32" x14ac:dyDescent="0.45">
      <c r="A105" s="6" t="s">
        <v>63</v>
      </c>
      <c r="B105" s="7">
        <v>3.18406500310605E-2</v>
      </c>
      <c r="C105" s="7">
        <v>9.1307627090634145E-3</v>
      </c>
      <c r="D105" s="8">
        <v>0</v>
      </c>
      <c r="E105" s="8">
        <v>1</v>
      </c>
      <c r="F105" s="8">
        <v>377</v>
      </c>
      <c r="G105" s="7">
        <v>0.13820208651722821</v>
      </c>
      <c r="H105" s="7">
        <v>1.6475096603360842E-2</v>
      </c>
      <c r="I105" s="8">
        <v>0</v>
      </c>
      <c r="J105" s="8">
        <v>1</v>
      </c>
      <c r="K105" s="8">
        <v>473</v>
      </c>
      <c r="L105" s="7">
        <v>6.0778722627681844E-2</v>
      </c>
      <c r="M105" s="7">
        <v>1.1909261933070131E-2</v>
      </c>
      <c r="N105" s="8">
        <v>0</v>
      </c>
      <c r="O105" s="8">
        <v>1</v>
      </c>
      <c r="P105" s="8">
        <v>443</v>
      </c>
      <c r="Q105" s="7">
        <v>0.1705495846842438</v>
      </c>
      <c r="R105" s="7">
        <v>1.9190023300773667E-2</v>
      </c>
      <c r="S105" s="8">
        <v>0</v>
      </c>
      <c r="T105" s="8">
        <v>1</v>
      </c>
      <c r="U105" s="8">
        <v>423</v>
      </c>
      <c r="V105" s="7">
        <v>4.5881045953535808E-2</v>
      </c>
      <c r="W105" s="7">
        <v>8.5408863079805674E-3</v>
      </c>
      <c r="X105" s="8">
        <v>0</v>
      </c>
      <c r="Y105" s="8">
        <v>1</v>
      </c>
      <c r="Z105" s="8">
        <v>1073</v>
      </c>
      <c r="AA105" s="7">
        <v>0.10443812189824324</v>
      </c>
      <c r="AB105" s="7">
        <v>7.9874022647473467E-3</v>
      </c>
      <c r="AC105" s="8">
        <v>0</v>
      </c>
      <c r="AD105" s="8">
        <v>1</v>
      </c>
      <c r="AE105" s="8">
        <v>2789</v>
      </c>
    </row>
    <row r="106" spans="1:32" x14ac:dyDescent="0.45">
      <c r="A106" s="6" t="s">
        <v>26</v>
      </c>
      <c r="B106" s="7">
        <v>4.2417616022147671E-2</v>
      </c>
      <c r="C106" s="7">
        <v>1.0510324665511129E-2</v>
      </c>
      <c r="D106" s="8">
        <v>0</v>
      </c>
      <c r="E106" s="8">
        <v>1</v>
      </c>
      <c r="F106" s="8">
        <v>377</v>
      </c>
      <c r="G106" s="7">
        <v>0.13820208651722821</v>
      </c>
      <c r="H106" s="7">
        <v>1.6475096603360842E-2</v>
      </c>
      <c r="I106" s="8">
        <v>0</v>
      </c>
      <c r="J106" s="8">
        <v>1</v>
      </c>
      <c r="K106" s="8">
        <v>473</v>
      </c>
      <c r="L106" s="7">
        <v>0.10469634306542444</v>
      </c>
      <c r="M106" s="7">
        <v>1.5394889579067119E-2</v>
      </c>
      <c r="N106" s="8">
        <v>0</v>
      </c>
      <c r="O106" s="8">
        <v>1</v>
      </c>
      <c r="P106" s="8">
        <v>443</v>
      </c>
      <c r="Q106" s="7">
        <v>0.21697284641081702</v>
      </c>
      <c r="R106" s="7">
        <v>2.0889826904432647E-2</v>
      </c>
      <c r="S106" s="8">
        <v>0</v>
      </c>
      <c r="T106" s="8">
        <v>1</v>
      </c>
      <c r="U106" s="8">
        <v>423</v>
      </c>
      <c r="V106" s="7">
        <v>6.8214282763813486E-2</v>
      </c>
      <c r="W106" s="7">
        <v>1.0070079910351819E-2</v>
      </c>
      <c r="X106" s="8">
        <v>0</v>
      </c>
      <c r="Y106" s="8">
        <v>1</v>
      </c>
      <c r="Z106" s="8">
        <v>1073</v>
      </c>
      <c r="AA106" s="7">
        <v>0.13381594000174568</v>
      </c>
      <c r="AB106" s="7">
        <v>9.0632155667956203E-3</v>
      </c>
      <c r="AC106" s="8">
        <v>0</v>
      </c>
      <c r="AD106" s="8">
        <v>1</v>
      </c>
      <c r="AE106" s="8">
        <v>2789</v>
      </c>
      <c r="AF106">
        <f>(AA108/AA107)-AA106</f>
        <v>4.3843711965694282E-2</v>
      </c>
    </row>
    <row r="107" spans="1:32" ht="26.25" x14ac:dyDescent="0.45">
      <c r="A107" s="6" t="s">
        <v>22</v>
      </c>
      <c r="B107" s="7">
        <v>0.44337971510161078</v>
      </c>
      <c r="C107" s="7">
        <v>2.8333918098961602E-2</v>
      </c>
      <c r="D107" s="8">
        <v>0</v>
      </c>
      <c r="E107" s="8">
        <v>1</v>
      </c>
      <c r="F107" s="8">
        <v>377</v>
      </c>
      <c r="G107" s="7">
        <v>0.55003587184041547</v>
      </c>
      <c r="H107" s="7">
        <v>2.3701595165381402E-2</v>
      </c>
      <c r="I107" s="8">
        <v>0</v>
      </c>
      <c r="J107" s="8">
        <v>1</v>
      </c>
      <c r="K107" s="8">
        <v>473</v>
      </c>
      <c r="L107" s="7">
        <v>0.47073477299276273</v>
      </c>
      <c r="M107" s="7">
        <v>2.455632484408668E-2</v>
      </c>
      <c r="N107" s="8">
        <v>0</v>
      </c>
      <c r="O107" s="8">
        <v>1</v>
      </c>
      <c r="P107" s="8">
        <v>443</v>
      </c>
      <c r="Q107" s="7">
        <v>0.81611123613737024</v>
      </c>
      <c r="R107" s="7">
        <v>1.9017745333524308E-2</v>
      </c>
      <c r="S107" s="8">
        <v>0</v>
      </c>
      <c r="T107" s="8">
        <v>1</v>
      </c>
      <c r="U107" s="8">
        <v>423</v>
      </c>
      <c r="V107" s="7">
        <v>0.49101498998080567</v>
      </c>
      <c r="W107" s="7">
        <v>2.153423791962325E-2</v>
      </c>
      <c r="X107" s="8">
        <v>0</v>
      </c>
      <c r="Y107" s="8">
        <v>1</v>
      </c>
      <c r="Z107" s="8">
        <v>1073</v>
      </c>
      <c r="AA107" s="7">
        <v>0.56929096770433274</v>
      </c>
      <c r="AB107" s="7">
        <v>1.3133161955805486E-2</v>
      </c>
      <c r="AC107" s="8">
        <v>0</v>
      </c>
      <c r="AD107" s="8">
        <v>1</v>
      </c>
      <c r="AE107" s="8">
        <v>2789</v>
      </c>
      <c r="AF107">
        <f>(AA108/AA106)-AA107</f>
        <v>0.18652358764116239</v>
      </c>
    </row>
    <row r="108" spans="1:32" x14ac:dyDescent="0.45">
      <c r="A108" s="6" t="s">
        <v>64</v>
      </c>
      <c r="B108" s="7">
        <v>2.8802893146384647E-2</v>
      </c>
      <c r="C108" s="7">
        <v>8.6534611036885294E-3</v>
      </c>
      <c r="D108" s="8">
        <v>0</v>
      </c>
      <c r="E108" s="8">
        <v>1</v>
      </c>
      <c r="F108" s="8">
        <v>377</v>
      </c>
      <c r="G108" s="7">
        <v>0.10821339699155141</v>
      </c>
      <c r="H108" s="7">
        <v>1.4795142863830955E-2</v>
      </c>
      <c r="I108" s="8">
        <v>0</v>
      </c>
      <c r="J108" s="8">
        <v>1</v>
      </c>
      <c r="K108" s="8">
        <v>473</v>
      </c>
      <c r="L108" s="7">
        <v>4.9760120549698514E-2</v>
      </c>
      <c r="M108" s="7">
        <v>1.1204495047410761E-2</v>
      </c>
      <c r="N108" s="8">
        <v>0</v>
      </c>
      <c r="O108" s="8">
        <v>1</v>
      </c>
      <c r="P108" s="8">
        <v>443</v>
      </c>
      <c r="Q108" s="7">
        <v>0.21022848074328207</v>
      </c>
      <c r="R108" s="7">
        <v>2.0676256073381191E-2</v>
      </c>
      <c r="S108" s="8">
        <v>0</v>
      </c>
      <c r="T108" s="8">
        <v>1</v>
      </c>
      <c r="U108" s="8">
        <v>423</v>
      </c>
      <c r="V108" s="7">
        <v>6.4202703564395031E-2</v>
      </c>
      <c r="W108" s="7">
        <v>9.7582030024576574E-3</v>
      </c>
      <c r="X108" s="8">
        <v>0</v>
      </c>
      <c r="Y108" s="8">
        <v>1</v>
      </c>
      <c r="Z108" s="8">
        <v>1073</v>
      </c>
      <c r="AA108" s="7">
        <v>0.10114003519055886</v>
      </c>
      <c r="AB108" s="7">
        <v>7.8233936155641445E-3</v>
      </c>
      <c r="AC108" s="8">
        <v>0</v>
      </c>
      <c r="AD108" s="8">
        <v>1</v>
      </c>
      <c r="AE108" s="8">
        <v>2789</v>
      </c>
    </row>
    <row r="109" spans="1:32" x14ac:dyDescent="0.45">
      <c r="A109" s="6" t="s">
        <v>26</v>
      </c>
      <c r="B109" s="7">
        <v>4.2417616022147671E-2</v>
      </c>
      <c r="C109" s="7">
        <v>1.0510324665511129E-2</v>
      </c>
      <c r="D109" s="8">
        <v>0</v>
      </c>
      <c r="E109" s="8">
        <v>1</v>
      </c>
      <c r="F109" s="8">
        <v>377</v>
      </c>
      <c r="G109" s="7">
        <v>0.13820208651722821</v>
      </c>
      <c r="H109" s="7">
        <v>1.6475096603360842E-2</v>
      </c>
      <c r="I109" s="8">
        <v>0</v>
      </c>
      <c r="J109" s="8">
        <v>1</v>
      </c>
      <c r="K109" s="8">
        <v>473</v>
      </c>
      <c r="L109" s="7">
        <v>0.10469634306542444</v>
      </c>
      <c r="M109" s="7">
        <v>1.5394889579067119E-2</v>
      </c>
      <c r="N109" s="8">
        <v>0</v>
      </c>
      <c r="O109" s="8">
        <v>1</v>
      </c>
      <c r="P109" s="8">
        <v>443</v>
      </c>
      <c r="Q109" s="7">
        <v>0.21697284641081702</v>
      </c>
      <c r="R109" s="7">
        <v>2.0889826904432647E-2</v>
      </c>
      <c r="S109" s="8">
        <v>0</v>
      </c>
      <c r="T109" s="8">
        <v>1</v>
      </c>
      <c r="U109" s="8">
        <v>423</v>
      </c>
      <c r="V109" s="7">
        <v>6.8214282763813486E-2</v>
      </c>
      <c r="W109" s="7">
        <v>1.0070079910351819E-2</v>
      </c>
      <c r="X109" s="8">
        <v>0</v>
      </c>
      <c r="Y109" s="8">
        <v>1</v>
      </c>
      <c r="Z109" s="8">
        <v>1073</v>
      </c>
      <c r="AA109" s="7">
        <v>0.13381594000174568</v>
      </c>
      <c r="AB109" s="7">
        <v>9.0632155667956203E-3</v>
      </c>
      <c r="AC109" s="8">
        <v>0</v>
      </c>
      <c r="AD109" s="8">
        <v>1</v>
      </c>
      <c r="AE109" s="8">
        <v>2789</v>
      </c>
      <c r="AF109">
        <f>(AA111/AA110)-AA109</f>
        <v>4.4989091747821092E-2</v>
      </c>
    </row>
    <row r="110" spans="1:32" ht="26.25" x14ac:dyDescent="0.45">
      <c r="A110" s="6" t="s">
        <v>24</v>
      </c>
      <c r="B110" s="7">
        <v>0.3143161872698384</v>
      </c>
      <c r="C110" s="7">
        <v>2.5988451099292102E-2</v>
      </c>
      <c r="D110" s="8">
        <v>0</v>
      </c>
      <c r="E110" s="8">
        <v>1</v>
      </c>
      <c r="F110" s="8">
        <v>377</v>
      </c>
      <c r="G110" s="7">
        <v>0.35720003177347953</v>
      </c>
      <c r="H110" s="7">
        <v>2.2786551411140134E-2</v>
      </c>
      <c r="I110" s="8">
        <v>0</v>
      </c>
      <c r="J110" s="8">
        <v>1</v>
      </c>
      <c r="K110" s="8">
        <v>473</v>
      </c>
      <c r="L110" s="7">
        <v>0.30880783343155294</v>
      </c>
      <c r="M110" s="7">
        <v>2.2515152770261254E-2</v>
      </c>
      <c r="N110" s="8">
        <v>0</v>
      </c>
      <c r="O110" s="8">
        <v>1</v>
      </c>
      <c r="P110" s="8">
        <v>443</v>
      </c>
      <c r="Q110" s="7">
        <v>0.74339061825172903</v>
      </c>
      <c r="R110" s="7">
        <v>2.1616709115009351E-2</v>
      </c>
      <c r="S110" s="8">
        <v>0</v>
      </c>
      <c r="T110" s="8">
        <v>1</v>
      </c>
      <c r="U110" s="8">
        <v>423</v>
      </c>
      <c r="V110" s="7">
        <v>0.44031925904016395</v>
      </c>
      <c r="W110" s="7">
        <v>2.0999240945587205E-2</v>
      </c>
      <c r="X110" s="8">
        <v>0</v>
      </c>
      <c r="Y110" s="8">
        <v>1</v>
      </c>
      <c r="Z110" s="8">
        <v>1073</v>
      </c>
      <c r="AA110" s="7">
        <v>0.42493856155989945</v>
      </c>
      <c r="AB110" s="7">
        <v>1.2928208456969242E-2</v>
      </c>
      <c r="AC110" s="8">
        <v>0</v>
      </c>
      <c r="AD110" s="8">
        <v>1</v>
      </c>
      <c r="AE110" s="8">
        <v>2789</v>
      </c>
      <c r="AF110">
        <f>(AA111/AA109)-AA110</f>
        <v>0.14286489287416765</v>
      </c>
    </row>
    <row r="111" spans="1:32" x14ac:dyDescent="0.45">
      <c r="A111" s="6" t="s">
        <v>65</v>
      </c>
      <c r="B111" s="7">
        <v>1.0879923646137633E-2</v>
      </c>
      <c r="C111" s="7">
        <v>5.4407024377934217E-3</v>
      </c>
      <c r="D111" s="8">
        <v>0</v>
      </c>
      <c r="E111" s="8">
        <v>1</v>
      </c>
      <c r="F111" s="8">
        <v>377</v>
      </c>
      <c r="G111" s="7">
        <v>7.2111538038377179E-2</v>
      </c>
      <c r="H111" s="7">
        <v>1.2307179656226425E-2</v>
      </c>
      <c r="I111" s="8">
        <v>0</v>
      </c>
      <c r="J111" s="8">
        <v>1</v>
      </c>
      <c r="K111" s="8">
        <v>473</v>
      </c>
      <c r="L111" s="7">
        <v>2.2265615411869881E-2</v>
      </c>
      <c r="M111" s="7">
        <v>7.4296755993655634E-3</v>
      </c>
      <c r="N111" s="8">
        <v>0</v>
      </c>
      <c r="O111" s="8">
        <v>1</v>
      </c>
      <c r="P111" s="8">
        <v>443</v>
      </c>
      <c r="Q111" s="7">
        <v>0.19763699392018647</v>
      </c>
      <c r="R111" s="7">
        <v>2.0229568014455402E-2</v>
      </c>
      <c r="S111" s="8">
        <v>0</v>
      </c>
      <c r="T111" s="8">
        <v>1</v>
      </c>
      <c r="U111" s="8">
        <v>423</v>
      </c>
      <c r="V111" s="7">
        <v>5.754802736305422E-2</v>
      </c>
      <c r="W111" s="7">
        <v>9.3659597856041686E-3</v>
      </c>
      <c r="X111" s="8">
        <v>0</v>
      </c>
      <c r="Y111" s="8">
        <v>1</v>
      </c>
      <c r="Z111" s="8">
        <v>1073</v>
      </c>
      <c r="AA111" s="7">
        <v>7.5981152991333054E-2</v>
      </c>
      <c r="AB111" s="7">
        <v>6.6678475173024493E-3</v>
      </c>
      <c r="AC111" s="8">
        <v>0</v>
      </c>
      <c r="AD111" s="8">
        <v>1</v>
      </c>
      <c r="AE111" s="8">
        <v>2789</v>
      </c>
    </row>
    <row r="112" spans="1:32" x14ac:dyDescent="0.45">
      <c r="A112" s="6" t="s">
        <v>28</v>
      </c>
      <c r="B112" s="7">
        <v>1.7483672993640127E-2</v>
      </c>
      <c r="C112" s="7">
        <v>6.2489221851230788E-3</v>
      </c>
      <c r="D112" s="8">
        <v>0</v>
      </c>
      <c r="E112" s="8">
        <v>1</v>
      </c>
      <c r="F112" s="8">
        <v>377</v>
      </c>
      <c r="G112" s="7">
        <v>5.8009185356960917E-2</v>
      </c>
      <c r="H112" s="7">
        <v>1.1092481530445291E-2</v>
      </c>
      <c r="I112" s="8">
        <v>0</v>
      </c>
      <c r="J112" s="8">
        <v>1</v>
      </c>
      <c r="K112" s="8">
        <v>473</v>
      </c>
      <c r="L112" s="7">
        <v>0.15058406137378161</v>
      </c>
      <c r="M112" s="7">
        <v>1.7370685125969107E-2</v>
      </c>
      <c r="N112" s="8">
        <v>0</v>
      </c>
      <c r="O112" s="8">
        <v>1</v>
      </c>
      <c r="P112" s="8">
        <v>443</v>
      </c>
      <c r="Q112" s="7">
        <v>0.34721164151992517</v>
      </c>
      <c r="R112" s="7">
        <v>2.3722190078450694E-2</v>
      </c>
      <c r="S112" s="8">
        <v>0</v>
      </c>
      <c r="T112" s="8">
        <v>1</v>
      </c>
      <c r="U112" s="8">
        <v>423</v>
      </c>
      <c r="V112" s="7">
        <v>0.2311815510554612</v>
      </c>
      <c r="W112" s="7">
        <v>1.6826076871654053E-2</v>
      </c>
      <c r="X112" s="8">
        <v>0</v>
      </c>
      <c r="Y112" s="8">
        <v>1</v>
      </c>
      <c r="Z112" s="8">
        <v>1073</v>
      </c>
      <c r="AA112" s="7">
        <v>0.16315632364836802</v>
      </c>
      <c r="AB112" s="7">
        <v>9.612518120869289E-3</v>
      </c>
      <c r="AC112" s="8">
        <v>0</v>
      </c>
      <c r="AD112" s="8">
        <v>1</v>
      </c>
      <c r="AE112" s="8">
        <v>2789</v>
      </c>
      <c r="AF112">
        <f>(AA114/AA113)-AA112</f>
        <v>6.408289267761158E-3</v>
      </c>
    </row>
    <row r="113" spans="1:32" x14ac:dyDescent="0.45">
      <c r="A113" s="6" t="s">
        <v>30</v>
      </c>
      <c r="B113" s="7">
        <v>1.1457136449351377E-2</v>
      </c>
      <c r="C113" s="7">
        <v>4.6446473101533657E-3</v>
      </c>
      <c r="D113" s="8">
        <v>0</v>
      </c>
      <c r="E113" s="8">
        <v>1</v>
      </c>
      <c r="F113" s="8">
        <v>377</v>
      </c>
      <c r="G113" s="7">
        <v>2.0584963623272376E-2</v>
      </c>
      <c r="H113" s="7">
        <v>6.8587892804406088E-3</v>
      </c>
      <c r="I113" s="8">
        <v>0</v>
      </c>
      <c r="J113" s="8">
        <v>1</v>
      </c>
      <c r="K113" s="8">
        <v>473</v>
      </c>
      <c r="L113" s="7">
        <v>7.0996410257994622E-2</v>
      </c>
      <c r="M113" s="7">
        <v>1.252912923237671E-2</v>
      </c>
      <c r="N113" s="8">
        <v>0</v>
      </c>
      <c r="O113" s="8">
        <v>1</v>
      </c>
      <c r="P113" s="8">
        <v>443</v>
      </c>
      <c r="Q113" s="7">
        <v>5.0630794411700999E-2</v>
      </c>
      <c r="R113" s="7">
        <v>1.0815749508243298E-2</v>
      </c>
      <c r="S113" s="8">
        <v>0</v>
      </c>
      <c r="T113" s="8">
        <v>1</v>
      </c>
      <c r="U113" s="8">
        <v>423</v>
      </c>
      <c r="V113" s="7">
        <v>1.7091392101286209E-2</v>
      </c>
      <c r="W113" s="7">
        <v>3.9414895332473051E-3</v>
      </c>
      <c r="X113" s="8">
        <v>0</v>
      </c>
      <c r="Y113" s="8">
        <v>1</v>
      </c>
      <c r="Z113" s="8">
        <v>1073</v>
      </c>
      <c r="AA113" s="7">
        <v>4.6647707162626499E-2</v>
      </c>
      <c r="AB113" s="7">
        <v>5.889810447475355E-3</v>
      </c>
      <c r="AC113" s="8">
        <v>0</v>
      </c>
      <c r="AD113" s="8">
        <v>1</v>
      </c>
      <c r="AE113" s="8">
        <v>2789</v>
      </c>
      <c r="AF113">
        <f>(AA114/AA112)-AA113</f>
        <v>1.8321815207124753E-3</v>
      </c>
    </row>
    <row r="114" spans="1:32" ht="26.25" x14ac:dyDescent="0.45">
      <c r="A114" s="6" t="s">
        <v>66</v>
      </c>
      <c r="B114" s="7">
        <v>0</v>
      </c>
      <c r="C114" s="7">
        <v>0</v>
      </c>
      <c r="D114" s="8">
        <v>0</v>
      </c>
      <c r="E114" s="8">
        <v>0</v>
      </c>
      <c r="F114" s="8">
        <v>377</v>
      </c>
      <c r="G114" s="7">
        <v>0</v>
      </c>
      <c r="H114" s="7">
        <v>0</v>
      </c>
      <c r="I114" s="8">
        <v>0</v>
      </c>
      <c r="J114" s="8">
        <v>0</v>
      </c>
      <c r="K114" s="8">
        <v>473</v>
      </c>
      <c r="L114" s="7">
        <v>0</v>
      </c>
      <c r="M114" s="7">
        <v>0</v>
      </c>
      <c r="N114" s="8">
        <v>0</v>
      </c>
      <c r="O114" s="8">
        <v>0</v>
      </c>
      <c r="P114" s="8">
        <v>443</v>
      </c>
      <c r="Q114" s="7">
        <v>3.4722924982990469E-2</v>
      </c>
      <c r="R114" s="7">
        <v>9.1432873419651402E-3</v>
      </c>
      <c r="S114" s="8">
        <v>0</v>
      </c>
      <c r="T114" s="8">
        <v>1</v>
      </c>
      <c r="U114" s="8">
        <v>423</v>
      </c>
      <c r="V114" s="7">
        <v>2.6024549696142059E-3</v>
      </c>
      <c r="W114" s="7">
        <v>1.8808816498227196E-3</v>
      </c>
      <c r="X114" s="8">
        <v>0</v>
      </c>
      <c r="Y114" s="8">
        <v>1</v>
      </c>
      <c r="Z114" s="8">
        <v>1073</v>
      </c>
      <c r="AA114" s="7">
        <v>7.9098004084557083E-3</v>
      </c>
      <c r="AB114" s="7">
        <v>2.0887345349397744E-3</v>
      </c>
      <c r="AC114" s="8">
        <v>0</v>
      </c>
      <c r="AD114" s="8">
        <v>1</v>
      </c>
      <c r="AE114" s="8">
        <v>2789</v>
      </c>
    </row>
    <row r="115" spans="1:32" x14ac:dyDescent="0.45">
      <c r="A115" s="6" t="s">
        <v>28</v>
      </c>
      <c r="B115" s="7">
        <v>1.7483672993640127E-2</v>
      </c>
      <c r="C115" s="7">
        <v>6.2489221851230788E-3</v>
      </c>
      <c r="D115" s="8">
        <v>0</v>
      </c>
      <c r="E115" s="8">
        <v>1</v>
      </c>
      <c r="F115" s="8">
        <v>377</v>
      </c>
      <c r="G115" s="7">
        <v>5.8009185356960917E-2</v>
      </c>
      <c r="H115" s="7">
        <v>1.1092481530445291E-2</v>
      </c>
      <c r="I115" s="8">
        <v>0</v>
      </c>
      <c r="J115" s="8">
        <v>1</v>
      </c>
      <c r="K115" s="8">
        <v>473</v>
      </c>
      <c r="L115" s="7">
        <v>0.15058406137378161</v>
      </c>
      <c r="M115" s="7">
        <v>1.7370685125969107E-2</v>
      </c>
      <c r="N115" s="8">
        <v>0</v>
      </c>
      <c r="O115" s="8">
        <v>1</v>
      </c>
      <c r="P115" s="8">
        <v>443</v>
      </c>
      <c r="Q115" s="7">
        <v>0.34721164151992517</v>
      </c>
      <c r="R115" s="7">
        <v>2.3722190078450694E-2</v>
      </c>
      <c r="S115" s="8">
        <v>0</v>
      </c>
      <c r="T115" s="8">
        <v>1</v>
      </c>
      <c r="U115" s="8">
        <v>423</v>
      </c>
      <c r="V115" s="7">
        <v>0.2311815510554612</v>
      </c>
      <c r="W115" s="7">
        <v>1.6826076871654053E-2</v>
      </c>
      <c r="X115" s="8">
        <v>0</v>
      </c>
      <c r="Y115" s="8">
        <v>1</v>
      </c>
      <c r="Z115" s="8">
        <v>1073</v>
      </c>
      <c r="AA115" s="7">
        <v>0.16315632364836802</v>
      </c>
      <c r="AB115" s="7">
        <v>9.612518120869289E-3</v>
      </c>
      <c r="AC115" s="8">
        <v>0</v>
      </c>
      <c r="AD115" s="8">
        <v>1</v>
      </c>
      <c r="AE115" s="8">
        <v>2789</v>
      </c>
      <c r="AF115">
        <f>(AA117/AA116)-AA115</f>
        <v>1.86993250643884E-2</v>
      </c>
    </row>
    <row r="116" spans="1:32" x14ac:dyDescent="0.45">
      <c r="A116" s="6" t="s">
        <v>32</v>
      </c>
      <c r="B116" s="7">
        <v>0.2527724281813617</v>
      </c>
      <c r="C116" s="7">
        <v>2.3581271808324908E-2</v>
      </c>
      <c r="D116" s="8">
        <v>0</v>
      </c>
      <c r="E116" s="8">
        <v>1</v>
      </c>
      <c r="F116" s="8">
        <v>377</v>
      </c>
      <c r="G116" s="7">
        <v>0.1554454589262585</v>
      </c>
      <c r="H116" s="7">
        <v>1.7390664147984094E-2</v>
      </c>
      <c r="I116" s="8">
        <v>0</v>
      </c>
      <c r="J116" s="8">
        <v>1</v>
      </c>
      <c r="K116" s="8">
        <v>473</v>
      </c>
      <c r="L116" s="7">
        <v>0.15877572477573559</v>
      </c>
      <c r="M116" s="7">
        <v>1.7885640487502231E-2</v>
      </c>
      <c r="N116" s="8">
        <v>0</v>
      </c>
      <c r="O116" s="8">
        <v>1</v>
      </c>
      <c r="P116" s="8">
        <v>443</v>
      </c>
      <c r="Q116" s="7">
        <v>0.13416252742816348</v>
      </c>
      <c r="R116" s="7">
        <v>1.6834266849755707E-2</v>
      </c>
      <c r="S116" s="8">
        <v>0</v>
      </c>
      <c r="T116" s="8">
        <v>1</v>
      </c>
      <c r="U116" s="8">
        <v>423</v>
      </c>
      <c r="V116" s="7">
        <v>3.5681116912385707E-2</v>
      </c>
      <c r="W116" s="7">
        <v>5.9694575574459905E-3</v>
      </c>
      <c r="X116" s="8">
        <v>0</v>
      </c>
      <c r="Y116" s="8">
        <v>1</v>
      </c>
      <c r="Z116" s="8">
        <v>1073</v>
      </c>
      <c r="AA116" s="7">
        <v>0.1543771286135118</v>
      </c>
      <c r="AB116" s="7">
        <v>9.5089024086530607E-3</v>
      </c>
      <c r="AC116" s="8">
        <v>0</v>
      </c>
      <c r="AD116" s="8">
        <v>1</v>
      </c>
      <c r="AE116" s="8">
        <v>2789</v>
      </c>
      <c r="AF116">
        <f>(AA117/AA115)-AA116</f>
        <v>1.7693142661588945E-2</v>
      </c>
    </row>
    <row r="117" spans="1:32" x14ac:dyDescent="0.45">
      <c r="A117" s="6" t="s">
        <v>67</v>
      </c>
      <c r="B117" s="7">
        <v>7.2438704730540216E-3</v>
      </c>
      <c r="C117" s="7">
        <v>4.2698635308174963E-3</v>
      </c>
      <c r="D117" s="8">
        <v>0</v>
      </c>
      <c r="E117" s="8">
        <v>1</v>
      </c>
      <c r="F117" s="8">
        <v>377</v>
      </c>
      <c r="G117" s="7">
        <v>8.411796373276121E-3</v>
      </c>
      <c r="H117" s="7">
        <v>4.1943479569311395E-3</v>
      </c>
      <c r="I117" s="8">
        <v>0</v>
      </c>
      <c r="J117" s="8">
        <v>1</v>
      </c>
      <c r="K117" s="8">
        <v>473</v>
      </c>
      <c r="L117" s="7">
        <v>2.2160231716010476E-2</v>
      </c>
      <c r="M117" s="7">
        <v>7.0095292541497503E-3</v>
      </c>
      <c r="N117" s="8">
        <v>0</v>
      </c>
      <c r="O117" s="8">
        <v>1</v>
      </c>
      <c r="P117" s="8">
        <v>443</v>
      </c>
      <c r="Q117" s="7">
        <v>7.1113509480821721E-2</v>
      </c>
      <c r="R117" s="7">
        <v>1.2619026987937872E-2</v>
      </c>
      <c r="S117" s="8">
        <v>0</v>
      </c>
      <c r="T117" s="8">
        <v>1</v>
      </c>
      <c r="U117" s="8">
        <v>423</v>
      </c>
      <c r="V117" s="7">
        <v>1.2984432379055512E-2</v>
      </c>
      <c r="W117" s="7">
        <v>4.0211493665934864E-3</v>
      </c>
      <c r="X117" s="8">
        <v>0</v>
      </c>
      <c r="Y117" s="8">
        <v>1</v>
      </c>
      <c r="Z117" s="8">
        <v>1073</v>
      </c>
      <c r="AA117" s="7">
        <v>2.8074352870422821E-2</v>
      </c>
      <c r="AB117" s="7">
        <v>4.188848162964936E-3</v>
      </c>
      <c r="AC117" s="8">
        <v>0</v>
      </c>
      <c r="AD117" s="8">
        <v>1</v>
      </c>
      <c r="AE117" s="8">
        <v>2789</v>
      </c>
    </row>
    <row r="118" spans="1:32" x14ac:dyDescent="0.45">
      <c r="A118" s="6" t="s">
        <v>28</v>
      </c>
      <c r="B118" s="7">
        <v>1.7483672993640127E-2</v>
      </c>
      <c r="C118" s="7">
        <v>6.2489221851230788E-3</v>
      </c>
      <c r="D118" s="8">
        <v>0</v>
      </c>
      <c r="E118" s="8">
        <v>1</v>
      </c>
      <c r="F118" s="8">
        <v>377</v>
      </c>
      <c r="G118" s="7">
        <v>5.8009185356960917E-2</v>
      </c>
      <c r="H118" s="7">
        <v>1.1092481530445291E-2</v>
      </c>
      <c r="I118" s="8">
        <v>0</v>
      </c>
      <c r="J118" s="8">
        <v>1</v>
      </c>
      <c r="K118" s="8">
        <v>473</v>
      </c>
      <c r="L118" s="7">
        <v>0.15058406137378161</v>
      </c>
      <c r="M118" s="7">
        <v>1.7370685125969107E-2</v>
      </c>
      <c r="N118" s="8">
        <v>0</v>
      </c>
      <c r="O118" s="8">
        <v>1</v>
      </c>
      <c r="P118" s="8">
        <v>443</v>
      </c>
      <c r="Q118" s="7">
        <v>0.34721164151992517</v>
      </c>
      <c r="R118" s="7">
        <v>2.3722190078450694E-2</v>
      </c>
      <c r="S118" s="8">
        <v>0</v>
      </c>
      <c r="T118" s="8">
        <v>1</v>
      </c>
      <c r="U118" s="8">
        <v>423</v>
      </c>
      <c r="V118" s="7">
        <v>0.2311815510554612</v>
      </c>
      <c r="W118" s="7">
        <v>1.6826076871654053E-2</v>
      </c>
      <c r="X118" s="8">
        <v>0</v>
      </c>
      <c r="Y118" s="8">
        <v>1</v>
      </c>
      <c r="Z118" s="8">
        <v>1073</v>
      </c>
      <c r="AA118" s="7">
        <v>0.16315632364836802</v>
      </c>
      <c r="AB118" s="7">
        <v>9.612518120869289E-3</v>
      </c>
      <c r="AC118" s="8">
        <v>0</v>
      </c>
      <c r="AD118" s="8">
        <v>1</v>
      </c>
      <c r="AE118" s="8">
        <v>2789</v>
      </c>
      <c r="AF118">
        <f>(AA120/AA119)-AA118</f>
        <v>-1.5933056311534494E-2</v>
      </c>
    </row>
    <row r="119" spans="1:32" x14ac:dyDescent="0.45">
      <c r="A119" s="6" t="s">
        <v>34</v>
      </c>
      <c r="B119" s="7">
        <v>2.263311268250193E-2</v>
      </c>
      <c r="C119" s="7">
        <v>7.3421367292460923E-3</v>
      </c>
      <c r="D119" s="8">
        <v>0</v>
      </c>
      <c r="E119" s="8">
        <v>1</v>
      </c>
      <c r="F119" s="8">
        <v>377</v>
      </c>
      <c r="G119" s="7">
        <v>5.8327627768387631E-2</v>
      </c>
      <c r="H119" s="7">
        <v>1.1334403264176443E-2</v>
      </c>
      <c r="I119" s="8">
        <v>0</v>
      </c>
      <c r="J119" s="8">
        <v>1</v>
      </c>
      <c r="K119" s="8">
        <v>473</v>
      </c>
      <c r="L119" s="7">
        <v>8.3487078786845886E-2</v>
      </c>
      <c r="M119" s="7">
        <v>1.3594933601456751E-2</v>
      </c>
      <c r="N119" s="8">
        <v>0</v>
      </c>
      <c r="O119" s="8">
        <v>1</v>
      </c>
      <c r="P119" s="8">
        <v>443</v>
      </c>
      <c r="Q119" s="7">
        <v>5.2708548379860748E-2</v>
      </c>
      <c r="R119" s="7">
        <v>1.100803849809036E-2</v>
      </c>
      <c r="S119" s="8">
        <v>0</v>
      </c>
      <c r="T119" s="8">
        <v>1</v>
      </c>
      <c r="U119" s="8">
        <v>423</v>
      </c>
      <c r="V119" s="7">
        <v>3.9397663243172917E-3</v>
      </c>
      <c r="W119" s="7">
        <v>1.9732066657802663E-3</v>
      </c>
      <c r="X119" s="8">
        <v>0</v>
      </c>
      <c r="Y119" s="8">
        <v>1</v>
      </c>
      <c r="Z119" s="8">
        <v>1073</v>
      </c>
      <c r="AA119" s="7">
        <v>6.2799338760446702E-2</v>
      </c>
      <c r="AB119" s="7">
        <v>6.7450581638249926E-3</v>
      </c>
      <c r="AC119" s="8">
        <v>0</v>
      </c>
      <c r="AD119" s="8">
        <v>1</v>
      </c>
      <c r="AE119" s="8">
        <v>2789</v>
      </c>
      <c r="AF119">
        <f>(AA120/AA118)-AA119</f>
        <v>-6.1326792515487977E-3</v>
      </c>
    </row>
    <row r="120" spans="1:32" ht="26.25" x14ac:dyDescent="0.45">
      <c r="A120" s="6" t="s">
        <v>68</v>
      </c>
      <c r="B120" s="7">
        <v>2.0418892219555159E-3</v>
      </c>
      <c r="C120" s="7">
        <v>2.0438408684011985E-3</v>
      </c>
      <c r="D120" s="8">
        <v>0</v>
      </c>
      <c r="E120" s="8">
        <v>1</v>
      </c>
      <c r="F120" s="8">
        <v>377</v>
      </c>
      <c r="G120" s="7">
        <v>0</v>
      </c>
      <c r="H120" s="7">
        <v>0</v>
      </c>
      <c r="I120" s="8">
        <v>0</v>
      </c>
      <c r="J120" s="8">
        <v>0</v>
      </c>
      <c r="K120" s="8">
        <v>473</v>
      </c>
      <c r="L120" s="7">
        <v>2.3714245485752295E-3</v>
      </c>
      <c r="M120" s="7">
        <v>2.3713387587783264E-3</v>
      </c>
      <c r="N120" s="8">
        <v>0</v>
      </c>
      <c r="O120" s="8">
        <v>1</v>
      </c>
      <c r="P120" s="8">
        <v>443</v>
      </c>
      <c r="Q120" s="7">
        <v>3.5948601895113654E-2</v>
      </c>
      <c r="R120" s="7">
        <v>9.1852772944695481E-3</v>
      </c>
      <c r="S120" s="8">
        <v>0</v>
      </c>
      <c r="T120" s="8">
        <v>1</v>
      </c>
      <c r="U120" s="8">
        <v>423</v>
      </c>
      <c r="V120" s="7">
        <v>2.045959940583493E-3</v>
      </c>
      <c r="W120" s="7">
        <v>1.8033031310950378E-3</v>
      </c>
      <c r="X120" s="8">
        <v>0</v>
      </c>
      <c r="Y120" s="8">
        <v>1</v>
      </c>
      <c r="Z120" s="8">
        <v>1073</v>
      </c>
      <c r="AA120" s="7">
        <v>9.2455238389056171E-3</v>
      </c>
      <c r="AB120" s="7">
        <v>2.3016343822304386E-3</v>
      </c>
      <c r="AC120" s="8">
        <v>0</v>
      </c>
      <c r="AD120" s="8">
        <v>1</v>
      </c>
      <c r="AE120" s="8">
        <v>2789</v>
      </c>
    </row>
    <row r="121" spans="1:32" x14ac:dyDescent="0.45">
      <c r="A121" s="6" t="s">
        <v>28</v>
      </c>
      <c r="B121" s="7">
        <v>1.7483672993640127E-2</v>
      </c>
      <c r="C121" s="7">
        <v>6.2489221851230788E-3</v>
      </c>
      <c r="D121" s="8">
        <v>0</v>
      </c>
      <c r="E121" s="8">
        <v>1</v>
      </c>
      <c r="F121" s="8">
        <v>377</v>
      </c>
      <c r="G121" s="7">
        <v>5.8009185356960917E-2</v>
      </c>
      <c r="H121" s="7">
        <v>1.1092481530445291E-2</v>
      </c>
      <c r="I121" s="8">
        <v>0</v>
      </c>
      <c r="J121" s="8">
        <v>1</v>
      </c>
      <c r="K121" s="8">
        <v>473</v>
      </c>
      <c r="L121" s="7">
        <v>0.15058406137378161</v>
      </c>
      <c r="M121" s="7">
        <v>1.7370685125969107E-2</v>
      </c>
      <c r="N121" s="8">
        <v>0</v>
      </c>
      <c r="O121" s="8">
        <v>1</v>
      </c>
      <c r="P121" s="8">
        <v>443</v>
      </c>
      <c r="Q121" s="7">
        <v>0.34721164151992517</v>
      </c>
      <c r="R121" s="7">
        <v>2.3722190078450694E-2</v>
      </c>
      <c r="S121" s="8">
        <v>0</v>
      </c>
      <c r="T121" s="8">
        <v>1</v>
      </c>
      <c r="U121" s="8">
        <v>423</v>
      </c>
      <c r="V121" s="7">
        <v>0.2311815510554612</v>
      </c>
      <c r="W121" s="7">
        <v>1.6826076871654053E-2</v>
      </c>
      <c r="X121" s="8">
        <v>0</v>
      </c>
      <c r="Y121" s="8">
        <v>1</v>
      </c>
      <c r="Z121" s="8">
        <v>1073</v>
      </c>
      <c r="AA121" s="7">
        <v>0.16315632364836802</v>
      </c>
      <c r="AB121" s="7">
        <v>9.612518120869289E-3</v>
      </c>
      <c r="AC121" s="8">
        <v>0</v>
      </c>
      <c r="AD121" s="8">
        <v>1</v>
      </c>
      <c r="AE121" s="8">
        <v>2789</v>
      </c>
      <c r="AF121">
        <f>(AA123/AA122)-AA121</f>
        <v>-7.6168367150330388E-2</v>
      </c>
    </row>
    <row r="122" spans="1:32" x14ac:dyDescent="0.45">
      <c r="A122" s="6" t="s">
        <v>36</v>
      </c>
      <c r="B122" s="7">
        <v>0.26636125194779031</v>
      </c>
      <c r="C122" s="7">
        <v>2.4189991287900472E-2</v>
      </c>
      <c r="D122" s="8">
        <v>0</v>
      </c>
      <c r="E122" s="8">
        <v>1</v>
      </c>
      <c r="F122" s="8">
        <v>377</v>
      </c>
      <c r="G122" s="7">
        <v>0.17672760534526755</v>
      </c>
      <c r="H122" s="7">
        <v>1.8127456261163202E-2</v>
      </c>
      <c r="I122" s="8">
        <v>0</v>
      </c>
      <c r="J122" s="8">
        <v>1</v>
      </c>
      <c r="K122" s="8">
        <v>467</v>
      </c>
      <c r="L122" s="7">
        <v>4.3890875888197518E-2</v>
      </c>
      <c r="M122" s="7">
        <v>9.6682460234033402E-3</v>
      </c>
      <c r="N122" s="8">
        <v>0</v>
      </c>
      <c r="O122" s="8">
        <v>1</v>
      </c>
      <c r="P122" s="8">
        <v>441</v>
      </c>
      <c r="Q122" s="7">
        <v>8.371081995835053E-2</v>
      </c>
      <c r="R122" s="7">
        <v>1.4050470479779449E-2</v>
      </c>
      <c r="S122" s="8">
        <v>0</v>
      </c>
      <c r="T122" s="8">
        <v>1</v>
      </c>
      <c r="U122" s="8">
        <v>422</v>
      </c>
      <c r="V122" s="7">
        <v>0.17670361522524197</v>
      </c>
      <c r="W122" s="7">
        <v>1.6865782603968957E-2</v>
      </c>
      <c r="X122" s="8">
        <v>0</v>
      </c>
      <c r="Y122" s="8">
        <v>1</v>
      </c>
      <c r="Z122" s="8">
        <v>1068</v>
      </c>
      <c r="AA122" s="7">
        <v>0.10901593418102137</v>
      </c>
      <c r="AB122" s="7">
        <v>7.4445039199197852E-3</v>
      </c>
      <c r="AC122" s="8">
        <v>0</v>
      </c>
      <c r="AD122" s="8">
        <v>1</v>
      </c>
      <c r="AE122" s="8">
        <v>2775</v>
      </c>
      <c r="AF122">
        <f>(AA123/AA121)-AA122</f>
        <v>-5.0893312096391703E-2</v>
      </c>
    </row>
    <row r="123" spans="1:32" x14ac:dyDescent="0.45">
      <c r="A123" s="6" t="s">
        <v>69</v>
      </c>
      <c r="B123" s="7">
        <v>2.0655947442096236E-3</v>
      </c>
      <c r="C123" s="7">
        <v>2.06751999856365E-3</v>
      </c>
      <c r="D123" s="8">
        <v>0</v>
      </c>
      <c r="E123" s="8">
        <v>1</v>
      </c>
      <c r="F123" s="8">
        <v>377</v>
      </c>
      <c r="G123" s="7">
        <v>4.8736361571960528E-3</v>
      </c>
      <c r="H123" s="7">
        <v>3.4470293711862084E-3</v>
      </c>
      <c r="I123" s="8">
        <v>0</v>
      </c>
      <c r="J123" s="8">
        <v>1</v>
      </c>
      <c r="K123" s="8">
        <v>467</v>
      </c>
      <c r="L123" s="7">
        <v>6.4391711700316429E-3</v>
      </c>
      <c r="M123" s="7">
        <v>3.8414006138652607E-3</v>
      </c>
      <c r="N123" s="8">
        <v>0</v>
      </c>
      <c r="O123" s="8">
        <v>1</v>
      </c>
      <c r="P123" s="8">
        <v>441</v>
      </c>
      <c r="Q123" s="7">
        <v>2.2498847406381122E-2</v>
      </c>
      <c r="R123" s="7">
        <v>7.4358453873900185E-3</v>
      </c>
      <c r="S123" s="8">
        <v>0</v>
      </c>
      <c r="T123" s="8">
        <v>1</v>
      </c>
      <c r="U123" s="8">
        <v>422</v>
      </c>
      <c r="V123" s="7">
        <v>1.0451203817865219E-2</v>
      </c>
      <c r="W123" s="7">
        <v>3.7424070364763325E-3</v>
      </c>
      <c r="X123" s="8">
        <v>0</v>
      </c>
      <c r="Y123" s="8">
        <v>1</v>
      </c>
      <c r="Z123" s="8">
        <v>1068</v>
      </c>
      <c r="AA123" s="7">
        <v>9.4830733401316206E-3</v>
      </c>
      <c r="AB123" s="7">
        <v>2.4713747799046306E-3</v>
      </c>
      <c r="AC123" s="8">
        <v>0</v>
      </c>
      <c r="AD123" s="8">
        <v>1</v>
      </c>
      <c r="AE123" s="8">
        <v>2775</v>
      </c>
    </row>
    <row r="124" spans="1:32" x14ac:dyDescent="0.45">
      <c r="A124" s="6" t="s">
        <v>28</v>
      </c>
      <c r="B124" s="7">
        <v>1.7483672993640127E-2</v>
      </c>
      <c r="C124" s="7">
        <v>6.2489221851230788E-3</v>
      </c>
      <c r="D124" s="8">
        <v>0</v>
      </c>
      <c r="E124" s="8">
        <v>1</v>
      </c>
      <c r="F124" s="8">
        <v>377</v>
      </c>
      <c r="G124" s="7">
        <v>5.8009185356960917E-2</v>
      </c>
      <c r="H124" s="7">
        <v>1.1092481530445291E-2</v>
      </c>
      <c r="I124" s="8">
        <v>0</v>
      </c>
      <c r="J124" s="8">
        <v>1</v>
      </c>
      <c r="K124" s="8">
        <v>473</v>
      </c>
      <c r="L124" s="7">
        <v>0.15058406137378161</v>
      </c>
      <c r="M124" s="7">
        <v>1.7370685125969107E-2</v>
      </c>
      <c r="N124" s="8">
        <v>0</v>
      </c>
      <c r="O124" s="8">
        <v>1</v>
      </c>
      <c r="P124" s="8">
        <v>443</v>
      </c>
      <c r="Q124" s="7">
        <v>0.34721164151992517</v>
      </c>
      <c r="R124" s="7">
        <v>2.3722190078450694E-2</v>
      </c>
      <c r="S124" s="8">
        <v>0</v>
      </c>
      <c r="T124" s="8">
        <v>1</v>
      </c>
      <c r="U124" s="8">
        <v>423</v>
      </c>
      <c r="V124" s="7">
        <v>0.2311815510554612</v>
      </c>
      <c r="W124" s="7">
        <v>1.6826076871654053E-2</v>
      </c>
      <c r="X124" s="8">
        <v>0</v>
      </c>
      <c r="Y124" s="8">
        <v>1</v>
      </c>
      <c r="Z124" s="8">
        <v>1073</v>
      </c>
      <c r="AA124" s="7">
        <v>0.16315632364836802</v>
      </c>
      <c r="AB124" s="7">
        <v>9.612518120869289E-3</v>
      </c>
      <c r="AC124" s="8">
        <v>0</v>
      </c>
      <c r="AD124" s="8">
        <v>1</v>
      </c>
      <c r="AE124" s="8">
        <v>2789</v>
      </c>
      <c r="AF124">
        <f>(AA126/AA125)-AA124</f>
        <v>-3.6507319953097583E-2</v>
      </c>
    </row>
    <row r="125" spans="1:32" ht="26.25" x14ac:dyDescent="0.45">
      <c r="A125" s="6" t="s">
        <v>38</v>
      </c>
      <c r="B125" s="7">
        <v>0.44223301820394767</v>
      </c>
      <c r="C125" s="7">
        <v>2.8300310545730831E-2</v>
      </c>
      <c r="D125" s="8">
        <v>0</v>
      </c>
      <c r="E125" s="8">
        <v>1</v>
      </c>
      <c r="F125" s="8">
        <v>377</v>
      </c>
      <c r="G125" s="7">
        <v>0.67963669016962303</v>
      </c>
      <c r="H125" s="7">
        <v>2.2169291635117473E-2</v>
      </c>
      <c r="I125" s="8">
        <v>0</v>
      </c>
      <c r="J125" s="8">
        <v>1</v>
      </c>
      <c r="K125" s="8">
        <v>473</v>
      </c>
      <c r="L125" s="7">
        <v>0.41452170070524536</v>
      </c>
      <c r="M125" s="7">
        <v>2.4249093275481391E-2</v>
      </c>
      <c r="N125" s="8">
        <v>0</v>
      </c>
      <c r="O125" s="8">
        <v>1</v>
      </c>
      <c r="P125" s="8">
        <v>443</v>
      </c>
      <c r="Q125" s="7">
        <v>0.50232647922994245</v>
      </c>
      <c r="R125" s="7">
        <v>2.4962894154274457E-2</v>
      </c>
      <c r="S125" s="8">
        <v>0</v>
      </c>
      <c r="T125" s="8">
        <v>1</v>
      </c>
      <c r="U125" s="8">
        <v>423</v>
      </c>
      <c r="V125" s="7">
        <v>0.18691243882002603</v>
      </c>
      <c r="W125" s="7">
        <v>1.6206610488577019E-2</v>
      </c>
      <c r="X125" s="8">
        <v>0</v>
      </c>
      <c r="Y125" s="8">
        <v>1</v>
      </c>
      <c r="Z125" s="8">
        <v>1073</v>
      </c>
      <c r="AA125" s="7">
        <v>0.50156328466083933</v>
      </c>
      <c r="AB125" s="7">
        <v>1.320292147742998E-2</v>
      </c>
      <c r="AC125" s="8">
        <v>0</v>
      </c>
      <c r="AD125" s="8">
        <v>1</v>
      </c>
      <c r="AE125" s="8">
        <v>2789</v>
      </c>
      <c r="AF125">
        <f>(AA126/AA124)-AA125</f>
        <v>-0.11222814353982891</v>
      </c>
    </row>
    <row r="126" spans="1:32" ht="26.25" x14ac:dyDescent="0.45">
      <c r="A126" s="6" t="s">
        <v>70</v>
      </c>
      <c r="B126" s="7">
        <v>9.5024817841250983E-3</v>
      </c>
      <c r="C126" s="7">
        <v>4.8253779830796607E-3</v>
      </c>
      <c r="D126" s="8">
        <v>0</v>
      </c>
      <c r="E126" s="8">
        <v>1</v>
      </c>
      <c r="F126" s="8">
        <v>377</v>
      </c>
      <c r="G126" s="7">
        <v>3.1309453296726311E-2</v>
      </c>
      <c r="H126" s="7">
        <v>8.2727237543467648E-3</v>
      </c>
      <c r="I126" s="8">
        <v>0</v>
      </c>
      <c r="J126" s="8">
        <v>1</v>
      </c>
      <c r="K126" s="8">
        <v>473</v>
      </c>
      <c r="L126" s="7">
        <v>3.0754838570504497E-2</v>
      </c>
      <c r="M126" s="7">
        <v>8.2111076442107547E-3</v>
      </c>
      <c r="N126" s="8">
        <v>0</v>
      </c>
      <c r="O126" s="8">
        <v>1</v>
      </c>
      <c r="P126" s="8">
        <v>443</v>
      </c>
      <c r="Q126" s="7">
        <v>0.17187608274121394</v>
      </c>
      <c r="R126" s="7">
        <v>1.8843641395561602E-2</v>
      </c>
      <c r="S126" s="8">
        <v>0</v>
      </c>
      <c r="T126" s="8">
        <v>1</v>
      </c>
      <c r="U126" s="8">
        <v>423</v>
      </c>
      <c r="V126" s="7">
        <v>9.6361182598187989E-2</v>
      </c>
      <c r="W126" s="7">
        <v>1.2323879347545356E-2</v>
      </c>
      <c r="X126" s="8">
        <v>0</v>
      </c>
      <c r="Y126" s="8">
        <v>1</v>
      </c>
      <c r="Z126" s="8">
        <v>1073</v>
      </c>
      <c r="AA126" s="7">
        <v>6.3522490292422615E-2</v>
      </c>
      <c r="AB126" s="7">
        <v>6.0222925762627964E-3</v>
      </c>
      <c r="AC126" s="8">
        <v>0</v>
      </c>
      <c r="AD126" s="8">
        <v>1</v>
      </c>
      <c r="AE126" s="8">
        <v>2789</v>
      </c>
    </row>
    <row r="127" spans="1:32" x14ac:dyDescent="0.45">
      <c r="A127" s="6" t="s">
        <v>28</v>
      </c>
      <c r="B127" s="7">
        <v>1.7483672993640127E-2</v>
      </c>
      <c r="C127" s="7">
        <v>6.2489221851230788E-3</v>
      </c>
      <c r="D127" s="8">
        <v>0</v>
      </c>
      <c r="E127" s="8">
        <v>1</v>
      </c>
      <c r="F127" s="8">
        <v>377</v>
      </c>
      <c r="G127" s="7">
        <v>5.8009185356960917E-2</v>
      </c>
      <c r="H127" s="7">
        <v>1.1092481530445291E-2</v>
      </c>
      <c r="I127" s="8">
        <v>0</v>
      </c>
      <c r="J127" s="8">
        <v>1</v>
      </c>
      <c r="K127" s="8">
        <v>473</v>
      </c>
      <c r="L127" s="7">
        <v>0.15058406137378161</v>
      </c>
      <c r="M127" s="7">
        <v>1.7370685125969107E-2</v>
      </c>
      <c r="N127" s="8">
        <v>0</v>
      </c>
      <c r="O127" s="8">
        <v>1</v>
      </c>
      <c r="P127" s="8">
        <v>443</v>
      </c>
      <c r="Q127" s="7">
        <v>0.34721164151992517</v>
      </c>
      <c r="R127" s="7">
        <v>2.3722190078450694E-2</v>
      </c>
      <c r="S127" s="8">
        <v>0</v>
      </c>
      <c r="T127" s="8">
        <v>1</v>
      </c>
      <c r="U127" s="8">
        <v>423</v>
      </c>
      <c r="V127" s="7">
        <v>0.2311815510554612</v>
      </c>
      <c r="W127" s="7">
        <v>1.6826076871654053E-2</v>
      </c>
      <c r="X127" s="8">
        <v>0</v>
      </c>
      <c r="Y127" s="8">
        <v>1</v>
      </c>
      <c r="Z127" s="8">
        <v>1073</v>
      </c>
      <c r="AA127" s="7">
        <v>0.16315632364836802</v>
      </c>
      <c r="AB127" s="7">
        <v>9.612518120869289E-3</v>
      </c>
      <c r="AC127" s="8">
        <v>0</v>
      </c>
      <c r="AD127" s="8">
        <v>1</v>
      </c>
      <c r="AE127" s="8">
        <v>2789</v>
      </c>
      <c r="AF127">
        <f>(AA129/AA128)-AA127</f>
        <v>0.10873571764480777</v>
      </c>
    </row>
    <row r="128" spans="1:32" x14ac:dyDescent="0.45">
      <c r="A128" s="6" t="s">
        <v>40</v>
      </c>
      <c r="B128" s="7">
        <v>0.24786641106498949</v>
      </c>
      <c r="C128" s="7">
        <v>2.3847850003411539E-2</v>
      </c>
      <c r="D128" s="8">
        <v>0</v>
      </c>
      <c r="E128" s="8">
        <v>1</v>
      </c>
      <c r="F128" s="8">
        <v>377</v>
      </c>
      <c r="G128" s="7">
        <v>0.31149999401439304</v>
      </c>
      <c r="H128" s="7">
        <v>2.2025125692018081E-2</v>
      </c>
      <c r="I128" s="8">
        <v>0</v>
      </c>
      <c r="J128" s="8">
        <v>1</v>
      </c>
      <c r="K128" s="8">
        <v>473</v>
      </c>
      <c r="L128" s="7">
        <v>0.27873695588735009</v>
      </c>
      <c r="M128" s="7">
        <v>2.1757269898733667E-2</v>
      </c>
      <c r="N128" s="8">
        <v>0</v>
      </c>
      <c r="O128" s="8">
        <v>1</v>
      </c>
      <c r="P128" s="8">
        <v>443</v>
      </c>
      <c r="Q128" s="7">
        <v>0.7144739729494628</v>
      </c>
      <c r="R128" s="7">
        <v>2.2433009195978806E-2</v>
      </c>
      <c r="S128" s="8">
        <v>0</v>
      </c>
      <c r="T128" s="8">
        <v>1</v>
      </c>
      <c r="U128" s="8">
        <v>423</v>
      </c>
      <c r="V128" s="7">
        <v>0.42578593556370831</v>
      </c>
      <c r="W128" s="7">
        <v>2.0859115306836037E-2</v>
      </c>
      <c r="X128" s="8">
        <v>0</v>
      </c>
      <c r="Y128" s="8">
        <v>1</v>
      </c>
      <c r="Z128" s="8">
        <v>1073</v>
      </c>
      <c r="AA128" s="7">
        <v>0.38890886648264583</v>
      </c>
      <c r="AB128" s="7">
        <v>1.2688043853195404E-2</v>
      </c>
      <c r="AC128" s="8">
        <v>0</v>
      </c>
      <c r="AD128" s="8">
        <v>1</v>
      </c>
      <c r="AE128" s="8">
        <v>2789</v>
      </c>
      <c r="AF128">
        <f>(AA129/AA127)-AA128</f>
        <v>0.25918875683027937</v>
      </c>
    </row>
    <row r="129" spans="1:32" ht="26.25" x14ac:dyDescent="0.45">
      <c r="A129" s="6" t="s">
        <v>71</v>
      </c>
      <c r="B129" s="7">
        <v>4.1311894884192473E-3</v>
      </c>
      <c r="C129" s="7">
        <v>2.922755098889486E-3</v>
      </c>
      <c r="D129" s="8">
        <v>0</v>
      </c>
      <c r="E129" s="8">
        <v>1</v>
      </c>
      <c r="F129" s="8">
        <v>377</v>
      </c>
      <c r="G129" s="7">
        <v>2.8766564110558047E-2</v>
      </c>
      <c r="H129" s="7">
        <v>7.9032700067346133E-3</v>
      </c>
      <c r="I129" s="8">
        <v>0</v>
      </c>
      <c r="J129" s="8">
        <v>1</v>
      </c>
      <c r="K129" s="8">
        <v>473</v>
      </c>
      <c r="L129" s="7">
        <v>7.3525192382399046E-2</v>
      </c>
      <c r="M129" s="7">
        <v>1.2241224130421773E-2</v>
      </c>
      <c r="N129" s="8">
        <v>0</v>
      </c>
      <c r="O129" s="8">
        <v>1</v>
      </c>
      <c r="P129" s="8">
        <v>443</v>
      </c>
      <c r="Q129" s="7">
        <v>0.27268815782061473</v>
      </c>
      <c r="R129" s="7">
        <v>2.2137514179865453E-2</v>
      </c>
      <c r="S129" s="8">
        <v>0</v>
      </c>
      <c r="T129" s="8">
        <v>1</v>
      </c>
      <c r="U129" s="8">
        <v>423</v>
      </c>
      <c r="V129" s="7">
        <v>0.20071163213951654</v>
      </c>
      <c r="W129" s="7">
        <v>1.6192387440001069E-2</v>
      </c>
      <c r="X129" s="8">
        <v>0</v>
      </c>
      <c r="Y129" s="8">
        <v>1</v>
      </c>
      <c r="Z129" s="8">
        <v>1073</v>
      </c>
      <c r="AA129" s="7">
        <v>0.10574122558498172</v>
      </c>
      <c r="AB129" s="7">
        <v>7.6580536860423581E-3</v>
      </c>
      <c r="AC129" s="8">
        <v>0</v>
      </c>
      <c r="AD129" s="8">
        <v>1</v>
      </c>
      <c r="AE129" s="8">
        <v>2789</v>
      </c>
    </row>
    <row r="130" spans="1:32" x14ac:dyDescent="0.45">
      <c r="A130" s="6" t="s">
        <v>28</v>
      </c>
      <c r="B130" s="7">
        <v>1.7483672993640127E-2</v>
      </c>
      <c r="C130" s="7">
        <v>6.2489221851230788E-3</v>
      </c>
      <c r="D130" s="8">
        <v>0</v>
      </c>
      <c r="E130" s="8">
        <v>1</v>
      </c>
      <c r="F130" s="8">
        <v>377</v>
      </c>
      <c r="G130" s="7">
        <v>5.8009185356960917E-2</v>
      </c>
      <c r="H130" s="7">
        <v>1.1092481530445291E-2</v>
      </c>
      <c r="I130" s="8">
        <v>0</v>
      </c>
      <c r="J130" s="8">
        <v>1</v>
      </c>
      <c r="K130" s="8">
        <v>473</v>
      </c>
      <c r="L130" s="7">
        <v>0.15058406137378161</v>
      </c>
      <c r="M130" s="7">
        <v>1.7370685125969107E-2</v>
      </c>
      <c r="N130" s="8">
        <v>0</v>
      </c>
      <c r="O130" s="8">
        <v>1</v>
      </c>
      <c r="P130" s="8">
        <v>443</v>
      </c>
      <c r="Q130" s="7">
        <v>0.34721164151992517</v>
      </c>
      <c r="R130" s="7">
        <v>2.3722190078450694E-2</v>
      </c>
      <c r="S130" s="8">
        <v>0</v>
      </c>
      <c r="T130" s="8">
        <v>1</v>
      </c>
      <c r="U130" s="8">
        <v>423</v>
      </c>
      <c r="V130" s="7">
        <v>0.2311815510554612</v>
      </c>
      <c r="W130" s="7">
        <v>1.6826076871654053E-2</v>
      </c>
      <c r="X130" s="8">
        <v>0</v>
      </c>
      <c r="Y130" s="8">
        <v>1</v>
      </c>
      <c r="Z130" s="8">
        <v>1073</v>
      </c>
      <c r="AA130" s="7">
        <v>0.16315632364836802</v>
      </c>
      <c r="AB130" s="7">
        <v>9.612518120869289E-3</v>
      </c>
      <c r="AC130" s="8">
        <v>0</v>
      </c>
      <c r="AD130" s="8">
        <v>1</v>
      </c>
      <c r="AE130" s="8">
        <v>2789</v>
      </c>
      <c r="AF130">
        <f>(AA132/AA131)-AA130</f>
        <v>6.5763178575768105E-2</v>
      </c>
    </row>
    <row r="131" spans="1:32" x14ac:dyDescent="0.45">
      <c r="A131" s="6" t="s">
        <v>42</v>
      </c>
      <c r="B131" s="7">
        <v>0.25408442278087268</v>
      </c>
      <c r="C131" s="7">
        <v>2.3890244562588821E-2</v>
      </c>
      <c r="D131" s="8">
        <v>0</v>
      </c>
      <c r="E131" s="8">
        <v>1</v>
      </c>
      <c r="F131" s="8">
        <v>377</v>
      </c>
      <c r="G131" s="7">
        <v>0.38956592850901783</v>
      </c>
      <c r="H131" s="7">
        <v>2.3227425068734729E-2</v>
      </c>
      <c r="I131" s="8">
        <v>0</v>
      </c>
      <c r="J131" s="8">
        <v>1</v>
      </c>
      <c r="K131" s="8">
        <v>473</v>
      </c>
      <c r="L131" s="7">
        <v>0.29434907940891936</v>
      </c>
      <c r="M131" s="7">
        <v>2.2760326811863539E-2</v>
      </c>
      <c r="N131" s="8">
        <v>0</v>
      </c>
      <c r="O131" s="8">
        <v>1</v>
      </c>
      <c r="P131" s="8">
        <v>443</v>
      </c>
      <c r="Q131" s="7">
        <v>0.48120800183961793</v>
      </c>
      <c r="R131" s="7">
        <v>2.4961710177192679E-2</v>
      </c>
      <c r="S131" s="8">
        <v>0</v>
      </c>
      <c r="T131" s="8">
        <v>1</v>
      </c>
      <c r="U131" s="8">
        <v>423</v>
      </c>
      <c r="V131" s="7">
        <v>0.3185812605122561</v>
      </c>
      <c r="W131" s="7">
        <v>1.8993252911173444E-2</v>
      </c>
      <c r="X131" s="8">
        <v>0</v>
      </c>
      <c r="Y131" s="8">
        <v>1</v>
      </c>
      <c r="Z131" s="8">
        <v>1073</v>
      </c>
      <c r="AA131" s="7">
        <v>0.36087108047955696</v>
      </c>
      <c r="AB131" s="7">
        <v>1.2672536005467003E-2</v>
      </c>
      <c r="AC131" s="8">
        <v>0</v>
      </c>
      <c r="AD131" s="8">
        <v>1</v>
      </c>
      <c r="AE131" s="8">
        <v>2789</v>
      </c>
      <c r="AF131">
        <f>(AA132/AA130)-AA131</f>
        <v>0.14545577381085384</v>
      </c>
    </row>
    <row r="132" spans="1:32" x14ac:dyDescent="0.45">
      <c r="A132" s="6" t="s">
        <v>72</v>
      </c>
      <c r="B132" s="7">
        <v>5.9630075098136177E-3</v>
      </c>
      <c r="C132" s="7">
        <v>3.445398294666324E-3</v>
      </c>
      <c r="D132" s="8">
        <v>0</v>
      </c>
      <c r="E132" s="8">
        <v>1</v>
      </c>
      <c r="F132" s="8">
        <v>377</v>
      </c>
      <c r="G132" s="7">
        <v>1.7830631634756147E-2</v>
      </c>
      <c r="H132" s="7">
        <v>6.291074357159674E-3</v>
      </c>
      <c r="I132" s="8">
        <v>0</v>
      </c>
      <c r="J132" s="8">
        <v>1</v>
      </c>
      <c r="K132" s="8">
        <v>473</v>
      </c>
      <c r="L132" s="7">
        <v>6.4109691509241923E-2</v>
      </c>
      <c r="M132" s="7">
        <v>1.2065111447127954E-2</v>
      </c>
      <c r="N132" s="8">
        <v>0</v>
      </c>
      <c r="O132" s="8">
        <v>1</v>
      </c>
      <c r="P132" s="8">
        <v>443</v>
      </c>
      <c r="Q132" s="7">
        <v>0.2085968429437253</v>
      </c>
      <c r="R132" s="7">
        <v>2.0326851184518501E-2</v>
      </c>
      <c r="S132" s="8">
        <v>0</v>
      </c>
      <c r="T132" s="8">
        <v>1</v>
      </c>
      <c r="U132" s="8">
        <v>423</v>
      </c>
      <c r="V132" s="7">
        <v>0.14081180091592529</v>
      </c>
      <c r="W132" s="7">
        <v>1.3547141897600496E-2</v>
      </c>
      <c r="X132" s="8">
        <v>0</v>
      </c>
      <c r="Y132" s="8">
        <v>1</v>
      </c>
      <c r="Z132" s="8">
        <v>1073</v>
      </c>
      <c r="AA132" s="7">
        <v>8.2610428110466344E-2</v>
      </c>
      <c r="AB132" s="7">
        <v>7.0792606442317283E-3</v>
      </c>
      <c r="AC132" s="8">
        <v>0</v>
      </c>
      <c r="AD132" s="8">
        <v>1</v>
      </c>
      <c r="AE132" s="8">
        <v>2789</v>
      </c>
    </row>
    <row r="133" spans="1:32" x14ac:dyDescent="0.45">
      <c r="A133" s="6" t="s">
        <v>28</v>
      </c>
      <c r="B133" s="7">
        <v>1.7483672993640127E-2</v>
      </c>
      <c r="C133" s="7">
        <v>6.2489221851230788E-3</v>
      </c>
      <c r="D133" s="8">
        <v>0</v>
      </c>
      <c r="E133" s="8">
        <v>1</v>
      </c>
      <c r="F133" s="8">
        <v>377</v>
      </c>
      <c r="G133" s="7">
        <v>5.8009185356960917E-2</v>
      </c>
      <c r="H133" s="7">
        <v>1.1092481530445291E-2</v>
      </c>
      <c r="I133" s="8">
        <v>0</v>
      </c>
      <c r="J133" s="8">
        <v>1</v>
      </c>
      <c r="K133" s="8">
        <v>473</v>
      </c>
      <c r="L133" s="7">
        <v>0.15058406137378161</v>
      </c>
      <c r="M133" s="7">
        <v>1.7370685125969107E-2</v>
      </c>
      <c r="N133" s="8">
        <v>0</v>
      </c>
      <c r="O133" s="8">
        <v>1</v>
      </c>
      <c r="P133" s="8">
        <v>443</v>
      </c>
      <c r="Q133" s="7">
        <v>0.34721164151992517</v>
      </c>
      <c r="R133" s="7">
        <v>2.3722190078450694E-2</v>
      </c>
      <c r="S133" s="8">
        <v>0</v>
      </c>
      <c r="T133" s="8">
        <v>1</v>
      </c>
      <c r="U133" s="8">
        <v>423</v>
      </c>
      <c r="V133" s="7">
        <v>0.2311815510554612</v>
      </c>
      <c r="W133" s="7">
        <v>1.6826076871654053E-2</v>
      </c>
      <c r="X133" s="8">
        <v>0</v>
      </c>
      <c r="Y133" s="8">
        <v>1</v>
      </c>
      <c r="Z133" s="8">
        <v>1073</v>
      </c>
      <c r="AA133" s="7">
        <v>0.16315632364836802</v>
      </c>
      <c r="AB133" s="7">
        <v>9.612518120869289E-3</v>
      </c>
      <c r="AC133" s="8">
        <v>0</v>
      </c>
      <c r="AD133" s="8">
        <v>1</v>
      </c>
      <c r="AE133" s="8">
        <v>2789</v>
      </c>
      <c r="AF133">
        <f>(AA135/AA134)-AA133</f>
        <v>0.16954324271721433</v>
      </c>
    </row>
    <row r="134" spans="1:32" x14ac:dyDescent="0.45">
      <c r="A134" s="6" t="s">
        <v>44</v>
      </c>
      <c r="B134" s="7">
        <v>8.0786565347683054E-2</v>
      </c>
      <c r="C134" s="7">
        <v>1.5016123840370335E-2</v>
      </c>
      <c r="D134" s="8">
        <v>0</v>
      </c>
      <c r="E134" s="8">
        <v>1</v>
      </c>
      <c r="F134" s="8">
        <v>377</v>
      </c>
      <c r="G134" s="7">
        <v>9.1853674780647654E-2</v>
      </c>
      <c r="H134" s="7">
        <v>1.3604205216173792E-2</v>
      </c>
      <c r="I134" s="8">
        <v>0</v>
      </c>
      <c r="J134" s="8">
        <v>1</v>
      </c>
      <c r="K134" s="8">
        <v>473</v>
      </c>
      <c r="L134" s="7">
        <v>4.9754031578703402E-2</v>
      </c>
      <c r="M134" s="7">
        <v>1.103367216294986E-2</v>
      </c>
      <c r="N134" s="8">
        <v>0</v>
      </c>
      <c r="O134" s="8">
        <v>1</v>
      </c>
      <c r="P134" s="8">
        <v>443</v>
      </c>
      <c r="Q134" s="7">
        <v>0.15234303743644023</v>
      </c>
      <c r="R134" s="7">
        <v>1.7921333577869139E-2</v>
      </c>
      <c r="S134" s="8">
        <v>0</v>
      </c>
      <c r="T134" s="8">
        <v>1</v>
      </c>
      <c r="U134" s="8">
        <v>423</v>
      </c>
      <c r="V134" s="7">
        <v>8.2961551505331077E-2</v>
      </c>
      <c r="W134" s="7">
        <v>8.9475819872891042E-3</v>
      </c>
      <c r="X134" s="8">
        <v>0</v>
      </c>
      <c r="Y134" s="8">
        <v>1</v>
      </c>
      <c r="Z134" s="8">
        <v>1073</v>
      </c>
      <c r="AA134" s="7">
        <v>8.7706153685111046E-2</v>
      </c>
      <c r="AB134" s="7">
        <v>7.1838488407195067E-3</v>
      </c>
      <c r="AC134" s="8">
        <v>0</v>
      </c>
      <c r="AD134" s="8">
        <v>1</v>
      </c>
      <c r="AE134" s="8">
        <v>2789</v>
      </c>
      <c r="AF134">
        <f>(AA135/AA133)-AA134</f>
        <v>9.1139499649891861E-2</v>
      </c>
    </row>
    <row r="135" spans="1:32" x14ac:dyDescent="0.45">
      <c r="A135" s="6" t="s">
        <v>73</v>
      </c>
      <c r="B135" s="7">
        <v>2.0655947442096236E-3</v>
      </c>
      <c r="C135" s="7">
        <v>2.06751999856365E-3</v>
      </c>
      <c r="D135" s="8">
        <v>0</v>
      </c>
      <c r="E135" s="8">
        <v>1</v>
      </c>
      <c r="F135" s="8">
        <v>377</v>
      </c>
      <c r="G135" s="7">
        <v>4.5483549140257059E-3</v>
      </c>
      <c r="H135" s="7">
        <v>3.2168420157166209E-3</v>
      </c>
      <c r="I135" s="8">
        <v>0</v>
      </c>
      <c r="J135" s="8">
        <v>1</v>
      </c>
      <c r="K135" s="8">
        <v>473</v>
      </c>
      <c r="L135" s="7">
        <v>1.3180599448297747E-2</v>
      </c>
      <c r="M135" s="7">
        <v>5.4134422505454499E-3</v>
      </c>
      <c r="N135" s="8">
        <v>0</v>
      </c>
      <c r="O135" s="8">
        <v>1</v>
      </c>
      <c r="P135" s="8">
        <v>443</v>
      </c>
      <c r="Q135" s="7">
        <v>9.2906115401909461E-2</v>
      </c>
      <c r="R135" s="7">
        <v>1.444624436970458E-2</v>
      </c>
      <c r="S135" s="8">
        <v>0</v>
      </c>
      <c r="T135" s="8">
        <v>1</v>
      </c>
      <c r="U135" s="8">
        <v>423</v>
      </c>
      <c r="V135" s="7">
        <v>4.7291007291204702E-2</v>
      </c>
      <c r="W135" s="7">
        <v>7.3247599294388394E-3</v>
      </c>
      <c r="X135" s="8">
        <v>0</v>
      </c>
      <c r="Y135" s="8">
        <v>1</v>
      </c>
      <c r="Z135" s="8">
        <v>1073</v>
      </c>
      <c r="AA135" s="7">
        <v>2.9179799298629565E-2</v>
      </c>
      <c r="AB135" s="7">
        <v>4.0959865010348996E-3</v>
      </c>
      <c r="AC135" s="8">
        <v>0</v>
      </c>
      <c r="AD135" s="8">
        <v>1</v>
      </c>
      <c r="AE135" s="8">
        <v>2789</v>
      </c>
    </row>
    <row r="136" spans="1:32" x14ac:dyDescent="0.45">
      <c r="A136" s="6" t="s">
        <v>28</v>
      </c>
      <c r="B136" s="7">
        <v>1.7483672993640127E-2</v>
      </c>
      <c r="C136" s="7">
        <v>6.2489221851230788E-3</v>
      </c>
      <c r="D136" s="8">
        <v>0</v>
      </c>
      <c r="E136" s="8">
        <v>1</v>
      </c>
      <c r="F136" s="8">
        <v>377</v>
      </c>
      <c r="G136" s="7">
        <v>5.8009185356960917E-2</v>
      </c>
      <c r="H136" s="7">
        <v>1.1092481530445291E-2</v>
      </c>
      <c r="I136" s="8">
        <v>0</v>
      </c>
      <c r="J136" s="8">
        <v>1</v>
      </c>
      <c r="K136" s="8">
        <v>473</v>
      </c>
      <c r="L136" s="7">
        <v>0.15058406137378161</v>
      </c>
      <c r="M136" s="7">
        <v>1.7370685125969107E-2</v>
      </c>
      <c r="N136" s="8">
        <v>0</v>
      </c>
      <c r="O136" s="8">
        <v>1</v>
      </c>
      <c r="P136" s="8">
        <v>443</v>
      </c>
      <c r="Q136" s="7">
        <v>0.34721164151992517</v>
      </c>
      <c r="R136" s="7">
        <v>2.3722190078450694E-2</v>
      </c>
      <c r="S136" s="8">
        <v>0</v>
      </c>
      <c r="T136" s="8">
        <v>1</v>
      </c>
      <c r="U136" s="8">
        <v>423</v>
      </c>
      <c r="V136" s="7">
        <v>0.2311815510554612</v>
      </c>
      <c r="W136" s="7">
        <v>1.6826076871654053E-2</v>
      </c>
      <c r="X136" s="8">
        <v>0</v>
      </c>
      <c r="Y136" s="8">
        <v>1</v>
      </c>
      <c r="Z136" s="8">
        <v>1073</v>
      </c>
      <c r="AA136" s="7">
        <v>0.16315632364836802</v>
      </c>
      <c r="AB136" s="7">
        <v>9.612518120869289E-3</v>
      </c>
      <c r="AC136" s="8">
        <v>0</v>
      </c>
      <c r="AD136" s="8">
        <v>1</v>
      </c>
      <c r="AE136" s="8">
        <v>2789</v>
      </c>
      <c r="AF136">
        <f>(AA138/AA137)-AA136</f>
        <v>1.9014204256268263E-2</v>
      </c>
    </row>
    <row r="137" spans="1:32" ht="39.4" x14ac:dyDescent="0.45">
      <c r="A137" s="6" t="s">
        <v>16</v>
      </c>
      <c r="B137" s="7">
        <v>0.51199366560399728</v>
      </c>
      <c r="C137" s="7">
        <v>2.9021889994445865E-2</v>
      </c>
      <c r="D137" s="8">
        <v>0</v>
      </c>
      <c r="E137" s="8">
        <v>1</v>
      </c>
      <c r="F137" s="8">
        <v>377</v>
      </c>
      <c r="G137" s="7">
        <v>0.75248336082973521</v>
      </c>
      <c r="H137" s="7">
        <v>2.0449467587927744E-2</v>
      </c>
      <c r="I137" s="8">
        <v>0</v>
      </c>
      <c r="J137" s="8">
        <v>1</v>
      </c>
      <c r="K137" s="8">
        <v>473</v>
      </c>
      <c r="L137" s="7">
        <v>0.55666891088221959</v>
      </c>
      <c r="M137" s="7">
        <v>2.4460269691669399E-2</v>
      </c>
      <c r="N137" s="8">
        <v>0</v>
      </c>
      <c r="O137" s="8">
        <v>1</v>
      </c>
      <c r="P137" s="8">
        <v>443</v>
      </c>
      <c r="Q137" s="7">
        <v>0.83603306383602227</v>
      </c>
      <c r="R137" s="7">
        <v>1.8289048327108152E-2</v>
      </c>
      <c r="S137" s="8">
        <v>0</v>
      </c>
      <c r="T137" s="8">
        <v>1</v>
      </c>
      <c r="U137" s="8">
        <v>423</v>
      </c>
      <c r="V137" s="7">
        <v>0.44289642409572316</v>
      </c>
      <c r="W137" s="7">
        <v>2.1056261249825466E-2</v>
      </c>
      <c r="X137" s="8">
        <v>0</v>
      </c>
      <c r="Y137" s="8">
        <v>1</v>
      </c>
      <c r="Z137" s="8">
        <v>1073</v>
      </c>
      <c r="AA137" s="7">
        <v>0.66677630791100306</v>
      </c>
      <c r="AB137" s="7">
        <v>1.2587121178159334E-2</v>
      </c>
      <c r="AC137" s="8">
        <v>0</v>
      </c>
      <c r="AD137" s="8">
        <v>1</v>
      </c>
      <c r="AE137" s="8">
        <v>2789</v>
      </c>
      <c r="AF137">
        <f>(AA138/AA136)-AA137</f>
        <v>7.770597319405248E-2</v>
      </c>
    </row>
    <row r="138" spans="1:32" x14ac:dyDescent="0.45">
      <c r="A138" s="6" t="s">
        <v>74</v>
      </c>
      <c r="B138" s="7">
        <v>9.5024817841250983E-3</v>
      </c>
      <c r="C138" s="7">
        <v>4.8253779830796607E-3</v>
      </c>
      <c r="D138" s="8">
        <v>0</v>
      </c>
      <c r="E138" s="8">
        <v>1</v>
      </c>
      <c r="F138" s="8">
        <v>377</v>
      </c>
      <c r="G138" s="7">
        <v>4.0329418955206107E-2</v>
      </c>
      <c r="H138" s="7">
        <v>9.3534428265558776E-3</v>
      </c>
      <c r="I138" s="8">
        <v>0</v>
      </c>
      <c r="J138" s="8">
        <v>1</v>
      </c>
      <c r="K138" s="8">
        <v>473</v>
      </c>
      <c r="L138" s="7">
        <v>8.3623429468128382E-2</v>
      </c>
      <c r="M138" s="7">
        <v>1.310629112168195E-2</v>
      </c>
      <c r="N138" s="8">
        <v>0</v>
      </c>
      <c r="O138" s="8">
        <v>1</v>
      </c>
      <c r="P138" s="8">
        <v>443</v>
      </c>
      <c r="Q138" s="7">
        <v>0.30790974447590874</v>
      </c>
      <c r="R138" s="7">
        <v>2.2995005974841658E-2</v>
      </c>
      <c r="S138" s="8">
        <v>0</v>
      </c>
      <c r="T138" s="8">
        <v>1</v>
      </c>
      <c r="U138" s="8">
        <v>423</v>
      </c>
      <c r="V138" s="7">
        <v>0.20734743508430312</v>
      </c>
      <c r="W138" s="7">
        <v>1.640456788505219E-2</v>
      </c>
      <c r="X138" s="8">
        <v>0</v>
      </c>
      <c r="Y138" s="8">
        <v>1</v>
      </c>
      <c r="Z138" s="8">
        <v>1073</v>
      </c>
      <c r="AA138" s="7">
        <v>0.12146699200645174</v>
      </c>
      <c r="AB138" s="7">
        <v>8.2009527843184861E-3</v>
      </c>
      <c r="AC138" s="8">
        <v>0</v>
      </c>
      <c r="AD138" s="8">
        <v>1</v>
      </c>
      <c r="AE138" s="8">
        <v>2789</v>
      </c>
    </row>
    <row r="139" spans="1:32" x14ac:dyDescent="0.45">
      <c r="A139" s="6" t="s">
        <v>28</v>
      </c>
      <c r="B139" s="7">
        <v>1.7483672993640127E-2</v>
      </c>
      <c r="C139" s="7">
        <v>6.2489221851230788E-3</v>
      </c>
      <c r="D139" s="8">
        <v>0</v>
      </c>
      <c r="E139" s="8">
        <v>1</v>
      </c>
      <c r="F139" s="8">
        <v>377</v>
      </c>
      <c r="G139" s="7">
        <v>5.8009185356960917E-2</v>
      </c>
      <c r="H139" s="7">
        <v>1.1092481530445291E-2</v>
      </c>
      <c r="I139" s="8">
        <v>0</v>
      </c>
      <c r="J139" s="8">
        <v>1</v>
      </c>
      <c r="K139" s="8">
        <v>473</v>
      </c>
      <c r="L139" s="7">
        <v>0.15058406137378161</v>
      </c>
      <c r="M139" s="7">
        <v>1.7370685125969107E-2</v>
      </c>
      <c r="N139" s="8">
        <v>0</v>
      </c>
      <c r="O139" s="8">
        <v>1</v>
      </c>
      <c r="P139" s="8">
        <v>443</v>
      </c>
      <c r="Q139" s="7">
        <v>0.34721164151992517</v>
      </c>
      <c r="R139" s="7">
        <v>2.3722190078450694E-2</v>
      </c>
      <c r="S139" s="8">
        <v>0</v>
      </c>
      <c r="T139" s="8">
        <v>1</v>
      </c>
      <c r="U139" s="8">
        <v>423</v>
      </c>
      <c r="V139" s="7">
        <v>0.2311815510554612</v>
      </c>
      <c r="W139" s="7">
        <v>1.6826076871654053E-2</v>
      </c>
      <c r="X139" s="8">
        <v>0</v>
      </c>
      <c r="Y139" s="8">
        <v>1</v>
      </c>
      <c r="Z139" s="8">
        <v>1073</v>
      </c>
      <c r="AA139" s="7">
        <v>0.16315632364836802</v>
      </c>
      <c r="AB139" s="7">
        <v>9.612518120869289E-3</v>
      </c>
      <c r="AC139" s="8">
        <v>0</v>
      </c>
      <c r="AD139" s="8">
        <v>1</v>
      </c>
      <c r="AE139" s="8">
        <v>2789</v>
      </c>
      <c r="AF139">
        <f>(AA141/AA140)-AA139</f>
        <v>5.8838137610282004E-3</v>
      </c>
    </row>
    <row r="140" spans="1:32" ht="39.4" x14ac:dyDescent="0.45">
      <c r="A140" s="6" t="s">
        <v>18</v>
      </c>
      <c r="B140" s="7">
        <v>0.57798625450849994</v>
      </c>
      <c r="C140" s="7">
        <v>2.931190088877576E-2</v>
      </c>
      <c r="D140" s="8">
        <v>0</v>
      </c>
      <c r="E140" s="8">
        <v>1</v>
      </c>
      <c r="F140" s="8">
        <v>377</v>
      </c>
      <c r="G140" s="7">
        <v>0.7759090962333085</v>
      </c>
      <c r="H140" s="7">
        <v>1.9819100780919589E-2</v>
      </c>
      <c r="I140" s="8">
        <v>0</v>
      </c>
      <c r="J140" s="8">
        <v>1</v>
      </c>
      <c r="K140" s="8">
        <v>473</v>
      </c>
      <c r="L140" s="7">
        <v>0.54937707697091009</v>
      </c>
      <c r="M140" s="7">
        <v>2.442131248989543E-2</v>
      </c>
      <c r="N140" s="8">
        <v>0</v>
      </c>
      <c r="O140" s="8">
        <v>1</v>
      </c>
      <c r="P140" s="8">
        <v>443</v>
      </c>
      <c r="Q140" s="7">
        <v>0.74315598481496103</v>
      </c>
      <c r="R140" s="7">
        <v>2.153023882484394E-2</v>
      </c>
      <c r="S140" s="8">
        <v>0</v>
      </c>
      <c r="T140" s="8">
        <v>1</v>
      </c>
      <c r="U140" s="8">
        <v>423</v>
      </c>
      <c r="V140" s="7">
        <v>0.39927975706290247</v>
      </c>
      <c r="W140" s="7">
        <v>2.0519705334594719E-2</v>
      </c>
      <c r="X140" s="8">
        <v>0</v>
      </c>
      <c r="Y140" s="8">
        <v>1</v>
      </c>
      <c r="Z140" s="8">
        <v>1073</v>
      </c>
      <c r="AA140" s="7">
        <v>0.65235181396445241</v>
      </c>
      <c r="AB140" s="7">
        <v>1.2624611213770981E-2</v>
      </c>
      <c r="AC140" s="8">
        <v>0</v>
      </c>
      <c r="AD140" s="8">
        <v>1</v>
      </c>
      <c r="AE140" s="8">
        <v>2789</v>
      </c>
      <c r="AF140">
        <f>(AA141/AA139)-AA140</f>
        <v>2.3525392667635869E-2</v>
      </c>
    </row>
    <row r="141" spans="1:32" x14ac:dyDescent="0.45">
      <c r="A141" s="6" t="s">
        <v>75</v>
      </c>
      <c r="B141" s="7">
        <v>1.3399894549729093E-2</v>
      </c>
      <c r="C141" s="7">
        <v>5.5508489042287255E-3</v>
      </c>
      <c r="D141" s="8">
        <v>0</v>
      </c>
      <c r="E141" s="8">
        <v>1</v>
      </c>
      <c r="F141" s="8">
        <v>377</v>
      </c>
      <c r="G141" s="7">
        <v>4.0005729186890812E-2</v>
      </c>
      <c r="H141" s="7">
        <v>9.289735073588816E-3</v>
      </c>
      <c r="I141" s="8">
        <v>0</v>
      </c>
      <c r="J141" s="8">
        <v>1</v>
      </c>
      <c r="K141" s="8">
        <v>473</v>
      </c>
      <c r="L141" s="7">
        <v>7.721493243557874E-2</v>
      </c>
      <c r="M141" s="7">
        <v>1.3073909531873679E-2</v>
      </c>
      <c r="N141" s="8">
        <v>0</v>
      </c>
      <c r="O141" s="8">
        <v>1</v>
      </c>
      <c r="P141" s="8">
        <v>443</v>
      </c>
      <c r="Q141" s="7">
        <v>0.27240919077615228</v>
      </c>
      <c r="R141" s="7">
        <v>2.2205912289989908E-2</v>
      </c>
      <c r="S141" s="8">
        <v>0</v>
      </c>
      <c r="T141" s="8">
        <v>1</v>
      </c>
      <c r="U141" s="8">
        <v>423</v>
      </c>
      <c r="V141" s="7">
        <v>0.18337436117821712</v>
      </c>
      <c r="W141" s="7">
        <v>1.5411219962897528E-2</v>
      </c>
      <c r="X141" s="8">
        <v>0</v>
      </c>
      <c r="Y141" s="8">
        <v>1</v>
      </c>
      <c r="Z141" s="8">
        <v>1073</v>
      </c>
      <c r="AA141" s="7">
        <v>0.11027364027181991</v>
      </c>
      <c r="AB141" s="7">
        <v>7.9754410197347293E-3</v>
      </c>
      <c r="AC141" s="8">
        <v>0</v>
      </c>
      <c r="AD141" s="8">
        <v>1</v>
      </c>
      <c r="AE141" s="8">
        <v>2789</v>
      </c>
    </row>
    <row r="142" spans="1:32" x14ac:dyDescent="0.45">
      <c r="A142" s="6" t="s">
        <v>28</v>
      </c>
      <c r="B142" s="7">
        <v>1.7483672993640127E-2</v>
      </c>
      <c r="C142" s="7">
        <v>6.2489221851230788E-3</v>
      </c>
      <c r="D142" s="8">
        <v>0</v>
      </c>
      <c r="E142" s="8">
        <v>1</v>
      </c>
      <c r="F142" s="8">
        <v>377</v>
      </c>
      <c r="G142" s="7">
        <v>5.8009185356960917E-2</v>
      </c>
      <c r="H142" s="7">
        <v>1.1092481530445291E-2</v>
      </c>
      <c r="I142" s="8">
        <v>0</v>
      </c>
      <c r="J142" s="8">
        <v>1</v>
      </c>
      <c r="K142" s="8">
        <v>473</v>
      </c>
      <c r="L142" s="7">
        <v>0.15058406137378161</v>
      </c>
      <c r="M142" s="7">
        <v>1.7370685125969107E-2</v>
      </c>
      <c r="N142" s="8">
        <v>0</v>
      </c>
      <c r="O142" s="8">
        <v>1</v>
      </c>
      <c r="P142" s="8">
        <v>443</v>
      </c>
      <c r="Q142" s="7">
        <v>0.34721164151992517</v>
      </c>
      <c r="R142" s="7">
        <v>2.3722190078450694E-2</v>
      </c>
      <c r="S142" s="8">
        <v>0</v>
      </c>
      <c r="T142" s="8">
        <v>1</v>
      </c>
      <c r="U142" s="8">
        <v>423</v>
      </c>
      <c r="V142" s="7">
        <v>0.2311815510554612</v>
      </c>
      <c r="W142" s="7">
        <v>1.6826076871654053E-2</v>
      </c>
      <c r="X142" s="8">
        <v>0</v>
      </c>
      <c r="Y142" s="8">
        <v>1</v>
      </c>
      <c r="Z142" s="8">
        <v>1073</v>
      </c>
      <c r="AA142" s="7">
        <v>0.16315632364836802</v>
      </c>
      <c r="AB142" s="7">
        <v>9.612518120869289E-3</v>
      </c>
      <c r="AC142" s="8">
        <v>0</v>
      </c>
      <c r="AD142" s="8">
        <v>1</v>
      </c>
      <c r="AE142" s="8">
        <v>2789</v>
      </c>
      <c r="AF142">
        <f>(AA144/AA143)-AA142</f>
        <v>-1.5620597129684777E-2</v>
      </c>
    </row>
    <row r="143" spans="1:32" ht="39.4" x14ac:dyDescent="0.45">
      <c r="A143" s="6" t="s">
        <v>20</v>
      </c>
      <c r="B143" s="7">
        <v>0.49966441162735731</v>
      </c>
      <c r="C143" s="7">
        <v>2.8926538869362927E-2</v>
      </c>
      <c r="D143" s="8">
        <v>0</v>
      </c>
      <c r="E143" s="8">
        <v>1</v>
      </c>
      <c r="F143" s="8">
        <v>377</v>
      </c>
      <c r="G143" s="7">
        <v>0.694148109652721</v>
      </c>
      <c r="H143" s="7">
        <v>2.1903517365169416E-2</v>
      </c>
      <c r="I143" s="8">
        <v>0</v>
      </c>
      <c r="J143" s="8">
        <v>1</v>
      </c>
      <c r="K143" s="8">
        <v>473</v>
      </c>
      <c r="L143" s="7">
        <v>0.44678685166956866</v>
      </c>
      <c r="M143" s="7">
        <v>2.4472410267060745E-2</v>
      </c>
      <c r="N143" s="8">
        <v>0</v>
      </c>
      <c r="O143" s="8">
        <v>1</v>
      </c>
      <c r="P143" s="8">
        <v>443</v>
      </c>
      <c r="Q143" s="7">
        <v>0.58710843859266493</v>
      </c>
      <c r="R143" s="7">
        <v>2.4491537195724417E-2</v>
      </c>
      <c r="S143" s="8">
        <v>0</v>
      </c>
      <c r="T143" s="8">
        <v>1</v>
      </c>
      <c r="U143" s="8">
        <v>423</v>
      </c>
      <c r="V143" s="7">
        <v>0.24597703605277871</v>
      </c>
      <c r="W143" s="7">
        <v>1.7202819405463813E-2</v>
      </c>
      <c r="X143" s="8">
        <v>0</v>
      </c>
      <c r="Y143" s="8">
        <v>1</v>
      </c>
      <c r="Z143" s="8">
        <v>1073</v>
      </c>
      <c r="AA143" s="7">
        <v>0.54335791656094878</v>
      </c>
      <c r="AB143" s="7">
        <v>1.3167396812010984E-2</v>
      </c>
      <c r="AC143" s="8">
        <v>0</v>
      </c>
      <c r="AD143" s="8">
        <v>1</v>
      </c>
      <c r="AE143" s="8">
        <v>2789</v>
      </c>
      <c r="AF143">
        <f>(AA144/AA142)-AA143</f>
        <v>-5.2021122577606882E-2</v>
      </c>
    </row>
    <row r="144" spans="1:32" x14ac:dyDescent="0.45">
      <c r="A144" s="6" t="s">
        <v>76</v>
      </c>
      <c r="B144" s="7">
        <v>9.5024817841250983E-3</v>
      </c>
      <c r="C144" s="7">
        <v>4.8253779830796607E-3</v>
      </c>
      <c r="D144" s="8">
        <v>0</v>
      </c>
      <c r="E144" s="8">
        <v>1</v>
      </c>
      <c r="F144" s="8">
        <v>377</v>
      </c>
      <c r="G144" s="7">
        <v>3.3461273813175874E-2</v>
      </c>
      <c r="H144" s="7">
        <v>8.5311136935172574E-3</v>
      </c>
      <c r="I144" s="8">
        <v>0</v>
      </c>
      <c r="J144" s="8">
        <v>1</v>
      </c>
      <c r="K144" s="8">
        <v>473</v>
      </c>
      <c r="L144" s="7">
        <v>4.2442318858588214E-2</v>
      </c>
      <c r="M144" s="7">
        <v>9.6422701289955292E-3</v>
      </c>
      <c r="N144" s="8">
        <v>0</v>
      </c>
      <c r="O144" s="8">
        <v>1</v>
      </c>
      <c r="P144" s="8">
        <v>443</v>
      </c>
      <c r="Q144" s="7">
        <v>0.21758014450421384</v>
      </c>
      <c r="R144" s="7">
        <v>2.0562830662213195E-2</v>
      </c>
      <c r="S144" s="8">
        <v>0</v>
      </c>
      <c r="T144" s="8">
        <v>1</v>
      </c>
      <c r="U144" s="8">
        <v>423</v>
      </c>
      <c r="V144" s="7">
        <v>0.12871181904056933</v>
      </c>
      <c r="W144" s="7">
        <v>1.3324334864987068E-2</v>
      </c>
      <c r="X144" s="8">
        <v>0</v>
      </c>
      <c r="Y144" s="8">
        <v>1</v>
      </c>
      <c r="Z144" s="8">
        <v>1073</v>
      </c>
      <c r="AA144" s="7">
        <v>8.0164704979497653E-2</v>
      </c>
      <c r="AB144" s="7">
        <v>6.7323102556150205E-3</v>
      </c>
      <c r="AC144" s="8">
        <v>0</v>
      </c>
      <c r="AD144" s="8">
        <v>1</v>
      </c>
      <c r="AE144" s="8">
        <v>2789</v>
      </c>
    </row>
    <row r="145" spans="1:32" x14ac:dyDescent="0.45">
      <c r="A145" s="6" t="s">
        <v>28</v>
      </c>
      <c r="B145" s="7">
        <v>1.7483672993640127E-2</v>
      </c>
      <c r="C145" s="7">
        <v>6.2489221851230788E-3</v>
      </c>
      <c r="D145" s="8">
        <v>0</v>
      </c>
      <c r="E145" s="8">
        <v>1</v>
      </c>
      <c r="F145" s="8">
        <v>377</v>
      </c>
      <c r="G145" s="7">
        <v>5.8009185356960917E-2</v>
      </c>
      <c r="H145" s="7">
        <v>1.1092481530445291E-2</v>
      </c>
      <c r="I145" s="8">
        <v>0</v>
      </c>
      <c r="J145" s="8">
        <v>1</v>
      </c>
      <c r="K145" s="8">
        <v>473</v>
      </c>
      <c r="L145" s="7">
        <v>0.15058406137378161</v>
      </c>
      <c r="M145" s="7">
        <v>1.7370685125969107E-2</v>
      </c>
      <c r="N145" s="8">
        <v>0</v>
      </c>
      <c r="O145" s="8">
        <v>1</v>
      </c>
      <c r="P145" s="8">
        <v>443</v>
      </c>
      <c r="Q145" s="7">
        <v>0.34721164151992517</v>
      </c>
      <c r="R145" s="7">
        <v>2.3722190078450694E-2</v>
      </c>
      <c r="S145" s="8">
        <v>0</v>
      </c>
      <c r="T145" s="8">
        <v>1</v>
      </c>
      <c r="U145" s="8">
        <v>423</v>
      </c>
      <c r="V145" s="7">
        <v>0.2311815510554612</v>
      </c>
      <c r="W145" s="7">
        <v>1.6826076871654053E-2</v>
      </c>
      <c r="X145" s="8">
        <v>0</v>
      </c>
      <c r="Y145" s="8">
        <v>1</v>
      </c>
      <c r="Z145" s="8">
        <v>1073</v>
      </c>
      <c r="AA145" s="7">
        <v>0.16315632364836802</v>
      </c>
      <c r="AB145" s="7">
        <v>9.612518120869289E-3</v>
      </c>
      <c r="AC145" s="8">
        <v>0</v>
      </c>
      <c r="AD145" s="8">
        <v>1</v>
      </c>
      <c r="AE145" s="8">
        <v>2789</v>
      </c>
      <c r="AF145">
        <f>(AA147/AA146)-AA145</f>
        <v>6.0454060959233974E-2</v>
      </c>
    </row>
    <row r="146" spans="1:32" ht="26.25" x14ac:dyDescent="0.45">
      <c r="A146" s="6" t="s">
        <v>22</v>
      </c>
      <c r="B146" s="7">
        <v>0.44337971510161078</v>
      </c>
      <c r="C146" s="7">
        <v>2.8333918098961602E-2</v>
      </c>
      <c r="D146" s="8">
        <v>0</v>
      </c>
      <c r="E146" s="8">
        <v>1</v>
      </c>
      <c r="F146" s="8">
        <v>377</v>
      </c>
      <c r="G146" s="7">
        <v>0.55003587184041547</v>
      </c>
      <c r="H146" s="7">
        <v>2.3701595165381402E-2</v>
      </c>
      <c r="I146" s="8">
        <v>0</v>
      </c>
      <c r="J146" s="8">
        <v>1</v>
      </c>
      <c r="K146" s="8">
        <v>473</v>
      </c>
      <c r="L146" s="7">
        <v>0.47073477299276273</v>
      </c>
      <c r="M146" s="7">
        <v>2.455632484408668E-2</v>
      </c>
      <c r="N146" s="8">
        <v>0</v>
      </c>
      <c r="O146" s="8">
        <v>1</v>
      </c>
      <c r="P146" s="8">
        <v>443</v>
      </c>
      <c r="Q146" s="7">
        <v>0.81611123613737024</v>
      </c>
      <c r="R146" s="7">
        <v>1.9017745333524308E-2</v>
      </c>
      <c r="S146" s="8">
        <v>0</v>
      </c>
      <c r="T146" s="8">
        <v>1</v>
      </c>
      <c r="U146" s="8">
        <v>423</v>
      </c>
      <c r="V146" s="7">
        <v>0.49101498998080567</v>
      </c>
      <c r="W146" s="7">
        <v>2.153423791962325E-2</v>
      </c>
      <c r="X146" s="8">
        <v>0</v>
      </c>
      <c r="Y146" s="8">
        <v>1</v>
      </c>
      <c r="Z146" s="8">
        <v>1073</v>
      </c>
      <c r="AA146" s="7">
        <v>0.56929096770433274</v>
      </c>
      <c r="AB146" s="7">
        <v>1.3133161955805486E-2</v>
      </c>
      <c r="AC146" s="8">
        <v>0</v>
      </c>
      <c r="AD146" s="8">
        <v>1</v>
      </c>
      <c r="AE146" s="8">
        <v>2789</v>
      </c>
      <c r="AF146">
        <f>(AA147/AA145)-AA146</f>
        <v>0.21093850422440119</v>
      </c>
    </row>
    <row r="147" spans="1:32" x14ac:dyDescent="0.45">
      <c r="A147" s="6" t="s">
        <v>77</v>
      </c>
      <c r="B147" s="7">
        <v>8.0286022540232427E-3</v>
      </c>
      <c r="C147" s="7">
        <v>4.0159331905651663E-3</v>
      </c>
      <c r="D147" s="8">
        <v>0</v>
      </c>
      <c r="E147" s="8">
        <v>1</v>
      </c>
      <c r="F147" s="8">
        <v>377</v>
      </c>
      <c r="G147" s="7">
        <v>3.2991229256268462E-2</v>
      </c>
      <c r="H147" s="7">
        <v>8.4270176329785153E-3</v>
      </c>
      <c r="I147" s="8">
        <v>0</v>
      </c>
      <c r="J147" s="8">
        <v>1</v>
      </c>
      <c r="K147" s="8">
        <v>473</v>
      </c>
      <c r="L147" s="7">
        <v>0.10120079121104893</v>
      </c>
      <c r="M147" s="7">
        <v>1.4448473818759213E-2</v>
      </c>
      <c r="N147" s="8">
        <v>0</v>
      </c>
      <c r="O147" s="8">
        <v>1</v>
      </c>
      <c r="P147" s="8">
        <v>443</v>
      </c>
      <c r="Q147" s="7">
        <v>0.31057575919860847</v>
      </c>
      <c r="R147" s="7">
        <v>2.3044881183795895E-2</v>
      </c>
      <c r="S147" s="8">
        <v>0</v>
      </c>
      <c r="T147" s="8">
        <v>1</v>
      </c>
      <c r="U147" s="8">
        <v>423</v>
      </c>
      <c r="V147" s="7">
        <v>0.21825385498715269</v>
      </c>
      <c r="W147" s="7">
        <v>1.6547055797680933E-2</v>
      </c>
      <c r="X147" s="8">
        <v>0</v>
      </c>
      <c r="Y147" s="8">
        <v>1</v>
      </c>
      <c r="Z147" s="8">
        <v>1073</v>
      </c>
      <c r="AA147" s="7">
        <v>0.12729937224199978</v>
      </c>
      <c r="AB147" s="7">
        <v>8.4755706807033253E-3</v>
      </c>
      <c r="AC147" s="8">
        <v>0</v>
      </c>
      <c r="AD147" s="8">
        <v>1</v>
      </c>
      <c r="AE147" s="8">
        <v>2789</v>
      </c>
    </row>
    <row r="148" spans="1:32" x14ac:dyDescent="0.45">
      <c r="A148" s="6" t="s">
        <v>28</v>
      </c>
      <c r="B148" s="7">
        <v>1.7483672993640127E-2</v>
      </c>
      <c r="C148" s="7">
        <v>6.2489221851230788E-3</v>
      </c>
      <c r="D148" s="8">
        <v>0</v>
      </c>
      <c r="E148" s="8">
        <v>1</v>
      </c>
      <c r="F148" s="8">
        <v>377</v>
      </c>
      <c r="G148" s="7">
        <v>5.8009185356960917E-2</v>
      </c>
      <c r="H148" s="7">
        <v>1.1092481530445291E-2</v>
      </c>
      <c r="I148" s="8">
        <v>0</v>
      </c>
      <c r="J148" s="8">
        <v>1</v>
      </c>
      <c r="K148" s="8">
        <v>473</v>
      </c>
      <c r="L148" s="7">
        <v>0.15058406137378161</v>
      </c>
      <c r="M148" s="7">
        <v>1.7370685125969107E-2</v>
      </c>
      <c r="N148" s="8">
        <v>0</v>
      </c>
      <c r="O148" s="8">
        <v>1</v>
      </c>
      <c r="P148" s="8">
        <v>443</v>
      </c>
      <c r="Q148" s="7">
        <v>0.34721164151992517</v>
      </c>
      <c r="R148" s="7">
        <v>2.3722190078450694E-2</v>
      </c>
      <c r="S148" s="8">
        <v>0</v>
      </c>
      <c r="T148" s="8">
        <v>1</v>
      </c>
      <c r="U148" s="8">
        <v>423</v>
      </c>
      <c r="V148" s="7">
        <v>0.2311815510554612</v>
      </c>
      <c r="W148" s="7">
        <v>1.6826076871654053E-2</v>
      </c>
      <c r="X148" s="8">
        <v>0</v>
      </c>
      <c r="Y148" s="8">
        <v>1</v>
      </c>
      <c r="Z148" s="8">
        <v>1073</v>
      </c>
      <c r="AA148" s="7">
        <v>0.16315632364836802</v>
      </c>
      <c r="AB148" s="7">
        <v>9.612518120869289E-3</v>
      </c>
      <c r="AC148" s="8">
        <v>0</v>
      </c>
      <c r="AD148" s="8">
        <v>1</v>
      </c>
      <c r="AE148" s="8">
        <v>2789</v>
      </c>
      <c r="AF148">
        <f>(AA150/AA149)-AA148</f>
        <v>0.10916990749823191</v>
      </c>
    </row>
    <row r="149" spans="1:32" ht="26.25" x14ac:dyDescent="0.45">
      <c r="A149" s="6" t="s">
        <v>24</v>
      </c>
      <c r="B149" s="7">
        <v>0.3143161872698384</v>
      </c>
      <c r="C149" s="7">
        <v>2.5988451099292102E-2</v>
      </c>
      <c r="D149" s="8">
        <v>0</v>
      </c>
      <c r="E149" s="8">
        <v>1</v>
      </c>
      <c r="F149" s="8">
        <v>377</v>
      </c>
      <c r="G149" s="7">
        <v>0.35720003177347953</v>
      </c>
      <c r="H149" s="7">
        <v>2.2786551411140134E-2</v>
      </c>
      <c r="I149" s="8">
        <v>0</v>
      </c>
      <c r="J149" s="8">
        <v>1</v>
      </c>
      <c r="K149" s="8">
        <v>473</v>
      </c>
      <c r="L149" s="7">
        <v>0.30880783343155294</v>
      </c>
      <c r="M149" s="7">
        <v>2.2515152770261254E-2</v>
      </c>
      <c r="N149" s="8">
        <v>0</v>
      </c>
      <c r="O149" s="8">
        <v>1</v>
      </c>
      <c r="P149" s="8">
        <v>443</v>
      </c>
      <c r="Q149" s="7">
        <v>0.74339061825172903</v>
      </c>
      <c r="R149" s="7">
        <v>2.1616709115009351E-2</v>
      </c>
      <c r="S149" s="8">
        <v>0</v>
      </c>
      <c r="T149" s="8">
        <v>1</v>
      </c>
      <c r="U149" s="8">
        <v>423</v>
      </c>
      <c r="V149" s="7">
        <v>0.44031925904016395</v>
      </c>
      <c r="W149" s="7">
        <v>2.0999240945587205E-2</v>
      </c>
      <c r="X149" s="8">
        <v>0</v>
      </c>
      <c r="Y149" s="8">
        <v>1</v>
      </c>
      <c r="Z149" s="8">
        <v>1073</v>
      </c>
      <c r="AA149" s="7">
        <v>0.42493856155989945</v>
      </c>
      <c r="AB149" s="7">
        <v>1.2928208456969242E-2</v>
      </c>
      <c r="AC149" s="8">
        <v>0</v>
      </c>
      <c r="AD149" s="8">
        <v>1</v>
      </c>
      <c r="AE149" s="8">
        <v>2789</v>
      </c>
      <c r="AF149">
        <f>(AA150/AA148)-AA149</f>
        <v>0.28433163006238144</v>
      </c>
    </row>
    <row r="150" spans="1:32" x14ac:dyDescent="0.45">
      <c r="A150" s="6" t="s">
        <v>78</v>
      </c>
      <c r="B150" s="7">
        <v>4.1311894884192473E-3</v>
      </c>
      <c r="C150" s="7">
        <v>2.922755098889486E-3</v>
      </c>
      <c r="D150" s="8">
        <v>0</v>
      </c>
      <c r="E150" s="8">
        <v>1</v>
      </c>
      <c r="F150" s="8">
        <v>377</v>
      </c>
      <c r="G150" s="7">
        <v>3.1163098508134195E-2</v>
      </c>
      <c r="H150" s="7">
        <v>8.238711063793808E-3</v>
      </c>
      <c r="I150" s="8">
        <v>0</v>
      </c>
      <c r="J150" s="8">
        <v>1</v>
      </c>
      <c r="K150" s="8">
        <v>473</v>
      </c>
      <c r="L150" s="7">
        <v>8.2955730686321491E-2</v>
      </c>
      <c r="M150" s="7">
        <v>1.30006013130393E-2</v>
      </c>
      <c r="N150" s="8">
        <v>0</v>
      </c>
      <c r="O150" s="8">
        <v>1</v>
      </c>
      <c r="P150" s="8">
        <v>443</v>
      </c>
      <c r="Q150" s="7">
        <v>0.29630969255449702</v>
      </c>
      <c r="R150" s="7">
        <v>2.2746203265588866E-2</v>
      </c>
      <c r="S150" s="8">
        <v>0</v>
      </c>
      <c r="T150" s="8">
        <v>1</v>
      </c>
      <c r="U150" s="8">
        <v>423</v>
      </c>
      <c r="V150" s="7">
        <v>0.20805331640730923</v>
      </c>
      <c r="W150" s="7">
        <v>1.6332742625699646E-2</v>
      </c>
      <c r="X150" s="8">
        <v>0</v>
      </c>
      <c r="Y150" s="8">
        <v>1</v>
      </c>
      <c r="Z150" s="8">
        <v>1073</v>
      </c>
      <c r="AA150" s="7">
        <v>0.11572191693846487</v>
      </c>
      <c r="AB150" s="7">
        <v>8.0235760434597472E-3</v>
      </c>
      <c r="AC150" s="8">
        <v>0</v>
      </c>
      <c r="AD150" s="8">
        <v>1</v>
      </c>
      <c r="AE150" s="8">
        <v>2789</v>
      </c>
    </row>
    <row r="151" spans="1:32" x14ac:dyDescent="0.45">
      <c r="A151" s="6" t="s">
        <v>30</v>
      </c>
      <c r="B151" s="7">
        <v>1.1457136449351377E-2</v>
      </c>
      <c r="C151" s="7">
        <v>4.6446473101533657E-3</v>
      </c>
      <c r="D151" s="8">
        <v>0</v>
      </c>
      <c r="E151" s="8">
        <v>1</v>
      </c>
      <c r="F151" s="8">
        <v>377</v>
      </c>
      <c r="G151" s="7">
        <v>2.0584963623272376E-2</v>
      </c>
      <c r="H151" s="7">
        <v>6.8587892804406088E-3</v>
      </c>
      <c r="I151" s="8">
        <v>0</v>
      </c>
      <c r="J151" s="8">
        <v>1</v>
      </c>
      <c r="K151" s="8">
        <v>473</v>
      </c>
      <c r="L151" s="7">
        <v>7.0996410257994622E-2</v>
      </c>
      <c r="M151" s="7">
        <v>1.252912923237671E-2</v>
      </c>
      <c r="N151" s="8">
        <v>0</v>
      </c>
      <c r="O151" s="8">
        <v>1</v>
      </c>
      <c r="P151" s="8">
        <v>443</v>
      </c>
      <c r="Q151" s="7">
        <v>5.0630794411700999E-2</v>
      </c>
      <c r="R151" s="7">
        <v>1.0815749508243298E-2</v>
      </c>
      <c r="S151" s="8">
        <v>0</v>
      </c>
      <c r="T151" s="8">
        <v>1</v>
      </c>
      <c r="U151" s="8">
        <v>423</v>
      </c>
      <c r="V151" s="7">
        <v>1.7091392101286209E-2</v>
      </c>
      <c r="W151" s="7">
        <v>3.9414895332473051E-3</v>
      </c>
      <c r="X151" s="8">
        <v>0</v>
      </c>
      <c r="Y151" s="8">
        <v>1</v>
      </c>
      <c r="Z151" s="8">
        <v>1073</v>
      </c>
      <c r="AA151" s="7">
        <v>4.6647707162626499E-2</v>
      </c>
      <c r="AB151" s="7">
        <v>5.889810447475355E-3</v>
      </c>
      <c r="AC151" s="8">
        <v>0</v>
      </c>
      <c r="AD151" s="8">
        <v>1</v>
      </c>
      <c r="AE151" s="8">
        <v>2789</v>
      </c>
      <c r="AF151">
        <f>(AA153/AA152)-AA151</f>
        <v>2.1298459942603008E-2</v>
      </c>
    </row>
    <row r="152" spans="1:32" x14ac:dyDescent="0.45">
      <c r="A152" s="6" t="s">
        <v>32</v>
      </c>
      <c r="B152" s="7">
        <v>0.2527724281813617</v>
      </c>
      <c r="C152" s="7">
        <v>2.3581271808324908E-2</v>
      </c>
      <c r="D152" s="8">
        <v>0</v>
      </c>
      <c r="E152" s="8">
        <v>1</v>
      </c>
      <c r="F152" s="8">
        <v>377</v>
      </c>
      <c r="G152" s="7">
        <v>0.1554454589262585</v>
      </c>
      <c r="H152" s="7">
        <v>1.7390664147984094E-2</v>
      </c>
      <c r="I152" s="8">
        <v>0</v>
      </c>
      <c r="J152" s="8">
        <v>1</v>
      </c>
      <c r="K152" s="8">
        <v>473</v>
      </c>
      <c r="L152" s="7">
        <v>0.15877572477573559</v>
      </c>
      <c r="M152" s="7">
        <v>1.7885640487502231E-2</v>
      </c>
      <c r="N152" s="8">
        <v>0</v>
      </c>
      <c r="O152" s="8">
        <v>1</v>
      </c>
      <c r="P152" s="8">
        <v>443</v>
      </c>
      <c r="Q152" s="7">
        <v>0.13416252742816348</v>
      </c>
      <c r="R152" s="7">
        <v>1.6834266849755707E-2</v>
      </c>
      <c r="S152" s="8">
        <v>0</v>
      </c>
      <c r="T152" s="8">
        <v>1</v>
      </c>
      <c r="U152" s="8">
        <v>423</v>
      </c>
      <c r="V152" s="7">
        <v>3.5681116912385707E-2</v>
      </c>
      <c r="W152" s="7">
        <v>5.9694575574459905E-3</v>
      </c>
      <c r="X152" s="8">
        <v>0</v>
      </c>
      <c r="Y152" s="8">
        <v>1</v>
      </c>
      <c r="Z152" s="8">
        <v>1073</v>
      </c>
      <c r="AA152" s="7">
        <v>0.1543771286135118</v>
      </c>
      <c r="AB152" s="7">
        <v>9.5089024086530607E-3</v>
      </c>
      <c r="AC152" s="8">
        <v>0</v>
      </c>
      <c r="AD152" s="8">
        <v>1</v>
      </c>
      <c r="AE152" s="8">
        <v>2789</v>
      </c>
      <c r="AF152">
        <f>(AA153/AA151)-AA152</f>
        <v>7.0485674212584892E-2</v>
      </c>
    </row>
    <row r="153" spans="1:32" ht="26.25" x14ac:dyDescent="0.45">
      <c r="A153" s="6" t="s">
        <v>79</v>
      </c>
      <c r="B153" s="7">
        <v>5.4635785933939566E-3</v>
      </c>
      <c r="C153" s="7">
        <v>3.4053904618665592E-3</v>
      </c>
      <c r="D153" s="8">
        <v>0</v>
      </c>
      <c r="E153" s="8">
        <v>1</v>
      </c>
      <c r="F153" s="8">
        <v>377</v>
      </c>
      <c r="G153" s="7">
        <v>3.8589875028499287E-3</v>
      </c>
      <c r="H153" s="7">
        <v>2.7679456292484432E-3</v>
      </c>
      <c r="I153" s="8">
        <v>0</v>
      </c>
      <c r="J153" s="8">
        <v>1</v>
      </c>
      <c r="K153" s="8">
        <v>473</v>
      </c>
      <c r="L153" s="7">
        <v>1.8499744581496468E-2</v>
      </c>
      <c r="M153" s="7">
        <v>6.493530800090002E-3</v>
      </c>
      <c r="N153" s="8">
        <v>0</v>
      </c>
      <c r="O153" s="8">
        <v>1</v>
      </c>
      <c r="P153" s="8">
        <v>443</v>
      </c>
      <c r="Q153" s="7">
        <v>7.2397590262310444E-3</v>
      </c>
      <c r="R153" s="7">
        <v>4.1727502725591187E-3</v>
      </c>
      <c r="S153" s="8">
        <v>0</v>
      </c>
      <c r="T153" s="8">
        <v>1</v>
      </c>
      <c r="U153" s="8">
        <v>423</v>
      </c>
      <c r="V153" s="7">
        <v>2.2637546224459374E-3</v>
      </c>
      <c r="W153" s="7">
        <v>1.224863372262747E-3</v>
      </c>
      <c r="X153" s="8">
        <v>0</v>
      </c>
      <c r="Y153" s="8">
        <v>1</v>
      </c>
      <c r="Z153" s="8">
        <v>1073</v>
      </c>
      <c r="AA153" s="7">
        <v>1.0489334177999181E-2</v>
      </c>
      <c r="AB153" s="7">
        <v>2.862085360084326E-3</v>
      </c>
      <c r="AC153" s="8">
        <v>0</v>
      </c>
      <c r="AD153" s="8">
        <v>1</v>
      </c>
      <c r="AE153" s="8">
        <v>2789</v>
      </c>
    </row>
    <row r="154" spans="1:32" x14ac:dyDescent="0.45">
      <c r="A154" s="6" t="s">
        <v>30</v>
      </c>
      <c r="B154" s="7">
        <v>1.1457136449351377E-2</v>
      </c>
      <c r="C154" s="7">
        <v>4.6446473101533657E-3</v>
      </c>
      <c r="D154" s="8">
        <v>0</v>
      </c>
      <c r="E154" s="8">
        <v>1</v>
      </c>
      <c r="F154" s="8">
        <v>377</v>
      </c>
      <c r="G154" s="7">
        <v>2.0584963623272376E-2</v>
      </c>
      <c r="H154" s="7">
        <v>6.8587892804406088E-3</v>
      </c>
      <c r="I154" s="8">
        <v>0</v>
      </c>
      <c r="J154" s="8">
        <v>1</v>
      </c>
      <c r="K154" s="8">
        <v>473</v>
      </c>
      <c r="L154" s="7">
        <v>7.0996410257994622E-2</v>
      </c>
      <c r="M154" s="7">
        <v>1.252912923237671E-2</v>
      </c>
      <c r="N154" s="8">
        <v>0</v>
      </c>
      <c r="O154" s="8">
        <v>1</v>
      </c>
      <c r="P154" s="8">
        <v>443</v>
      </c>
      <c r="Q154" s="7">
        <v>5.0630794411700999E-2</v>
      </c>
      <c r="R154" s="7">
        <v>1.0815749508243298E-2</v>
      </c>
      <c r="S154" s="8">
        <v>0</v>
      </c>
      <c r="T154" s="8">
        <v>1</v>
      </c>
      <c r="U154" s="8">
        <v>423</v>
      </c>
      <c r="V154" s="7">
        <v>1.7091392101286209E-2</v>
      </c>
      <c r="W154" s="7">
        <v>3.9414895332473051E-3</v>
      </c>
      <c r="X154" s="8">
        <v>0</v>
      </c>
      <c r="Y154" s="8">
        <v>1</v>
      </c>
      <c r="Z154" s="8">
        <v>1073</v>
      </c>
      <c r="AA154" s="7">
        <v>4.6647707162626499E-2</v>
      </c>
      <c r="AB154" s="7">
        <v>5.889810447475355E-3</v>
      </c>
      <c r="AC154" s="8">
        <v>0</v>
      </c>
      <c r="AD154" s="8">
        <v>1</v>
      </c>
      <c r="AE154" s="8">
        <v>2789</v>
      </c>
      <c r="AF154">
        <f>(AA156/AA155)-AA154</f>
        <v>4.661392397935394E-2</v>
      </c>
    </row>
    <row r="155" spans="1:32" x14ac:dyDescent="0.45">
      <c r="A155" s="6" t="s">
        <v>34</v>
      </c>
      <c r="B155" s="7">
        <v>2.263311268250193E-2</v>
      </c>
      <c r="C155" s="7">
        <v>7.3421367292460923E-3</v>
      </c>
      <c r="D155" s="8">
        <v>0</v>
      </c>
      <c r="E155" s="8">
        <v>1</v>
      </c>
      <c r="F155" s="8">
        <v>377</v>
      </c>
      <c r="G155" s="7">
        <v>5.8327627768387631E-2</v>
      </c>
      <c r="H155" s="7">
        <v>1.1334403264176443E-2</v>
      </c>
      <c r="I155" s="8">
        <v>0</v>
      </c>
      <c r="J155" s="8">
        <v>1</v>
      </c>
      <c r="K155" s="8">
        <v>473</v>
      </c>
      <c r="L155" s="7">
        <v>8.3487078786845886E-2</v>
      </c>
      <c r="M155" s="7">
        <v>1.3594933601456751E-2</v>
      </c>
      <c r="N155" s="8">
        <v>0</v>
      </c>
      <c r="O155" s="8">
        <v>1</v>
      </c>
      <c r="P155" s="8">
        <v>443</v>
      </c>
      <c r="Q155" s="7">
        <v>5.2708548379860748E-2</v>
      </c>
      <c r="R155" s="7">
        <v>1.100803849809036E-2</v>
      </c>
      <c r="S155" s="8">
        <v>0</v>
      </c>
      <c r="T155" s="8">
        <v>1</v>
      </c>
      <c r="U155" s="8">
        <v>423</v>
      </c>
      <c r="V155" s="7">
        <v>3.9397663243172917E-3</v>
      </c>
      <c r="W155" s="7">
        <v>1.9732066657802663E-3</v>
      </c>
      <c r="X155" s="8">
        <v>0</v>
      </c>
      <c r="Y155" s="8">
        <v>1</v>
      </c>
      <c r="Z155" s="8">
        <v>1073</v>
      </c>
      <c r="AA155" s="7">
        <v>6.2799338760446702E-2</v>
      </c>
      <c r="AB155" s="7">
        <v>6.7450581638249926E-3</v>
      </c>
      <c r="AC155" s="8">
        <v>0</v>
      </c>
      <c r="AD155" s="8">
        <v>1</v>
      </c>
      <c r="AE155" s="8">
        <v>2789</v>
      </c>
      <c r="AF155">
        <f>(AA156/AA154)-AA155</f>
        <v>6.2753858249189345E-2</v>
      </c>
    </row>
    <row r="156" spans="1:32" ht="26.25" x14ac:dyDescent="0.45">
      <c r="A156" s="6" t="s">
        <v>80</v>
      </c>
      <c r="B156" s="7">
        <v>8.2494169300348504E-4</v>
      </c>
      <c r="C156" s="7">
        <v>8.2673518374961306E-4</v>
      </c>
      <c r="D156" s="8">
        <v>0</v>
      </c>
      <c r="E156" s="8">
        <v>1</v>
      </c>
      <c r="F156" s="8">
        <v>377</v>
      </c>
      <c r="G156" s="7">
        <v>2.26483629987653E-3</v>
      </c>
      <c r="H156" s="7">
        <v>2.2646652601701878E-3</v>
      </c>
      <c r="I156" s="8">
        <v>0</v>
      </c>
      <c r="J156" s="8">
        <v>1</v>
      </c>
      <c r="K156" s="8">
        <v>473</v>
      </c>
      <c r="L156" s="7">
        <v>1.1572782733095676E-2</v>
      </c>
      <c r="M156" s="7">
        <v>5.1569298173434162E-3</v>
      </c>
      <c r="N156" s="8">
        <v>0</v>
      </c>
      <c r="O156" s="8">
        <v>1</v>
      </c>
      <c r="P156" s="8">
        <v>443</v>
      </c>
      <c r="Q156" s="7">
        <v>2.520510758095112E-3</v>
      </c>
      <c r="R156" s="7">
        <v>2.5202711846866307E-3</v>
      </c>
      <c r="S156" s="8">
        <v>0</v>
      </c>
      <c r="T156" s="8">
        <v>1</v>
      </c>
      <c r="U156" s="8">
        <v>423</v>
      </c>
      <c r="V156" s="7">
        <v>3.1438818885595044E-4</v>
      </c>
      <c r="W156" s="7">
        <v>3.1472958849825027E-4</v>
      </c>
      <c r="X156" s="8">
        <v>0</v>
      </c>
      <c r="Y156" s="8">
        <v>1</v>
      </c>
      <c r="Z156" s="8">
        <v>1073</v>
      </c>
      <c r="AA156" s="7">
        <v>5.8567687674370558E-3</v>
      </c>
      <c r="AB156" s="7">
        <v>2.2178951173232155E-3</v>
      </c>
      <c r="AC156" s="8">
        <v>0</v>
      </c>
      <c r="AD156" s="8">
        <v>1</v>
      </c>
      <c r="AE156" s="8">
        <v>2789</v>
      </c>
    </row>
    <row r="157" spans="1:32" x14ac:dyDescent="0.45">
      <c r="A157" s="6" t="s">
        <v>30</v>
      </c>
      <c r="B157" s="7">
        <v>1.1457136449351377E-2</v>
      </c>
      <c r="C157" s="7">
        <v>4.6446473101533657E-3</v>
      </c>
      <c r="D157" s="8">
        <v>0</v>
      </c>
      <c r="E157" s="8">
        <v>1</v>
      </c>
      <c r="F157" s="8">
        <v>377</v>
      </c>
      <c r="G157" s="7">
        <v>2.0584963623272376E-2</v>
      </c>
      <c r="H157" s="7">
        <v>6.8587892804406088E-3</v>
      </c>
      <c r="I157" s="8">
        <v>0</v>
      </c>
      <c r="J157" s="8">
        <v>1</v>
      </c>
      <c r="K157" s="8">
        <v>473</v>
      </c>
      <c r="L157" s="7">
        <v>7.0996410257994622E-2</v>
      </c>
      <c r="M157" s="7">
        <v>1.252912923237671E-2</v>
      </c>
      <c r="N157" s="8">
        <v>0</v>
      </c>
      <c r="O157" s="8">
        <v>1</v>
      </c>
      <c r="P157" s="8">
        <v>443</v>
      </c>
      <c r="Q157" s="7">
        <v>5.0630794411700999E-2</v>
      </c>
      <c r="R157" s="7">
        <v>1.0815749508243298E-2</v>
      </c>
      <c r="S157" s="8">
        <v>0</v>
      </c>
      <c r="T157" s="8">
        <v>1</v>
      </c>
      <c r="U157" s="8">
        <v>423</v>
      </c>
      <c r="V157" s="7">
        <v>1.7091392101286209E-2</v>
      </c>
      <c r="W157" s="7">
        <v>3.9414895332473051E-3</v>
      </c>
      <c r="X157" s="8">
        <v>0</v>
      </c>
      <c r="Y157" s="8">
        <v>1</v>
      </c>
      <c r="Z157" s="8">
        <v>1073</v>
      </c>
      <c r="AA157" s="7">
        <v>4.6647707162626499E-2</v>
      </c>
      <c r="AB157" s="7">
        <v>5.889810447475355E-3</v>
      </c>
      <c r="AC157" s="8">
        <v>0</v>
      </c>
      <c r="AD157" s="8">
        <v>1</v>
      </c>
      <c r="AE157" s="8">
        <v>2789</v>
      </c>
      <c r="AF157">
        <f>(AA159/AA158)-AA157</f>
        <v>-3.3413454189959911E-2</v>
      </c>
    </row>
    <row r="158" spans="1:32" x14ac:dyDescent="0.45">
      <c r="A158" s="6" t="s">
        <v>36</v>
      </c>
      <c r="B158" s="7">
        <v>0.26636125194779031</v>
      </c>
      <c r="C158" s="7">
        <v>2.4189991287900472E-2</v>
      </c>
      <c r="D158" s="8">
        <v>0</v>
      </c>
      <c r="E158" s="8">
        <v>1</v>
      </c>
      <c r="F158" s="8">
        <v>377</v>
      </c>
      <c r="G158" s="7">
        <v>0.17672760534526755</v>
      </c>
      <c r="H158" s="7">
        <v>1.8127456261163202E-2</v>
      </c>
      <c r="I158" s="8">
        <v>0</v>
      </c>
      <c r="J158" s="8">
        <v>1</v>
      </c>
      <c r="K158" s="8">
        <v>467</v>
      </c>
      <c r="L158" s="7">
        <v>4.3890875888197518E-2</v>
      </c>
      <c r="M158" s="7">
        <v>9.6682460234033402E-3</v>
      </c>
      <c r="N158" s="8">
        <v>0</v>
      </c>
      <c r="O158" s="8">
        <v>1</v>
      </c>
      <c r="P158" s="8">
        <v>441</v>
      </c>
      <c r="Q158" s="7">
        <v>8.371081995835053E-2</v>
      </c>
      <c r="R158" s="7">
        <v>1.4050470479779449E-2</v>
      </c>
      <c r="S158" s="8">
        <v>0</v>
      </c>
      <c r="T158" s="8">
        <v>1</v>
      </c>
      <c r="U158" s="8">
        <v>422</v>
      </c>
      <c r="V158" s="7">
        <v>0.17670361522524197</v>
      </c>
      <c r="W158" s="7">
        <v>1.6865782603968957E-2</v>
      </c>
      <c r="X158" s="8">
        <v>0</v>
      </c>
      <c r="Y158" s="8">
        <v>1</v>
      </c>
      <c r="Z158" s="8">
        <v>1068</v>
      </c>
      <c r="AA158" s="7">
        <v>0.10901593418102137</v>
      </c>
      <c r="AB158" s="7">
        <v>7.4445039199197852E-3</v>
      </c>
      <c r="AC158" s="8">
        <v>0</v>
      </c>
      <c r="AD158" s="8">
        <v>1</v>
      </c>
      <c r="AE158" s="8">
        <v>2775</v>
      </c>
      <c r="AF158">
        <f>(AA159/AA157)-AA158</f>
        <v>-7.8087416173192814E-2</v>
      </c>
    </row>
    <row r="159" spans="1:32" ht="26.25" x14ac:dyDescent="0.45">
      <c r="A159" s="6" t="s">
        <v>81</v>
      </c>
      <c r="B159" s="7">
        <v>2.0418892219555159E-3</v>
      </c>
      <c r="C159" s="7">
        <v>2.0438408684011985E-3</v>
      </c>
      <c r="D159" s="8">
        <v>0</v>
      </c>
      <c r="E159" s="8">
        <v>1</v>
      </c>
      <c r="F159" s="8">
        <v>377</v>
      </c>
      <c r="G159" s="7">
        <v>2.2053521264373721E-3</v>
      </c>
      <c r="H159" s="7">
        <v>2.2053690689327107E-3</v>
      </c>
      <c r="I159" s="8">
        <v>0</v>
      </c>
      <c r="J159" s="8">
        <v>1</v>
      </c>
      <c r="K159" s="8">
        <v>467</v>
      </c>
      <c r="L159" s="7">
        <v>0</v>
      </c>
      <c r="M159" s="7">
        <v>0</v>
      </c>
      <c r="N159" s="8">
        <v>0</v>
      </c>
      <c r="O159" s="8">
        <v>0</v>
      </c>
      <c r="P159" s="8">
        <v>441</v>
      </c>
      <c r="Q159" s="7">
        <v>2.4106268068317142E-3</v>
      </c>
      <c r="R159" s="7">
        <v>2.4106724293932818E-3</v>
      </c>
      <c r="S159" s="8">
        <v>0</v>
      </c>
      <c r="T159" s="8">
        <v>1</v>
      </c>
      <c r="U159" s="8">
        <v>422</v>
      </c>
      <c r="V159" s="7">
        <v>4.450456533854368E-3</v>
      </c>
      <c r="W159" s="7">
        <v>1.9082080396181397E-3</v>
      </c>
      <c r="X159" s="8">
        <v>0</v>
      </c>
      <c r="Y159" s="8">
        <v>1</v>
      </c>
      <c r="Z159" s="8">
        <v>1068</v>
      </c>
      <c r="AA159" s="7">
        <v>1.4427444510032071E-3</v>
      </c>
      <c r="AB159" s="7">
        <v>8.3030241856450813E-4</v>
      </c>
      <c r="AC159" s="8">
        <v>0</v>
      </c>
      <c r="AD159" s="8">
        <v>1</v>
      </c>
      <c r="AE159" s="8">
        <v>2775</v>
      </c>
    </row>
    <row r="160" spans="1:32" x14ac:dyDescent="0.45">
      <c r="A160" s="6" t="s">
        <v>30</v>
      </c>
      <c r="B160" s="7">
        <v>1.1457136449351377E-2</v>
      </c>
      <c r="C160" s="7">
        <v>4.6446473101533657E-3</v>
      </c>
      <c r="D160" s="8">
        <v>0</v>
      </c>
      <c r="E160" s="8">
        <v>1</v>
      </c>
      <c r="F160" s="8">
        <v>377</v>
      </c>
      <c r="G160" s="7">
        <v>2.0584963623272376E-2</v>
      </c>
      <c r="H160" s="7">
        <v>6.8587892804406088E-3</v>
      </c>
      <c r="I160" s="8">
        <v>0</v>
      </c>
      <c r="J160" s="8">
        <v>1</v>
      </c>
      <c r="K160" s="8">
        <v>473</v>
      </c>
      <c r="L160" s="7">
        <v>7.0996410257994622E-2</v>
      </c>
      <c r="M160" s="7">
        <v>1.252912923237671E-2</v>
      </c>
      <c r="N160" s="8">
        <v>0</v>
      </c>
      <c r="O160" s="8">
        <v>1</v>
      </c>
      <c r="P160" s="8">
        <v>443</v>
      </c>
      <c r="Q160" s="7">
        <v>5.0630794411700999E-2</v>
      </c>
      <c r="R160" s="7">
        <v>1.0815749508243298E-2</v>
      </c>
      <c r="S160" s="8">
        <v>0</v>
      </c>
      <c r="T160" s="8">
        <v>1</v>
      </c>
      <c r="U160" s="8">
        <v>423</v>
      </c>
      <c r="V160" s="7">
        <v>1.7091392101286209E-2</v>
      </c>
      <c r="W160" s="7">
        <v>3.9414895332473051E-3</v>
      </c>
      <c r="X160" s="8">
        <v>0</v>
      </c>
      <c r="Y160" s="8">
        <v>1</v>
      </c>
      <c r="Z160" s="8">
        <v>1073</v>
      </c>
      <c r="AA160" s="7">
        <v>4.6647707162626499E-2</v>
      </c>
      <c r="AB160" s="7">
        <v>5.889810447475355E-3</v>
      </c>
      <c r="AC160" s="8">
        <v>0</v>
      </c>
      <c r="AD160" s="8">
        <v>1</v>
      </c>
      <c r="AE160" s="8">
        <v>2789</v>
      </c>
      <c r="AF160">
        <f>(AA162/AA161)-AA160</f>
        <v>4.6698035030779128E-3</v>
      </c>
    </row>
    <row r="161" spans="1:32" ht="26.25" x14ac:dyDescent="0.45">
      <c r="A161" s="6" t="s">
        <v>38</v>
      </c>
      <c r="B161" s="7">
        <v>0.44223301820394767</v>
      </c>
      <c r="C161" s="7">
        <v>2.8300310545730831E-2</v>
      </c>
      <c r="D161" s="8">
        <v>0</v>
      </c>
      <c r="E161" s="8">
        <v>1</v>
      </c>
      <c r="F161" s="8">
        <v>377</v>
      </c>
      <c r="G161" s="7">
        <v>0.67963669016962303</v>
      </c>
      <c r="H161" s="7">
        <v>2.2169291635117473E-2</v>
      </c>
      <c r="I161" s="8">
        <v>0</v>
      </c>
      <c r="J161" s="8">
        <v>1</v>
      </c>
      <c r="K161" s="8">
        <v>473</v>
      </c>
      <c r="L161" s="7">
        <v>0.41452170070524536</v>
      </c>
      <c r="M161" s="7">
        <v>2.4249093275481391E-2</v>
      </c>
      <c r="N161" s="8">
        <v>0</v>
      </c>
      <c r="O161" s="8">
        <v>1</v>
      </c>
      <c r="P161" s="8">
        <v>443</v>
      </c>
      <c r="Q161" s="7">
        <v>0.50232647922994245</v>
      </c>
      <c r="R161" s="7">
        <v>2.4962894154274457E-2</v>
      </c>
      <c r="S161" s="8">
        <v>0</v>
      </c>
      <c r="T161" s="8">
        <v>1</v>
      </c>
      <c r="U161" s="8">
        <v>423</v>
      </c>
      <c r="V161" s="7">
        <v>0.18691243882002603</v>
      </c>
      <c r="W161" s="7">
        <v>1.6206610488577019E-2</v>
      </c>
      <c r="X161" s="8">
        <v>0</v>
      </c>
      <c r="Y161" s="8">
        <v>1</v>
      </c>
      <c r="Z161" s="8">
        <v>1073</v>
      </c>
      <c r="AA161" s="7">
        <v>0.50156328466083933</v>
      </c>
      <c r="AB161" s="7">
        <v>1.320292147742998E-2</v>
      </c>
      <c r="AC161" s="8">
        <v>0</v>
      </c>
      <c r="AD161" s="8">
        <v>1</v>
      </c>
      <c r="AE161" s="8">
        <v>2789</v>
      </c>
      <c r="AF161">
        <f>(AA162/AA160)-AA161</f>
        <v>5.021044175995415E-2</v>
      </c>
    </row>
    <row r="162" spans="1:32" ht="39.4" x14ac:dyDescent="0.45">
      <c r="A162" s="6" t="s">
        <v>82</v>
      </c>
      <c r="B162" s="7">
        <v>5.2905387623784347E-3</v>
      </c>
      <c r="C162" s="7">
        <v>3.7392533073919336E-3</v>
      </c>
      <c r="D162" s="8">
        <v>0</v>
      </c>
      <c r="E162" s="8">
        <v>1</v>
      </c>
      <c r="F162" s="8">
        <v>377</v>
      </c>
      <c r="G162" s="7">
        <v>1.3507588489640955E-2</v>
      </c>
      <c r="H162" s="7">
        <v>5.5580590376603069E-3</v>
      </c>
      <c r="I162" s="8">
        <v>0</v>
      </c>
      <c r="J162" s="8">
        <v>1</v>
      </c>
      <c r="K162" s="8">
        <v>473</v>
      </c>
      <c r="L162" s="7">
        <v>3.0610023371017942E-2</v>
      </c>
      <c r="M162" s="7">
        <v>8.3860199096897417E-3</v>
      </c>
      <c r="N162" s="8">
        <v>0</v>
      </c>
      <c r="O162" s="8">
        <v>1</v>
      </c>
      <c r="P162" s="8">
        <v>443</v>
      </c>
      <c r="Q162" s="7">
        <v>4.1830983289516316E-2</v>
      </c>
      <c r="R162" s="7">
        <v>9.9600766108272603E-3</v>
      </c>
      <c r="S162" s="8">
        <v>0</v>
      </c>
      <c r="T162" s="8">
        <v>1</v>
      </c>
      <c r="U162" s="8">
        <v>423</v>
      </c>
      <c r="V162" s="7">
        <v>2.100188763547351E-3</v>
      </c>
      <c r="W162" s="7">
        <v>1.8125709572263025E-3</v>
      </c>
      <c r="X162" s="8">
        <v>0</v>
      </c>
      <c r="Y162" s="8">
        <v>1</v>
      </c>
      <c r="Z162" s="8">
        <v>1073</v>
      </c>
      <c r="AA162" s="7">
        <v>2.573897921010836E-2</v>
      </c>
      <c r="AB162" s="7">
        <v>4.3115887801977578E-3</v>
      </c>
      <c r="AC162" s="8">
        <v>0</v>
      </c>
      <c r="AD162" s="8">
        <v>1</v>
      </c>
      <c r="AE162" s="8">
        <v>2789</v>
      </c>
    </row>
    <row r="163" spans="1:32" x14ac:dyDescent="0.45">
      <c r="A163" s="6" t="s">
        <v>30</v>
      </c>
      <c r="B163" s="7">
        <v>1.1457136449351377E-2</v>
      </c>
      <c r="C163" s="7">
        <v>4.6446473101533657E-3</v>
      </c>
      <c r="D163" s="8">
        <v>0</v>
      </c>
      <c r="E163" s="8">
        <v>1</v>
      </c>
      <c r="F163" s="8">
        <v>377</v>
      </c>
      <c r="G163" s="7">
        <v>2.0584963623272376E-2</v>
      </c>
      <c r="H163" s="7">
        <v>6.8587892804406088E-3</v>
      </c>
      <c r="I163" s="8">
        <v>0</v>
      </c>
      <c r="J163" s="8">
        <v>1</v>
      </c>
      <c r="K163" s="8">
        <v>473</v>
      </c>
      <c r="L163" s="7">
        <v>7.0996410257994622E-2</v>
      </c>
      <c r="M163" s="7">
        <v>1.252912923237671E-2</v>
      </c>
      <c r="N163" s="8">
        <v>0</v>
      </c>
      <c r="O163" s="8">
        <v>1</v>
      </c>
      <c r="P163" s="8">
        <v>443</v>
      </c>
      <c r="Q163" s="7">
        <v>5.0630794411700999E-2</v>
      </c>
      <c r="R163" s="7">
        <v>1.0815749508243298E-2</v>
      </c>
      <c r="S163" s="8">
        <v>0</v>
      </c>
      <c r="T163" s="8">
        <v>1</v>
      </c>
      <c r="U163" s="8">
        <v>423</v>
      </c>
      <c r="V163" s="7">
        <v>1.7091392101286209E-2</v>
      </c>
      <c r="W163" s="7">
        <v>3.9414895332473051E-3</v>
      </c>
      <c r="X163" s="8">
        <v>0</v>
      </c>
      <c r="Y163" s="8">
        <v>1</v>
      </c>
      <c r="Z163" s="8">
        <v>1073</v>
      </c>
      <c r="AA163" s="7">
        <v>4.6647707162626499E-2</v>
      </c>
      <c r="AB163" s="7">
        <v>5.889810447475355E-3</v>
      </c>
      <c r="AC163" s="8">
        <v>0</v>
      </c>
      <c r="AD163" s="8">
        <v>1</v>
      </c>
      <c r="AE163" s="8">
        <v>2789</v>
      </c>
      <c r="AF163">
        <f>(AA165/AA164)-AA163</f>
        <v>8.8868101101017144E-3</v>
      </c>
    </row>
    <row r="164" spans="1:32" x14ac:dyDescent="0.45">
      <c r="A164" s="6" t="s">
        <v>40</v>
      </c>
      <c r="B164" s="7">
        <v>0.24786641106498949</v>
      </c>
      <c r="C164" s="7">
        <v>2.3847850003411539E-2</v>
      </c>
      <c r="D164" s="8">
        <v>0</v>
      </c>
      <c r="E164" s="8">
        <v>1</v>
      </c>
      <c r="F164" s="8">
        <v>377</v>
      </c>
      <c r="G164" s="7">
        <v>0.31149999401439304</v>
      </c>
      <c r="H164" s="7">
        <v>2.2025125692018081E-2</v>
      </c>
      <c r="I164" s="8">
        <v>0</v>
      </c>
      <c r="J164" s="8">
        <v>1</v>
      </c>
      <c r="K164" s="8">
        <v>473</v>
      </c>
      <c r="L164" s="7">
        <v>0.27873695588735009</v>
      </c>
      <c r="M164" s="7">
        <v>2.1757269898733667E-2</v>
      </c>
      <c r="N164" s="8">
        <v>0</v>
      </c>
      <c r="O164" s="8">
        <v>1</v>
      </c>
      <c r="P164" s="8">
        <v>443</v>
      </c>
      <c r="Q164" s="7">
        <v>0.7144739729494628</v>
      </c>
      <c r="R164" s="7">
        <v>2.2433009195978806E-2</v>
      </c>
      <c r="S164" s="8">
        <v>0</v>
      </c>
      <c r="T164" s="8">
        <v>1</v>
      </c>
      <c r="U164" s="8">
        <v>423</v>
      </c>
      <c r="V164" s="7">
        <v>0.42578593556370831</v>
      </c>
      <c r="W164" s="7">
        <v>2.0859115306836037E-2</v>
      </c>
      <c r="X164" s="8">
        <v>0</v>
      </c>
      <c r="Y164" s="8">
        <v>1</v>
      </c>
      <c r="Z164" s="8">
        <v>1073</v>
      </c>
      <c r="AA164" s="7">
        <v>0.38890886648264583</v>
      </c>
      <c r="AB164" s="7">
        <v>1.2688043853195404E-2</v>
      </c>
      <c r="AC164" s="8">
        <v>0</v>
      </c>
      <c r="AD164" s="8">
        <v>1</v>
      </c>
      <c r="AE164" s="8">
        <v>2789</v>
      </c>
      <c r="AF164">
        <f>(AA165/AA163)-AA164</f>
        <v>7.4090656471433258E-2</v>
      </c>
    </row>
    <row r="165" spans="1:32" ht="26.25" x14ac:dyDescent="0.45">
      <c r="A165" s="6" t="s">
        <v>83</v>
      </c>
      <c r="B165" s="7">
        <v>0</v>
      </c>
      <c r="C165" s="7">
        <v>0</v>
      </c>
      <c r="D165" s="8">
        <v>0</v>
      </c>
      <c r="E165" s="8">
        <v>0</v>
      </c>
      <c r="F165" s="8">
        <v>377</v>
      </c>
      <c r="G165" s="7">
        <v>4.5901956703004445E-3</v>
      </c>
      <c r="H165" s="7">
        <v>3.2460040879582013E-3</v>
      </c>
      <c r="I165" s="8">
        <v>0</v>
      </c>
      <c r="J165" s="8">
        <v>1</v>
      </c>
      <c r="K165" s="8">
        <v>473</v>
      </c>
      <c r="L165" s="7">
        <v>2.3550625691630182E-2</v>
      </c>
      <c r="M165" s="7">
        <v>7.3701275928240708E-3</v>
      </c>
      <c r="N165" s="8">
        <v>0</v>
      </c>
      <c r="O165" s="8">
        <v>1</v>
      </c>
      <c r="P165" s="8">
        <v>443</v>
      </c>
      <c r="Q165" s="7">
        <v>4.822124953603775E-2</v>
      </c>
      <c r="R165" s="7">
        <v>1.0569823464898948E-2</v>
      </c>
      <c r="S165" s="8">
        <v>0</v>
      </c>
      <c r="T165" s="8">
        <v>1</v>
      </c>
      <c r="U165" s="8">
        <v>423</v>
      </c>
      <c r="V165" s="7">
        <v>3.3059681162325204E-3</v>
      </c>
      <c r="W165" s="7">
        <v>2.06034105844241E-3</v>
      </c>
      <c r="X165" s="8">
        <v>0</v>
      </c>
      <c r="Y165" s="8">
        <v>1</v>
      </c>
      <c r="Z165" s="8">
        <v>1073</v>
      </c>
      <c r="AA165" s="7">
        <v>2.1597866163197647E-2</v>
      </c>
      <c r="AB165" s="7">
        <v>3.8934492852108955E-3</v>
      </c>
      <c r="AC165" s="8">
        <v>0</v>
      </c>
      <c r="AD165" s="8">
        <v>1</v>
      </c>
      <c r="AE165" s="8">
        <v>2789</v>
      </c>
    </row>
    <row r="166" spans="1:32" x14ac:dyDescent="0.45">
      <c r="A166" s="6" t="s">
        <v>30</v>
      </c>
      <c r="B166" s="7">
        <v>1.1457136449351377E-2</v>
      </c>
      <c r="C166" s="7">
        <v>4.6446473101533657E-3</v>
      </c>
      <c r="D166" s="8">
        <v>0</v>
      </c>
      <c r="E166" s="8">
        <v>1</v>
      </c>
      <c r="F166" s="8">
        <v>377</v>
      </c>
      <c r="G166" s="7">
        <v>2.0584963623272376E-2</v>
      </c>
      <c r="H166" s="7">
        <v>6.8587892804406088E-3</v>
      </c>
      <c r="I166" s="8">
        <v>0</v>
      </c>
      <c r="J166" s="8">
        <v>1</v>
      </c>
      <c r="K166" s="8">
        <v>473</v>
      </c>
      <c r="L166" s="7">
        <v>7.0996410257994622E-2</v>
      </c>
      <c r="M166" s="7">
        <v>1.252912923237671E-2</v>
      </c>
      <c r="N166" s="8">
        <v>0</v>
      </c>
      <c r="O166" s="8">
        <v>1</v>
      </c>
      <c r="P166" s="8">
        <v>443</v>
      </c>
      <c r="Q166" s="7">
        <v>5.0630794411700999E-2</v>
      </c>
      <c r="R166" s="7">
        <v>1.0815749508243298E-2</v>
      </c>
      <c r="S166" s="8">
        <v>0</v>
      </c>
      <c r="T166" s="8">
        <v>1</v>
      </c>
      <c r="U166" s="8">
        <v>423</v>
      </c>
      <c r="V166" s="7">
        <v>1.7091392101286209E-2</v>
      </c>
      <c r="W166" s="7">
        <v>3.9414895332473051E-3</v>
      </c>
      <c r="X166" s="8">
        <v>0</v>
      </c>
      <c r="Y166" s="8">
        <v>1</v>
      </c>
      <c r="Z166" s="8">
        <v>1073</v>
      </c>
      <c r="AA166" s="7">
        <v>4.6647707162626499E-2</v>
      </c>
      <c r="AB166" s="7">
        <v>5.889810447475355E-3</v>
      </c>
      <c r="AC166" s="8">
        <v>0</v>
      </c>
      <c r="AD166" s="8">
        <v>1</v>
      </c>
      <c r="AE166" s="8">
        <v>2789</v>
      </c>
      <c r="AF166">
        <f>(AA168/AA167)-AA166</f>
        <v>-2.4792159256521413E-2</v>
      </c>
    </row>
    <row r="167" spans="1:32" x14ac:dyDescent="0.45">
      <c r="A167" s="6" t="s">
        <v>42</v>
      </c>
      <c r="B167" s="7">
        <v>0.25408442278087268</v>
      </c>
      <c r="C167" s="7">
        <v>2.3890244562588821E-2</v>
      </c>
      <c r="D167" s="8">
        <v>0</v>
      </c>
      <c r="E167" s="8">
        <v>1</v>
      </c>
      <c r="F167" s="8">
        <v>377</v>
      </c>
      <c r="G167" s="7">
        <v>0.38956592850901783</v>
      </c>
      <c r="H167" s="7">
        <v>2.3227425068734729E-2</v>
      </c>
      <c r="I167" s="8">
        <v>0</v>
      </c>
      <c r="J167" s="8">
        <v>1</v>
      </c>
      <c r="K167" s="8">
        <v>473</v>
      </c>
      <c r="L167" s="7">
        <v>0.29434907940891936</v>
      </c>
      <c r="M167" s="7">
        <v>2.2760326811863539E-2</v>
      </c>
      <c r="N167" s="8">
        <v>0</v>
      </c>
      <c r="O167" s="8">
        <v>1</v>
      </c>
      <c r="P167" s="8">
        <v>443</v>
      </c>
      <c r="Q167" s="7">
        <v>0.48120800183961793</v>
      </c>
      <c r="R167" s="7">
        <v>2.4961710177192679E-2</v>
      </c>
      <c r="S167" s="8">
        <v>0</v>
      </c>
      <c r="T167" s="8">
        <v>1</v>
      </c>
      <c r="U167" s="8">
        <v>423</v>
      </c>
      <c r="V167" s="7">
        <v>0.3185812605122561</v>
      </c>
      <c r="W167" s="7">
        <v>1.8993252911173444E-2</v>
      </c>
      <c r="X167" s="8">
        <v>0</v>
      </c>
      <c r="Y167" s="8">
        <v>1</v>
      </c>
      <c r="Z167" s="8">
        <v>1073</v>
      </c>
      <c r="AA167" s="7">
        <v>0.36087108047955696</v>
      </c>
      <c r="AB167" s="7">
        <v>1.2672536005467003E-2</v>
      </c>
      <c r="AC167" s="8">
        <v>0</v>
      </c>
      <c r="AD167" s="8">
        <v>1</v>
      </c>
      <c r="AE167" s="8">
        <v>2789</v>
      </c>
      <c r="AF167">
        <f>(AA168/AA166)-AA167</f>
        <v>-0.19179449200217419</v>
      </c>
    </row>
    <row r="168" spans="1:32" ht="26.25" x14ac:dyDescent="0.45">
      <c r="A168" s="6" t="s">
        <v>84</v>
      </c>
      <c r="B168" s="7">
        <v>2.6937910839434794E-3</v>
      </c>
      <c r="C168" s="7">
        <v>2.6946061702645429E-3</v>
      </c>
      <c r="D168" s="8">
        <v>0</v>
      </c>
      <c r="E168" s="8">
        <v>1</v>
      </c>
      <c r="F168" s="8">
        <v>377</v>
      </c>
      <c r="G168" s="7">
        <v>8.902772094384977E-3</v>
      </c>
      <c r="H168" s="7">
        <v>4.5261515873826772E-3</v>
      </c>
      <c r="I168" s="8">
        <v>0</v>
      </c>
      <c r="J168" s="8">
        <v>1</v>
      </c>
      <c r="K168" s="8">
        <v>473</v>
      </c>
      <c r="L168" s="7">
        <v>0</v>
      </c>
      <c r="M168" s="7">
        <v>0</v>
      </c>
      <c r="N168" s="8">
        <v>0</v>
      </c>
      <c r="O168" s="8">
        <v>0</v>
      </c>
      <c r="P168" s="8">
        <v>443</v>
      </c>
      <c r="Q168" s="7">
        <v>2.2695935441947552E-2</v>
      </c>
      <c r="R168" s="7">
        <v>7.5016645736425431E-3</v>
      </c>
      <c r="S168" s="8">
        <v>0</v>
      </c>
      <c r="T168" s="8">
        <v>1</v>
      </c>
      <c r="U168" s="8">
        <v>423</v>
      </c>
      <c r="V168" s="7">
        <v>3.9584312578574065E-3</v>
      </c>
      <c r="W168" s="7">
        <v>1.5552523413952398E-3</v>
      </c>
      <c r="X168" s="8">
        <v>0</v>
      </c>
      <c r="Y168" s="8">
        <v>1</v>
      </c>
      <c r="Z168" s="8">
        <v>1073</v>
      </c>
      <c r="AA168" s="7">
        <v>7.887035187348861E-3</v>
      </c>
      <c r="AB168" s="7">
        <v>2.1208782847286353E-3</v>
      </c>
      <c r="AC168" s="8">
        <v>0</v>
      </c>
      <c r="AD168" s="8">
        <v>1</v>
      </c>
      <c r="AE168" s="8">
        <v>2789</v>
      </c>
    </row>
    <row r="169" spans="1:32" x14ac:dyDescent="0.45">
      <c r="A169" s="6" t="s">
        <v>30</v>
      </c>
      <c r="B169" s="7">
        <v>1.1457136449351377E-2</v>
      </c>
      <c r="C169" s="7">
        <v>4.6446473101533657E-3</v>
      </c>
      <c r="D169" s="8">
        <v>0</v>
      </c>
      <c r="E169" s="8">
        <v>1</v>
      </c>
      <c r="F169" s="8">
        <v>377</v>
      </c>
      <c r="G169" s="7">
        <v>2.0584963623272376E-2</v>
      </c>
      <c r="H169" s="7">
        <v>6.8587892804406088E-3</v>
      </c>
      <c r="I169" s="8">
        <v>0</v>
      </c>
      <c r="J169" s="8">
        <v>1</v>
      </c>
      <c r="K169" s="8">
        <v>473</v>
      </c>
      <c r="L169" s="7">
        <v>7.0996410257994622E-2</v>
      </c>
      <c r="M169" s="7">
        <v>1.252912923237671E-2</v>
      </c>
      <c r="N169" s="8">
        <v>0</v>
      </c>
      <c r="O169" s="8">
        <v>1</v>
      </c>
      <c r="P169" s="8">
        <v>443</v>
      </c>
      <c r="Q169" s="7">
        <v>5.0630794411700999E-2</v>
      </c>
      <c r="R169" s="7">
        <v>1.0815749508243298E-2</v>
      </c>
      <c r="S169" s="8">
        <v>0</v>
      </c>
      <c r="T169" s="8">
        <v>1</v>
      </c>
      <c r="U169" s="8">
        <v>423</v>
      </c>
      <c r="V169" s="7">
        <v>1.7091392101286209E-2</v>
      </c>
      <c r="W169" s="7">
        <v>3.9414895332473051E-3</v>
      </c>
      <c r="X169" s="8">
        <v>0</v>
      </c>
      <c r="Y169" s="8">
        <v>1</v>
      </c>
      <c r="Z169" s="8">
        <v>1073</v>
      </c>
      <c r="AA169" s="7">
        <v>4.6647707162626499E-2</v>
      </c>
      <c r="AB169" s="7">
        <v>5.889810447475355E-3</v>
      </c>
      <c r="AC169" s="8">
        <v>0</v>
      </c>
      <c r="AD169" s="8">
        <v>1</v>
      </c>
      <c r="AE169" s="8">
        <v>2789</v>
      </c>
      <c r="AF169">
        <f>(AA171/AA170)-AA169</f>
        <v>-2.1489918640079236E-2</v>
      </c>
    </row>
    <row r="170" spans="1:32" x14ac:dyDescent="0.45">
      <c r="A170" s="6" t="s">
        <v>44</v>
      </c>
      <c r="B170" s="7">
        <v>8.0786565347683054E-2</v>
      </c>
      <c r="C170" s="7">
        <v>1.5016123840370335E-2</v>
      </c>
      <c r="D170" s="8">
        <v>0</v>
      </c>
      <c r="E170" s="8">
        <v>1</v>
      </c>
      <c r="F170" s="8">
        <v>377</v>
      </c>
      <c r="G170" s="7">
        <v>9.1853674780647654E-2</v>
      </c>
      <c r="H170" s="7">
        <v>1.3604205216173792E-2</v>
      </c>
      <c r="I170" s="8">
        <v>0</v>
      </c>
      <c r="J170" s="8">
        <v>1</v>
      </c>
      <c r="K170" s="8">
        <v>473</v>
      </c>
      <c r="L170" s="7">
        <v>4.9754031578703402E-2</v>
      </c>
      <c r="M170" s="7">
        <v>1.103367216294986E-2</v>
      </c>
      <c r="N170" s="8">
        <v>0</v>
      </c>
      <c r="O170" s="8">
        <v>1</v>
      </c>
      <c r="P170" s="8">
        <v>443</v>
      </c>
      <c r="Q170" s="7">
        <v>0.15234303743644023</v>
      </c>
      <c r="R170" s="7">
        <v>1.7921333577869139E-2</v>
      </c>
      <c r="S170" s="8">
        <v>0</v>
      </c>
      <c r="T170" s="8">
        <v>1</v>
      </c>
      <c r="U170" s="8">
        <v>423</v>
      </c>
      <c r="V170" s="7">
        <v>8.2961551505331077E-2</v>
      </c>
      <c r="W170" s="7">
        <v>8.9475819872891042E-3</v>
      </c>
      <c r="X170" s="8">
        <v>0</v>
      </c>
      <c r="Y170" s="8">
        <v>1</v>
      </c>
      <c r="Z170" s="8">
        <v>1073</v>
      </c>
      <c r="AA170" s="7">
        <v>8.7706153685111046E-2</v>
      </c>
      <c r="AB170" s="7">
        <v>7.1838488407195067E-3</v>
      </c>
      <c r="AC170" s="8">
        <v>0</v>
      </c>
      <c r="AD170" s="8">
        <v>1</v>
      </c>
      <c r="AE170" s="8">
        <v>2789</v>
      </c>
      <c r="AF170">
        <f>(AA171/AA169)-AA170</f>
        <v>-4.040494638581929E-2</v>
      </c>
    </row>
    <row r="171" spans="1:32" ht="26.25" x14ac:dyDescent="0.45">
      <c r="A171" s="6" t="s">
        <v>85</v>
      </c>
      <c r="B171" s="7">
        <v>0</v>
      </c>
      <c r="C171" s="7">
        <v>0</v>
      </c>
      <c r="D171" s="8">
        <v>0</v>
      </c>
      <c r="E171" s="8">
        <v>0</v>
      </c>
      <c r="F171" s="8">
        <v>377</v>
      </c>
      <c r="G171" s="7">
        <v>2.1755638733833333E-3</v>
      </c>
      <c r="H171" s="7">
        <v>2.1755942108386602E-3</v>
      </c>
      <c r="I171" s="8">
        <v>0</v>
      </c>
      <c r="J171" s="8">
        <v>1</v>
      </c>
      <c r="K171" s="8">
        <v>473</v>
      </c>
      <c r="L171" s="7">
        <v>0</v>
      </c>
      <c r="M171" s="7">
        <v>0</v>
      </c>
      <c r="N171" s="8">
        <v>0</v>
      </c>
      <c r="O171" s="8">
        <v>0</v>
      </c>
      <c r="P171" s="8">
        <v>443</v>
      </c>
      <c r="Q171" s="7">
        <v>7.128793143799184E-3</v>
      </c>
      <c r="R171" s="7">
        <v>4.1074584859656822E-3</v>
      </c>
      <c r="S171" s="8">
        <v>0</v>
      </c>
      <c r="T171" s="8">
        <v>1</v>
      </c>
      <c r="U171" s="8">
        <v>423</v>
      </c>
      <c r="V171" s="7">
        <v>0</v>
      </c>
      <c r="W171" s="7">
        <v>0</v>
      </c>
      <c r="X171" s="8">
        <v>0</v>
      </c>
      <c r="Y171" s="8">
        <v>0</v>
      </c>
      <c r="Z171" s="8">
        <v>1073</v>
      </c>
      <c r="AA171" s="7">
        <v>2.206492866536053E-3</v>
      </c>
      <c r="AB171" s="7">
        <v>1.1041620710104836E-3</v>
      </c>
      <c r="AC171" s="8">
        <v>0</v>
      </c>
      <c r="AD171" s="8">
        <v>1</v>
      </c>
      <c r="AE171" s="8">
        <v>2789</v>
      </c>
    </row>
    <row r="172" spans="1:32" x14ac:dyDescent="0.45">
      <c r="A172" s="6" t="s">
        <v>30</v>
      </c>
      <c r="B172" s="7">
        <v>1.1457136449351377E-2</v>
      </c>
      <c r="C172" s="7">
        <v>4.6446473101533657E-3</v>
      </c>
      <c r="D172" s="8">
        <v>0</v>
      </c>
      <c r="E172" s="8">
        <v>1</v>
      </c>
      <c r="F172" s="8">
        <v>377</v>
      </c>
      <c r="G172" s="7">
        <v>2.0584963623272376E-2</v>
      </c>
      <c r="H172" s="7">
        <v>6.8587892804406088E-3</v>
      </c>
      <c r="I172" s="8">
        <v>0</v>
      </c>
      <c r="J172" s="8">
        <v>1</v>
      </c>
      <c r="K172" s="8">
        <v>473</v>
      </c>
      <c r="L172" s="7">
        <v>7.0996410257994622E-2</v>
      </c>
      <c r="M172" s="7">
        <v>1.252912923237671E-2</v>
      </c>
      <c r="N172" s="8">
        <v>0</v>
      </c>
      <c r="O172" s="8">
        <v>1</v>
      </c>
      <c r="P172" s="8">
        <v>443</v>
      </c>
      <c r="Q172" s="7">
        <v>5.0630794411700999E-2</v>
      </c>
      <c r="R172" s="7">
        <v>1.0815749508243298E-2</v>
      </c>
      <c r="S172" s="8">
        <v>0</v>
      </c>
      <c r="T172" s="8">
        <v>1</v>
      </c>
      <c r="U172" s="8">
        <v>423</v>
      </c>
      <c r="V172" s="7">
        <v>1.7091392101286209E-2</v>
      </c>
      <c r="W172" s="7">
        <v>3.9414895332473051E-3</v>
      </c>
      <c r="X172" s="8">
        <v>0</v>
      </c>
      <c r="Y172" s="8">
        <v>1</v>
      </c>
      <c r="Z172" s="8">
        <v>1073</v>
      </c>
      <c r="AA172" s="7">
        <v>4.6647707162626499E-2</v>
      </c>
      <c r="AB172" s="7">
        <v>5.889810447475355E-3</v>
      </c>
      <c r="AC172" s="8">
        <v>0</v>
      </c>
      <c r="AD172" s="8">
        <v>1</v>
      </c>
      <c r="AE172" s="8">
        <v>2789</v>
      </c>
      <c r="AF172">
        <f>(AA174/AA173)-AA172</f>
        <v>4.8663016692881769E-3</v>
      </c>
    </row>
    <row r="173" spans="1:32" ht="39.4" x14ac:dyDescent="0.45">
      <c r="A173" s="6" t="s">
        <v>16</v>
      </c>
      <c r="B173" s="7">
        <v>0.51199366560399728</v>
      </c>
      <c r="C173" s="7">
        <v>2.9021889994445865E-2</v>
      </c>
      <c r="D173" s="8">
        <v>0</v>
      </c>
      <c r="E173" s="8">
        <v>1</v>
      </c>
      <c r="F173" s="8">
        <v>377</v>
      </c>
      <c r="G173" s="7">
        <v>0.75248336082973521</v>
      </c>
      <c r="H173" s="7">
        <v>2.0449467587927744E-2</v>
      </c>
      <c r="I173" s="8">
        <v>0</v>
      </c>
      <c r="J173" s="8">
        <v>1</v>
      </c>
      <c r="K173" s="8">
        <v>473</v>
      </c>
      <c r="L173" s="7">
        <v>0.55666891088221959</v>
      </c>
      <c r="M173" s="7">
        <v>2.4460269691669399E-2</v>
      </c>
      <c r="N173" s="8">
        <v>0</v>
      </c>
      <c r="O173" s="8">
        <v>1</v>
      </c>
      <c r="P173" s="8">
        <v>443</v>
      </c>
      <c r="Q173" s="7">
        <v>0.83603306383602227</v>
      </c>
      <c r="R173" s="7">
        <v>1.8289048327108152E-2</v>
      </c>
      <c r="S173" s="8">
        <v>0</v>
      </c>
      <c r="T173" s="8">
        <v>1</v>
      </c>
      <c r="U173" s="8">
        <v>423</v>
      </c>
      <c r="V173" s="7">
        <v>0.44289642409572316</v>
      </c>
      <c r="W173" s="7">
        <v>2.1056261249825466E-2</v>
      </c>
      <c r="X173" s="8">
        <v>0</v>
      </c>
      <c r="Y173" s="8">
        <v>1</v>
      </c>
      <c r="Z173" s="8">
        <v>1073</v>
      </c>
      <c r="AA173" s="7">
        <v>0.66677630791100306</v>
      </c>
      <c r="AB173" s="7">
        <v>1.2587121178159334E-2</v>
      </c>
      <c r="AC173" s="8">
        <v>0</v>
      </c>
      <c r="AD173" s="8">
        <v>1</v>
      </c>
      <c r="AE173" s="8">
        <v>2789</v>
      </c>
      <c r="AF173">
        <f>(AA174/AA172)-AA173</f>
        <v>6.9558288233054988E-2</v>
      </c>
    </row>
    <row r="174" spans="1:32" ht="26.25" x14ac:dyDescent="0.45">
      <c r="A174" s="6" t="s">
        <v>86</v>
      </c>
      <c r="B174" s="7">
        <v>5.2905387623784347E-3</v>
      </c>
      <c r="C174" s="7">
        <v>3.7392533073919336E-3</v>
      </c>
      <c r="D174" s="8">
        <v>0</v>
      </c>
      <c r="E174" s="8">
        <v>1</v>
      </c>
      <c r="F174" s="8">
        <v>377</v>
      </c>
      <c r="G174" s="7">
        <v>1.3507588489640955E-2</v>
      </c>
      <c r="H174" s="7">
        <v>5.5580590376603069E-3</v>
      </c>
      <c r="I174" s="8">
        <v>0</v>
      </c>
      <c r="J174" s="8">
        <v>1</v>
      </c>
      <c r="K174" s="8">
        <v>473</v>
      </c>
      <c r="L174" s="7">
        <v>4.7161121766047052E-2</v>
      </c>
      <c r="M174" s="7">
        <v>1.0323115599938659E-2</v>
      </c>
      <c r="N174" s="8">
        <v>0</v>
      </c>
      <c r="O174" s="8">
        <v>1</v>
      </c>
      <c r="P174" s="8">
        <v>443</v>
      </c>
      <c r="Q174" s="7">
        <v>5.0630794411700999E-2</v>
      </c>
      <c r="R174" s="7">
        <v>1.0815749508243298E-2</v>
      </c>
      <c r="S174" s="8">
        <v>0</v>
      </c>
      <c r="T174" s="8">
        <v>1</v>
      </c>
      <c r="U174" s="8">
        <v>423</v>
      </c>
      <c r="V174" s="7">
        <v>3.6203563050884709E-3</v>
      </c>
      <c r="W174" s="7">
        <v>2.0843747526608494E-3</v>
      </c>
      <c r="X174" s="8">
        <v>0</v>
      </c>
      <c r="Y174" s="8">
        <v>1</v>
      </c>
      <c r="Z174" s="8">
        <v>1073</v>
      </c>
      <c r="AA174" s="7">
        <v>3.4348320614638869E-2</v>
      </c>
      <c r="AB174" s="7">
        <v>5.0298116646832515E-3</v>
      </c>
      <c r="AC174" s="8">
        <v>0</v>
      </c>
      <c r="AD174" s="8">
        <v>1</v>
      </c>
      <c r="AE174" s="8">
        <v>2789</v>
      </c>
    </row>
    <row r="175" spans="1:32" x14ac:dyDescent="0.45">
      <c r="A175" s="6" t="s">
        <v>30</v>
      </c>
      <c r="B175" s="7">
        <v>1.1457136449351377E-2</v>
      </c>
      <c r="C175" s="7">
        <v>4.6446473101533657E-3</v>
      </c>
      <c r="D175" s="8">
        <v>0</v>
      </c>
      <c r="E175" s="8">
        <v>1</v>
      </c>
      <c r="F175" s="8">
        <v>377</v>
      </c>
      <c r="G175" s="7">
        <v>2.0584963623272376E-2</v>
      </c>
      <c r="H175" s="7">
        <v>6.8587892804406088E-3</v>
      </c>
      <c r="I175" s="8">
        <v>0</v>
      </c>
      <c r="J175" s="8">
        <v>1</v>
      </c>
      <c r="K175" s="8">
        <v>473</v>
      </c>
      <c r="L175" s="7">
        <v>7.0996410257994622E-2</v>
      </c>
      <c r="M175" s="7">
        <v>1.252912923237671E-2</v>
      </c>
      <c r="N175" s="8">
        <v>0</v>
      </c>
      <c r="O175" s="8">
        <v>1</v>
      </c>
      <c r="P175" s="8">
        <v>443</v>
      </c>
      <c r="Q175" s="7">
        <v>5.0630794411700999E-2</v>
      </c>
      <c r="R175" s="7">
        <v>1.0815749508243298E-2</v>
      </c>
      <c r="S175" s="8">
        <v>0</v>
      </c>
      <c r="T175" s="8">
        <v>1</v>
      </c>
      <c r="U175" s="8">
        <v>423</v>
      </c>
      <c r="V175" s="7">
        <v>1.7091392101286209E-2</v>
      </c>
      <c r="W175" s="7">
        <v>3.9414895332473051E-3</v>
      </c>
      <c r="X175" s="8">
        <v>0</v>
      </c>
      <c r="Y175" s="8">
        <v>1</v>
      </c>
      <c r="Z175" s="8">
        <v>1073</v>
      </c>
      <c r="AA175" s="7">
        <v>4.6647707162626499E-2</v>
      </c>
      <c r="AB175" s="7">
        <v>5.889810447475355E-3</v>
      </c>
      <c r="AC175" s="8">
        <v>0</v>
      </c>
      <c r="AD175" s="8">
        <v>1</v>
      </c>
      <c r="AE175" s="8">
        <v>2789</v>
      </c>
      <c r="AF175">
        <f>(AA177/AA176)-AA175</f>
        <v>-6.1861922260565347E-3</v>
      </c>
    </row>
    <row r="176" spans="1:32" ht="39.4" x14ac:dyDescent="0.45">
      <c r="A176" s="6" t="s">
        <v>18</v>
      </c>
      <c r="B176" s="7">
        <v>0.57798625450849994</v>
      </c>
      <c r="C176" s="7">
        <v>2.931190088877576E-2</v>
      </c>
      <c r="D176" s="8">
        <v>0</v>
      </c>
      <c r="E176" s="8">
        <v>1</v>
      </c>
      <c r="F176" s="8">
        <v>377</v>
      </c>
      <c r="G176" s="7">
        <v>0.7759090962333085</v>
      </c>
      <c r="H176" s="7">
        <v>1.9819100780919589E-2</v>
      </c>
      <c r="I176" s="8">
        <v>0</v>
      </c>
      <c r="J176" s="8">
        <v>1</v>
      </c>
      <c r="K176" s="8">
        <v>473</v>
      </c>
      <c r="L176" s="7">
        <v>0.54937707697091009</v>
      </c>
      <c r="M176" s="7">
        <v>2.442131248989543E-2</v>
      </c>
      <c r="N176" s="8">
        <v>0</v>
      </c>
      <c r="O176" s="8">
        <v>1</v>
      </c>
      <c r="P176" s="8">
        <v>443</v>
      </c>
      <c r="Q176" s="7">
        <v>0.74315598481496103</v>
      </c>
      <c r="R176" s="7">
        <v>2.153023882484394E-2</v>
      </c>
      <c r="S176" s="8">
        <v>0</v>
      </c>
      <c r="T176" s="8">
        <v>1</v>
      </c>
      <c r="U176" s="8">
        <v>423</v>
      </c>
      <c r="V176" s="7">
        <v>0.39927975706290247</v>
      </c>
      <c r="W176" s="7">
        <v>2.0519705334594719E-2</v>
      </c>
      <c r="X176" s="8">
        <v>0</v>
      </c>
      <c r="Y176" s="8">
        <v>1</v>
      </c>
      <c r="Z176" s="8">
        <v>1073</v>
      </c>
      <c r="AA176" s="7">
        <v>0.65235181396445241</v>
      </c>
      <c r="AB176" s="7">
        <v>1.2624611213770981E-2</v>
      </c>
      <c r="AC176" s="8">
        <v>0</v>
      </c>
      <c r="AD176" s="8">
        <v>1</v>
      </c>
      <c r="AE176" s="8">
        <v>2789</v>
      </c>
      <c r="AF176">
        <f>(AA177/AA175)-AA176</f>
        <v>-8.6511727278077655E-2</v>
      </c>
    </row>
    <row r="177" spans="1:32" ht="26.25" x14ac:dyDescent="0.45">
      <c r="A177" s="6" t="s">
        <v>87</v>
      </c>
      <c r="B177" s="7">
        <v>5.2905387623784347E-3</v>
      </c>
      <c r="C177" s="7">
        <v>3.7392533073919336E-3</v>
      </c>
      <c r="D177" s="8">
        <v>0</v>
      </c>
      <c r="E177" s="8">
        <v>1</v>
      </c>
      <c r="F177" s="8">
        <v>377</v>
      </c>
      <c r="G177" s="7">
        <v>1.3507588489640955E-2</v>
      </c>
      <c r="H177" s="7">
        <v>5.5580590376603069E-3</v>
      </c>
      <c r="I177" s="8">
        <v>0</v>
      </c>
      <c r="J177" s="8">
        <v>1</v>
      </c>
      <c r="K177" s="8">
        <v>473</v>
      </c>
      <c r="L177" s="7">
        <v>3.0610023371017942E-2</v>
      </c>
      <c r="M177" s="7">
        <v>8.3860199096897417E-3</v>
      </c>
      <c r="N177" s="8">
        <v>0</v>
      </c>
      <c r="O177" s="8">
        <v>1</v>
      </c>
      <c r="P177" s="8">
        <v>443</v>
      </c>
      <c r="Q177" s="7">
        <v>4.4140686681988991E-2</v>
      </c>
      <c r="R177" s="7">
        <v>1.0202714953389596E-2</v>
      </c>
      <c r="S177" s="8">
        <v>0</v>
      </c>
      <c r="T177" s="8">
        <v>1</v>
      </c>
      <c r="U177" s="8">
        <v>423</v>
      </c>
      <c r="V177" s="7">
        <v>6.0586200214047562E-3</v>
      </c>
      <c r="W177" s="7">
        <v>2.3872864772962071E-3</v>
      </c>
      <c r="X177" s="8">
        <v>0</v>
      </c>
      <c r="Y177" s="8">
        <v>1</v>
      </c>
      <c r="Z177" s="8">
        <v>1073</v>
      </c>
      <c r="AA177" s="7">
        <v>2.6395142664621202E-2</v>
      </c>
      <c r="AB177" s="7">
        <v>4.341390622175507E-3</v>
      </c>
      <c r="AC177" s="8">
        <v>0</v>
      </c>
      <c r="AD177" s="8">
        <v>1</v>
      </c>
      <c r="AE177" s="8">
        <v>2789</v>
      </c>
    </row>
    <row r="178" spans="1:32" x14ac:dyDescent="0.45">
      <c r="A178" s="6" t="s">
        <v>30</v>
      </c>
      <c r="B178" s="7">
        <v>1.1457136449351377E-2</v>
      </c>
      <c r="C178" s="7">
        <v>4.6446473101533657E-3</v>
      </c>
      <c r="D178" s="8">
        <v>0</v>
      </c>
      <c r="E178" s="8">
        <v>1</v>
      </c>
      <c r="F178" s="8">
        <v>377</v>
      </c>
      <c r="G178" s="7">
        <v>2.0584963623272376E-2</v>
      </c>
      <c r="H178" s="7">
        <v>6.8587892804406088E-3</v>
      </c>
      <c r="I178" s="8">
        <v>0</v>
      </c>
      <c r="J178" s="8">
        <v>1</v>
      </c>
      <c r="K178" s="8">
        <v>473</v>
      </c>
      <c r="L178" s="7">
        <v>7.0996410257994622E-2</v>
      </c>
      <c r="M178" s="7">
        <v>1.252912923237671E-2</v>
      </c>
      <c r="N178" s="8">
        <v>0</v>
      </c>
      <c r="O178" s="8">
        <v>1</v>
      </c>
      <c r="P178" s="8">
        <v>443</v>
      </c>
      <c r="Q178" s="7">
        <v>5.0630794411700999E-2</v>
      </c>
      <c r="R178" s="7">
        <v>1.0815749508243298E-2</v>
      </c>
      <c r="S178" s="8">
        <v>0</v>
      </c>
      <c r="T178" s="8">
        <v>1</v>
      </c>
      <c r="U178" s="8">
        <v>423</v>
      </c>
      <c r="V178" s="7">
        <v>1.7091392101286209E-2</v>
      </c>
      <c r="W178" s="7">
        <v>3.9414895332473051E-3</v>
      </c>
      <c r="X178" s="8">
        <v>0</v>
      </c>
      <c r="Y178" s="8">
        <v>1</v>
      </c>
      <c r="Z178" s="8">
        <v>1073</v>
      </c>
      <c r="AA178" s="7">
        <v>4.6647707162626499E-2</v>
      </c>
      <c r="AB178" s="7">
        <v>5.889810447475355E-3</v>
      </c>
      <c r="AC178" s="8">
        <v>0</v>
      </c>
      <c r="AD178" s="8">
        <v>1</v>
      </c>
      <c r="AE178" s="8">
        <v>2789</v>
      </c>
      <c r="AF178">
        <f>(AA180/AA179)-AA178</f>
        <v>1.6798820499516684E-3</v>
      </c>
    </row>
    <row r="179" spans="1:32" ht="39.4" x14ac:dyDescent="0.45">
      <c r="A179" s="6" t="s">
        <v>20</v>
      </c>
      <c r="B179" s="7">
        <v>0.49966441162735731</v>
      </c>
      <c r="C179" s="7">
        <v>2.8926538869362927E-2</v>
      </c>
      <c r="D179" s="8">
        <v>0</v>
      </c>
      <c r="E179" s="8">
        <v>1</v>
      </c>
      <c r="F179" s="8">
        <v>377</v>
      </c>
      <c r="G179" s="7">
        <v>0.694148109652721</v>
      </c>
      <c r="H179" s="7">
        <v>2.1903517365169416E-2</v>
      </c>
      <c r="I179" s="8">
        <v>0</v>
      </c>
      <c r="J179" s="8">
        <v>1</v>
      </c>
      <c r="K179" s="8">
        <v>473</v>
      </c>
      <c r="L179" s="7">
        <v>0.44678685166956866</v>
      </c>
      <c r="M179" s="7">
        <v>2.4472410267060745E-2</v>
      </c>
      <c r="N179" s="8">
        <v>0</v>
      </c>
      <c r="O179" s="8">
        <v>1</v>
      </c>
      <c r="P179" s="8">
        <v>443</v>
      </c>
      <c r="Q179" s="7">
        <v>0.58710843859266493</v>
      </c>
      <c r="R179" s="7">
        <v>2.4491537195724417E-2</v>
      </c>
      <c r="S179" s="8">
        <v>0</v>
      </c>
      <c r="T179" s="8">
        <v>1</v>
      </c>
      <c r="U179" s="8">
        <v>423</v>
      </c>
      <c r="V179" s="7">
        <v>0.24597703605277871</v>
      </c>
      <c r="W179" s="7">
        <v>1.7202819405463813E-2</v>
      </c>
      <c r="X179" s="8">
        <v>0</v>
      </c>
      <c r="Y179" s="8">
        <v>1</v>
      </c>
      <c r="Z179" s="8">
        <v>1073</v>
      </c>
      <c r="AA179" s="7">
        <v>0.54335791656094878</v>
      </c>
      <c r="AB179" s="7">
        <v>1.3167396812010984E-2</v>
      </c>
      <c r="AC179" s="8">
        <v>0</v>
      </c>
      <c r="AD179" s="8">
        <v>1</v>
      </c>
      <c r="AE179" s="8">
        <v>2789</v>
      </c>
      <c r="AF179">
        <f>(AA180/AA178)-AA179</f>
        <v>1.9567461430584077E-2</v>
      </c>
    </row>
    <row r="180" spans="1:32" ht="26.25" x14ac:dyDescent="0.45">
      <c r="A180" s="6" t="s">
        <v>88</v>
      </c>
      <c r="B180" s="7">
        <v>5.2905387623784347E-3</v>
      </c>
      <c r="C180" s="7">
        <v>3.7392533073919336E-3</v>
      </c>
      <c r="D180" s="8">
        <v>0</v>
      </c>
      <c r="E180" s="8">
        <v>1</v>
      </c>
      <c r="F180" s="8">
        <v>377</v>
      </c>
      <c r="G180" s="7">
        <v>1.3507588489640955E-2</v>
      </c>
      <c r="H180" s="7">
        <v>5.5580590376603069E-3</v>
      </c>
      <c r="I180" s="8">
        <v>0</v>
      </c>
      <c r="J180" s="8">
        <v>1</v>
      </c>
      <c r="K180" s="8">
        <v>473</v>
      </c>
      <c r="L180" s="7">
        <v>3.0610023371017942E-2</v>
      </c>
      <c r="M180" s="7">
        <v>8.3860199096897417E-3</v>
      </c>
      <c r="N180" s="8">
        <v>0</v>
      </c>
      <c r="O180" s="8">
        <v>1</v>
      </c>
      <c r="P180" s="8">
        <v>443</v>
      </c>
      <c r="Q180" s="7">
        <v>4.4140686681988991E-2</v>
      </c>
      <c r="R180" s="7">
        <v>1.0202714953389596E-2</v>
      </c>
      <c r="S180" s="8">
        <v>0</v>
      </c>
      <c r="T180" s="8">
        <v>1</v>
      </c>
      <c r="U180" s="8">
        <v>423</v>
      </c>
      <c r="V180" s="7">
        <v>2.100188763547351E-3</v>
      </c>
      <c r="W180" s="7">
        <v>1.8125709572263025E-3</v>
      </c>
      <c r="X180" s="8">
        <v>0</v>
      </c>
      <c r="Y180" s="8">
        <v>1</v>
      </c>
      <c r="Z180" s="8">
        <v>1073</v>
      </c>
      <c r="AA180" s="7">
        <v>2.6259178186959855E-2</v>
      </c>
      <c r="AB180" s="7">
        <v>4.3411129207510711E-3</v>
      </c>
      <c r="AC180" s="8">
        <v>0</v>
      </c>
      <c r="AD180" s="8">
        <v>1</v>
      </c>
      <c r="AE180" s="8">
        <v>2789</v>
      </c>
    </row>
    <row r="181" spans="1:32" x14ac:dyDescent="0.45">
      <c r="A181" s="6" t="s">
        <v>30</v>
      </c>
      <c r="B181" s="7">
        <v>1.1457136449351377E-2</v>
      </c>
      <c r="C181" s="7">
        <v>4.6446473101533657E-3</v>
      </c>
      <c r="D181" s="8">
        <v>0</v>
      </c>
      <c r="E181" s="8">
        <v>1</v>
      </c>
      <c r="F181" s="8">
        <v>377</v>
      </c>
      <c r="G181" s="7">
        <v>2.0584963623272376E-2</v>
      </c>
      <c r="H181" s="7">
        <v>6.8587892804406088E-3</v>
      </c>
      <c r="I181" s="8">
        <v>0</v>
      </c>
      <c r="J181" s="8">
        <v>1</v>
      </c>
      <c r="K181" s="8">
        <v>473</v>
      </c>
      <c r="L181" s="7">
        <v>7.0996410257994622E-2</v>
      </c>
      <c r="M181" s="7">
        <v>1.252912923237671E-2</v>
      </c>
      <c r="N181" s="8">
        <v>0</v>
      </c>
      <c r="O181" s="8">
        <v>1</v>
      </c>
      <c r="P181" s="8">
        <v>443</v>
      </c>
      <c r="Q181" s="7">
        <v>5.0630794411700999E-2</v>
      </c>
      <c r="R181" s="7">
        <v>1.0815749508243298E-2</v>
      </c>
      <c r="S181" s="8">
        <v>0</v>
      </c>
      <c r="T181" s="8">
        <v>1</v>
      </c>
      <c r="U181" s="8">
        <v>423</v>
      </c>
      <c r="V181" s="7">
        <v>1.7091392101286209E-2</v>
      </c>
      <c r="W181" s="7">
        <v>3.9414895332473051E-3</v>
      </c>
      <c r="X181" s="8">
        <v>0</v>
      </c>
      <c r="Y181" s="8">
        <v>1</v>
      </c>
      <c r="Z181" s="8">
        <v>1073</v>
      </c>
      <c r="AA181" s="7">
        <v>4.6647707162626499E-2</v>
      </c>
      <c r="AB181" s="7">
        <v>5.889810447475355E-3</v>
      </c>
      <c r="AC181" s="8">
        <v>0</v>
      </c>
      <c r="AD181" s="8">
        <v>1</v>
      </c>
      <c r="AE181" s="8">
        <v>2789</v>
      </c>
      <c r="AF181">
        <f>(AA183/AA182)-AA181</f>
        <v>-4.9469359645512578E-3</v>
      </c>
    </row>
    <row r="182" spans="1:32" ht="26.25" x14ac:dyDescent="0.45">
      <c r="A182" s="6" t="s">
        <v>22</v>
      </c>
      <c r="B182" s="7">
        <v>0.44337971510161078</v>
      </c>
      <c r="C182" s="7">
        <v>2.8333918098961602E-2</v>
      </c>
      <c r="D182" s="8">
        <v>0</v>
      </c>
      <c r="E182" s="8">
        <v>1</v>
      </c>
      <c r="F182" s="8">
        <v>377</v>
      </c>
      <c r="G182" s="7">
        <v>0.55003587184041547</v>
      </c>
      <c r="H182" s="7">
        <v>2.3701595165381402E-2</v>
      </c>
      <c r="I182" s="8">
        <v>0</v>
      </c>
      <c r="J182" s="8">
        <v>1</v>
      </c>
      <c r="K182" s="8">
        <v>473</v>
      </c>
      <c r="L182" s="7">
        <v>0.47073477299276273</v>
      </c>
      <c r="M182" s="7">
        <v>2.455632484408668E-2</v>
      </c>
      <c r="N182" s="8">
        <v>0</v>
      </c>
      <c r="O182" s="8">
        <v>1</v>
      </c>
      <c r="P182" s="8">
        <v>443</v>
      </c>
      <c r="Q182" s="7">
        <v>0.81611123613737024</v>
      </c>
      <c r="R182" s="7">
        <v>1.9017745333524308E-2</v>
      </c>
      <c r="S182" s="8">
        <v>0</v>
      </c>
      <c r="T182" s="8">
        <v>1</v>
      </c>
      <c r="U182" s="8">
        <v>423</v>
      </c>
      <c r="V182" s="7">
        <v>0.49101498998080567</v>
      </c>
      <c r="W182" s="7">
        <v>2.153423791962325E-2</v>
      </c>
      <c r="X182" s="8">
        <v>0</v>
      </c>
      <c r="Y182" s="8">
        <v>1</v>
      </c>
      <c r="Z182" s="8">
        <v>1073</v>
      </c>
      <c r="AA182" s="7">
        <v>0.56929096770433274</v>
      </c>
      <c r="AB182" s="7">
        <v>1.3133161955805486E-2</v>
      </c>
      <c r="AC182" s="8">
        <v>0</v>
      </c>
      <c r="AD182" s="8">
        <v>1</v>
      </c>
      <c r="AE182" s="8">
        <v>2789</v>
      </c>
      <c r="AF182">
        <f>(AA183/AA181)-AA182</f>
        <v>-6.0372655672283337E-2</v>
      </c>
    </row>
    <row r="183" spans="1:32" ht="26.25" x14ac:dyDescent="0.45">
      <c r="A183" s="6" t="s">
        <v>89</v>
      </c>
      <c r="B183" s="7">
        <v>2.6937910839434794E-3</v>
      </c>
      <c r="C183" s="7">
        <v>2.6946061702645429E-3</v>
      </c>
      <c r="D183" s="8">
        <v>0</v>
      </c>
      <c r="E183" s="8">
        <v>1</v>
      </c>
      <c r="F183" s="8">
        <v>377</v>
      </c>
      <c r="G183" s="7">
        <v>1.131740389130209E-2</v>
      </c>
      <c r="H183" s="7">
        <v>5.1193326268457219E-3</v>
      </c>
      <c r="I183" s="8">
        <v>0</v>
      </c>
      <c r="J183" s="8">
        <v>1</v>
      </c>
      <c r="K183" s="8">
        <v>473</v>
      </c>
      <c r="L183" s="7">
        <v>2.3550625691630182E-2</v>
      </c>
      <c r="M183" s="7">
        <v>7.3701275928240708E-3</v>
      </c>
      <c r="N183" s="8">
        <v>0</v>
      </c>
      <c r="O183" s="8">
        <v>1</v>
      </c>
      <c r="P183" s="8">
        <v>443</v>
      </c>
      <c r="Q183" s="7">
        <v>4.822124953603775E-2</v>
      </c>
      <c r="R183" s="7">
        <v>1.0569823464898948E-2</v>
      </c>
      <c r="S183" s="8">
        <v>0</v>
      </c>
      <c r="T183" s="8">
        <v>1</v>
      </c>
      <c r="U183" s="8">
        <v>423</v>
      </c>
      <c r="V183" s="7">
        <v>6.3195653526336489E-3</v>
      </c>
      <c r="W183" s="7">
        <v>2.4019773929959249E-3</v>
      </c>
      <c r="X183" s="8">
        <v>0</v>
      </c>
      <c r="Y183" s="8">
        <v>1</v>
      </c>
      <c r="Z183" s="8">
        <v>1073</v>
      </c>
      <c r="AA183" s="7">
        <v>2.373987238936922E-2</v>
      </c>
      <c r="AB183" s="7">
        <v>4.0433468180662699E-3</v>
      </c>
      <c r="AC183" s="8">
        <v>0</v>
      </c>
      <c r="AD183" s="8">
        <v>1</v>
      </c>
      <c r="AE183" s="8">
        <v>2789</v>
      </c>
    </row>
    <row r="184" spans="1:32" x14ac:dyDescent="0.45">
      <c r="A184" s="6" t="s">
        <v>30</v>
      </c>
      <c r="B184" s="7">
        <v>1.1457136449351377E-2</v>
      </c>
      <c r="C184" s="7">
        <v>4.6446473101533657E-3</v>
      </c>
      <c r="D184" s="8">
        <v>0</v>
      </c>
      <c r="E184" s="8">
        <v>1</v>
      </c>
      <c r="F184" s="8">
        <v>377</v>
      </c>
      <c r="G184" s="7">
        <v>2.0584963623272376E-2</v>
      </c>
      <c r="H184" s="7">
        <v>6.8587892804406088E-3</v>
      </c>
      <c r="I184" s="8">
        <v>0</v>
      </c>
      <c r="J184" s="8">
        <v>1</v>
      </c>
      <c r="K184" s="8">
        <v>473</v>
      </c>
      <c r="L184" s="7">
        <v>7.0996410257994622E-2</v>
      </c>
      <c r="M184" s="7">
        <v>1.252912923237671E-2</v>
      </c>
      <c r="N184" s="8">
        <v>0</v>
      </c>
      <c r="O184" s="8">
        <v>1</v>
      </c>
      <c r="P184" s="8">
        <v>443</v>
      </c>
      <c r="Q184" s="7">
        <v>5.0630794411700999E-2</v>
      </c>
      <c r="R184" s="7">
        <v>1.0815749508243298E-2</v>
      </c>
      <c r="S184" s="8">
        <v>0</v>
      </c>
      <c r="T184" s="8">
        <v>1</v>
      </c>
      <c r="U184" s="8">
        <v>423</v>
      </c>
      <c r="V184" s="7">
        <v>1.7091392101286209E-2</v>
      </c>
      <c r="W184" s="7">
        <v>3.9414895332473051E-3</v>
      </c>
      <c r="X184" s="8">
        <v>0</v>
      </c>
      <c r="Y184" s="8">
        <v>1</v>
      </c>
      <c r="Z184" s="8">
        <v>1073</v>
      </c>
      <c r="AA184" s="7">
        <v>4.6647707162626499E-2</v>
      </c>
      <c r="AB184" s="7">
        <v>5.889810447475355E-3</v>
      </c>
      <c r="AC184" s="8">
        <v>0</v>
      </c>
      <c r="AD184" s="8">
        <v>1</v>
      </c>
      <c r="AE184" s="8">
        <v>2789</v>
      </c>
      <c r="AF184">
        <f>(AA186/AA185)-AA184</f>
        <v>4.1781488950455095E-3</v>
      </c>
    </row>
    <row r="185" spans="1:32" ht="26.25" x14ac:dyDescent="0.45">
      <c r="A185" s="6" t="s">
        <v>24</v>
      </c>
      <c r="B185" s="7">
        <v>0.3143161872698384</v>
      </c>
      <c r="C185" s="7">
        <v>2.5988451099292102E-2</v>
      </c>
      <c r="D185" s="8">
        <v>0</v>
      </c>
      <c r="E185" s="8">
        <v>1</v>
      </c>
      <c r="F185" s="8">
        <v>377</v>
      </c>
      <c r="G185" s="7">
        <v>0.35720003177347953</v>
      </c>
      <c r="H185" s="7">
        <v>2.2786551411140134E-2</v>
      </c>
      <c r="I185" s="8">
        <v>0</v>
      </c>
      <c r="J185" s="8">
        <v>1</v>
      </c>
      <c r="K185" s="8">
        <v>473</v>
      </c>
      <c r="L185" s="7">
        <v>0.30880783343155294</v>
      </c>
      <c r="M185" s="7">
        <v>2.2515152770261254E-2</v>
      </c>
      <c r="N185" s="8">
        <v>0</v>
      </c>
      <c r="O185" s="8">
        <v>1</v>
      </c>
      <c r="P185" s="8">
        <v>443</v>
      </c>
      <c r="Q185" s="7">
        <v>0.74339061825172903</v>
      </c>
      <c r="R185" s="7">
        <v>2.1616709115009351E-2</v>
      </c>
      <c r="S185" s="8">
        <v>0</v>
      </c>
      <c r="T185" s="8">
        <v>1</v>
      </c>
      <c r="U185" s="8">
        <v>423</v>
      </c>
      <c r="V185" s="7">
        <v>0.44031925904016395</v>
      </c>
      <c r="W185" s="7">
        <v>2.0999240945587205E-2</v>
      </c>
      <c r="X185" s="8">
        <v>0</v>
      </c>
      <c r="Y185" s="8">
        <v>1</v>
      </c>
      <c r="Z185" s="8">
        <v>1073</v>
      </c>
      <c r="AA185" s="7">
        <v>0.42493856155989945</v>
      </c>
      <c r="AB185" s="7">
        <v>1.2928208456969242E-2</v>
      </c>
      <c r="AC185" s="8">
        <v>0</v>
      </c>
      <c r="AD185" s="8">
        <v>1</v>
      </c>
      <c r="AE185" s="8">
        <v>2789</v>
      </c>
      <c r="AF185">
        <f>(AA186/AA184)-AA185</f>
        <v>3.8060961394179638E-2</v>
      </c>
    </row>
    <row r="186" spans="1:32" ht="26.25" x14ac:dyDescent="0.45">
      <c r="A186" s="6" t="s">
        <v>90</v>
      </c>
      <c r="B186" s="7">
        <v>0</v>
      </c>
      <c r="C186" s="7">
        <v>0</v>
      </c>
      <c r="D186" s="8">
        <v>0</v>
      </c>
      <c r="E186" s="8">
        <v>0</v>
      </c>
      <c r="F186" s="8">
        <v>377</v>
      </c>
      <c r="G186" s="7">
        <v>4.5901956703004445E-3</v>
      </c>
      <c r="H186" s="7">
        <v>3.2460040879582013E-3</v>
      </c>
      <c r="I186" s="8">
        <v>0</v>
      </c>
      <c r="J186" s="8">
        <v>1</v>
      </c>
      <c r="K186" s="8">
        <v>473</v>
      </c>
      <c r="L186" s="7">
        <v>2.3550625691630182E-2</v>
      </c>
      <c r="M186" s="7">
        <v>7.3701275928240708E-3</v>
      </c>
      <c r="N186" s="8">
        <v>0</v>
      </c>
      <c r="O186" s="8">
        <v>1</v>
      </c>
      <c r="P186" s="8">
        <v>443</v>
      </c>
      <c r="Q186" s="7">
        <v>4.822124953603775E-2</v>
      </c>
      <c r="R186" s="7">
        <v>1.0569823464898948E-2</v>
      </c>
      <c r="S186" s="8">
        <v>0</v>
      </c>
      <c r="T186" s="8">
        <v>1</v>
      </c>
      <c r="U186" s="8">
        <v>423</v>
      </c>
      <c r="V186" s="7">
        <v>3.3059681162325204E-3</v>
      </c>
      <c r="W186" s="7">
        <v>2.06034105844241E-3</v>
      </c>
      <c r="X186" s="8">
        <v>0</v>
      </c>
      <c r="Y186" s="8">
        <v>1</v>
      </c>
      <c r="Z186" s="8">
        <v>1073</v>
      </c>
      <c r="AA186" s="7">
        <v>2.1597866163197647E-2</v>
      </c>
      <c r="AB186" s="7">
        <v>3.8934492852108955E-3</v>
      </c>
      <c r="AC186" s="8">
        <v>0</v>
      </c>
      <c r="AD186" s="8">
        <v>1</v>
      </c>
      <c r="AE186" s="8">
        <v>2789</v>
      </c>
    </row>
    <row r="187" spans="1:32" x14ac:dyDescent="0.45">
      <c r="A187" s="6" t="s">
        <v>32</v>
      </c>
      <c r="B187" s="7">
        <v>0.2527724281813617</v>
      </c>
      <c r="C187" s="7">
        <v>2.3581271808324908E-2</v>
      </c>
      <c r="D187" s="8">
        <v>0</v>
      </c>
      <c r="E187" s="8">
        <v>1</v>
      </c>
      <c r="F187" s="8">
        <v>377</v>
      </c>
      <c r="G187" s="7">
        <v>0.1554454589262585</v>
      </c>
      <c r="H187" s="7">
        <v>1.7390664147984094E-2</v>
      </c>
      <c r="I187" s="8">
        <v>0</v>
      </c>
      <c r="J187" s="8">
        <v>1</v>
      </c>
      <c r="K187" s="8">
        <v>473</v>
      </c>
      <c r="L187" s="7">
        <v>0.15877572477573559</v>
      </c>
      <c r="M187" s="7">
        <v>1.7885640487502231E-2</v>
      </c>
      <c r="N187" s="8">
        <v>0</v>
      </c>
      <c r="O187" s="8">
        <v>1</v>
      </c>
      <c r="P187" s="8">
        <v>443</v>
      </c>
      <c r="Q187" s="7">
        <v>0.13416252742816348</v>
      </c>
      <c r="R187" s="7">
        <v>1.6834266849755707E-2</v>
      </c>
      <c r="S187" s="8">
        <v>0</v>
      </c>
      <c r="T187" s="8">
        <v>1</v>
      </c>
      <c r="U187" s="8">
        <v>423</v>
      </c>
      <c r="V187" s="7">
        <v>3.5681116912385707E-2</v>
      </c>
      <c r="W187" s="7">
        <v>5.9694575574459905E-3</v>
      </c>
      <c r="X187" s="8">
        <v>0</v>
      </c>
      <c r="Y187" s="8">
        <v>1</v>
      </c>
      <c r="Z187" s="8">
        <v>1073</v>
      </c>
      <c r="AA187" s="7">
        <v>0.1543771286135118</v>
      </c>
      <c r="AB187" s="7">
        <v>9.5089024086530607E-3</v>
      </c>
      <c r="AC187" s="8">
        <v>0</v>
      </c>
      <c r="AD187" s="8">
        <v>1</v>
      </c>
      <c r="AE187" s="8">
        <v>2789</v>
      </c>
      <c r="AF187">
        <f>(AA189/AA188)-AA187</f>
        <v>-3.621913774086688E-3</v>
      </c>
    </row>
    <row r="188" spans="1:32" x14ac:dyDescent="0.45">
      <c r="A188" s="6" t="s">
        <v>36</v>
      </c>
      <c r="B188" s="7">
        <v>0.26636125194779031</v>
      </c>
      <c r="C188" s="7">
        <v>2.4189991287900472E-2</v>
      </c>
      <c r="D188" s="8">
        <v>0</v>
      </c>
      <c r="E188" s="8">
        <v>1</v>
      </c>
      <c r="F188" s="8">
        <v>377</v>
      </c>
      <c r="G188" s="7">
        <v>0.17672760534526755</v>
      </c>
      <c r="H188" s="7">
        <v>1.8127456261163202E-2</v>
      </c>
      <c r="I188" s="8">
        <v>0</v>
      </c>
      <c r="J188" s="8">
        <v>1</v>
      </c>
      <c r="K188" s="8">
        <v>467</v>
      </c>
      <c r="L188" s="7">
        <v>4.3890875888197518E-2</v>
      </c>
      <c r="M188" s="7">
        <v>9.6682460234033402E-3</v>
      </c>
      <c r="N188" s="8">
        <v>0</v>
      </c>
      <c r="O188" s="8">
        <v>1</v>
      </c>
      <c r="P188" s="8">
        <v>441</v>
      </c>
      <c r="Q188" s="7">
        <v>8.371081995835053E-2</v>
      </c>
      <c r="R188" s="7">
        <v>1.4050470479779449E-2</v>
      </c>
      <c r="S188" s="8">
        <v>0</v>
      </c>
      <c r="T188" s="8">
        <v>1</v>
      </c>
      <c r="U188" s="8">
        <v>422</v>
      </c>
      <c r="V188" s="7">
        <v>0.17670361522524197</v>
      </c>
      <c r="W188" s="7">
        <v>1.6865782603968957E-2</v>
      </c>
      <c r="X188" s="8">
        <v>0</v>
      </c>
      <c r="Y188" s="8">
        <v>1</v>
      </c>
      <c r="Z188" s="8">
        <v>1068</v>
      </c>
      <c r="AA188" s="7">
        <v>0.10901593418102137</v>
      </c>
      <c r="AB188" s="7">
        <v>7.4445039199197852E-3</v>
      </c>
      <c r="AC188" s="8">
        <v>0</v>
      </c>
      <c r="AD188" s="8">
        <v>1</v>
      </c>
      <c r="AE188" s="8">
        <v>2775</v>
      </c>
      <c r="AF188">
        <f>(AA189/AA187)-AA188</f>
        <v>-2.5576736473294642E-3</v>
      </c>
    </row>
    <row r="189" spans="1:32" x14ac:dyDescent="0.45">
      <c r="A189" s="6" t="s">
        <v>91</v>
      </c>
      <c r="B189" s="7">
        <v>7.4934433446147225E-2</v>
      </c>
      <c r="C189" s="7">
        <v>1.377111565525912E-2</v>
      </c>
      <c r="D189" s="8">
        <v>0</v>
      </c>
      <c r="E189" s="8">
        <v>1</v>
      </c>
      <c r="F189" s="8">
        <v>377</v>
      </c>
      <c r="G189" s="7">
        <v>2.0978510336175132E-2</v>
      </c>
      <c r="H189" s="7">
        <v>6.9345776730733765E-3</v>
      </c>
      <c r="I189" s="8">
        <v>0</v>
      </c>
      <c r="J189" s="8">
        <v>1</v>
      </c>
      <c r="K189" s="8">
        <v>467</v>
      </c>
      <c r="L189" s="7">
        <v>6.5227112677343759E-3</v>
      </c>
      <c r="M189" s="7">
        <v>3.7602204583106298E-3</v>
      </c>
      <c r="N189" s="8">
        <v>0</v>
      </c>
      <c r="O189" s="8">
        <v>1</v>
      </c>
      <c r="P189" s="8">
        <v>441</v>
      </c>
      <c r="Q189" s="7">
        <v>1.2487606848714089E-2</v>
      </c>
      <c r="R189" s="7">
        <v>5.5674436434390729E-3</v>
      </c>
      <c r="S189" s="8">
        <v>0</v>
      </c>
      <c r="T189" s="8">
        <v>1</v>
      </c>
      <c r="U189" s="8">
        <v>422</v>
      </c>
      <c r="V189" s="7">
        <v>5.8920217730951754E-3</v>
      </c>
      <c r="W189" s="7">
        <v>2.0374857521640076E-3</v>
      </c>
      <c r="X189" s="8">
        <v>0</v>
      </c>
      <c r="Y189" s="8">
        <v>1</v>
      </c>
      <c r="Z189" s="8">
        <v>1068</v>
      </c>
      <c r="AA189" s="7">
        <v>1.6434720578380503E-2</v>
      </c>
      <c r="AB189" s="7">
        <v>2.8955535774873552E-3</v>
      </c>
      <c r="AC189" s="8">
        <v>0</v>
      </c>
      <c r="AD189" s="8">
        <v>1</v>
      </c>
      <c r="AE189" s="8">
        <v>2775</v>
      </c>
    </row>
    <row r="190" spans="1:32" x14ac:dyDescent="0.45">
      <c r="A190" s="6" t="s">
        <v>32</v>
      </c>
      <c r="B190" s="7">
        <v>0.2527724281813617</v>
      </c>
      <c r="C190" s="7">
        <v>2.3581271808324908E-2</v>
      </c>
      <c r="D190" s="8">
        <v>0</v>
      </c>
      <c r="E190" s="8">
        <v>1</v>
      </c>
      <c r="F190" s="8">
        <v>377</v>
      </c>
      <c r="G190" s="7">
        <v>0.1554454589262585</v>
      </c>
      <c r="H190" s="7">
        <v>1.7390664147984094E-2</v>
      </c>
      <c r="I190" s="8">
        <v>0</v>
      </c>
      <c r="J190" s="8">
        <v>1</v>
      </c>
      <c r="K190" s="8">
        <v>473</v>
      </c>
      <c r="L190" s="7">
        <v>0.15877572477573559</v>
      </c>
      <c r="M190" s="7">
        <v>1.7885640487502231E-2</v>
      </c>
      <c r="N190" s="8">
        <v>0</v>
      </c>
      <c r="O190" s="8">
        <v>1</v>
      </c>
      <c r="P190" s="8">
        <v>443</v>
      </c>
      <c r="Q190" s="7">
        <v>0.13416252742816348</v>
      </c>
      <c r="R190" s="7">
        <v>1.6834266849755707E-2</v>
      </c>
      <c r="S190" s="8">
        <v>0</v>
      </c>
      <c r="T190" s="8">
        <v>1</v>
      </c>
      <c r="U190" s="8">
        <v>423</v>
      </c>
      <c r="V190" s="7">
        <v>3.5681116912385707E-2</v>
      </c>
      <c r="W190" s="7">
        <v>5.9694575574459905E-3</v>
      </c>
      <c r="X190" s="8">
        <v>0</v>
      </c>
      <c r="Y190" s="8">
        <v>1</v>
      </c>
      <c r="Z190" s="8">
        <v>1073</v>
      </c>
      <c r="AA190" s="7">
        <v>0.1543771286135118</v>
      </c>
      <c r="AB190" s="7">
        <v>9.5089024086530607E-3</v>
      </c>
      <c r="AC190" s="8">
        <v>0</v>
      </c>
      <c r="AD190" s="8">
        <v>1</v>
      </c>
      <c r="AE190" s="8">
        <v>2789</v>
      </c>
      <c r="AF190">
        <f>(AA192/AA191)-AA190</f>
        <v>4.223986928716858E-2</v>
      </c>
    </row>
    <row r="191" spans="1:32" ht="26.25" x14ac:dyDescent="0.45">
      <c r="A191" s="6" t="s">
        <v>38</v>
      </c>
      <c r="B191" s="7">
        <v>0.44223301820394767</v>
      </c>
      <c r="C191" s="7">
        <v>2.8300310545730831E-2</v>
      </c>
      <c r="D191" s="8">
        <v>0</v>
      </c>
      <c r="E191" s="8">
        <v>1</v>
      </c>
      <c r="F191" s="8">
        <v>377</v>
      </c>
      <c r="G191" s="7">
        <v>0.67963669016962303</v>
      </c>
      <c r="H191" s="7">
        <v>2.2169291635117473E-2</v>
      </c>
      <c r="I191" s="8">
        <v>0</v>
      </c>
      <c r="J191" s="8">
        <v>1</v>
      </c>
      <c r="K191" s="8">
        <v>473</v>
      </c>
      <c r="L191" s="7">
        <v>0.41452170070524536</v>
      </c>
      <c r="M191" s="7">
        <v>2.4249093275481391E-2</v>
      </c>
      <c r="N191" s="8">
        <v>0</v>
      </c>
      <c r="O191" s="8">
        <v>1</v>
      </c>
      <c r="P191" s="8">
        <v>443</v>
      </c>
      <c r="Q191" s="7">
        <v>0.50232647922994245</v>
      </c>
      <c r="R191" s="7">
        <v>2.4962894154274457E-2</v>
      </c>
      <c r="S191" s="8">
        <v>0</v>
      </c>
      <c r="T191" s="8">
        <v>1</v>
      </c>
      <c r="U191" s="8">
        <v>423</v>
      </c>
      <c r="V191" s="7">
        <v>0.18691243882002603</v>
      </c>
      <c r="W191" s="7">
        <v>1.6206610488577019E-2</v>
      </c>
      <c r="X191" s="8">
        <v>0</v>
      </c>
      <c r="Y191" s="8">
        <v>1</v>
      </c>
      <c r="Z191" s="8">
        <v>1073</v>
      </c>
      <c r="AA191" s="7">
        <v>0.50156328466083933</v>
      </c>
      <c r="AB191" s="7">
        <v>1.320292147742998E-2</v>
      </c>
      <c r="AC191" s="8">
        <v>0</v>
      </c>
      <c r="AD191" s="8">
        <v>1</v>
      </c>
      <c r="AE191" s="8">
        <v>2789</v>
      </c>
      <c r="AF191">
        <f>(AA192/AA190)-AA191</f>
        <v>0.13723514469786868</v>
      </c>
    </row>
    <row r="192" spans="1:32" ht="26.25" x14ac:dyDescent="0.45">
      <c r="A192" s="6" t="s">
        <v>92</v>
      </c>
      <c r="B192" s="7">
        <v>0.14396978173419772</v>
      </c>
      <c r="C192" s="7">
        <v>1.8903528757565919E-2</v>
      </c>
      <c r="D192" s="8">
        <v>0</v>
      </c>
      <c r="E192" s="8">
        <v>1</v>
      </c>
      <c r="F192" s="8">
        <v>377</v>
      </c>
      <c r="G192" s="7">
        <v>0.12914327720806704</v>
      </c>
      <c r="H192" s="7">
        <v>1.6031040349685496E-2</v>
      </c>
      <c r="I192" s="8">
        <v>0</v>
      </c>
      <c r="J192" s="8">
        <v>1</v>
      </c>
      <c r="K192" s="8">
        <v>473</v>
      </c>
      <c r="L192" s="7">
        <v>9.2265203778127775E-2</v>
      </c>
      <c r="M192" s="7">
        <v>1.4218517028921381E-2</v>
      </c>
      <c r="N192" s="8">
        <v>0</v>
      </c>
      <c r="O192" s="8">
        <v>1</v>
      </c>
      <c r="P192" s="8">
        <v>443</v>
      </c>
      <c r="Q192" s="7">
        <v>7.3421273614676721E-2</v>
      </c>
      <c r="R192" s="7">
        <v>1.2848690669613935E-2</v>
      </c>
      <c r="S192" s="8">
        <v>0</v>
      </c>
      <c r="T192" s="8">
        <v>1</v>
      </c>
      <c r="U192" s="8">
        <v>423</v>
      </c>
      <c r="V192" s="7">
        <v>3.3816781463206821E-3</v>
      </c>
      <c r="W192" s="7">
        <v>1.968406780988492E-3</v>
      </c>
      <c r="X192" s="8">
        <v>0</v>
      </c>
      <c r="Y192" s="8">
        <v>1</v>
      </c>
      <c r="Z192" s="8">
        <v>1073</v>
      </c>
      <c r="AA192" s="7">
        <v>9.8615867287218606E-2</v>
      </c>
      <c r="AB192" s="7">
        <v>7.8536689854626536E-3</v>
      </c>
      <c r="AC192" s="8">
        <v>0</v>
      </c>
      <c r="AD192" s="8">
        <v>1</v>
      </c>
      <c r="AE192" s="8">
        <v>2789</v>
      </c>
    </row>
    <row r="193" spans="1:32" x14ac:dyDescent="0.45">
      <c r="A193" s="6" t="s">
        <v>32</v>
      </c>
      <c r="B193" s="7">
        <v>0.2527724281813617</v>
      </c>
      <c r="C193" s="7">
        <v>2.3581271808324908E-2</v>
      </c>
      <c r="D193" s="8">
        <v>0</v>
      </c>
      <c r="E193" s="8">
        <v>1</v>
      </c>
      <c r="F193" s="8">
        <v>377</v>
      </c>
      <c r="G193" s="7">
        <v>0.1554454589262585</v>
      </c>
      <c r="H193" s="7">
        <v>1.7390664147984094E-2</v>
      </c>
      <c r="I193" s="8">
        <v>0</v>
      </c>
      <c r="J193" s="8">
        <v>1</v>
      </c>
      <c r="K193" s="8">
        <v>473</v>
      </c>
      <c r="L193" s="7">
        <v>0.15877572477573559</v>
      </c>
      <c r="M193" s="7">
        <v>1.7885640487502231E-2</v>
      </c>
      <c r="N193" s="8">
        <v>0</v>
      </c>
      <c r="O193" s="8">
        <v>1</v>
      </c>
      <c r="P193" s="8">
        <v>443</v>
      </c>
      <c r="Q193" s="7">
        <v>0.13416252742816348</v>
      </c>
      <c r="R193" s="7">
        <v>1.6834266849755707E-2</v>
      </c>
      <c r="S193" s="8">
        <v>0</v>
      </c>
      <c r="T193" s="8">
        <v>1</v>
      </c>
      <c r="U193" s="8">
        <v>423</v>
      </c>
      <c r="V193" s="7">
        <v>3.5681116912385707E-2</v>
      </c>
      <c r="W193" s="7">
        <v>5.9694575574459905E-3</v>
      </c>
      <c r="X193" s="8">
        <v>0</v>
      </c>
      <c r="Y193" s="8">
        <v>1</v>
      </c>
      <c r="Z193" s="8">
        <v>1073</v>
      </c>
      <c r="AA193" s="7">
        <v>0.1543771286135118</v>
      </c>
      <c r="AB193" s="7">
        <v>9.5089024086530607E-3</v>
      </c>
      <c r="AC193" s="8">
        <v>0</v>
      </c>
      <c r="AD193" s="8">
        <v>1</v>
      </c>
      <c r="AE193" s="8">
        <v>2789</v>
      </c>
      <c r="AF193">
        <f>(AA195/AA194)-AA193</f>
        <v>-1.0851008777942678E-2</v>
      </c>
    </row>
    <row r="194" spans="1:32" x14ac:dyDescent="0.45">
      <c r="A194" s="6" t="s">
        <v>40</v>
      </c>
      <c r="B194" s="7">
        <v>0.24786641106498949</v>
      </c>
      <c r="C194" s="7">
        <v>2.3847850003411539E-2</v>
      </c>
      <c r="D194" s="8">
        <v>0</v>
      </c>
      <c r="E194" s="8">
        <v>1</v>
      </c>
      <c r="F194" s="8">
        <v>377</v>
      </c>
      <c r="G194" s="7">
        <v>0.31149999401439304</v>
      </c>
      <c r="H194" s="7">
        <v>2.2025125692018081E-2</v>
      </c>
      <c r="I194" s="8">
        <v>0</v>
      </c>
      <c r="J194" s="8">
        <v>1</v>
      </c>
      <c r="K194" s="8">
        <v>473</v>
      </c>
      <c r="L194" s="7">
        <v>0.27873695588735009</v>
      </c>
      <c r="M194" s="7">
        <v>2.1757269898733667E-2</v>
      </c>
      <c r="N194" s="8">
        <v>0</v>
      </c>
      <c r="O194" s="8">
        <v>1</v>
      </c>
      <c r="P194" s="8">
        <v>443</v>
      </c>
      <c r="Q194" s="7">
        <v>0.7144739729494628</v>
      </c>
      <c r="R194" s="7">
        <v>2.2433009195978806E-2</v>
      </c>
      <c r="S194" s="8">
        <v>0</v>
      </c>
      <c r="T194" s="8">
        <v>1</v>
      </c>
      <c r="U194" s="8">
        <v>423</v>
      </c>
      <c r="V194" s="7">
        <v>0.42578593556370831</v>
      </c>
      <c r="W194" s="7">
        <v>2.0859115306836037E-2</v>
      </c>
      <c r="X194" s="8">
        <v>0</v>
      </c>
      <c r="Y194" s="8">
        <v>1</v>
      </c>
      <c r="Z194" s="8">
        <v>1073</v>
      </c>
      <c r="AA194" s="7">
        <v>0.38890886648264583</v>
      </c>
      <c r="AB194" s="7">
        <v>1.2688043853195404E-2</v>
      </c>
      <c r="AC194" s="8">
        <v>0</v>
      </c>
      <c r="AD194" s="8">
        <v>1</v>
      </c>
      <c r="AE194" s="8">
        <v>2789</v>
      </c>
      <c r="AF194">
        <f>(AA195/AA193)-AA194</f>
        <v>-2.733600217806853E-2</v>
      </c>
    </row>
    <row r="195" spans="1:32" ht="26.25" x14ac:dyDescent="0.45">
      <c r="A195" s="6" t="s">
        <v>93</v>
      </c>
      <c r="B195" s="7">
        <v>6.5966960543120762E-2</v>
      </c>
      <c r="C195" s="7">
        <v>1.3266956522297276E-2</v>
      </c>
      <c r="D195" s="8">
        <v>0</v>
      </c>
      <c r="E195" s="8">
        <v>1</v>
      </c>
      <c r="F195" s="8">
        <v>377</v>
      </c>
      <c r="G195" s="7">
        <v>5.0397736483971105E-2</v>
      </c>
      <c r="H195" s="7">
        <v>1.0270225880736847E-2</v>
      </c>
      <c r="I195" s="8">
        <v>0</v>
      </c>
      <c r="J195" s="8">
        <v>1</v>
      </c>
      <c r="K195" s="8">
        <v>473</v>
      </c>
      <c r="L195" s="7">
        <v>3.4737586064836921E-2</v>
      </c>
      <c r="M195" s="7">
        <v>8.9448010210843257E-3</v>
      </c>
      <c r="N195" s="8">
        <v>0</v>
      </c>
      <c r="O195" s="8">
        <v>1</v>
      </c>
      <c r="P195" s="8">
        <v>443</v>
      </c>
      <c r="Q195" s="7">
        <v>0.10224275524104205</v>
      </c>
      <c r="R195" s="7">
        <v>1.5031603276709361E-2</v>
      </c>
      <c r="S195" s="8">
        <v>0</v>
      </c>
      <c r="T195" s="8">
        <v>1</v>
      </c>
      <c r="U195" s="8">
        <v>423</v>
      </c>
      <c r="V195" s="7">
        <v>1.9044758902549013E-2</v>
      </c>
      <c r="W195" s="7">
        <v>4.6692238145302038E-3</v>
      </c>
      <c r="X195" s="8">
        <v>0</v>
      </c>
      <c r="Y195" s="8">
        <v>1</v>
      </c>
      <c r="Z195" s="8">
        <v>1073</v>
      </c>
      <c r="AA195" s="7">
        <v>5.5818580575903581E-2</v>
      </c>
      <c r="AB195" s="7">
        <v>5.7732228751311643E-3</v>
      </c>
      <c r="AC195" s="8">
        <v>0</v>
      </c>
      <c r="AD195" s="8">
        <v>1</v>
      </c>
      <c r="AE195" s="8">
        <v>2789</v>
      </c>
    </row>
    <row r="196" spans="1:32" x14ac:dyDescent="0.45">
      <c r="A196" s="6" t="s">
        <v>32</v>
      </c>
      <c r="B196" s="7">
        <v>0.2527724281813617</v>
      </c>
      <c r="C196" s="7">
        <v>2.3581271808324908E-2</v>
      </c>
      <c r="D196" s="8">
        <v>0</v>
      </c>
      <c r="E196" s="8">
        <v>1</v>
      </c>
      <c r="F196" s="8">
        <v>377</v>
      </c>
      <c r="G196" s="7">
        <v>0.1554454589262585</v>
      </c>
      <c r="H196" s="7">
        <v>1.7390664147984094E-2</v>
      </c>
      <c r="I196" s="8">
        <v>0</v>
      </c>
      <c r="J196" s="8">
        <v>1</v>
      </c>
      <c r="K196" s="8">
        <v>473</v>
      </c>
      <c r="L196" s="7">
        <v>0.15877572477573559</v>
      </c>
      <c r="M196" s="7">
        <v>1.7885640487502231E-2</v>
      </c>
      <c r="N196" s="8">
        <v>0</v>
      </c>
      <c r="O196" s="8">
        <v>1</v>
      </c>
      <c r="P196" s="8">
        <v>443</v>
      </c>
      <c r="Q196" s="7">
        <v>0.13416252742816348</v>
      </c>
      <c r="R196" s="7">
        <v>1.6834266849755707E-2</v>
      </c>
      <c r="S196" s="8">
        <v>0</v>
      </c>
      <c r="T196" s="8">
        <v>1</v>
      </c>
      <c r="U196" s="8">
        <v>423</v>
      </c>
      <c r="V196" s="7">
        <v>3.5681116912385707E-2</v>
      </c>
      <c r="W196" s="7">
        <v>5.9694575574459905E-3</v>
      </c>
      <c r="X196" s="8">
        <v>0</v>
      </c>
      <c r="Y196" s="8">
        <v>1</v>
      </c>
      <c r="Z196" s="8">
        <v>1073</v>
      </c>
      <c r="AA196" s="7">
        <v>0.1543771286135118</v>
      </c>
      <c r="AB196" s="7">
        <v>9.5089024086530607E-3</v>
      </c>
      <c r="AC196" s="8">
        <v>0</v>
      </c>
      <c r="AD196" s="8">
        <v>1</v>
      </c>
      <c r="AE196" s="8">
        <v>2789</v>
      </c>
      <c r="AF196">
        <f>(AA198/AA197)-AA196</f>
        <v>-4.7091280571370242E-3</v>
      </c>
    </row>
    <row r="197" spans="1:32" x14ac:dyDescent="0.45">
      <c r="A197" s="6" t="s">
        <v>42</v>
      </c>
      <c r="B197" s="7">
        <v>0.25408442278087268</v>
      </c>
      <c r="C197" s="7">
        <v>2.3890244562588821E-2</v>
      </c>
      <c r="D197" s="8">
        <v>0</v>
      </c>
      <c r="E197" s="8">
        <v>1</v>
      </c>
      <c r="F197" s="8">
        <v>377</v>
      </c>
      <c r="G197" s="7">
        <v>0.38956592850901783</v>
      </c>
      <c r="H197" s="7">
        <v>2.3227425068734729E-2</v>
      </c>
      <c r="I197" s="8">
        <v>0</v>
      </c>
      <c r="J197" s="8">
        <v>1</v>
      </c>
      <c r="K197" s="8">
        <v>473</v>
      </c>
      <c r="L197" s="7">
        <v>0.29434907940891936</v>
      </c>
      <c r="M197" s="7">
        <v>2.2760326811863539E-2</v>
      </c>
      <c r="N197" s="8">
        <v>0</v>
      </c>
      <c r="O197" s="8">
        <v>1</v>
      </c>
      <c r="P197" s="8">
        <v>443</v>
      </c>
      <c r="Q197" s="7">
        <v>0.48120800183961793</v>
      </c>
      <c r="R197" s="7">
        <v>2.4961710177192679E-2</v>
      </c>
      <c r="S197" s="8">
        <v>0</v>
      </c>
      <c r="T197" s="8">
        <v>1</v>
      </c>
      <c r="U197" s="8">
        <v>423</v>
      </c>
      <c r="V197" s="7">
        <v>0.3185812605122561</v>
      </c>
      <c r="W197" s="7">
        <v>1.8993252911173444E-2</v>
      </c>
      <c r="X197" s="8">
        <v>0</v>
      </c>
      <c r="Y197" s="8">
        <v>1</v>
      </c>
      <c r="Z197" s="8">
        <v>1073</v>
      </c>
      <c r="AA197" s="7">
        <v>0.36087108047955696</v>
      </c>
      <c r="AB197" s="7">
        <v>1.2672536005467003E-2</v>
      </c>
      <c r="AC197" s="8">
        <v>0</v>
      </c>
      <c r="AD197" s="8">
        <v>1</v>
      </c>
      <c r="AE197" s="8">
        <v>2789</v>
      </c>
      <c r="AF197">
        <f>(AA198/AA196)-AA197</f>
        <v>-1.1008030434029537E-2</v>
      </c>
    </row>
    <row r="198" spans="1:32" ht="26.25" x14ac:dyDescent="0.45">
      <c r="A198" s="6" t="s">
        <v>94</v>
      </c>
      <c r="B198" s="7">
        <v>6.6113804088761538E-2</v>
      </c>
      <c r="C198" s="7">
        <v>1.3405635628948327E-2</v>
      </c>
      <c r="D198" s="8">
        <v>0</v>
      </c>
      <c r="E198" s="8">
        <v>1</v>
      </c>
      <c r="F198" s="8">
        <v>377</v>
      </c>
      <c r="G198" s="7">
        <v>7.1515201417276408E-2</v>
      </c>
      <c r="H198" s="7">
        <v>1.2237542815361565E-2</v>
      </c>
      <c r="I198" s="8">
        <v>0</v>
      </c>
      <c r="J198" s="8">
        <v>1</v>
      </c>
      <c r="K198" s="8">
        <v>473</v>
      </c>
      <c r="L198" s="7">
        <v>3.6556475214648651E-2</v>
      </c>
      <c r="M198" s="7">
        <v>9.3955066355482855E-3</v>
      </c>
      <c r="N198" s="8">
        <v>0</v>
      </c>
      <c r="O198" s="8">
        <v>1</v>
      </c>
      <c r="P198" s="8">
        <v>443</v>
      </c>
      <c r="Q198" s="7">
        <v>6.4066730676879569E-2</v>
      </c>
      <c r="R198" s="7">
        <v>1.2211532451306312E-2</v>
      </c>
      <c r="S198" s="8">
        <v>0</v>
      </c>
      <c r="T198" s="8">
        <v>1</v>
      </c>
      <c r="U198" s="8">
        <v>423</v>
      </c>
      <c r="V198" s="7">
        <v>2.5596302685738433E-2</v>
      </c>
      <c r="W198" s="7">
        <v>5.1083785380487091E-3</v>
      </c>
      <c r="X198" s="8">
        <v>0</v>
      </c>
      <c r="Y198" s="8">
        <v>1</v>
      </c>
      <c r="Z198" s="8">
        <v>1073</v>
      </c>
      <c r="AA198" s="7">
        <v>5.4010853073993899E-2</v>
      </c>
      <c r="AB198" s="7">
        <v>5.8186355199028377E-3</v>
      </c>
      <c r="AC198" s="8">
        <v>0</v>
      </c>
      <c r="AD198" s="8">
        <v>1</v>
      </c>
      <c r="AE198" s="8">
        <v>2789</v>
      </c>
    </row>
    <row r="199" spans="1:32" x14ac:dyDescent="0.45">
      <c r="A199" s="6" t="s">
        <v>32</v>
      </c>
      <c r="B199" s="7">
        <v>0.2527724281813617</v>
      </c>
      <c r="C199" s="7">
        <v>2.3581271808324908E-2</v>
      </c>
      <c r="D199" s="8">
        <v>0</v>
      </c>
      <c r="E199" s="8">
        <v>1</v>
      </c>
      <c r="F199" s="8">
        <v>377</v>
      </c>
      <c r="G199" s="7">
        <v>0.1554454589262585</v>
      </c>
      <c r="H199" s="7">
        <v>1.7390664147984094E-2</v>
      </c>
      <c r="I199" s="8">
        <v>0</v>
      </c>
      <c r="J199" s="8">
        <v>1</v>
      </c>
      <c r="K199" s="8">
        <v>473</v>
      </c>
      <c r="L199" s="7">
        <v>0.15877572477573559</v>
      </c>
      <c r="M199" s="7">
        <v>1.7885640487502231E-2</v>
      </c>
      <c r="N199" s="8">
        <v>0</v>
      </c>
      <c r="O199" s="8">
        <v>1</v>
      </c>
      <c r="P199" s="8">
        <v>443</v>
      </c>
      <c r="Q199" s="7">
        <v>0.13416252742816348</v>
      </c>
      <c r="R199" s="7">
        <v>1.6834266849755707E-2</v>
      </c>
      <c r="S199" s="8">
        <v>0</v>
      </c>
      <c r="T199" s="8">
        <v>1</v>
      </c>
      <c r="U199" s="8">
        <v>423</v>
      </c>
      <c r="V199" s="7">
        <v>3.5681116912385707E-2</v>
      </c>
      <c r="W199" s="7">
        <v>5.9694575574459905E-3</v>
      </c>
      <c r="X199" s="8">
        <v>0</v>
      </c>
      <c r="Y199" s="8">
        <v>1</v>
      </c>
      <c r="Z199" s="8">
        <v>1073</v>
      </c>
      <c r="AA199" s="7">
        <v>0.1543771286135118</v>
      </c>
      <c r="AB199" s="7">
        <v>9.5089024086530607E-3</v>
      </c>
      <c r="AC199" s="8">
        <v>0</v>
      </c>
      <c r="AD199" s="8">
        <v>1</v>
      </c>
      <c r="AE199" s="8">
        <v>2789</v>
      </c>
      <c r="AF199">
        <f>(AA201/AA200)-AA199</f>
        <v>2.7134869445357757E-2</v>
      </c>
    </row>
    <row r="200" spans="1:32" x14ac:dyDescent="0.45">
      <c r="A200" s="6" t="s">
        <v>44</v>
      </c>
      <c r="B200" s="7">
        <v>8.0786565347683054E-2</v>
      </c>
      <c r="C200" s="7">
        <v>1.5016123840370335E-2</v>
      </c>
      <c r="D200" s="8">
        <v>0</v>
      </c>
      <c r="E200" s="8">
        <v>1</v>
      </c>
      <c r="F200" s="8">
        <v>377</v>
      </c>
      <c r="G200" s="7">
        <v>9.1853674780647654E-2</v>
      </c>
      <c r="H200" s="7">
        <v>1.3604205216173792E-2</v>
      </c>
      <c r="I200" s="8">
        <v>0</v>
      </c>
      <c r="J200" s="8">
        <v>1</v>
      </c>
      <c r="K200" s="8">
        <v>473</v>
      </c>
      <c r="L200" s="7">
        <v>4.9754031578703402E-2</v>
      </c>
      <c r="M200" s="7">
        <v>1.103367216294986E-2</v>
      </c>
      <c r="N200" s="8">
        <v>0</v>
      </c>
      <c r="O200" s="8">
        <v>1</v>
      </c>
      <c r="P200" s="8">
        <v>443</v>
      </c>
      <c r="Q200" s="7">
        <v>0.15234303743644023</v>
      </c>
      <c r="R200" s="7">
        <v>1.7921333577869139E-2</v>
      </c>
      <c r="S200" s="8">
        <v>0</v>
      </c>
      <c r="T200" s="8">
        <v>1</v>
      </c>
      <c r="U200" s="8">
        <v>423</v>
      </c>
      <c r="V200" s="7">
        <v>8.2961551505331077E-2</v>
      </c>
      <c r="W200" s="7">
        <v>8.9475819872891042E-3</v>
      </c>
      <c r="X200" s="8">
        <v>0</v>
      </c>
      <c r="Y200" s="8">
        <v>1</v>
      </c>
      <c r="Z200" s="8">
        <v>1073</v>
      </c>
      <c r="AA200" s="7">
        <v>8.7706153685111046E-2</v>
      </c>
      <c r="AB200" s="7">
        <v>7.1838488407195067E-3</v>
      </c>
      <c r="AC200" s="8">
        <v>0</v>
      </c>
      <c r="AD200" s="8">
        <v>1</v>
      </c>
      <c r="AE200" s="8">
        <v>2789</v>
      </c>
      <c r="AF200">
        <f>(AA201/AA199)-AA200</f>
        <v>1.5416111513241806E-2</v>
      </c>
    </row>
    <row r="201" spans="1:32" x14ac:dyDescent="0.45">
      <c r="A201" s="6" t="s">
        <v>95</v>
      </c>
      <c r="B201" s="7">
        <v>1.4314517471726114E-2</v>
      </c>
      <c r="C201" s="7">
        <v>6.485479075103732E-3</v>
      </c>
      <c r="D201" s="8">
        <v>0</v>
      </c>
      <c r="E201" s="8">
        <v>1</v>
      </c>
      <c r="F201" s="8">
        <v>377</v>
      </c>
      <c r="G201" s="7">
        <v>2.2429669984216593E-2</v>
      </c>
      <c r="H201" s="7">
        <v>7.03080367717469E-3</v>
      </c>
      <c r="I201" s="8">
        <v>0</v>
      </c>
      <c r="J201" s="8">
        <v>1</v>
      </c>
      <c r="K201" s="8">
        <v>473</v>
      </c>
      <c r="L201" s="7">
        <v>4.8061387501353112E-3</v>
      </c>
      <c r="M201" s="7">
        <v>3.628226786530765E-3</v>
      </c>
      <c r="N201" s="8">
        <v>0</v>
      </c>
      <c r="O201" s="8">
        <v>1</v>
      </c>
      <c r="P201" s="8">
        <v>443</v>
      </c>
      <c r="Q201" s="7">
        <v>2.9427197053456651E-2</v>
      </c>
      <c r="R201" s="7">
        <v>8.4216770221147031E-3</v>
      </c>
      <c r="S201" s="8">
        <v>0</v>
      </c>
      <c r="T201" s="8">
        <v>1</v>
      </c>
      <c r="U201" s="8">
        <v>423</v>
      </c>
      <c r="V201" s="7">
        <v>6.666772416611776E-3</v>
      </c>
      <c r="W201" s="7">
        <v>1.8616209178835873E-3</v>
      </c>
      <c r="X201" s="8">
        <v>0</v>
      </c>
      <c r="Y201" s="8">
        <v>1</v>
      </c>
      <c r="Z201" s="8">
        <v>1073</v>
      </c>
      <c r="AA201" s="7">
        <v>1.591971919744279E-2</v>
      </c>
      <c r="AB201" s="7">
        <v>3.1132871362016274E-3</v>
      </c>
      <c r="AC201" s="8">
        <v>0</v>
      </c>
      <c r="AD201" s="8">
        <v>1</v>
      </c>
      <c r="AE201" s="8">
        <v>2789</v>
      </c>
    </row>
    <row r="202" spans="1:32" x14ac:dyDescent="0.45">
      <c r="A202" s="6" t="s">
        <v>32</v>
      </c>
      <c r="B202" s="7">
        <v>0.2527724281813617</v>
      </c>
      <c r="C202" s="7">
        <v>2.3581271808324908E-2</v>
      </c>
      <c r="D202" s="8">
        <v>0</v>
      </c>
      <c r="E202" s="8">
        <v>1</v>
      </c>
      <c r="F202" s="8">
        <v>377</v>
      </c>
      <c r="G202" s="7">
        <v>0.1554454589262585</v>
      </c>
      <c r="H202" s="7">
        <v>1.7390664147984094E-2</v>
      </c>
      <c r="I202" s="8">
        <v>0</v>
      </c>
      <c r="J202" s="8">
        <v>1</v>
      </c>
      <c r="K202" s="8">
        <v>473</v>
      </c>
      <c r="L202" s="7">
        <v>0.15877572477573559</v>
      </c>
      <c r="M202" s="7">
        <v>1.7885640487502231E-2</v>
      </c>
      <c r="N202" s="8">
        <v>0</v>
      </c>
      <c r="O202" s="8">
        <v>1</v>
      </c>
      <c r="P202" s="8">
        <v>443</v>
      </c>
      <c r="Q202" s="7">
        <v>0.13416252742816348</v>
      </c>
      <c r="R202" s="7">
        <v>1.6834266849755707E-2</v>
      </c>
      <c r="S202" s="8">
        <v>0</v>
      </c>
      <c r="T202" s="8">
        <v>1</v>
      </c>
      <c r="U202" s="8">
        <v>423</v>
      </c>
      <c r="V202" s="7">
        <v>3.5681116912385707E-2</v>
      </c>
      <c r="W202" s="7">
        <v>5.9694575574459905E-3</v>
      </c>
      <c r="X202" s="8">
        <v>0</v>
      </c>
      <c r="Y202" s="8">
        <v>1</v>
      </c>
      <c r="Z202" s="8">
        <v>1073</v>
      </c>
      <c r="AA202" s="7">
        <v>0.1543771286135118</v>
      </c>
      <c r="AB202" s="7">
        <v>9.5089024086530607E-3</v>
      </c>
      <c r="AC202" s="8">
        <v>0</v>
      </c>
      <c r="AD202" s="8">
        <v>1</v>
      </c>
      <c r="AE202" s="8">
        <v>2789</v>
      </c>
      <c r="AF202">
        <f>(AA204/AA203)-AA202</f>
        <v>2.4496693006668263E-2</v>
      </c>
    </row>
    <row r="203" spans="1:32" ht="39.4" x14ac:dyDescent="0.45">
      <c r="A203" s="6" t="s">
        <v>16</v>
      </c>
      <c r="B203" s="7">
        <v>0.51199366560399728</v>
      </c>
      <c r="C203" s="7">
        <v>2.9021889994445865E-2</v>
      </c>
      <c r="D203" s="8">
        <v>0</v>
      </c>
      <c r="E203" s="8">
        <v>1</v>
      </c>
      <c r="F203" s="8">
        <v>377</v>
      </c>
      <c r="G203" s="7">
        <v>0.75248336082973521</v>
      </c>
      <c r="H203" s="7">
        <v>2.0449467587927744E-2</v>
      </c>
      <c r="I203" s="8">
        <v>0</v>
      </c>
      <c r="J203" s="8">
        <v>1</v>
      </c>
      <c r="K203" s="8">
        <v>473</v>
      </c>
      <c r="L203" s="7">
        <v>0.55666891088221959</v>
      </c>
      <c r="M203" s="7">
        <v>2.4460269691669399E-2</v>
      </c>
      <c r="N203" s="8">
        <v>0</v>
      </c>
      <c r="O203" s="8">
        <v>1</v>
      </c>
      <c r="P203" s="8">
        <v>443</v>
      </c>
      <c r="Q203" s="7">
        <v>0.83603306383602227</v>
      </c>
      <c r="R203" s="7">
        <v>1.8289048327108152E-2</v>
      </c>
      <c r="S203" s="8">
        <v>0</v>
      </c>
      <c r="T203" s="8">
        <v>1</v>
      </c>
      <c r="U203" s="8">
        <v>423</v>
      </c>
      <c r="V203" s="7">
        <v>0.44289642409572316</v>
      </c>
      <c r="W203" s="7">
        <v>2.1056261249825466E-2</v>
      </c>
      <c r="X203" s="8">
        <v>0</v>
      </c>
      <c r="Y203" s="8">
        <v>1</v>
      </c>
      <c r="Z203" s="8">
        <v>1073</v>
      </c>
      <c r="AA203" s="7">
        <v>0.66677630791100306</v>
      </c>
      <c r="AB203" s="7">
        <v>1.2587121178159334E-2</v>
      </c>
      <c r="AC203" s="8">
        <v>0</v>
      </c>
      <c r="AD203" s="8">
        <v>1</v>
      </c>
      <c r="AE203" s="8">
        <v>2789</v>
      </c>
      <c r="AF203">
        <f>(AA204/AA202)-AA203</f>
        <v>0.10580462705656213</v>
      </c>
    </row>
    <row r="204" spans="1:32" x14ac:dyDescent="0.45">
      <c r="A204" s="6" t="s">
        <v>96</v>
      </c>
      <c r="B204" s="7">
        <v>0.15962942133166205</v>
      </c>
      <c r="C204" s="7">
        <v>1.9795477659671632E-2</v>
      </c>
      <c r="D204" s="8">
        <v>0</v>
      </c>
      <c r="E204" s="8">
        <v>1</v>
      </c>
      <c r="F204" s="8">
        <v>377</v>
      </c>
      <c r="G204" s="7">
        <v>0.13585735796879142</v>
      </c>
      <c r="H204" s="7">
        <v>1.6372664665478671E-2</v>
      </c>
      <c r="I204" s="8">
        <v>0</v>
      </c>
      <c r="J204" s="8">
        <v>1</v>
      </c>
      <c r="K204" s="8">
        <v>473</v>
      </c>
      <c r="L204" s="7">
        <v>0.1107501579080898</v>
      </c>
      <c r="M204" s="7">
        <v>1.5377290721285023E-2</v>
      </c>
      <c r="N204" s="8">
        <v>0</v>
      </c>
      <c r="O204" s="8">
        <v>1</v>
      </c>
      <c r="P204" s="8">
        <v>443</v>
      </c>
      <c r="Q204" s="7">
        <v>0.11710886326484002</v>
      </c>
      <c r="R204" s="7">
        <v>1.587194089138207E-2</v>
      </c>
      <c r="S204" s="8">
        <v>0</v>
      </c>
      <c r="T204" s="8">
        <v>1</v>
      </c>
      <c r="U204" s="8">
        <v>423</v>
      </c>
      <c r="V204" s="7">
        <v>1.9893278888401356E-2</v>
      </c>
      <c r="W204" s="7">
        <v>4.7111941607664585E-3</v>
      </c>
      <c r="X204" s="8">
        <v>0</v>
      </c>
      <c r="Y204" s="8">
        <v>1</v>
      </c>
      <c r="Z204" s="8">
        <v>1073</v>
      </c>
      <c r="AA204" s="7">
        <v>0.11926882636183501</v>
      </c>
      <c r="AB204" s="7">
        <v>8.503144023256963E-3</v>
      </c>
      <c r="AC204" s="8">
        <v>0</v>
      </c>
      <c r="AD204" s="8">
        <v>1</v>
      </c>
      <c r="AE204" s="8">
        <v>2789</v>
      </c>
    </row>
    <row r="205" spans="1:32" x14ac:dyDescent="0.45">
      <c r="A205" s="6" t="s">
        <v>32</v>
      </c>
      <c r="B205" s="7">
        <v>0.2527724281813617</v>
      </c>
      <c r="C205" s="7">
        <v>2.3581271808324908E-2</v>
      </c>
      <c r="D205" s="8">
        <v>0</v>
      </c>
      <c r="E205" s="8">
        <v>1</v>
      </c>
      <c r="F205" s="8">
        <v>377</v>
      </c>
      <c r="G205" s="7">
        <v>0.1554454589262585</v>
      </c>
      <c r="H205" s="7">
        <v>1.7390664147984094E-2</v>
      </c>
      <c r="I205" s="8">
        <v>0</v>
      </c>
      <c r="J205" s="8">
        <v>1</v>
      </c>
      <c r="K205" s="8">
        <v>473</v>
      </c>
      <c r="L205" s="7">
        <v>0.15877572477573559</v>
      </c>
      <c r="M205" s="7">
        <v>1.7885640487502231E-2</v>
      </c>
      <c r="N205" s="8">
        <v>0</v>
      </c>
      <c r="O205" s="8">
        <v>1</v>
      </c>
      <c r="P205" s="8">
        <v>443</v>
      </c>
      <c r="Q205" s="7">
        <v>0.13416252742816348</v>
      </c>
      <c r="R205" s="7">
        <v>1.6834266849755707E-2</v>
      </c>
      <c r="S205" s="8">
        <v>0</v>
      </c>
      <c r="T205" s="8">
        <v>1</v>
      </c>
      <c r="U205" s="8">
        <v>423</v>
      </c>
      <c r="V205" s="7">
        <v>3.5681116912385707E-2</v>
      </c>
      <c r="W205" s="7">
        <v>5.9694575574459905E-3</v>
      </c>
      <c r="X205" s="8">
        <v>0</v>
      </c>
      <c r="Y205" s="8">
        <v>1</v>
      </c>
      <c r="Z205" s="8">
        <v>1073</v>
      </c>
      <c r="AA205" s="7">
        <v>0.1543771286135118</v>
      </c>
      <c r="AB205" s="7">
        <v>9.5089024086530607E-3</v>
      </c>
      <c r="AC205" s="8">
        <v>0</v>
      </c>
      <c r="AD205" s="8">
        <v>1</v>
      </c>
      <c r="AE205" s="8">
        <v>2789</v>
      </c>
      <c r="AF205">
        <f>(AA207/AA206)-AA205</f>
        <v>2.3832424748096187E-2</v>
      </c>
    </row>
    <row r="206" spans="1:32" ht="39.4" x14ac:dyDescent="0.45">
      <c r="A206" s="6" t="s">
        <v>18</v>
      </c>
      <c r="B206" s="7">
        <v>0.57798625450849994</v>
      </c>
      <c r="C206" s="7">
        <v>2.931190088877576E-2</v>
      </c>
      <c r="D206" s="8">
        <v>0</v>
      </c>
      <c r="E206" s="8">
        <v>1</v>
      </c>
      <c r="F206" s="8">
        <v>377</v>
      </c>
      <c r="G206" s="7">
        <v>0.7759090962333085</v>
      </c>
      <c r="H206" s="7">
        <v>1.9819100780919589E-2</v>
      </c>
      <c r="I206" s="8">
        <v>0</v>
      </c>
      <c r="J206" s="8">
        <v>1</v>
      </c>
      <c r="K206" s="8">
        <v>473</v>
      </c>
      <c r="L206" s="7">
        <v>0.54937707697091009</v>
      </c>
      <c r="M206" s="7">
        <v>2.442131248989543E-2</v>
      </c>
      <c r="N206" s="8">
        <v>0</v>
      </c>
      <c r="O206" s="8">
        <v>1</v>
      </c>
      <c r="P206" s="8">
        <v>443</v>
      </c>
      <c r="Q206" s="7">
        <v>0.74315598481496103</v>
      </c>
      <c r="R206" s="7">
        <v>2.153023882484394E-2</v>
      </c>
      <c r="S206" s="8">
        <v>0</v>
      </c>
      <c r="T206" s="8">
        <v>1</v>
      </c>
      <c r="U206" s="8">
        <v>423</v>
      </c>
      <c r="V206" s="7">
        <v>0.39927975706290247</v>
      </c>
      <c r="W206" s="7">
        <v>2.0519705334594719E-2</v>
      </c>
      <c r="X206" s="8">
        <v>0</v>
      </c>
      <c r="Y206" s="8">
        <v>1</v>
      </c>
      <c r="Z206" s="8">
        <v>1073</v>
      </c>
      <c r="AA206" s="7">
        <v>0.65235181396445241</v>
      </c>
      <c r="AB206" s="7">
        <v>1.2624611213770981E-2</v>
      </c>
      <c r="AC206" s="8">
        <v>0</v>
      </c>
      <c r="AD206" s="8">
        <v>1</v>
      </c>
      <c r="AE206" s="8">
        <v>2789</v>
      </c>
      <c r="AF206">
        <f>(AA207/AA205)-AA206</f>
        <v>0.10070873616592912</v>
      </c>
    </row>
    <row r="207" spans="1:32" x14ac:dyDescent="0.45">
      <c r="A207" s="6" t="s">
        <v>97</v>
      </c>
      <c r="B207" s="7">
        <v>0.16730263160415934</v>
      </c>
      <c r="C207" s="7">
        <v>2.029032369373325E-2</v>
      </c>
      <c r="D207" s="8">
        <v>0</v>
      </c>
      <c r="E207" s="8">
        <v>1</v>
      </c>
      <c r="F207" s="8">
        <v>377</v>
      </c>
      <c r="G207" s="7">
        <v>0.14247942198440922</v>
      </c>
      <c r="H207" s="7">
        <v>1.6692469553095973E-2</v>
      </c>
      <c r="I207" s="8">
        <v>0</v>
      </c>
      <c r="J207" s="8">
        <v>1</v>
      </c>
      <c r="K207" s="8">
        <v>473</v>
      </c>
      <c r="L207" s="7">
        <v>0.10485651805312152</v>
      </c>
      <c r="M207" s="7">
        <v>1.5094342030044967E-2</v>
      </c>
      <c r="N207" s="8">
        <v>0</v>
      </c>
      <c r="O207" s="8">
        <v>1</v>
      </c>
      <c r="P207" s="8">
        <v>443</v>
      </c>
      <c r="Q207" s="7">
        <v>0.10280461793839853</v>
      </c>
      <c r="R207" s="7">
        <v>1.5001126499889441E-2</v>
      </c>
      <c r="S207" s="8">
        <v>0</v>
      </c>
      <c r="T207" s="8">
        <v>1</v>
      </c>
      <c r="U207" s="8">
        <v>423</v>
      </c>
      <c r="V207" s="7">
        <v>2.5910690874594383E-2</v>
      </c>
      <c r="W207" s="7">
        <v>5.1188991618244424E-3</v>
      </c>
      <c r="X207" s="8">
        <v>0</v>
      </c>
      <c r="Y207" s="8">
        <v>1</v>
      </c>
      <c r="Z207" s="8">
        <v>1073</v>
      </c>
      <c r="AA207" s="7">
        <v>0.11625532540123985</v>
      </c>
      <c r="AB207" s="7">
        <v>8.4025222440977602E-3</v>
      </c>
      <c r="AC207" s="8">
        <v>0</v>
      </c>
      <c r="AD207" s="8">
        <v>1</v>
      </c>
      <c r="AE207" s="8">
        <v>2789</v>
      </c>
    </row>
    <row r="208" spans="1:32" x14ac:dyDescent="0.45">
      <c r="A208" s="6" t="s">
        <v>32</v>
      </c>
      <c r="B208" s="7">
        <v>0.2527724281813617</v>
      </c>
      <c r="C208" s="7">
        <v>2.3581271808324908E-2</v>
      </c>
      <c r="D208" s="8">
        <v>0</v>
      </c>
      <c r="E208" s="8">
        <v>1</v>
      </c>
      <c r="F208" s="8">
        <v>377</v>
      </c>
      <c r="G208" s="7">
        <v>0.1554454589262585</v>
      </c>
      <c r="H208" s="7">
        <v>1.7390664147984094E-2</v>
      </c>
      <c r="I208" s="8">
        <v>0</v>
      </c>
      <c r="J208" s="8">
        <v>1</v>
      </c>
      <c r="K208" s="8">
        <v>473</v>
      </c>
      <c r="L208" s="7">
        <v>0.15877572477573559</v>
      </c>
      <c r="M208" s="7">
        <v>1.7885640487502231E-2</v>
      </c>
      <c r="N208" s="8">
        <v>0</v>
      </c>
      <c r="O208" s="8">
        <v>1</v>
      </c>
      <c r="P208" s="8">
        <v>443</v>
      </c>
      <c r="Q208" s="7">
        <v>0.13416252742816348</v>
      </c>
      <c r="R208" s="7">
        <v>1.6834266849755707E-2</v>
      </c>
      <c r="S208" s="8">
        <v>0</v>
      </c>
      <c r="T208" s="8">
        <v>1</v>
      </c>
      <c r="U208" s="8">
        <v>423</v>
      </c>
      <c r="V208" s="7">
        <v>3.5681116912385707E-2</v>
      </c>
      <c r="W208" s="7">
        <v>5.9694575574459905E-3</v>
      </c>
      <c r="X208" s="8">
        <v>0</v>
      </c>
      <c r="Y208" s="8">
        <v>1</v>
      </c>
      <c r="Z208" s="8">
        <v>1073</v>
      </c>
      <c r="AA208" s="7">
        <v>0.1543771286135118</v>
      </c>
      <c r="AB208" s="7">
        <v>9.5089024086530607E-3</v>
      </c>
      <c r="AC208" s="8">
        <v>0</v>
      </c>
      <c r="AD208" s="8">
        <v>1</v>
      </c>
      <c r="AE208" s="8">
        <v>2789</v>
      </c>
      <c r="AF208">
        <f>(AA210/AA209)-AA208</f>
        <v>3.7019519062865713E-2</v>
      </c>
    </row>
    <row r="209" spans="1:32" ht="39.4" x14ac:dyDescent="0.45">
      <c r="A209" s="6" t="s">
        <v>20</v>
      </c>
      <c r="B209" s="7">
        <v>0.49966441162735731</v>
      </c>
      <c r="C209" s="7">
        <v>2.8926538869362927E-2</v>
      </c>
      <c r="D209" s="8">
        <v>0</v>
      </c>
      <c r="E209" s="8">
        <v>1</v>
      </c>
      <c r="F209" s="8">
        <v>377</v>
      </c>
      <c r="G209" s="7">
        <v>0.694148109652721</v>
      </c>
      <c r="H209" s="7">
        <v>2.1903517365169416E-2</v>
      </c>
      <c r="I209" s="8">
        <v>0</v>
      </c>
      <c r="J209" s="8">
        <v>1</v>
      </c>
      <c r="K209" s="8">
        <v>473</v>
      </c>
      <c r="L209" s="7">
        <v>0.44678685166956866</v>
      </c>
      <c r="M209" s="7">
        <v>2.4472410267060745E-2</v>
      </c>
      <c r="N209" s="8">
        <v>0</v>
      </c>
      <c r="O209" s="8">
        <v>1</v>
      </c>
      <c r="P209" s="8">
        <v>443</v>
      </c>
      <c r="Q209" s="7">
        <v>0.58710843859266493</v>
      </c>
      <c r="R209" s="7">
        <v>2.4491537195724417E-2</v>
      </c>
      <c r="S209" s="8">
        <v>0</v>
      </c>
      <c r="T209" s="8">
        <v>1</v>
      </c>
      <c r="U209" s="8">
        <v>423</v>
      </c>
      <c r="V209" s="7">
        <v>0.24597703605277871</v>
      </c>
      <c r="W209" s="7">
        <v>1.7202819405463813E-2</v>
      </c>
      <c r="X209" s="8">
        <v>0</v>
      </c>
      <c r="Y209" s="8">
        <v>1</v>
      </c>
      <c r="Z209" s="8">
        <v>1073</v>
      </c>
      <c r="AA209" s="7">
        <v>0.54335791656094878</v>
      </c>
      <c r="AB209" s="7">
        <v>1.3167396812010984E-2</v>
      </c>
      <c r="AC209" s="8">
        <v>0</v>
      </c>
      <c r="AD209" s="8">
        <v>1</v>
      </c>
      <c r="AE209" s="8">
        <v>2789</v>
      </c>
      <c r="AF209">
        <f>(AA210/AA208)-AA209</f>
        <v>0.13029681877582544</v>
      </c>
    </row>
    <row r="210" spans="1:32" x14ac:dyDescent="0.45">
      <c r="A210" s="6" t="s">
        <v>98</v>
      </c>
      <c r="B210" s="7">
        <v>0.15377690174003683</v>
      </c>
      <c r="C210" s="7">
        <v>1.9534054220812811E-2</v>
      </c>
      <c r="D210" s="8">
        <v>0</v>
      </c>
      <c r="E210" s="8">
        <v>1</v>
      </c>
      <c r="F210" s="8">
        <v>377</v>
      </c>
      <c r="G210" s="7">
        <v>0.13344691824096616</v>
      </c>
      <c r="H210" s="7">
        <v>1.6242520901585442E-2</v>
      </c>
      <c r="I210" s="8">
        <v>0</v>
      </c>
      <c r="J210" s="8">
        <v>1</v>
      </c>
      <c r="K210" s="8">
        <v>473</v>
      </c>
      <c r="L210" s="7">
        <v>9.2265203778127775E-2</v>
      </c>
      <c r="M210" s="7">
        <v>1.4218517028921381E-2</v>
      </c>
      <c r="N210" s="8">
        <v>0</v>
      </c>
      <c r="O210" s="8">
        <v>1</v>
      </c>
      <c r="P210" s="8">
        <v>443</v>
      </c>
      <c r="Q210" s="7">
        <v>8.8184781634602388E-2</v>
      </c>
      <c r="R210" s="7">
        <v>1.3998080658274729E-2</v>
      </c>
      <c r="S210" s="8">
        <v>0</v>
      </c>
      <c r="T210" s="8">
        <v>1</v>
      </c>
      <c r="U210" s="8">
        <v>423</v>
      </c>
      <c r="V210" s="7">
        <v>9.5143187659360671E-3</v>
      </c>
      <c r="W210" s="7">
        <v>2.6566489498864249E-3</v>
      </c>
      <c r="X210" s="8">
        <v>0</v>
      </c>
      <c r="Y210" s="8">
        <v>1</v>
      </c>
      <c r="Z210" s="8">
        <v>1073</v>
      </c>
      <c r="AA210" s="7">
        <v>0.10399688371818644</v>
      </c>
      <c r="AB210" s="7">
        <v>7.9905959940463414E-3</v>
      </c>
      <c r="AC210" s="8">
        <v>0</v>
      </c>
      <c r="AD210" s="8">
        <v>1</v>
      </c>
      <c r="AE210" s="8">
        <v>2789</v>
      </c>
    </row>
    <row r="211" spans="1:32" x14ac:dyDescent="0.45">
      <c r="A211" s="6" t="s">
        <v>32</v>
      </c>
      <c r="B211" s="7">
        <v>0.2527724281813617</v>
      </c>
      <c r="C211" s="7">
        <v>2.3581271808324908E-2</v>
      </c>
      <c r="D211" s="8">
        <v>0</v>
      </c>
      <c r="E211" s="8">
        <v>1</v>
      </c>
      <c r="F211" s="8">
        <v>377</v>
      </c>
      <c r="G211" s="7">
        <v>0.1554454589262585</v>
      </c>
      <c r="H211" s="7">
        <v>1.7390664147984094E-2</v>
      </c>
      <c r="I211" s="8">
        <v>0</v>
      </c>
      <c r="J211" s="8">
        <v>1</v>
      </c>
      <c r="K211" s="8">
        <v>473</v>
      </c>
      <c r="L211" s="7">
        <v>0.15877572477573559</v>
      </c>
      <c r="M211" s="7">
        <v>1.7885640487502231E-2</v>
      </c>
      <c r="N211" s="8">
        <v>0</v>
      </c>
      <c r="O211" s="8">
        <v>1</v>
      </c>
      <c r="P211" s="8">
        <v>443</v>
      </c>
      <c r="Q211" s="7">
        <v>0.13416252742816348</v>
      </c>
      <c r="R211" s="7">
        <v>1.6834266849755707E-2</v>
      </c>
      <c r="S211" s="8">
        <v>0</v>
      </c>
      <c r="T211" s="8">
        <v>1</v>
      </c>
      <c r="U211" s="8">
        <v>423</v>
      </c>
      <c r="V211" s="7">
        <v>3.5681116912385707E-2</v>
      </c>
      <c r="W211" s="7">
        <v>5.9694575574459905E-3</v>
      </c>
      <c r="X211" s="8">
        <v>0</v>
      </c>
      <c r="Y211" s="8">
        <v>1</v>
      </c>
      <c r="Z211" s="8">
        <v>1073</v>
      </c>
      <c r="AA211" s="7">
        <v>0.1543771286135118</v>
      </c>
      <c r="AB211" s="7">
        <v>9.5089024086530607E-3</v>
      </c>
      <c r="AC211" s="8">
        <v>0</v>
      </c>
      <c r="AD211" s="8">
        <v>1</v>
      </c>
      <c r="AE211" s="8">
        <v>2789</v>
      </c>
      <c r="AF211">
        <f>(AA213/AA212)-AA211</f>
        <v>-1.3178257943327248E-2</v>
      </c>
    </row>
    <row r="212" spans="1:32" ht="26.25" x14ac:dyDescent="0.45">
      <c r="A212" s="6" t="s">
        <v>22</v>
      </c>
      <c r="B212" s="7">
        <v>0.44337971510161078</v>
      </c>
      <c r="C212" s="7">
        <v>2.8333918098961602E-2</v>
      </c>
      <c r="D212" s="8">
        <v>0</v>
      </c>
      <c r="E212" s="8">
        <v>1</v>
      </c>
      <c r="F212" s="8">
        <v>377</v>
      </c>
      <c r="G212" s="7">
        <v>0.55003587184041547</v>
      </c>
      <c r="H212" s="7">
        <v>2.3701595165381402E-2</v>
      </c>
      <c r="I212" s="8">
        <v>0</v>
      </c>
      <c r="J212" s="8">
        <v>1</v>
      </c>
      <c r="K212" s="8">
        <v>473</v>
      </c>
      <c r="L212" s="7">
        <v>0.47073477299276273</v>
      </c>
      <c r="M212" s="7">
        <v>2.455632484408668E-2</v>
      </c>
      <c r="N212" s="8">
        <v>0</v>
      </c>
      <c r="O212" s="8">
        <v>1</v>
      </c>
      <c r="P212" s="8">
        <v>443</v>
      </c>
      <c r="Q212" s="7">
        <v>0.81611123613737024</v>
      </c>
      <c r="R212" s="7">
        <v>1.9017745333524308E-2</v>
      </c>
      <c r="S212" s="8">
        <v>0</v>
      </c>
      <c r="T212" s="8">
        <v>1</v>
      </c>
      <c r="U212" s="8">
        <v>423</v>
      </c>
      <c r="V212" s="7">
        <v>0.49101498998080567</v>
      </c>
      <c r="W212" s="7">
        <v>2.153423791962325E-2</v>
      </c>
      <c r="X212" s="8">
        <v>0</v>
      </c>
      <c r="Y212" s="8">
        <v>1</v>
      </c>
      <c r="Z212" s="8">
        <v>1073</v>
      </c>
      <c r="AA212" s="7">
        <v>0.56929096770433274</v>
      </c>
      <c r="AB212" s="7">
        <v>1.3133161955805486E-2</v>
      </c>
      <c r="AC212" s="8">
        <v>0</v>
      </c>
      <c r="AD212" s="8">
        <v>1</v>
      </c>
      <c r="AE212" s="8">
        <v>2789</v>
      </c>
      <c r="AF212">
        <f>(AA213/AA211)-AA212</f>
        <v>-4.8596986383884877E-2</v>
      </c>
    </row>
    <row r="213" spans="1:32" x14ac:dyDescent="0.45">
      <c r="A213" s="6" t="s">
        <v>99</v>
      </c>
      <c r="B213" s="7">
        <v>0.11277339786895288</v>
      </c>
      <c r="C213" s="7">
        <v>1.7174055089800893E-2</v>
      </c>
      <c r="D213" s="8">
        <v>0</v>
      </c>
      <c r="E213" s="8">
        <v>1</v>
      </c>
      <c r="F213" s="8">
        <v>377</v>
      </c>
      <c r="G213" s="7">
        <v>9.1379967406495136E-2</v>
      </c>
      <c r="H213" s="7">
        <v>1.3663146517678569E-2</v>
      </c>
      <c r="I213" s="8">
        <v>0</v>
      </c>
      <c r="J213" s="8">
        <v>1</v>
      </c>
      <c r="K213" s="8">
        <v>473</v>
      </c>
      <c r="L213" s="7">
        <v>5.2249089148769121E-2</v>
      </c>
      <c r="M213" s="7">
        <v>1.0975994005810357E-2</v>
      </c>
      <c r="N213" s="8">
        <v>0</v>
      </c>
      <c r="O213" s="8">
        <v>1</v>
      </c>
      <c r="P213" s="8">
        <v>443</v>
      </c>
      <c r="Q213" s="7">
        <v>0.11454385460538527</v>
      </c>
      <c r="R213" s="7">
        <v>1.5811318909352494E-2</v>
      </c>
      <c r="S213" s="8">
        <v>0</v>
      </c>
      <c r="T213" s="8">
        <v>1</v>
      </c>
      <c r="U213" s="8">
        <v>423</v>
      </c>
      <c r="V213" s="7">
        <v>3.0223853943044211E-2</v>
      </c>
      <c r="W213" s="7">
        <v>5.7271692322542912E-3</v>
      </c>
      <c r="X213" s="8">
        <v>0</v>
      </c>
      <c r="Y213" s="8">
        <v>1</v>
      </c>
      <c r="Z213" s="8">
        <v>1073</v>
      </c>
      <c r="AA213" s="7">
        <v>8.0383241722588289E-2</v>
      </c>
      <c r="AB213" s="7">
        <v>6.9038817427220346E-3</v>
      </c>
      <c r="AC213" s="8">
        <v>0</v>
      </c>
      <c r="AD213" s="8">
        <v>1</v>
      </c>
      <c r="AE213" s="8">
        <v>2789</v>
      </c>
    </row>
    <row r="214" spans="1:32" x14ac:dyDescent="0.45">
      <c r="A214" s="6" t="s">
        <v>32</v>
      </c>
      <c r="B214" s="7">
        <v>0.2527724281813617</v>
      </c>
      <c r="C214" s="7">
        <v>2.3581271808324908E-2</v>
      </c>
      <c r="D214" s="8">
        <v>0</v>
      </c>
      <c r="E214" s="8">
        <v>1</v>
      </c>
      <c r="F214" s="8">
        <v>377</v>
      </c>
      <c r="G214" s="7">
        <v>0.1554454589262585</v>
      </c>
      <c r="H214" s="7">
        <v>1.7390664147984094E-2</v>
      </c>
      <c r="I214" s="8">
        <v>0</v>
      </c>
      <c r="J214" s="8">
        <v>1</v>
      </c>
      <c r="K214" s="8">
        <v>473</v>
      </c>
      <c r="L214" s="7">
        <v>0.15877572477573559</v>
      </c>
      <c r="M214" s="7">
        <v>1.7885640487502231E-2</v>
      </c>
      <c r="N214" s="8">
        <v>0</v>
      </c>
      <c r="O214" s="8">
        <v>1</v>
      </c>
      <c r="P214" s="8">
        <v>443</v>
      </c>
      <c r="Q214" s="7">
        <v>0.13416252742816348</v>
      </c>
      <c r="R214" s="7">
        <v>1.6834266849755707E-2</v>
      </c>
      <c r="S214" s="8">
        <v>0</v>
      </c>
      <c r="T214" s="8">
        <v>1</v>
      </c>
      <c r="U214" s="8">
        <v>423</v>
      </c>
      <c r="V214" s="7">
        <v>3.5681116912385707E-2</v>
      </c>
      <c r="W214" s="7">
        <v>5.9694575574459905E-3</v>
      </c>
      <c r="X214" s="8">
        <v>0</v>
      </c>
      <c r="Y214" s="8">
        <v>1</v>
      </c>
      <c r="Z214" s="8">
        <v>1073</v>
      </c>
      <c r="AA214" s="7">
        <v>0.1543771286135118</v>
      </c>
      <c r="AB214" s="7">
        <v>9.5089024086530607E-3</v>
      </c>
      <c r="AC214" s="8">
        <v>0</v>
      </c>
      <c r="AD214" s="8">
        <v>1</v>
      </c>
      <c r="AE214" s="8">
        <v>2789</v>
      </c>
      <c r="AF214">
        <f>(AA216/AA215)-AA214</f>
        <v>-1.2361393007381649E-2</v>
      </c>
    </row>
    <row r="215" spans="1:32" ht="26.25" x14ac:dyDescent="0.45">
      <c r="A215" s="6" t="s">
        <v>24</v>
      </c>
      <c r="B215" s="7">
        <v>0.3143161872698384</v>
      </c>
      <c r="C215" s="7">
        <v>2.5988451099292102E-2</v>
      </c>
      <c r="D215" s="8">
        <v>0</v>
      </c>
      <c r="E215" s="8">
        <v>1</v>
      </c>
      <c r="F215" s="8">
        <v>377</v>
      </c>
      <c r="G215" s="7">
        <v>0.35720003177347953</v>
      </c>
      <c r="H215" s="7">
        <v>2.2786551411140134E-2</v>
      </c>
      <c r="I215" s="8">
        <v>0</v>
      </c>
      <c r="J215" s="8">
        <v>1</v>
      </c>
      <c r="K215" s="8">
        <v>473</v>
      </c>
      <c r="L215" s="7">
        <v>0.30880783343155294</v>
      </c>
      <c r="M215" s="7">
        <v>2.2515152770261254E-2</v>
      </c>
      <c r="N215" s="8">
        <v>0</v>
      </c>
      <c r="O215" s="8">
        <v>1</v>
      </c>
      <c r="P215" s="8">
        <v>443</v>
      </c>
      <c r="Q215" s="7">
        <v>0.74339061825172903</v>
      </c>
      <c r="R215" s="7">
        <v>2.1616709115009351E-2</v>
      </c>
      <c r="S215" s="8">
        <v>0</v>
      </c>
      <c r="T215" s="8">
        <v>1</v>
      </c>
      <c r="U215" s="8">
        <v>423</v>
      </c>
      <c r="V215" s="7">
        <v>0.44031925904016395</v>
      </c>
      <c r="W215" s="7">
        <v>2.0999240945587205E-2</v>
      </c>
      <c r="X215" s="8">
        <v>0</v>
      </c>
      <c r="Y215" s="8">
        <v>1</v>
      </c>
      <c r="Z215" s="8">
        <v>1073</v>
      </c>
      <c r="AA215" s="7">
        <v>0.42493856155989945</v>
      </c>
      <c r="AB215" s="7">
        <v>1.2928208456969242E-2</v>
      </c>
      <c r="AC215" s="8">
        <v>0</v>
      </c>
      <c r="AD215" s="8">
        <v>1</v>
      </c>
      <c r="AE215" s="8">
        <v>2789</v>
      </c>
      <c r="AF215">
        <f>(AA216/AA214)-AA215</f>
        <v>-3.402597658480877E-2</v>
      </c>
    </row>
    <row r="216" spans="1:32" x14ac:dyDescent="0.45">
      <c r="A216" s="6" t="s">
        <v>100</v>
      </c>
      <c r="B216" s="7">
        <v>7.5774080548959913E-2</v>
      </c>
      <c r="C216" s="7">
        <v>1.4298791053453167E-2</v>
      </c>
      <c r="D216" s="8">
        <v>0</v>
      </c>
      <c r="E216" s="8">
        <v>1</v>
      </c>
      <c r="F216" s="8">
        <v>377</v>
      </c>
      <c r="G216" s="7">
        <v>5.9780984539595655E-2</v>
      </c>
      <c r="H216" s="7">
        <v>1.1189982732595419E-2</v>
      </c>
      <c r="I216" s="8">
        <v>0</v>
      </c>
      <c r="J216" s="8">
        <v>1</v>
      </c>
      <c r="K216" s="8">
        <v>473</v>
      </c>
      <c r="L216" s="7">
        <v>3.4737586064836921E-2</v>
      </c>
      <c r="M216" s="7">
        <v>8.9448010210843257E-3</v>
      </c>
      <c r="N216" s="8">
        <v>0</v>
      </c>
      <c r="O216" s="8">
        <v>1</v>
      </c>
      <c r="P216" s="8">
        <v>443</v>
      </c>
      <c r="Q216" s="7">
        <v>0.10753786580942679</v>
      </c>
      <c r="R216" s="7">
        <v>1.5399827814449046E-2</v>
      </c>
      <c r="S216" s="8">
        <v>0</v>
      </c>
      <c r="T216" s="8">
        <v>1</v>
      </c>
      <c r="U216" s="8">
        <v>423</v>
      </c>
      <c r="V216" s="7">
        <v>2.1619904408231423E-2</v>
      </c>
      <c r="W216" s="7">
        <v>4.8123194168257569E-3</v>
      </c>
      <c r="X216" s="8">
        <v>0</v>
      </c>
      <c r="Y216" s="8">
        <v>1</v>
      </c>
      <c r="Z216" s="8">
        <v>1073</v>
      </c>
      <c r="AA216" s="7">
        <v>6.0347962407339938E-2</v>
      </c>
      <c r="AB216" s="7">
        <v>5.968103495823841E-3</v>
      </c>
      <c r="AC216" s="8">
        <v>0</v>
      </c>
      <c r="AD216" s="8">
        <v>1</v>
      </c>
      <c r="AE216" s="8">
        <v>2789</v>
      </c>
    </row>
    <row r="217" spans="1:32" x14ac:dyDescent="0.45">
      <c r="A217" s="6" t="s">
        <v>34</v>
      </c>
      <c r="B217" s="7">
        <v>2.263311268250193E-2</v>
      </c>
      <c r="C217" s="7">
        <v>7.3421367292460923E-3</v>
      </c>
      <c r="D217" s="8">
        <v>0</v>
      </c>
      <c r="E217" s="8">
        <v>1</v>
      </c>
      <c r="F217" s="8">
        <v>377</v>
      </c>
      <c r="G217" s="7">
        <v>5.8327627768387631E-2</v>
      </c>
      <c r="H217" s="7">
        <v>1.1334403264176443E-2</v>
      </c>
      <c r="I217" s="8">
        <v>0</v>
      </c>
      <c r="J217" s="8">
        <v>1</v>
      </c>
      <c r="K217" s="8">
        <v>473</v>
      </c>
      <c r="L217" s="7">
        <v>8.3487078786845886E-2</v>
      </c>
      <c r="M217" s="7">
        <v>1.3594933601456751E-2</v>
      </c>
      <c r="N217" s="8">
        <v>0</v>
      </c>
      <c r="O217" s="8">
        <v>1</v>
      </c>
      <c r="P217" s="8">
        <v>443</v>
      </c>
      <c r="Q217" s="7">
        <v>5.2708548379860748E-2</v>
      </c>
      <c r="R217" s="7">
        <v>1.100803849809036E-2</v>
      </c>
      <c r="S217" s="8">
        <v>0</v>
      </c>
      <c r="T217" s="8">
        <v>1</v>
      </c>
      <c r="U217" s="8">
        <v>423</v>
      </c>
      <c r="V217" s="7">
        <v>3.9397663243172917E-3</v>
      </c>
      <c r="W217" s="7">
        <v>1.9732066657802663E-3</v>
      </c>
      <c r="X217" s="8">
        <v>0</v>
      </c>
      <c r="Y217" s="8">
        <v>1</v>
      </c>
      <c r="Z217" s="8">
        <v>1073</v>
      </c>
      <c r="AA217" s="7">
        <v>6.2799338760446702E-2</v>
      </c>
      <c r="AB217" s="7">
        <v>6.7450581638249926E-3</v>
      </c>
      <c r="AC217" s="8">
        <v>0</v>
      </c>
      <c r="AD217" s="8">
        <v>1</v>
      </c>
      <c r="AE217" s="8">
        <v>2789</v>
      </c>
      <c r="AF217">
        <f>(AA219/AA218)-AA217</f>
        <v>-2.1986304374619736E-2</v>
      </c>
    </row>
    <row r="218" spans="1:32" x14ac:dyDescent="0.45">
      <c r="A218" s="6" t="s">
        <v>36</v>
      </c>
      <c r="B218" s="7">
        <v>0.26636125194779031</v>
      </c>
      <c r="C218" s="7">
        <v>2.4189991287900472E-2</v>
      </c>
      <c r="D218" s="8">
        <v>0</v>
      </c>
      <c r="E218" s="8">
        <v>1</v>
      </c>
      <c r="F218" s="8">
        <v>377</v>
      </c>
      <c r="G218" s="7">
        <v>0.17672760534526755</v>
      </c>
      <c r="H218" s="7">
        <v>1.8127456261163202E-2</v>
      </c>
      <c r="I218" s="8">
        <v>0</v>
      </c>
      <c r="J218" s="8">
        <v>1</v>
      </c>
      <c r="K218" s="8">
        <v>467</v>
      </c>
      <c r="L218" s="7">
        <v>4.3890875888197518E-2</v>
      </c>
      <c r="M218" s="7">
        <v>9.6682460234033402E-3</v>
      </c>
      <c r="N218" s="8">
        <v>0</v>
      </c>
      <c r="O218" s="8">
        <v>1</v>
      </c>
      <c r="P218" s="8">
        <v>441</v>
      </c>
      <c r="Q218" s="7">
        <v>8.371081995835053E-2</v>
      </c>
      <c r="R218" s="7">
        <v>1.4050470479779449E-2</v>
      </c>
      <c r="S218" s="8">
        <v>0</v>
      </c>
      <c r="T218" s="8">
        <v>1</v>
      </c>
      <c r="U218" s="8">
        <v>422</v>
      </c>
      <c r="V218" s="7">
        <v>0.17670361522524197</v>
      </c>
      <c r="W218" s="7">
        <v>1.6865782603968957E-2</v>
      </c>
      <c r="X218" s="8">
        <v>0</v>
      </c>
      <c r="Y218" s="8">
        <v>1</v>
      </c>
      <c r="Z218" s="8">
        <v>1068</v>
      </c>
      <c r="AA218" s="7">
        <v>0.10901593418102137</v>
      </c>
      <c r="AB218" s="7">
        <v>7.4445039199197852E-3</v>
      </c>
      <c r="AC218" s="8">
        <v>0</v>
      </c>
      <c r="AD218" s="8">
        <v>1</v>
      </c>
      <c r="AE218" s="8">
        <v>2775</v>
      </c>
      <c r="AF218">
        <f>(AA219/AA217)-AA218</f>
        <v>-3.816692273991068E-2</v>
      </c>
    </row>
    <row r="219" spans="1:32" ht="26.25" x14ac:dyDescent="0.45">
      <c r="A219" s="6" t="s">
        <v>101</v>
      </c>
      <c r="B219" s="7">
        <v>4.0880649490673557E-3</v>
      </c>
      <c r="C219" s="7">
        <v>2.8965367403375412E-3</v>
      </c>
      <c r="D219" s="8">
        <v>0</v>
      </c>
      <c r="E219" s="8">
        <v>1</v>
      </c>
      <c r="F219" s="8">
        <v>377</v>
      </c>
      <c r="G219" s="7">
        <v>1.2008423418893341E-2</v>
      </c>
      <c r="H219" s="7">
        <v>5.3476202932901838E-3</v>
      </c>
      <c r="I219" s="8">
        <v>0</v>
      </c>
      <c r="J219" s="8">
        <v>1</v>
      </c>
      <c r="K219" s="8">
        <v>467</v>
      </c>
      <c r="L219" s="7">
        <v>2.1394999406316758E-3</v>
      </c>
      <c r="M219" s="7">
        <v>2.1399424498196908E-3</v>
      </c>
      <c r="N219" s="8">
        <v>0</v>
      </c>
      <c r="O219" s="8">
        <v>1</v>
      </c>
      <c r="P219" s="8">
        <v>441</v>
      </c>
      <c r="Q219" s="7">
        <v>0</v>
      </c>
      <c r="R219" s="7">
        <v>0</v>
      </c>
      <c r="S219" s="8">
        <v>0</v>
      </c>
      <c r="T219" s="8">
        <v>0</v>
      </c>
      <c r="U219" s="8">
        <v>422</v>
      </c>
      <c r="V219" s="7">
        <v>4.7497862693721799E-4</v>
      </c>
      <c r="W219" s="7">
        <v>4.7542091073853591E-4</v>
      </c>
      <c r="X219" s="8">
        <v>0</v>
      </c>
      <c r="Y219" s="8">
        <v>1</v>
      </c>
      <c r="Z219" s="8">
        <v>1068</v>
      </c>
      <c r="AA219" s="7">
        <v>4.4492710703330747E-3</v>
      </c>
      <c r="AB219" s="7">
        <v>1.7152461044994821E-3</v>
      </c>
      <c r="AC219" s="8">
        <v>0</v>
      </c>
      <c r="AD219" s="8">
        <v>1</v>
      </c>
      <c r="AE219" s="8">
        <v>2775</v>
      </c>
    </row>
    <row r="220" spans="1:32" x14ac:dyDescent="0.45">
      <c r="A220" s="6" t="s">
        <v>34</v>
      </c>
      <c r="B220" s="7">
        <v>2.263311268250193E-2</v>
      </c>
      <c r="C220" s="7">
        <v>7.3421367292460923E-3</v>
      </c>
      <c r="D220" s="8">
        <v>0</v>
      </c>
      <c r="E220" s="8">
        <v>1</v>
      </c>
      <c r="F220" s="8">
        <v>377</v>
      </c>
      <c r="G220" s="7">
        <v>5.8327627768387631E-2</v>
      </c>
      <c r="H220" s="7">
        <v>1.1334403264176443E-2</v>
      </c>
      <c r="I220" s="8">
        <v>0</v>
      </c>
      <c r="J220" s="8">
        <v>1</v>
      </c>
      <c r="K220" s="8">
        <v>473</v>
      </c>
      <c r="L220" s="7">
        <v>8.3487078786845886E-2</v>
      </c>
      <c r="M220" s="7">
        <v>1.3594933601456751E-2</v>
      </c>
      <c r="N220" s="8">
        <v>0</v>
      </c>
      <c r="O220" s="8">
        <v>1</v>
      </c>
      <c r="P220" s="8">
        <v>443</v>
      </c>
      <c r="Q220" s="7">
        <v>5.2708548379860748E-2</v>
      </c>
      <c r="R220" s="7">
        <v>1.100803849809036E-2</v>
      </c>
      <c r="S220" s="8">
        <v>0</v>
      </c>
      <c r="T220" s="8">
        <v>1</v>
      </c>
      <c r="U220" s="8">
        <v>423</v>
      </c>
      <c r="V220" s="7">
        <v>3.9397663243172917E-3</v>
      </c>
      <c r="W220" s="7">
        <v>1.9732066657802663E-3</v>
      </c>
      <c r="X220" s="8">
        <v>0</v>
      </c>
      <c r="Y220" s="8">
        <v>1</v>
      </c>
      <c r="Z220" s="8">
        <v>1073</v>
      </c>
      <c r="AA220" s="7">
        <v>6.2799338760446702E-2</v>
      </c>
      <c r="AB220" s="7">
        <v>6.7450581638249926E-3</v>
      </c>
      <c r="AC220" s="8">
        <v>0</v>
      </c>
      <c r="AD220" s="8">
        <v>1</v>
      </c>
      <c r="AE220" s="8">
        <v>2789</v>
      </c>
      <c r="AF220">
        <f>(AA222/AA221)-AA220</f>
        <v>2.824687332482255E-2</v>
      </c>
    </row>
    <row r="221" spans="1:32" ht="26.25" x14ac:dyDescent="0.45">
      <c r="A221" s="6" t="s">
        <v>38</v>
      </c>
      <c r="B221" s="7">
        <v>0.44223301820394767</v>
      </c>
      <c r="C221" s="7">
        <v>2.8300310545730831E-2</v>
      </c>
      <c r="D221" s="8">
        <v>0</v>
      </c>
      <c r="E221" s="8">
        <v>1</v>
      </c>
      <c r="F221" s="8">
        <v>377</v>
      </c>
      <c r="G221" s="7">
        <v>0.67963669016962303</v>
      </c>
      <c r="H221" s="7">
        <v>2.2169291635117473E-2</v>
      </c>
      <c r="I221" s="8">
        <v>0</v>
      </c>
      <c r="J221" s="8">
        <v>1</v>
      </c>
      <c r="K221" s="8">
        <v>473</v>
      </c>
      <c r="L221" s="7">
        <v>0.41452170070524536</v>
      </c>
      <c r="M221" s="7">
        <v>2.4249093275481391E-2</v>
      </c>
      <c r="N221" s="8">
        <v>0</v>
      </c>
      <c r="O221" s="8">
        <v>1</v>
      </c>
      <c r="P221" s="8">
        <v>443</v>
      </c>
      <c r="Q221" s="7">
        <v>0.50232647922994245</v>
      </c>
      <c r="R221" s="7">
        <v>2.4962894154274457E-2</v>
      </c>
      <c r="S221" s="8">
        <v>0</v>
      </c>
      <c r="T221" s="8">
        <v>1</v>
      </c>
      <c r="U221" s="8">
        <v>423</v>
      </c>
      <c r="V221" s="7">
        <v>0.18691243882002603</v>
      </c>
      <c r="W221" s="7">
        <v>1.6206610488577019E-2</v>
      </c>
      <c r="X221" s="8">
        <v>0</v>
      </c>
      <c r="Y221" s="8">
        <v>1</v>
      </c>
      <c r="Z221" s="8">
        <v>1073</v>
      </c>
      <c r="AA221" s="7">
        <v>0.50156328466083933</v>
      </c>
      <c r="AB221" s="7">
        <v>1.320292147742998E-2</v>
      </c>
      <c r="AC221" s="8">
        <v>0</v>
      </c>
      <c r="AD221" s="8">
        <v>1</v>
      </c>
      <c r="AE221" s="8">
        <v>2789</v>
      </c>
      <c r="AF221">
        <f>(AA222/AA220)-AA221</f>
        <v>0.22560101500813734</v>
      </c>
    </row>
    <row r="222" spans="1:32" ht="39.4" x14ac:dyDescent="0.45">
      <c r="A222" s="6" t="s">
        <v>102</v>
      </c>
      <c r="B222" s="7">
        <v>1.4028333432468601E-2</v>
      </c>
      <c r="C222" s="7">
        <v>6.2906354336614394E-3</v>
      </c>
      <c r="D222" s="8">
        <v>0</v>
      </c>
      <c r="E222" s="8">
        <v>1</v>
      </c>
      <c r="F222" s="8">
        <v>377</v>
      </c>
      <c r="G222" s="7">
        <v>5.3803875795690424E-2</v>
      </c>
      <c r="H222" s="7">
        <v>1.0926209488029038E-2</v>
      </c>
      <c r="I222" s="8">
        <v>0</v>
      </c>
      <c r="J222" s="8">
        <v>1</v>
      </c>
      <c r="K222" s="8">
        <v>473</v>
      </c>
      <c r="L222" s="7">
        <v>5.7284284810796823E-2</v>
      </c>
      <c r="M222" s="7">
        <v>1.1430542364481273E-2</v>
      </c>
      <c r="N222" s="8">
        <v>0</v>
      </c>
      <c r="O222" s="8">
        <v>1</v>
      </c>
      <c r="P222" s="8">
        <v>443</v>
      </c>
      <c r="Q222" s="7">
        <v>3.1198531005465675E-2</v>
      </c>
      <c r="R222" s="7">
        <v>8.5916257740851435E-3</v>
      </c>
      <c r="S222" s="8">
        <v>0</v>
      </c>
      <c r="T222" s="8">
        <v>1</v>
      </c>
      <c r="U222" s="8">
        <v>423</v>
      </c>
      <c r="V222" s="7">
        <v>2.3603481294394435E-3</v>
      </c>
      <c r="W222" s="7">
        <v>1.830548816181026E-3</v>
      </c>
      <c r="X222" s="8">
        <v>0</v>
      </c>
      <c r="Y222" s="8">
        <v>1</v>
      </c>
      <c r="Z222" s="8">
        <v>1073</v>
      </c>
      <c r="AA222" s="7">
        <v>4.5665437189415049E-2</v>
      </c>
      <c r="AB222" s="7">
        <v>5.8059992553905473E-3</v>
      </c>
      <c r="AC222" s="8">
        <v>0</v>
      </c>
      <c r="AD222" s="8">
        <v>1</v>
      </c>
      <c r="AE222" s="8">
        <v>2789</v>
      </c>
    </row>
    <row r="223" spans="1:32" x14ac:dyDescent="0.45">
      <c r="A223" s="6" t="s">
        <v>34</v>
      </c>
      <c r="B223" s="7">
        <v>2.263311268250193E-2</v>
      </c>
      <c r="C223" s="7">
        <v>7.3421367292460923E-3</v>
      </c>
      <c r="D223" s="8">
        <v>0</v>
      </c>
      <c r="E223" s="8">
        <v>1</v>
      </c>
      <c r="F223" s="8">
        <v>377</v>
      </c>
      <c r="G223" s="7">
        <v>5.8327627768387631E-2</v>
      </c>
      <c r="H223" s="7">
        <v>1.1334403264176443E-2</v>
      </c>
      <c r="I223" s="8">
        <v>0</v>
      </c>
      <c r="J223" s="8">
        <v>1</v>
      </c>
      <c r="K223" s="8">
        <v>473</v>
      </c>
      <c r="L223" s="7">
        <v>8.3487078786845886E-2</v>
      </c>
      <c r="M223" s="7">
        <v>1.3594933601456751E-2</v>
      </c>
      <c r="N223" s="8">
        <v>0</v>
      </c>
      <c r="O223" s="8">
        <v>1</v>
      </c>
      <c r="P223" s="8">
        <v>443</v>
      </c>
      <c r="Q223" s="7">
        <v>5.2708548379860748E-2</v>
      </c>
      <c r="R223" s="7">
        <v>1.100803849809036E-2</v>
      </c>
      <c r="S223" s="8">
        <v>0</v>
      </c>
      <c r="T223" s="8">
        <v>1</v>
      </c>
      <c r="U223" s="8">
        <v>423</v>
      </c>
      <c r="V223" s="7">
        <v>3.9397663243172917E-3</v>
      </c>
      <c r="W223" s="7">
        <v>1.9732066657802663E-3</v>
      </c>
      <c r="X223" s="8">
        <v>0</v>
      </c>
      <c r="Y223" s="8">
        <v>1</v>
      </c>
      <c r="Z223" s="8">
        <v>1073</v>
      </c>
      <c r="AA223" s="7">
        <v>6.2799338760446702E-2</v>
      </c>
      <c r="AB223" s="7">
        <v>6.7450581638249926E-3</v>
      </c>
      <c r="AC223" s="8">
        <v>0</v>
      </c>
      <c r="AD223" s="8">
        <v>1</v>
      </c>
      <c r="AE223" s="8">
        <v>2789</v>
      </c>
      <c r="AF223">
        <f>(AA225/AA224)-AA223</f>
        <v>-2.3047040014881851E-2</v>
      </c>
    </row>
    <row r="224" spans="1:32" x14ac:dyDescent="0.45">
      <c r="A224" s="6" t="s">
        <v>40</v>
      </c>
      <c r="B224" s="7">
        <v>0.24786641106498949</v>
      </c>
      <c r="C224" s="7">
        <v>2.3847850003411539E-2</v>
      </c>
      <c r="D224" s="8">
        <v>0</v>
      </c>
      <c r="E224" s="8">
        <v>1</v>
      </c>
      <c r="F224" s="8">
        <v>377</v>
      </c>
      <c r="G224" s="7">
        <v>0.31149999401439304</v>
      </c>
      <c r="H224" s="7">
        <v>2.2025125692018081E-2</v>
      </c>
      <c r="I224" s="8">
        <v>0</v>
      </c>
      <c r="J224" s="8">
        <v>1</v>
      </c>
      <c r="K224" s="8">
        <v>473</v>
      </c>
      <c r="L224" s="7">
        <v>0.27873695588735009</v>
      </c>
      <c r="M224" s="7">
        <v>2.1757269898733667E-2</v>
      </c>
      <c r="N224" s="8">
        <v>0</v>
      </c>
      <c r="O224" s="8">
        <v>1</v>
      </c>
      <c r="P224" s="8">
        <v>443</v>
      </c>
      <c r="Q224" s="7">
        <v>0.7144739729494628</v>
      </c>
      <c r="R224" s="7">
        <v>2.2433009195978806E-2</v>
      </c>
      <c r="S224" s="8">
        <v>0</v>
      </c>
      <c r="T224" s="8">
        <v>1</v>
      </c>
      <c r="U224" s="8">
        <v>423</v>
      </c>
      <c r="V224" s="7">
        <v>0.42578593556370831</v>
      </c>
      <c r="W224" s="7">
        <v>2.0859115306836037E-2</v>
      </c>
      <c r="X224" s="8">
        <v>0</v>
      </c>
      <c r="Y224" s="8">
        <v>1</v>
      </c>
      <c r="Z224" s="8">
        <v>1073</v>
      </c>
      <c r="AA224" s="7">
        <v>0.38890886648264583</v>
      </c>
      <c r="AB224" s="7">
        <v>1.2688043853195404E-2</v>
      </c>
      <c r="AC224" s="8">
        <v>0</v>
      </c>
      <c r="AD224" s="8">
        <v>1</v>
      </c>
      <c r="AE224" s="8">
        <v>2789</v>
      </c>
      <c r="AF224">
        <f>(AA225/AA223)-AA224</f>
        <v>-0.14272758893463425</v>
      </c>
    </row>
    <row r="225" spans="1:32" ht="26.25" x14ac:dyDescent="0.45">
      <c r="A225" s="6" t="s">
        <v>103</v>
      </c>
      <c r="B225" s="7">
        <v>5.8614751973984193E-3</v>
      </c>
      <c r="C225" s="7">
        <v>3.6905389964501556E-3</v>
      </c>
      <c r="D225" s="8">
        <v>0</v>
      </c>
      <c r="E225" s="8">
        <v>1</v>
      </c>
      <c r="F225" s="8">
        <v>377</v>
      </c>
      <c r="G225" s="7">
        <v>1.1142648434251999E-2</v>
      </c>
      <c r="H225" s="7">
        <v>4.9652648274922237E-3</v>
      </c>
      <c r="I225" s="8">
        <v>0</v>
      </c>
      <c r="J225" s="8">
        <v>1</v>
      </c>
      <c r="K225" s="8">
        <v>473</v>
      </c>
      <c r="L225" s="7">
        <v>2.333175765533694E-3</v>
      </c>
      <c r="M225" s="7">
        <v>2.3331808040011766E-3</v>
      </c>
      <c r="N225" s="8">
        <v>0</v>
      </c>
      <c r="O225" s="8">
        <v>1</v>
      </c>
      <c r="P225" s="8">
        <v>443</v>
      </c>
      <c r="Q225" s="7">
        <v>4.8620337534249936E-2</v>
      </c>
      <c r="R225" s="7">
        <v>1.0640280905320305E-2</v>
      </c>
      <c r="S225" s="8">
        <v>0</v>
      </c>
      <c r="T225" s="8">
        <v>1</v>
      </c>
      <c r="U225" s="8">
        <v>423</v>
      </c>
      <c r="V225" s="7">
        <v>3.2760056552770169E-3</v>
      </c>
      <c r="W225" s="7">
        <v>1.9276909884350841E-3</v>
      </c>
      <c r="X225" s="8">
        <v>0</v>
      </c>
      <c r="Y225" s="8">
        <v>1</v>
      </c>
      <c r="Z225" s="8">
        <v>1073</v>
      </c>
      <c r="AA225" s="7">
        <v>1.5460021445217131E-2</v>
      </c>
      <c r="AB225" s="7">
        <v>2.9554947166969396E-3</v>
      </c>
      <c r="AC225" s="8">
        <v>0</v>
      </c>
      <c r="AD225" s="8">
        <v>1</v>
      </c>
      <c r="AE225" s="8">
        <v>2789</v>
      </c>
    </row>
    <row r="226" spans="1:32" x14ac:dyDescent="0.45">
      <c r="A226" s="6" t="s">
        <v>34</v>
      </c>
      <c r="B226" s="7">
        <v>2.263311268250193E-2</v>
      </c>
      <c r="C226" s="7">
        <v>7.3421367292460923E-3</v>
      </c>
      <c r="D226" s="8">
        <v>0</v>
      </c>
      <c r="E226" s="8">
        <v>1</v>
      </c>
      <c r="F226" s="8">
        <v>377</v>
      </c>
      <c r="G226" s="7">
        <v>5.8327627768387631E-2</v>
      </c>
      <c r="H226" s="7">
        <v>1.1334403264176443E-2</v>
      </c>
      <c r="I226" s="8">
        <v>0</v>
      </c>
      <c r="J226" s="8">
        <v>1</v>
      </c>
      <c r="K226" s="8">
        <v>473</v>
      </c>
      <c r="L226" s="7">
        <v>8.3487078786845886E-2</v>
      </c>
      <c r="M226" s="7">
        <v>1.3594933601456751E-2</v>
      </c>
      <c r="N226" s="8">
        <v>0</v>
      </c>
      <c r="O226" s="8">
        <v>1</v>
      </c>
      <c r="P226" s="8">
        <v>443</v>
      </c>
      <c r="Q226" s="7">
        <v>5.2708548379860748E-2</v>
      </c>
      <c r="R226" s="7">
        <v>1.100803849809036E-2</v>
      </c>
      <c r="S226" s="8">
        <v>0</v>
      </c>
      <c r="T226" s="8">
        <v>1</v>
      </c>
      <c r="U226" s="8">
        <v>423</v>
      </c>
      <c r="V226" s="7">
        <v>3.9397663243172917E-3</v>
      </c>
      <c r="W226" s="7">
        <v>1.9732066657802663E-3</v>
      </c>
      <c r="X226" s="8">
        <v>0</v>
      </c>
      <c r="Y226" s="8">
        <v>1</v>
      </c>
      <c r="Z226" s="8">
        <v>1073</v>
      </c>
      <c r="AA226" s="7">
        <v>6.2799338760446702E-2</v>
      </c>
      <c r="AB226" s="7">
        <v>6.7450581638249926E-3</v>
      </c>
      <c r="AC226" s="8">
        <v>0</v>
      </c>
      <c r="AD226" s="8">
        <v>1</v>
      </c>
      <c r="AE226" s="8">
        <v>2789</v>
      </c>
      <c r="AF226">
        <f>(AA228/AA227)-AA226</f>
        <v>-1.2304050096966779E-3</v>
      </c>
    </row>
    <row r="227" spans="1:32" x14ac:dyDescent="0.45">
      <c r="A227" s="6" t="s">
        <v>42</v>
      </c>
      <c r="B227" s="7">
        <v>0.25408442278087268</v>
      </c>
      <c r="C227" s="7">
        <v>2.3890244562588821E-2</v>
      </c>
      <c r="D227" s="8">
        <v>0</v>
      </c>
      <c r="E227" s="8">
        <v>1</v>
      </c>
      <c r="F227" s="8">
        <v>377</v>
      </c>
      <c r="G227" s="7">
        <v>0.38956592850901783</v>
      </c>
      <c r="H227" s="7">
        <v>2.3227425068734729E-2</v>
      </c>
      <c r="I227" s="8">
        <v>0</v>
      </c>
      <c r="J227" s="8">
        <v>1</v>
      </c>
      <c r="K227" s="8">
        <v>473</v>
      </c>
      <c r="L227" s="7">
        <v>0.29434907940891936</v>
      </c>
      <c r="M227" s="7">
        <v>2.2760326811863539E-2</v>
      </c>
      <c r="N227" s="8">
        <v>0</v>
      </c>
      <c r="O227" s="8">
        <v>1</v>
      </c>
      <c r="P227" s="8">
        <v>443</v>
      </c>
      <c r="Q227" s="7">
        <v>0.48120800183961793</v>
      </c>
      <c r="R227" s="7">
        <v>2.4961710177192679E-2</v>
      </c>
      <c r="S227" s="8">
        <v>0</v>
      </c>
      <c r="T227" s="8">
        <v>1</v>
      </c>
      <c r="U227" s="8">
        <v>423</v>
      </c>
      <c r="V227" s="7">
        <v>0.3185812605122561</v>
      </c>
      <c r="W227" s="7">
        <v>1.8993252911173444E-2</v>
      </c>
      <c r="X227" s="8">
        <v>0</v>
      </c>
      <c r="Y227" s="8">
        <v>1</v>
      </c>
      <c r="Z227" s="8">
        <v>1073</v>
      </c>
      <c r="AA227" s="7">
        <v>0.36087108047955696</v>
      </c>
      <c r="AB227" s="7">
        <v>1.2672536005467003E-2</v>
      </c>
      <c r="AC227" s="8">
        <v>0</v>
      </c>
      <c r="AD227" s="8">
        <v>1</v>
      </c>
      <c r="AE227" s="8">
        <v>2789</v>
      </c>
      <c r="AF227">
        <f>(AA228/AA226)-AA227</f>
        <v>-7.0704181610962702E-3</v>
      </c>
    </row>
    <row r="228" spans="1:32" ht="26.25" x14ac:dyDescent="0.45">
      <c r="A228" s="6" t="s">
        <v>104</v>
      </c>
      <c r="B228" s="7">
        <v>3.9613281998923675E-3</v>
      </c>
      <c r="C228" s="7">
        <v>3.2425921810660609E-3</v>
      </c>
      <c r="D228" s="8">
        <v>0</v>
      </c>
      <c r="E228" s="8">
        <v>1</v>
      </c>
      <c r="F228" s="8">
        <v>377</v>
      </c>
      <c r="G228" s="7">
        <v>3.9622702034789736E-2</v>
      </c>
      <c r="H228" s="7">
        <v>9.4348889689371343E-3</v>
      </c>
      <c r="I228" s="8">
        <v>0</v>
      </c>
      <c r="J228" s="8">
        <v>1</v>
      </c>
      <c r="K228" s="8">
        <v>473</v>
      </c>
      <c r="L228" s="7">
        <v>1.2244915724411679E-2</v>
      </c>
      <c r="M228" s="7">
        <v>5.4782990000798023E-3</v>
      </c>
      <c r="N228" s="8">
        <v>0</v>
      </c>
      <c r="O228" s="8">
        <v>1</v>
      </c>
      <c r="P228" s="8">
        <v>443</v>
      </c>
      <c r="Q228" s="7">
        <v>2.6897306882600853E-2</v>
      </c>
      <c r="R228" s="7">
        <v>8.0308112758841876E-3</v>
      </c>
      <c r="S228" s="8">
        <v>0</v>
      </c>
      <c r="T228" s="8">
        <v>1</v>
      </c>
      <c r="U228" s="8">
        <v>423</v>
      </c>
      <c r="V228" s="7">
        <v>2.5176534210636691E-3</v>
      </c>
      <c r="W228" s="7">
        <v>1.8639835110952439E-3</v>
      </c>
      <c r="X228" s="8">
        <v>0</v>
      </c>
      <c r="Y228" s="8">
        <v>1</v>
      </c>
      <c r="Z228" s="8">
        <v>1073</v>
      </c>
      <c r="AA228" s="7">
        <v>2.2218447646607423E-2</v>
      </c>
      <c r="AB228" s="7">
        <v>3.8635875428522743E-3</v>
      </c>
      <c r="AC228" s="8">
        <v>0</v>
      </c>
      <c r="AD228" s="8">
        <v>1</v>
      </c>
      <c r="AE228" s="8">
        <v>2789</v>
      </c>
    </row>
    <row r="229" spans="1:32" x14ac:dyDescent="0.45">
      <c r="A229" s="6" t="s">
        <v>34</v>
      </c>
      <c r="B229" s="7">
        <v>2.263311268250193E-2</v>
      </c>
      <c r="C229" s="7">
        <v>7.3421367292460923E-3</v>
      </c>
      <c r="D229" s="8">
        <v>0</v>
      </c>
      <c r="E229" s="8">
        <v>1</v>
      </c>
      <c r="F229" s="8">
        <v>377</v>
      </c>
      <c r="G229" s="7">
        <v>5.8327627768387631E-2</v>
      </c>
      <c r="H229" s="7">
        <v>1.1334403264176443E-2</v>
      </c>
      <c r="I229" s="8">
        <v>0</v>
      </c>
      <c r="J229" s="8">
        <v>1</v>
      </c>
      <c r="K229" s="8">
        <v>473</v>
      </c>
      <c r="L229" s="7">
        <v>8.3487078786845886E-2</v>
      </c>
      <c r="M229" s="7">
        <v>1.3594933601456751E-2</v>
      </c>
      <c r="N229" s="8">
        <v>0</v>
      </c>
      <c r="O229" s="8">
        <v>1</v>
      </c>
      <c r="P229" s="8">
        <v>443</v>
      </c>
      <c r="Q229" s="7">
        <v>5.2708548379860748E-2</v>
      </c>
      <c r="R229" s="7">
        <v>1.100803849809036E-2</v>
      </c>
      <c r="S229" s="8">
        <v>0</v>
      </c>
      <c r="T229" s="8">
        <v>1</v>
      </c>
      <c r="U229" s="8">
        <v>423</v>
      </c>
      <c r="V229" s="7">
        <v>3.9397663243172917E-3</v>
      </c>
      <c r="W229" s="7">
        <v>1.9732066657802663E-3</v>
      </c>
      <c r="X229" s="8">
        <v>0</v>
      </c>
      <c r="Y229" s="8">
        <v>1</v>
      </c>
      <c r="Z229" s="8">
        <v>1073</v>
      </c>
      <c r="AA229" s="7">
        <v>6.2799338760446702E-2</v>
      </c>
      <c r="AB229" s="7">
        <v>6.7450581638249926E-3</v>
      </c>
      <c r="AC229" s="8">
        <v>0</v>
      </c>
      <c r="AD229" s="8">
        <v>1</v>
      </c>
      <c r="AE229" s="8">
        <v>2789</v>
      </c>
      <c r="AF229">
        <f>(AA231/AA230)-AA229</f>
        <v>-1.7138498763534099E-3</v>
      </c>
    </row>
    <row r="230" spans="1:32" x14ac:dyDescent="0.45">
      <c r="A230" s="6" t="s">
        <v>44</v>
      </c>
      <c r="B230" s="7">
        <v>8.0786565347683054E-2</v>
      </c>
      <c r="C230" s="7">
        <v>1.5016123840370335E-2</v>
      </c>
      <c r="D230" s="8">
        <v>0</v>
      </c>
      <c r="E230" s="8">
        <v>1</v>
      </c>
      <c r="F230" s="8">
        <v>377</v>
      </c>
      <c r="G230" s="7">
        <v>9.1853674780647654E-2</v>
      </c>
      <c r="H230" s="7">
        <v>1.3604205216173792E-2</v>
      </c>
      <c r="I230" s="8">
        <v>0</v>
      </c>
      <c r="J230" s="8">
        <v>1</v>
      </c>
      <c r="K230" s="8">
        <v>473</v>
      </c>
      <c r="L230" s="7">
        <v>4.9754031578703402E-2</v>
      </c>
      <c r="M230" s="7">
        <v>1.103367216294986E-2</v>
      </c>
      <c r="N230" s="8">
        <v>0</v>
      </c>
      <c r="O230" s="8">
        <v>1</v>
      </c>
      <c r="P230" s="8">
        <v>443</v>
      </c>
      <c r="Q230" s="7">
        <v>0.15234303743644023</v>
      </c>
      <c r="R230" s="7">
        <v>1.7921333577869139E-2</v>
      </c>
      <c r="S230" s="8">
        <v>0</v>
      </c>
      <c r="T230" s="8">
        <v>1</v>
      </c>
      <c r="U230" s="8">
        <v>423</v>
      </c>
      <c r="V230" s="7">
        <v>8.2961551505331077E-2</v>
      </c>
      <c r="W230" s="7">
        <v>8.9475819872891042E-3</v>
      </c>
      <c r="X230" s="8">
        <v>0</v>
      </c>
      <c r="Y230" s="8">
        <v>1</v>
      </c>
      <c r="Z230" s="8">
        <v>1073</v>
      </c>
      <c r="AA230" s="7">
        <v>8.7706153685111046E-2</v>
      </c>
      <c r="AB230" s="7">
        <v>7.1838488407195067E-3</v>
      </c>
      <c r="AC230" s="8">
        <v>0</v>
      </c>
      <c r="AD230" s="8">
        <v>1</v>
      </c>
      <c r="AE230" s="8">
        <v>2789</v>
      </c>
      <c r="AF230">
        <f>(AA231/AA229)-AA230</f>
        <v>-2.3935790346782254E-3</v>
      </c>
    </row>
    <row r="231" spans="1:32" ht="26.25" x14ac:dyDescent="0.45">
      <c r="A231" s="6" t="s">
        <v>105</v>
      </c>
      <c r="B231" s="7">
        <v>0</v>
      </c>
      <c r="C231" s="7">
        <v>0</v>
      </c>
      <c r="D231" s="8">
        <v>0</v>
      </c>
      <c r="E231" s="8">
        <v>0</v>
      </c>
      <c r="F231" s="8">
        <v>377</v>
      </c>
      <c r="G231" s="7">
        <v>1.1541654506320843E-2</v>
      </c>
      <c r="H231" s="7">
        <v>5.1448791236675898E-3</v>
      </c>
      <c r="I231" s="8">
        <v>0</v>
      </c>
      <c r="J231" s="8">
        <v>1</v>
      </c>
      <c r="K231" s="8">
        <v>473</v>
      </c>
      <c r="L231" s="7">
        <v>0</v>
      </c>
      <c r="M231" s="7">
        <v>0</v>
      </c>
      <c r="N231" s="8">
        <v>0</v>
      </c>
      <c r="O231" s="8">
        <v>0</v>
      </c>
      <c r="P231" s="8">
        <v>443</v>
      </c>
      <c r="Q231" s="7">
        <v>9.6331020328316933E-3</v>
      </c>
      <c r="R231" s="7">
        <v>4.8282037345573296E-3</v>
      </c>
      <c r="S231" s="8">
        <v>0</v>
      </c>
      <c r="T231" s="8">
        <v>1</v>
      </c>
      <c r="U231" s="8">
        <v>423</v>
      </c>
      <c r="V231" s="7">
        <v>0</v>
      </c>
      <c r="W231" s="7">
        <v>0</v>
      </c>
      <c r="X231" s="8">
        <v>0</v>
      </c>
      <c r="Y231" s="8">
        <v>0</v>
      </c>
      <c r="Z231" s="8">
        <v>1073</v>
      </c>
      <c r="AA231" s="7">
        <v>5.357573275998429E-3</v>
      </c>
      <c r="AB231" s="7">
        <v>1.7935344540215756E-3</v>
      </c>
      <c r="AC231" s="8">
        <v>0</v>
      </c>
      <c r="AD231" s="8">
        <v>1</v>
      </c>
      <c r="AE231" s="8">
        <v>2789</v>
      </c>
    </row>
    <row r="232" spans="1:32" x14ac:dyDescent="0.45">
      <c r="A232" s="6" t="s">
        <v>34</v>
      </c>
      <c r="B232" s="7">
        <v>2.263311268250193E-2</v>
      </c>
      <c r="C232" s="7">
        <v>7.3421367292460923E-3</v>
      </c>
      <c r="D232" s="8">
        <v>0</v>
      </c>
      <c r="E232" s="8">
        <v>1</v>
      </c>
      <c r="F232" s="8">
        <v>377</v>
      </c>
      <c r="G232" s="7">
        <v>5.8327627768387631E-2</v>
      </c>
      <c r="H232" s="7">
        <v>1.1334403264176443E-2</v>
      </c>
      <c r="I232" s="8">
        <v>0</v>
      </c>
      <c r="J232" s="8">
        <v>1</v>
      </c>
      <c r="K232" s="8">
        <v>473</v>
      </c>
      <c r="L232" s="7">
        <v>8.3487078786845886E-2</v>
      </c>
      <c r="M232" s="7">
        <v>1.3594933601456751E-2</v>
      </c>
      <c r="N232" s="8">
        <v>0</v>
      </c>
      <c r="O232" s="8">
        <v>1</v>
      </c>
      <c r="P232" s="8">
        <v>443</v>
      </c>
      <c r="Q232" s="7">
        <v>5.2708548379860748E-2</v>
      </c>
      <c r="R232" s="7">
        <v>1.100803849809036E-2</v>
      </c>
      <c r="S232" s="8">
        <v>0</v>
      </c>
      <c r="T232" s="8">
        <v>1</v>
      </c>
      <c r="U232" s="8">
        <v>423</v>
      </c>
      <c r="V232" s="7">
        <v>3.9397663243172917E-3</v>
      </c>
      <c r="W232" s="7">
        <v>1.9732066657802663E-3</v>
      </c>
      <c r="X232" s="8">
        <v>0</v>
      </c>
      <c r="Y232" s="8">
        <v>1</v>
      </c>
      <c r="Z232" s="8">
        <v>1073</v>
      </c>
      <c r="AA232" s="7">
        <v>6.2799338760446702E-2</v>
      </c>
      <c r="AB232" s="7">
        <v>6.7450581638249926E-3</v>
      </c>
      <c r="AC232" s="8">
        <v>0</v>
      </c>
      <c r="AD232" s="8">
        <v>1</v>
      </c>
      <c r="AE232" s="8">
        <v>2789</v>
      </c>
      <c r="AF232">
        <f>(AA234/AA233)-AA232</f>
        <v>1.5380897060930321E-2</v>
      </c>
    </row>
    <row r="233" spans="1:32" ht="39.4" x14ac:dyDescent="0.45">
      <c r="A233" s="6" t="s">
        <v>16</v>
      </c>
      <c r="B233" s="7">
        <v>0.51199366560399728</v>
      </c>
      <c r="C233" s="7">
        <v>2.9021889994445865E-2</v>
      </c>
      <c r="D233" s="8">
        <v>0</v>
      </c>
      <c r="E233" s="8">
        <v>1</v>
      </c>
      <c r="F233" s="8">
        <v>377</v>
      </c>
      <c r="G233" s="7">
        <v>0.75248336082973521</v>
      </c>
      <c r="H233" s="7">
        <v>2.0449467587927744E-2</v>
      </c>
      <c r="I233" s="8">
        <v>0</v>
      </c>
      <c r="J233" s="8">
        <v>1</v>
      </c>
      <c r="K233" s="8">
        <v>473</v>
      </c>
      <c r="L233" s="7">
        <v>0.55666891088221959</v>
      </c>
      <c r="M233" s="7">
        <v>2.4460269691669399E-2</v>
      </c>
      <c r="N233" s="8">
        <v>0</v>
      </c>
      <c r="O233" s="8">
        <v>1</v>
      </c>
      <c r="P233" s="8">
        <v>443</v>
      </c>
      <c r="Q233" s="7">
        <v>0.83603306383602227</v>
      </c>
      <c r="R233" s="7">
        <v>1.8289048327108152E-2</v>
      </c>
      <c r="S233" s="8">
        <v>0</v>
      </c>
      <c r="T233" s="8">
        <v>1</v>
      </c>
      <c r="U233" s="8">
        <v>423</v>
      </c>
      <c r="V233" s="7">
        <v>0.44289642409572316</v>
      </c>
      <c r="W233" s="7">
        <v>2.1056261249825466E-2</v>
      </c>
      <c r="X233" s="8">
        <v>0</v>
      </c>
      <c r="Y233" s="8">
        <v>1</v>
      </c>
      <c r="Z233" s="8">
        <v>1073</v>
      </c>
      <c r="AA233" s="7">
        <v>0.66677630791100306</v>
      </c>
      <c r="AB233" s="7">
        <v>1.2587121178159334E-2</v>
      </c>
      <c r="AC233" s="8">
        <v>0</v>
      </c>
      <c r="AD233" s="8">
        <v>1</v>
      </c>
      <c r="AE233" s="8">
        <v>2789</v>
      </c>
      <c r="AF233">
        <f>(AA234/AA232)-AA233</f>
        <v>0.16330773471623994</v>
      </c>
    </row>
    <row r="234" spans="1:32" ht="26.25" x14ac:dyDescent="0.45">
      <c r="A234" s="6" t="s">
        <v>106</v>
      </c>
      <c r="B234" s="7">
        <v>1.4853275125472085E-2</v>
      </c>
      <c r="C234" s="7">
        <v>6.3441205565999892E-3</v>
      </c>
      <c r="D234" s="8">
        <v>0</v>
      </c>
      <c r="E234" s="8">
        <v>1</v>
      </c>
      <c r="F234" s="8">
        <v>377</v>
      </c>
      <c r="G234" s="7">
        <v>5.5955696312139987E-2</v>
      </c>
      <c r="H234" s="7">
        <v>1.1112826098216299E-2</v>
      </c>
      <c r="I234" s="8">
        <v>0</v>
      </c>
      <c r="J234" s="8">
        <v>1</v>
      </c>
      <c r="K234" s="8">
        <v>473</v>
      </c>
      <c r="L234" s="7">
        <v>5.9617460576330522E-2</v>
      </c>
      <c r="M234" s="7">
        <v>1.1639405128335369E-2</v>
      </c>
      <c r="N234" s="8">
        <v>0</v>
      </c>
      <c r="O234" s="8">
        <v>1</v>
      </c>
      <c r="P234" s="8">
        <v>443</v>
      </c>
      <c r="Q234" s="7">
        <v>5.2708548379860748E-2</v>
      </c>
      <c r="R234" s="7">
        <v>1.100803849809036E-2</v>
      </c>
      <c r="S234" s="8">
        <v>0</v>
      </c>
      <c r="T234" s="8">
        <v>1</v>
      </c>
      <c r="U234" s="8">
        <v>423</v>
      </c>
      <c r="V234" s="7">
        <v>3.5903938441329674E-3</v>
      </c>
      <c r="W234" s="7">
        <v>1.9534356499937592E-3</v>
      </c>
      <c r="X234" s="8">
        <v>0</v>
      </c>
      <c r="Y234" s="8">
        <v>1</v>
      </c>
      <c r="Z234" s="8">
        <v>1073</v>
      </c>
      <c r="AA234" s="7">
        <v>5.2128728992589315E-2</v>
      </c>
      <c r="AB234" s="7">
        <v>6.0925957657872436E-3</v>
      </c>
      <c r="AC234" s="8">
        <v>0</v>
      </c>
      <c r="AD234" s="8">
        <v>1</v>
      </c>
      <c r="AE234" s="8">
        <v>2789</v>
      </c>
    </row>
    <row r="235" spans="1:32" x14ac:dyDescent="0.45">
      <c r="A235" s="6" t="s">
        <v>34</v>
      </c>
      <c r="B235" s="7">
        <v>2.263311268250193E-2</v>
      </c>
      <c r="C235" s="7">
        <v>7.3421367292460923E-3</v>
      </c>
      <c r="D235" s="8">
        <v>0</v>
      </c>
      <c r="E235" s="8">
        <v>1</v>
      </c>
      <c r="F235" s="8">
        <v>377</v>
      </c>
      <c r="G235" s="7">
        <v>5.8327627768387631E-2</v>
      </c>
      <c r="H235" s="7">
        <v>1.1334403264176443E-2</v>
      </c>
      <c r="I235" s="8">
        <v>0</v>
      </c>
      <c r="J235" s="8">
        <v>1</v>
      </c>
      <c r="K235" s="8">
        <v>473</v>
      </c>
      <c r="L235" s="7">
        <v>8.3487078786845886E-2</v>
      </c>
      <c r="M235" s="7">
        <v>1.3594933601456751E-2</v>
      </c>
      <c r="N235" s="8">
        <v>0</v>
      </c>
      <c r="O235" s="8">
        <v>1</v>
      </c>
      <c r="P235" s="8">
        <v>443</v>
      </c>
      <c r="Q235" s="7">
        <v>5.2708548379860748E-2</v>
      </c>
      <c r="R235" s="7">
        <v>1.100803849809036E-2</v>
      </c>
      <c r="S235" s="8">
        <v>0</v>
      </c>
      <c r="T235" s="8">
        <v>1</v>
      </c>
      <c r="U235" s="8">
        <v>423</v>
      </c>
      <c r="V235" s="7">
        <v>3.9397663243172917E-3</v>
      </c>
      <c r="W235" s="7">
        <v>1.9732066657802663E-3</v>
      </c>
      <c r="X235" s="8">
        <v>0</v>
      </c>
      <c r="Y235" s="8">
        <v>1</v>
      </c>
      <c r="Z235" s="8">
        <v>1073</v>
      </c>
      <c r="AA235" s="7">
        <v>6.2799338760446702E-2</v>
      </c>
      <c r="AB235" s="7">
        <v>6.7450581638249926E-3</v>
      </c>
      <c r="AC235" s="8">
        <v>0</v>
      </c>
      <c r="AD235" s="8">
        <v>1</v>
      </c>
      <c r="AE235" s="8">
        <v>2789</v>
      </c>
      <c r="AF235">
        <f>(AA237/AA236)-AA235</f>
        <v>1.6412841226175395E-2</v>
      </c>
    </row>
    <row r="236" spans="1:32" ht="39.4" x14ac:dyDescent="0.45">
      <c r="A236" s="6" t="s">
        <v>18</v>
      </c>
      <c r="B236" s="7">
        <v>0.57798625450849994</v>
      </c>
      <c r="C236" s="7">
        <v>2.931190088877576E-2</v>
      </c>
      <c r="D236" s="8">
        <v>0</v>
      </c>
      <c r="E236" s="8">
        <v>1</v>
      </c>
      <c r="F236" s="8">
        <v>377</v>
      </c>
      <c r="G236" s="7">
        <v>0.7759090962333085</v>
      </c>
      <c r="H236" s="7">
        <v>1.9819100780919589E-2</v>
      </c>
      <c r="I236" s="8">
        <v>0</v>
      </c>
      <c r="J236" s="8">
        <v>1</v>
      </c>
      <c r="K236" s="8">
        <v>473</v>
      </c>
      <c r="L236" s="7">
        <v>0.54937707697091009</v>
      </c>
      <c r="M236" s="7">
        <v>2.442131248989543E-2</v>
      </c>
      <c r="N236" s="8">
        <v>0</v>
      </c>
      <c r="O236" s="8">
        <v>1</v>
      </c>
      <c r="P236" s="8">
        <v>443</v>
      </c>
      <c r="Q236" s="7">
        <v>0.74315598481496103</v>
      </c>
      <c r="R236" s="7">
        <v>2.153023882484394E-2</v>
      </c>
      <c r="S236" s="8">
        <v>0</v>
      </c>
      <c r="T236" s="8">
        <v>1</v>
      </c>
      <c r="U236" s="8">
        <v>423</v>
      </c>
      <c r="V236" s="7">
        <v>0.39927975706290247</v>
      </c>
      <c r="W236" s="7">
        <v>2.0519705334594719E-2</v>
      </c>
      <c r="X236" s="8">
        <v>0</v>
      </c>
      <c r="Y236" s="8">
        <v>1</v>
      </c>
      <c r="Z236" s="8">
        <v>1073</v>
      </c>
      <c r="AA236" s="7">
        <v>0.65235181396445241</v>
      </c>
      <c r="AB236" s="7">
        <v>1.2624611213770981E-2</v>
      </c>
      <c r="AC236" s="8">
        <v>0</v>
      </c>
      <c r="AD236" s="8">
        <v>1</v>
      </c>
      <c r="AE236" s="8">
        <v>2789</v>
      </c>
      <c r="AF236">
        <f>(AA237/AA235)-AA236</f>
        <v>0.17049457777013544</v>
      </c>
    </row>
    <row r="237" spans="1:32" ht="26.25" x14ac:dyDescent="0.45">
      <c r="A237" s="6" t="s">
        <v>107</v>
      </c>
      <c r="B237" s="7">
        <v>1.4853275125472085E-2</v>
      </c>
      <c r="C237" s="7">
        <v>6.3441205565999892E-3</v>
      </c>
      <c r="D237" s="8">
        <v>0</v>
      </c>
      <c r="E237" s="8">
        <v>1</v>
      </c>
      <c r="F237" s="8">
        <v>377</v>
      </c>
      <c r="G237" s="7">
        <v>5.8327627768387631E-2</v>
      </c>
      <c r="H237" s="7">
        <v>1.1334403264176443E-2</v>
      </c>
      <c r="I237" s="8">
        <v>0</v>
      </c>
      <c r="J237" s="8">
        <v>1</v>
      </c>
      <c r="K237" s="8">
        <v>473</v>
      </c>
      <c r="L237" s="7">
        <v>6.2276437514335953E-2</v>
      </c>
      <c r="M237" s="7">
        <v>1.1907103018278848E-2</v>
      </c>
      <c r="N237" s="8">
        <v>0</v>
      </c>
      <c r="O237" s="8">
        <v>1</v>
      </c>
      <c r="P237" s="8">
        <v>443</v>
      </c>
      <c r="Q237" s="7">
        <v>4.3207054257171175E-2</v>
      </c>
      <c r="R237" s="7">
        <v>1.0032939258810764E-2</v>
      </c>
      <c r="S237" s="8">
        <v>0</v>
      </c>
      <c r="T237" s="8">
        <v>1</v>
      </c>
      <c r="U237" s="8">
        <v>423</v>
      </c>
      <c r="V237" s="7">
        <v>2.8320416099196196E-3</v>
      </c>
      <c r="W237" s="7">
        <v>1.890439748037056E-3</v>
      </c>
      <c r="X237" s="8">
        <v>0</v>
      </c>
      <c r="Y237" s="8">
        <v>1</v>
      </c>
      <c r="Z237" s="8">
        <v>1073</v>
      </c>
      <c r="AA237" s="7">
        <v>5.1674209302351615E-2</v>
      </c>
      <c r="AB237" s="7">
        <v>6.1232609189333514E-3</v>
      </c>
      <c r="AC237" s="8">
        <v>0</v>
      </c>
      <c r="AD237" s="8">
        <v>1</v>
      </c>
      <c r="AE237" s="8">
        <v>2789</v>
      </c>
    </row>
    <row r="238" spans="1:32" x14ac:dyDescent="0.45">
      <c r="A238" s="6" t="s">
        <v>34</v>
      </c>
      <c r="B238" s="7">
        <v>2.263311268250193E-2</v>
      </c>
      <c r="C238" s="7">
        <v>7.3421367292460923E-3</v>
      </c>
      <c r="D238" s="8">
        <v>0</v>
      </c>
      <c r="E238" s="8">
        <v>1</v>
      </c>
      <c r="F238" s="8">
        <v>377</v>
      </c>
      <c r="G238" s="7">
        <v>5.8327627768387631E-2</v>
      </c>
      <c r="H238" s="7">
        <v>1.1334403264176443E-2</v>
      </c>
      <c r="I238" s="8">
        <v>0</v>
      </c>
      <c r="J238" s="8">
        <v>1</v>
      </c>
      <c r="K238" s="8">
        <v>473</v>
      </c>
      <c r="L238" s="7">
        <v>8.3487078786845886E-2</v>
      </c>
      <c r="M238" s="7">
        <v>1.3594933601456751E-2</v>
      </c>
      <c r="N238" s="8">
        <v>0</v>
      </c>
      <c r="O238" s="8">
        <v>1</v>
      </c>
      <c r="P238" s="8">
        <v>443</v>
      </c>
      <c r="Q238" s="7">
        <v>5.2708548379860748E-2</v>
      </c>
      <c r="R238" s="7">
        <v>1.100803849809036E-2</v>
      </c>
      <c r="S238" s="8">
        <v>0</v>
      </c>
      <c r="T238" s="8">
        <v>1</v>
      </c>
      <c r="U238" s="8">
        <v>423</v>
      </c>
      <c r="V238" s="7">
        <v>3.9397663243172917E-3</v>
      </c>
      <c r="W238" s="7">
        <v>1.9732066657802663E-3</v>
      </c>
      <c r="X238" s="8">
        <v>0</v>
      </c>
      <c r="Y238" s="8">
        <v>1</v>
      </c>
      <c r="Z238" s="8">
        <v>1073</v>
      </c>
      <c r="AA238" s="7">
        <v>6.2799338760446702E-2</v>
      </c>
      <c r="AB238" s="7">
        <v>6.7450581638249926E-3</v>
      </c>
      <c r="AC238" s="8">
        <v>0</v>
      </c>
      <c r="AD238" s="8">
        <v>1</v>
      </c>
      <c r="AE238" s="8">
        <v>2789</v>
      </c>
      <c r="AF238">
        <f>(AA240/AA239)-AA238</f>
        <v>2.2199456761270997E-2</v>
      </c>
    </row>
    <row r="239" spans="1:32" ht="39.4" x14ac:dyDescent="0.45">
      <c r="A239" s="6" t="s">
        <v>20</v>
      </c>
      <c r="B239" s="7">
        <v>0.49966441162735731</v>
      </c>
      <c r="C239" s="7">
        <v>2.8926538869362927E-2</v>
      </c>
      <c r="D239" s="8">
        <v>0</v>
      </c>
      <c r="E239" s="8">
        <v>1</v>
      </c>
      <c r="F239" s="8">
        <v>377</v>
      </c>
      <c r="G239" s="7">
        <v>0.694148109652721</v>
      </c>
      <c r="H239" s="7">
        <v>2.1903517365169416E-2</v>
      </c>
      <c r="I239" s="8">
        <v>0</v>
      </c>
      <c r="J239" s="8">
        <v>1</v>
      </c>
      <c r="K239" s="8">
        <v>473</v>
      </c>
      <c r="L239" s="7">
        <v>0.44678685166956866</v>
      </c>
      <c r="M239" s="7">
        <v>2.4472410267060745E-2</v>
      </c>
      <c r="N239" s="8">
        <v>0</v>
      </c>
      <c r="O239" s="8">
        <v>1</v>
      </c>
      <c r="P239" s="8">
        <v>443</v>
      </c>
      <c r="Q239" s="7">
        <v>0.58710843859266493</v>
      </c>
      <c r="R239" s="7">
        <v>2.4491537195724417E-2</v>
      </c>
      <c r="S239" s="8">
        <v>0</v>
      </c>
      <c r="T239" s="8">
        <v>1</v>
      </c>
      <c r="U239" s="8">
        <v>423</v>
      </c>
      <c r="V239" s="7">
        <v>0.24597703605277871</v>
      </c>
      <c r="W239" s="7">
        <v>1.7202819405463813E-2</v>
      </c>
      <c r="X239" s="8">
        <v>0</v>
      </c>
      <c r="Y239" s="8">
        <v>1</v>
      </c>
      <c r="Z239" s="8">
        <v>1073</v>
      </c>
      <c r="AA239" s="7">
        <v>0.54335791656094878</v>
      </c>
      <c r="AB239" s="7">
        <v>1.3167396812010984E-2</v>
      </c>
      <c r="AC239" s="8">
        <v>0</v>
      </c>
      <c r="AD239" s="8">
        <v>1</v>
      </c>
      <c r="AE239" s="8">
        <v>2789</v>
      </c>
      <c r="AF239">
        <f>(AA240/AA238)-AA239</f>
        <v>0.19207607616063505</v>
      </c>
    </row>
    <row r="240" spans="1:32" ht="26.25" x14ac:dyDescent="0.45">
      <c r="A240" s="6" t="s">
        <v>108</v>
      </c>
      <c r="B240" s="7">
        <v>1.4028333432468601E-2</v>
      </c>
      <c r="C240" s="7">
        <v>6.2906354336614394E-3</v>
      </c>
      <c r="D240" s="8">
        <v>0</v>
      </c>
      <c r="E240" s="8">
        <v>1</v>
      </c>
      <c r="F240" s="8">
        <v>377</v>
      </c>
      <c r="G240" s="7">
        <v>5.3803875795690424E-2</v>
      </c>
      <c r="H240" s="7">
        <v>1.0926209488029038E-2</v>
      </c>
      <c r="I240" s="8">
        <v>0</v>
      </c>
      <c r="J240" s="8">
        <v>1</v>
      </c>
      <c r="K240" s="8">
        <v>473</v>
      </c>
      <c r="L240" s="7">
        <v>5.7284284810796823E-2</v>
      </c>
      <c r="M240" s="7">
        <v>1.1430542364481273E-2</v>
      </c>
      <c r="N240" s="8">
        <v>0</v>
      </c>
      <c r="O240" s="8">
        <v>1</v>
      </c>
      <c r="P240" s="8">
        <v>443</v>
      </c>
      <c r="Q240" s="7">
        <v>3.3504381681687352E-2</v>
      </c>
      <c r="R240" s="7">
        <v>8.8774598231845005E-3</v>
      </c>
      <c r="S240" s="8">
        <v>0</v>
      </c>
      <c r="T240" s="8">
        <v>1</v>
      </c>
      <c r="U240" s="8">
        <v>423</v>
      </c>
      <c r="V240" s="7">
        <v>2.3603481294394435E-3</v>
      </c>
      <c r="W240" s="7">
        <v>1.830548816181026E-3</v>
      </c>
      <c r="X240" s="8">
        <v>0</v>
      </c>
      <c r="Y240" s="8">
        <v>1</v>
      </c>
      <c r="Z240" s="8">
        <v>1073</v>
      </c>
      <c r="AA240" s="7">
        <v>4.6184768444870634E-2</v>
      </c>
      <c r="AB240" s="7">
        <v>5.8267398191128566E-3</v>
      </c>
      <c r="AC240" s="8">
        <v>0</v>
      </c>
      <c r="AD240" s="8">
        <v>1</v>
      </c>
      <c r="AE240" s="8">
        <v>2789</v>
      </c>
    </row>
    <row r="241" spans="1:32" x14ac:dyDescent="0.45">
      <c r="A241" s="6" t="s">
        <v>34</v>
      </c>
      <c r="B241" s="7">
        <v>2.263311268250193E-2</v>
      </c>
      <c r="C241" s="7">
        <v>7.3421367292460923E-3</v>
      </c>
      <c r="D241" s="8">
        <v>0</v>
      </c>
      <c r="E241" s="8">
        <v>1</v>
      </c>
      <c r="F241" s="8">
        <v>377</v>
      </c>
      <c r="G241" s="7">
        <v>5.8327627768387631E-2</v>
      </c>
      <c r="H241" s="7">
        <v>1.1334403264176443E-2</v>
      </c>
      <c r="I241" s="8">
        <v>0</v>
      </c>
      <c r="J241" s="8">
        <v>1</v>
      </c>
      <c r="K241" s="8">
        <v>473</v>
      </c>
      <c r="L241" s="7">
        <v>8.3487078786845886E-2</v>
      </c>
      <c r="M241" s="7">
        <v>1.3594933601456751E-2</v>
      </c>
      <c r="N241" s="8">
        <v>0</v>
      </c>
      <c r="O241" s="8">
        <v>1</v>
      </c>
      <c r="P241" s="8">
        <v>443</v>
      </c>
      <c r="Q241" s="7">
        <v>5.2708548379860748E-2</v>
      </c>
      <c r="R241" s="7">
        <v>1.100803849809036E-2</v>
      </c>
      <c r="S241" s="8">
        <v>0</v>
      </c>
      <c r="T241" s="8">
        <v>1</v>
      </c>
      <c r="U241" s="8">
        <v>423</v>
      </c>
      <c r="V241" s="7">
        <v>3.9397663243172917E-3</v>
      </c>
      <c r="W241" s="7">
        <v>1.9732066657802663E-3</v>
      </c>
      <c r="X241" s="8">
        <v>0</v>
      </c>
      <c r="Y241" s="8">
        <v>1</v>
      </c>
      <c r="Z241" s="8">
        <v>1073</v>
      </c>
      <c r="AA241" s="7">
        <v>6.2799338760446702E-2</v>
      </c>
      <c r="AB241" s="7">
        <v>6.7450581638249926E-3</v>
      </c>
      <c r="AC241" s="8">
        <v>0</v>
      </c>
      <c r="AD241" s="8">
        <v>1</v>
      </c>
      <c r="AE241" s="8">
        <v>2789</v>
      </c>
      <c r="AF241">
        <f>(AA243/AA242)-AA241</f>
        <v>-1.0764793545349156E-2</v>
      </c>
    </row>
    <row r="242" spans="1:32" ht="26.25" x14ac:dyDescent="0.45">
      <c r="A242" s="6" t="s">
        <v>22</v>
      </c>
      <c r="B242" s="7">
        <v>0.44337971510161078</v>
      </c>
      <c r="C242" s="7">
        <v>2.8333918098961602E-2</v>
      </c>
      <c r="D242" s="8">
        <v>0</v>
      </c>
      <c r="E242" s="8">
        <v>1</v>
      </c>
      <c r="F242" s="8">
        <v>377</v>
      </c>
      <c r="G242" s="7">
        <v>0.55003587184041547</v>
      </c>
      <c r="H242" s="7">
        <v>2.3701595165381402E-2</v>
      </c>
      <c r="I242" s="8">
        <v>0</v>
      </c>
      <c r="J242" s="8">
        <v>1</v>
      </c>
      <c r="K242" s="8">
        <v>473</v>
      </c>
      <c r="L242" s="7">
        <v>0.47073477299276273</v>
      </c>
      <c r="M242" s="7">
        <v>2.455632484408668E-2</v>
      </c>
      <c r="N242" s="8">
        <v>0</v>
      </c>
      <c r="O242" s="8">
        <v>1</v>
      </c>
      <c r="P242" s="8">
        <v>443</v>
      </c>
      <c r="Q242" s="7">
        <v>0.81611123613737024</v>
      </c>
      <c r="R242" s="7">
        <v>1.9017745333524308E-2</v>
      </c>
      <c r="S242" s="8">
        <v>0</v>
      </c>
      <c r="T242" s="8">
        <v>1</v>
      </c>
      <c r="U242" s="8">
        <v>423</v>
      </c>
      <c r="V242" s="7">
        <v>0.49101498998080567</v>
      </c>
      <c r="W242" s="7">
        <v>2.153423791962325E-2</v>
      </c>
      <c r="X242" s="8">
        <v>0</v>
      </c>
      <c r="Y242" s="8">
        <v>1</v>
      </c>
      <c r="Z242" s="8">
        <v>1073</v>
      </c>
      <c r="AA242" s="7">
        <v>0.56929096770433274</v>
      </c>
      <c r="AB242" s="7">
        <v>1.3133161955805486E-2</v>
      </c>
      <c r="AC242" s="8">
        <v>0</v>
      </c>
      <c r="AD242" s="8">
        <v>1</v>
      </c>
      <c r="AE242" s="8">
        <v>2789</v>
      </c>
      <c r="AF242">
        <f>(AA243/AA241)-AA242</f>
        <v>-9.7585418183240513E-2</v>
      </c>
    </row>
    <row r="243" spans="1:32" ht="26.25" x14ac:dyDescent="0.45">
      <c r="A243" s="6" t="s">
        <v>109</v>
      </c>
      <c r="B243" s="7">
        <v>8.9978617042873014E-3</v>
      </c>
      <c r="C243" s="7">
        <v>4.8348692926234085E-3</v>
      </c>
      <c r="D243" s="8">
        <v>0</v>
      </c>
      <c r="E243" s="8">
        <v>1</v>
      </c>
      <c r="F243" s="8">
        <v>377</v>
      </c>
      <c r="G243" s="7">
        <v>4.199048543920611E-2</v>
      </c>
      <c r="H243" s="7">
        <v>9.7037445129951345E-3</v>
      </c>
      <c r="I243" s="8">
        <v>0</v>
      </c>
      <c r="J243" s="8">
        <v>1</v>
      </c>
      <c r="K243" s="8">
        <v>473</v>
      </c>
      <c r="L243" s="7">
        <v>1.457809148994537E-2</v>
      </c>
      <c r="M243" s="7">
        <v>5.9429164715910617E-3</v>
      </c>
      <c r="N243" s="8">
        <v>0</v>
      </c>
      <c r="O243" s="8">
        <v>1</v>
      </c>
      <c r="P243" s="8">
        <v>443</v>
      </c>
      <c r="Q243" s="7">
        <v>5.114084829234504E-2</v>
      </c>
      <c r="R243" s="7">
        <v>1.090687409854697E-2</v>
      </c>
      <c r="S243" s="8">
        <v>0</v>
      </c>
      <c r="T243" s="8">
        <v>1</v>
      </c>
      <c r="U243" s="8">
        <v>423</v>
      </c>
      <c r="V243" s="7">
        <v>3.2760056552770169E-3</v>
      </c>
      <c r="W243" s="7">
        <v>1.9276909884350841E-3</v>
      </c>
      <c r="X243" s="8">
        <v>0</v>
      </c>
      <c r="Y243" s="8">
        <v>1</v>
      </c>
      <c r="Z243" s="8">
        <v>1073</v>
      </c>
      <c r="AA243" s="7">
        <v>2.9622796599557737E-2</v>
      </c>
      <c r="AB243" s="7">
        <v>4.3640044514369923E-3</v>
      </c>
      <c r="AC243" s="8">
        <v>0</v>
      </c>
      <c r="AD243" s="8">
        <v>1</v>
      </c>
      <c r="AE243" s="8">
        <v>2789</v>
      </c>
    </row>
    <row r="244" spans="1:32" x14ac:dyDescent="0.45">
      <c r="A244" s="6" t="s">
        <v>34</v>
      </c>
      <c r="B244" s="7">
        <v>2.263311268250193E-2</v>
      </c>
      <c r="C244" s="7">
        <v>7.3421367292460923E-3</v>
      </c>
      <c r="D244" s="8">
        <v>0</v>
      </c>
      <c r="E244" s="8">
        <v>1</v>
      </c>
      <c r="F244" s="8">
        <v>377</v>
      </c>
      <c r="G244" s="7">
        <v>5.8327627768387631E-2</v>
      </c>
      <c r="H244" s="7">
        <v>1.1334403264176443E-2</v>
      </c>
      <c r="I244" s="8">
        <v>0</v>
      </c>
      <c r="J244" s="8">
        <v>1</v>
      </c>
      <c r="K244" s="8">
        <v>473</v>
      </c>
      <c r="L244" s="7">
        <v>8.3487078786845886E-2</v>
      </c>
      <c r="M244" s="7">
        <v>1.3594933601456751E-2</v>
      </c>
      <c r="N244" s="8">
        <v>0</v>
      </c>
      <c r="O244" s="8">
        <v>1</v>
      </c>
      <c r="P244" s="8">
        <v>443</v>
      </c>
      <c r="Q244" s="7">
        <v>5.2708548379860748E-2</v>
      </c>
      <c r="R244" s="7">
        <v>1.100803849809036E-2</v>
      </c>
      <c r="S244" s="8">
        <v>0</v>
      </c>
      <c r="T244" s="8">
        <v>1</v>
      </c>
      <c r="U244" s="8">
        <v>423</v>
      </c>
      <c r="V244" s="7">
        <v>3.9397663243172917E-3</v>
      </c>
      <c r="W244" s="7">
        <v>1.9732066657802663E-3</v>
      </c>
      <c r="X244" s="8">
        <v>0</v>
      </c>
      <c r="Y244" s="8">
        <v>1</v>
      </c>
      <c r="Z244" s="8">
        <v>1073</v>
      </c>
      <c r="AA244" s="7">
        <v>6.2799338760446702E-2</v>
      </c>
      <c r="AB244" s="7">
        <v>6.7450581638249926E-3</v>
      </c>
      <c r="AC244" s="8">
        <v>0</v>
      </c>
      <c r="AD244" s="8">
        <v>1</v>
      </c>
      <c r="AE244" s="8">
        <v>2789</v>
      </c>
      <c r="AF244">
        <f>(AA246/AA245)-AA244</f>
        <v>-2.1717051857593365E-2</v>
      </c>
    </row>
    <row r="245" spans="1:32" ht="26.25" x14ac:dyDescent="0.45">
      <c r="A245" s="6" t="s">
        <v>24</v>
      </c>
      <c r="B245" s="7">
        <v>0.3143161872698384</v>
      </c>
      <c r="C245" s="7">
        <v>2.5988451099292102E-2</v>
      </c>
      <c r="D245" s="8">
        <v>0</v>
      </c>
      <c r="E245" s="8">
        <v>1</v>
      </c>
      <c r="F245" s="8">
        <v>377</v>
      </c>
      <c r="G245" s="7">
        <v>0.35720003177347953</v>
      </c>
      <c r="H245" s="7">
        <v>2.2786551411140134E-2</v>
      </c>
      <c r="I245" s="8">
        <v>0</v>
      </c>
      <c r="J245" s="8">
        <v>1</v>
      </c>
      <c r="K245" s="8">
        <v>473</v>
      </c>
      <c r="L245" s="7">
        <v>0.30880783343155294</v>
      </c>
      <c r="M245" s="7">
        <v>2.2515152770261254E-2</v>
      </c>
      <c r="N245" s="8">
        <v>0</v>
      </c>
      <c r="O245" s="8">
        <v>1</v>
      </c>
      <c r="P245" s="8">
        <v>443</v>
      </c>
      <c r="Q245" s="7">
        <v>0.74339061825172903</v>
      </c>
      <c r="R245" s="7">
        <v>2.1616709115009351E-2</v>
      </c>
      <c r="S245" s="8">
        <v>0</v>
      </c>
      <c r="T245" s="8">
        <v>1</v>
      </c>
      <c r="U245" s="8">
        <v>423</v>
      </c>
      <c r="V245" s="7">
        <v>0.44031925904016395</v>
      </c>
      <c r="W245" s="7">
        <v>2.0999240945587205E-2</v>
      </c>
      <c r="X245" s="8">
        <v>0</v>
      </c>
      <c r="Y245" s="8">
        <v>1</v>
      </c>
      <c r="Z245" s="8">
        <v>1073</v>
      </c>
      <c r="AA245" s="7">
        <v>0.42493856155989945</v>
      </c>
      <c r="AB245" s="7">
        <v>1.2928208456969242E-2</v>
      </c>
      <c r="AC245" s="8">
        <v>0</v>
      </c>
      <c r="AD245" s="8">
        <v>1</v>
      </c>
      <c r="AE245" s="8">
        <v>2789</v>
      </c>
      <c r="AF245">
        <f>(AA246/AA244)-AA245</f>
        <v>-0.14695079534021871</v>
      </c>
    </row>
    <row r="246" spans="1:32" ht="26.25" x14ac:dyDescent="0.45">
      <c r="A246" s="6" t="s">
        <v>110</v>
      </c>
      <c r="B246" s="7">
        <v>5.8614751973984193E-3</v>
      </c>
      <c r="C246" s="7">
        <v>3.6905389964501556E-3</v>
      </c>
      <c r="D246" s="8">
        <v>0</v>
      </c>
      <c r="E246" s="8">
        <v>1</v>
      </c>
      <c r="F246" s="8">
        <v>377</v>
      </c>
      <c r="G246" s="7">
        <v>1.8374075973427006E-2</v>
      </c>
      <c r="H246" s="7">
        <v>6.4507802928020011E-3</v>
      </c>
      <c r="I246" s="8">
        <v>0</v>
      </c>
      <c r="J246" s="8">
        <v>1</v>
      </c>
      <c r="K246" s="8">
        <v>473</v>
      </c>
      <c r="L246" s="7">
        <v>2.333175765533694E-3</v>
      </c>
      <c r="M246" s="7">
        <v>2.3331808040011766E-3</v>
      </c>
      <c r="N246" s="8">
        <v>0</v>
      </c>
      <c r="O246" s="8">
        <v>1</v>
      </c>
      <c r="P246" s="8">
        <v>443</v>
      </c>
      <c r="Q246" s="7">
        <v>4.8620337534249936E-2</v>
      </c>
      <c r="R246" s="7">
        <v>1.0640280905320305E-2</v>
      </c>
      <c r="S246" s="8">
        <v>0</v>
      </c>
      <c r="T246" s="8">
        <v>1</v>
      </c>
      <c r="U246" s="8">
        <v>423</v>
      </c>
      <c r="V246" s="7">
        <v>3.2760056552770169E-3</v>
      </c>
      <c r="W246" s="7">
        <v>1.9276909884350841E-3</v>
      </c>
      <c r="X246" s="8">
        <v>0</v>
      </c>
      <c r="Y246" s="8">
        <v>1</v>
      </c>
      <c r="Z246" s="8">
        <v>1073</v>
      </c>
      <c r="AA246" s="7">
        <v>1.7457447902089595E-2</v>
      </c>
      <c r="AB246" s="7">
        <v>3.1670269854307269E-3</v>
      </c>
      <c r="AC246" s="8">
        <v>0</v>
      </c>
      <c r="AD246" s="8">
        <v>1</v>
      </c>
      <c r="AE246" s="8">
        <v>2789</v>
      </c>
    </row>
    <row r="247" spans="1:32" x14ac:dyDescent="0.45">
      <c r="A247" s="6" t="s">
        <v>36</v>
      </c>
      <c r="B247" s="7">
        <v>0.26636125194779031</v>
      </c>
      <c r="C247" s="7">
        <v>2.4189991287900472E-2</v>
      </c>
      <c r="D247" s="8">
        <v>0</v>
      </c>
      <c r="E247" s="8">
        <v>1</v>
      </c>
      <c r="F247" s="8">
        <v>377</v>
      </c>
      <c r="G247" s="7">
        <v>0.17672760534526755</v>
      </c>
      <c r="H247" s="7">
        <v>1.8127456261163202E-2</v>
      </c>
      <c r="I247" s="8">
        <v>0</v>
      </c>
      <c r="J247" s="8">
        <v>1</v>
      </c>
      <c r="K247" s="8">
        <v>467</v>
      </c>
      <c r="L247" s="7">
        <v>4.3890875888197518E-2</v>
      </c>
      <c r="M247" s="7">
        <v>9.6682460234033402E-3</v>
      </c>
      <c r="N247" s="8">
        <v>0</v>
      </c>
      <c r="O247" s="8">
        <v>1</v>
      </c>
      <c r="P247" s="8">
        <v>441</v>
      </c>
      <c r="Q247" s="7">
        <v>8.371081995835053E-2</v>
      </c>
      <c r="R247" s="7">
        <v>1.4050470479779449E-2</v>
      </c>
      <c r="S247" s="8">
        <v>0</v>
      </c>
      <c r="T247" s="8">
        <v>1</v>
      </c>
      <c r="U247" s="8">
        <v>422</v>
      </c>
      <c r="V247" s="7">
        <v>0.17670361522524197</v>
      </c>
      <c r="W247" s="7">
        <v>1.6865782603968957E-2</v>
      </c>
      <c r="X247" s="8">
        <v>0</v>
      </c>
      <c r="Y247" s="8">
        <v>1</v>
      </c>
      <c r="Z247" s="8">
        <v>1068</v>
      </c>
      <c r="AA247" s="7">
        <v>0.10901593418102137</v>
      </c>
      <c r="AB247" s="7">
        <v>7.4445039199197852E-3</v>
      </c>
      <c r="AC247" s="8">
        <v>0</v>
      </c>
      <c r="AD247" s="8">
        <v>1</v>
      </c>
      <c r="AE247" s="8">
        <v>2775</v>
      </c>
      <c r="AF247">
        <f>(AA249/AA248)-AA247</f>
        <v>3.2469387092256136E-2</v>
      </c>
    </row>
    <row r="248" spans="1:32" ht="26.25" x14ac:dyDescent="0.45">
      <c r="A248" s="6" t="s">
        <v>38</v>
      </c>
      <c r="B248" s="7">
        <v>0.44223301820394767</v>
      </c>
      <c r="C248" s="7">
        <v>2.8300310545730831E-2</v>
      </c>
      <c r="D248" s="8">
        <v>0</v>
      </c>
      <c r="E248" s="8">
        <v>1</v>
      </c>
      <c r="F248" s="8">
        <v>377</v>
      </c>
      <c r="G248" s="7">
        <v>0.67963669016962303</v>
      </c>
      <c r="H248" s="7">
        <v>2.2169291635117473E-2</v>
      </c>
      <c r="I248" s="8">
        <v>0</v>
      </c>
      <c r="J248" s="8">
        <v>1</v>
      </c>
      <c r="K248" s="8">
        <v>473</v>
      </c>
      <c r="L248" s="7">
        <v>0.41452170070524536</v>
      </c>
      <c r="M248" s="7">
        <v>2.4249093275481391E-2</v>
      </c>
      <c r="N248" s="8">
        <v>0</v>
      </c>
      <c r="O248" s="8">
        <v>1</v>
      </c>
      <c r="P248" s="8">
        <v>443</v>
      </c>
      <c r="Q248" s="7">
        <v>0.50232647922994245</v>
      </c>
      <c r="R248" s="7">
        <v>2.4962894154274457E-2</v>
      </c>
      <c r="S248" s="8">
        <v>0</v>
      </c>
      <c r="T248" s="8">
        <v>1</v>
      </c>
      <c r="U248" s="8">
        <v>423</v>
      </c>
      <c r="V248" s="7">
        <v>0.18691243882002603</v>
      </c>
      <c r="W248" s="7">
        <v>1.6206610488577019E-2</v>
      </c>
      <c r="X248" s="8">
        <v>0</v>
      </c>
      <c r="Y248" s="8">
        <v>1</v>
      </c>
      <c r="Z248" s="8">
        <v>1073</v>
      </c>
      <c r="AA248" s="7">
        <v>0.50156328466083933</v>
      </c>
      <c r="AB248" s="7">
        <v>1.320292147742998E-2</v>
      </c>
      <c r="AC248" s="8">
        <v>0</v>
      </c>
      <c r="AD248" s="8">
        <v>1</v>
      </c>
      <c r="AE248" s="8">
        <v>2789</v>
      </c>
      <c r="AF248">
        <f>(AA249/AA247)-AA248</f>
        <v>0.14938598254704849</v>
      </c>
    </row>
    <row r="249" spans="1:32" ht="26.25" x14ac:dyDescent="0.45">
      <c r="A249" s="6" t="s">
        <v>111</v>
      </c>
      <c r="B249" s="7">
        <v>0.12567463666391968</v>
      </c>
      <c r="C249" s="7">
        <v>1.7974384627446088E-2</v>
      </c>
      <c r="D249" s="8">
        <v>0</v>
      </c>
      <c r="E249" s="8">
        <v>1</v>
      </c>
      <c r="F249" s="8">
        <v>377</v>
      </c>
      <c r="G249" s="7">
        <v>0.14028569962523768</v>
      </c>
      <c r="H249" s="7">
        <v>1.6698087129149736E-2</v>
      </c>
      <c r="I249" s="8">
        <v>0</v>
      </c>
      <c r="J249" s="8">
        <v>1</v>
      </c>
      <c r="K249" s="8">
        <v>467</v>
      </c>
      <c r="L249" s="7">
        <v>3.1921476068048529E-2</v>
      </c>
      <c r="M249" s="7">
        <v>8.2045760488913353E-3</v>
      </c>
      <c r="N249" s="8">
        <v>0</v>
      </c>
      <c r="O249" s="8">
        <v>1</v>
      </c>
      <c r="P249" s="8">
        <v>441</v>
      </c>
      <c r="Q249" s="7">
        <v>4.7433618524039017E-2</v>
      </c>
      <c r="R249" s="7">
        <v>1.0954354042747735E-2</v>
      </c>
      <c r="S249" s="8">
        <v>0</v>
      </c>
      <c r="T249" s="8">
        <v>1</v>
      </c>
      <c r="U249" s="8">
        <v>422</v>
      </c>
      <c r="V249" s="7">
        <v>1.3435276539700053E-2</v>
      </c>
      <c r="W249" s="7">
        <v>3.9582720931674031E-3</v>
      </c>
      <c r="X249" s="8">
        <v>0</v>
      </c>
      <c r="Y249" s="8">
        <v>1</v>
      </c>
      <c r="Z249" s="8">
        <v>1068</v>
      </c>
      <c r="AA249" s="7">
        <v>7.0963842469119187E-2</v>
      </c>
      <c r="AB249" s="7">
        <v>6.3989430379929827E-3</v>
      </c>
      <c r="AC249" s="8">
        <v>0</v>
      </c>
      <c r="AD249" s="8">
        <v>1</v>
      </c>
      <c r="AE249" s="8">
        <v>2775</v>
      </c>
    </row>
    <row r="250" spans="1:32" x14ac:dyDescent="0.45">
      <c r="A250" s="6" t="s">
        <v>36</v>
      </c>
      <c r="B250" s="7">
        <v>0.26636125194779031</v>
      </c>
      <c r="C250" s="7">
        <v>2.4189991287900472E-2</v>
      </c>
      <c r="D250" s="8">
        <v>0</v>
      </c>
      <c r="E250" s="8">
        <v>1</v>
      </c>
      <c r="F250" s="8">
        <v>377</v>
      </c>
      <c r="G250" s="7">
        <v>0.17672760534526755</v>
      </c>
      <c r="H250" s="7">
        <v>1.8127456261163202E-2</v>
      </c>
      <c r="I250" s="8">
        <v>0</v>
      </c>
      <c r="J250" s="8">
        <v>1</v>
      </c>
      <c r="K250" s="8">
        <v>467</v>
      </c>
      <c r="L250" s="7">
        <v>4.3890875888197518E-2</v>
      </c>
      <c r="M250" s="7">
        <v>9.6682460234033402E-3</v>
      </c>
      <c r="N250" s="8">
        <v>0</v>
      </c>
      <c r="O250" s="8">
        <v>1</v>
      </c>
      <c r="P250" s="8">
        <v>441</v>
      </c>
      <c r="Q250" s="7">
        <v>8.371081995835053E-2</v>
      </c>
      <c r="R250" s="7">
        <v>1.4050470479779449E-2</v>
      </c>
      <c r="S250" s="8">
        <v>0</v>
      </c>
      <c r="T250" s="8">
        <v>1</v>
      </c>
      <c r="U250" s="8">
        <v>422</v>
      </c>
      <c r="V250" s="7">
        <v>0.17670361522524197</v>
      </c>
      <c r="W250" s="7">
        <v>1.6865782603968957E-2</v>
      </c>
      <c r="X250" s="8">
        <v>0</v>
      </c>
      <c r="Y250" s="8">
        <v>1</v>
      </c>
      <c r="Z250" s="8">
        <v>1068</v>
      </c>
      <c r="AA250" s="7">
        <v>0.10901593418102137</v>
      </c>
      <c r="AB250" s="7">
        <v>7.4445039199197852E-3</v>
      </c>
      <c r="AC250" s="8">
        <v>0</v>
      </c>
      <c r="AD250" s="8">
        <v>1</v>
      </c>
      <c r="AE250" s="8">
        <v>2775</v>
      </c>
      <c r="AF250">
        <f>(AA252/AA251)-AA250</f>
        <v>4.9618221287024422E-3</v>
      </c>
    </row>
    <row r="251" spans="1:32" x14ac:dyDescent="0.45">
      <c r="A251" s="6" t="s">
        <v>40</v>
      </c>
      <c r="B251" s="7">
        <v>0.24786641106498949</v>
      </c>
      <c r="C251" s="7">
        <v>2.3847850003411539E-2</v>
      </c>
      <c r="D251" s="8">
        <v>0</v>
      </c>
      <c r="E251" s="8">
        <v>1</v>
      </c>
      <c r="F251" s="8">
        <v>377</v>
      </c>
      <c r="G251" s="7">
        <v>0.31149999401439304</v>
      </c>
      <c r="H251" s="7">
        <v>2.2025125692018081E-2</v>
      </c>
      <c r="I251" s="8">
        <v>0</v>
      </c>
      <c r="J251" s="8">
        <v>1</v>
      </c>
      <c r="K251" s="8">
        <v>473</v>
      </c>
      <c r="L251" s="7">
        <v>0.27873695588735009</v>
      </c>
      <c r="M251" s="7">
        <v>2.1757269898733667E-2</v>
      </c>
      <c r="N251" s="8">
        <v>0</v>
      </c>
      <c r="O251" s="8">
        <v>1</v>
      </c>
      <c r="P251" s="8">
        <v>443</v>
      </c>
      <c r="Q251" s="7">
        <v>0.7144739729494628</v>
      </c>
      <c r="R251" s="7">
        <v>2.2433009195978806E-2</v>
      </c>
      <c r="S251" s="8">
        <v>0</v>
      </c>
      <c r="T251" s="8">
        <v>1</v>
      </c>
      <c r="U251" s="8">
        <v>423</v>
      </c>
      <c r="V251" s="7">
        <v>0.42578593556370831</v>
      </c>
      <c r="W251" s="7">
        <v>2.0859115306836037E-2</v>
      </c>
      <c r="X251" s="8">
        <v>0</v>
      </c>
      <c r="Y251" s="8">
        <v>1</v>
      </c>
      <c r="Z251" s="8">
        <v>1073</v>
      </c>
      <c r="AA251" s="7">
        <v>0.38890886648264583</v>
      </c>
      <c r="AB251" s="7">
        <v>1.2688043853195404E-2</v>
      </c>
      <c r="AC251" s="8">
        <v>0</v>
      </c>
      <c r="AD251" s="8">
        <v>1</v>
      </c>
      <c r="AE251" s="8">
        <v>2789</v>
      </c>
      <c r="AF251">
        <f>(AA252/AA250)-AA251</f>
        <v>1.770105108266018E-2</v>
      </c>
    </row>
    <row r="252" spans="1:32" ht="26.25" x14ac:dyDescent="0.45">
      <c r="A252" s="6" t="s">
        <v>112</v>
      </c>
      <c r="B252" s="7">
        <v>7.1439505184170415E-2</v>
      </c>
      <c r="C252" s="7">
        <v>1.3805960000027659E-2</v>
      </c>
      <c r="D252" s="8">
        <v>0</v>
      </c>
      <c r="E252" s="8">
        <v>1</v>
      </c>
      <c r="F252" s="8">
        <v>377</v>
      </c>
      <c r="G252" s="7">
        <v>7.3941517446173124E-2</v>
      </c>
      <c r="H252" s="7">
        <v>1.2608402816975032E-2</v>
      </c>
      <c r="I252" s="8">
        <v>0</v>
      </c>
      <c r="J252" s="8">
        <v>1</v>
      </c>
      <c r="K252" s="8">
        <v>467</v>
      </c>
      <c r="L252" s="7">
        <v>1.2724540879863714E-2</v>
      </c>
      <c r="M252" s="7">
        <v>5.2889526766948707E-3</v>
      </c>
      <c r="N252" s="8">
        <v>0</v>
      </c>
      <c r="O252" s="8">
        <v>1</v>
      </c>
      <c r="P252" s="8">
        <v>441</v>
      </c>
      <c r="Q252" s="7">
        <v>5.6176206604507756E-2</v>
      </c>
      <c r="R252" s="7">
        <v>1.1706959201374842E-2</v>
      </c>
      <c r="S252" s="8">
        <v>0</v>
      </c>
      <c r="T252" s="8">
        <v>1</v>
      </c>
      <c r="U252" s="8">
        <v>422</v>
      </c>
      <c r="V252" s="7">
        <v>4.0650401394474747E-2</v>
      </c>
      <c r="W252" s="7">
        <v>8.7923833334778781E-3</v>
      </c>
      <c r="X252" s="8">
        <v>0</v>
      </c>
      <c r="Y252" s="8">
        <v>1</v>
      </c>
      <c r="Z252" s="8">
        <v>1068</v>
      </c>
      <c r="AA252" s="7">
        <v>4.4326960010649924E-2</v>
      </c>
      <c r="AB252" s="7">
        <v>4.9989819205984286E-3</v>
      </c>
      <c r="AC252" s="8">
        <v>0</v>
      </c>
      <c r="AD252" s="8">
        <v>1</v>
      </c>
      <c r="AE252" s="8">
        <v>2775</v>
      </c>
    </row>
    <row r="253" spans="1:32" x14ac:dyDescent="0.45">
      <c r="A253" s="6" t="s">
        <v>36</v>
      </c>
      <c r="B253" s="7">
        <v>0.26636125194779031</v>
      </c>
      <c r="C253" s="7">
        <v>2.4189991287900472E-2</v>
      </c>
      <c r="D253" s="8">
        <v>0</v>
      </c>
      <c r="E253" s="8">
        <v>1</v>
      </c>
      <c r="F253" s="8">
        <v>377</v>
      </c>
      <c r="G253" s="7">
        <v>0.17672760534526755</v>
      </c>
      <c r="H253" s="7">
        <v>1.8127456261163202E-2</v>
      </c>
      <c r="I253" s="8">
        <v>0</v>
      </c>
      <c r="J253" s="8">
        <v>1</v>
      </c>
      <c r="K253" s="8">
        <v>467</v>
      </c>
      <c r="L253" s="7">
        <v>4.3890875888197518E-2</v>
      </c>
      <c r="M253" s="7">
        <v>9.6682460234033402E-3</v>
      </c>
      <c r="N253" s="8">
        <v>0</v>
      </c>
      <c r="O253" s="8">
        <v>1</v>
      </c>
      <c r="P253" s="8">
        <v>441</v>
      </c>
      <c r="Q253" s="7">
        <v>8.371081995835053E-2</v>
      </c>
      <c r="R253" s="7">
        <v>1.4050470479779449E-2</v>
      </c>
      <c r="S253" s="8">
        <v>0</v>
      </c>
      <c r="T253" s="8">
        <v>1</v>
      </c>
      <c r="U253" s="8">
        <v>422</v>
      </c>
      <c r="V253" s="7">
        <v>0.17670361522524197</v>
      </c>
      <c r="W253" s="7">
        <v>1.6865782603968957E-2</v>
      </c>
      <c r="X253" s="8">
        <v>0</v>
      </c>
      <c r="Y253" s="8">
        <v>1</v>
      </c>
      <c r="Z253" s="8">
        <v>1068</v>
      </c>
      <c r="AA253" s="7">
        <v>0.10901593418102137</v>
      </c>
      <c r="AB253" s="7">
        <v>7.4445039199197852E-3</v>
      </c>
      <c r="AC253" s="8">
        <v>0</v>
      </c>
      <c r="AD253" s="8">
        <v>1</v>
      </c>
      <c r="AE253" s="8">
        <v>2775</v>
      </c>
      <c r="AF253">
        <f>(AA255/AA254)-AA253</f>
        <v>-1.359806961152725E-2</v>
      </c>
    </row>
    <row r="254" spans="1:32" x14ac:dyDescent="0.45">
      <c r="A254" s="6" t="s">
        <v>42</v>
      </c>
      <c r="B254" s="7">
        <v>0.25408442278087268</v>
      </c>
      <c r="C254" s="7">
        <v>2.3890244562588821E-2</v>
      </c>
      <c r="D254" s="8">
        <v>0</v>
      </c>
      <c r="E254" s="8">
        <v>1</v>
      </c>
      <c r="F254" s="8">
        <v>377</v>
      </c>
      <c r="G254" s="7">
        <v>0.38956592850901783</v>
      </c>
      <c r="H254" s="7">
        <v>2.3227425068734729E-2</v>
      </c>
      <c r="I254" s="8">
        <v>0</v>
      </c>
      <c r="J254" s="8">
        <v>1</v>
      </c>
      <c r="K254" s="8">
        <v>473</v>
      </c>
      <c r="L254" s="7">
        <v>0.29434907940891936</v>
      </c>
      <c r="M254" s="7">
        <v>2.2760326811863539E-2</v>
      </c>
      <c r="N254" s="8">
        <v>0</v>
      </c>
      <c r="O254" s="8">
        <v>1</v>
      </c>
      <c r="P254" s="8">
        <v>443</v>
      </c>
      <c r="Q254" s="7">
        <v>0.48120800183961793</v>
      </c>
      <c r="R254" s="7">
        <v>2.4961710177192679E-2</v>
      </c>
      <c r="S254" s="8">
        <v>0</v>
      </c>
      <c r="T254" s="8">
        <v>1</v>
      </c>
      <c r="U254" s="8">
        <v>423</v>
      </c>
      <c r="V254" s="7">
        <v>0.3185812605122561</v>
      </c>
      <c r="W254" s="7">
        <v>1.8993252911173444E-2</v>
      </c>
      <c r="X254" s="8">
        <v>0</v>
      </c>
      <c r="Y254" s="8">
        <v>1</v>
      </c>
      <c r="Z254" s="8">
        <v>1073</v>
      </c>
      <c r="AA254" s="7">
        <v>0.36087108047955696</v>
      </c>
      <c r="AB254" s="7">
        <v>1.2672536005467003E-2</v>
      </c>
      <c r="AC254" s="8">
        <v>0</v>
      </c>
      <c r="AD254" s="8">
        <v>1</v>
      </c>
      <c r="AE254" s="8">
        <v>2789</v>
      </c>
      <c r="AF254">
        <f>(AA255/AA253)-AA254</f>
        <v>-4.5013145188479764E-2</v>
      </c>
    </row>
    <row r="255" spans="1:32" ht="26.25" x14ac:dyDescent="0.45">
      <c r="A255" s="6" t="s">
        <v>113</v>
      </c>
      <c r="B255" s="7">
        <v>5.5450039259846401E-2</v>
      </c>
      <c r="C255" s="7">
        <v>1.2259307980106169E-2</v>
      </c>
      <c r="D255" s="8">
        <v>0</v>
      </c>
      <c r="E255" s="8">
        <v>1</v>
      </c>
      <c r="F255" s="8">
        <v>377</v>
      </c>
      <c r="G255" s="7">
        <v>6.099075054782585E-2</v>
      </c>
      <c r="H255" s="7">
        <v>1.1615706843895715E-2</v>
      </c>
      <c r="I255" s="8">
        <v>0</v>
      </c>
      <c r="J255" s="8">
        <v>1</v>
      </c>
      <c r="K255" s="8">
        <v>467</v>
      </c>
      <c r="L255" s="7">
        <v>1.4164214196648916E-2</v>
      </c>
      <c r="M255" s="7">
        <v>5.8292984811251841E-3</v>
      </c>
      <c r="N255" s="8">
        <v>0</v>
      </c>
      <c r="O255" s="8">
        <v>1</v>
      </c>
      <c r="P255" s="8">
        <v>441</v>
      </c>
      <c r="Q255" s="7">
        <v>3.0026858473947773E-2</v>
      </c>
      <c r="R255" s="7">
        <v>8.5658903286112802E-3</v>
      </c>
      <c r="S255" s="8">
        <v>0</v>
      </c>
      <c r="T255" s="8">
        <v>1</v>
      </c>
      <c r="U255" s="8">
        <v>422</v>
      </c>
      <c r="V255" s="7">
        <v>4.3378228919128466E-2</v>
      </c>
      <c r="W255" s="7">
        <v>9.5543481182063916E-3</v>
      </c>
      <c r="X255" s="8">
        <v>0</v>
      </c>
      <c r="Y255" s="8">
        <v>1</v>
      </c>
      <c r="Z255" s="8">
        <v>1068</v>
      </c>
      <c r="AA255" s="7">
        <v>3.443354788424538E-2</v>
      </c>
      <c r="AB255" s="7">
        <v>4.5163775576519604E-3</v>
      </c>
      <c r="AC255" s="8">
        <v>0</v>
      </c>
      <c r="AD255" s="8">
        <v>1</v>
      </c>
      <c r="AE255" s="8">
        <v>2775</v>
      </c>
    </row>
    <row r="256" spans="1:32" x14ac:dyDescent="0.45">
      <c r="A256" s="6" t="s">
        <v>36</v>
      </c>
      <c r="B256" s="7">
        <v>0.26636125194779031</v>
      </c>
      <c r="C256" s="7">
        <v>2.4189991287900472E-2</v>
      </c>
      <c r="D256" s="8">
        <v>0</v>
      </c>
      <c r="E256" s="8">
        <v>1</v>
      </c>
      <c r="F256" s="8">
        <v>377</v>
      </c>
      <c r="G256" s="7">
        <v>0.17672760534526755</v>
      </c>
      <c r="H256" s="7">
        <v>1.8127456261163202E-2</v>
      </c>
      <c r="I256" s="8">
        <v>0</v>
      </c>
      <c r="J256" s="8">
        <v>1</v>
      </c>
      <c r="K256" s="8">
        <v>467</v>
      </c>
      <c r="L256" s="7">
        <v>4.3890875888197518E-2</v>
      </c>
      <c r="M256" s="7">
        <v>9.6682460234033402E-3</v>
      </c>
      <c r="N256" s="8">
        <v>0</v>
      </c>
      <c r="O256" s="8">
        <v>1</v>
      </c>
      <c r="P256" s="8">
        <v>441</v>
      </c>
      <c r="Q256" s="7">
        <v>8.371081995835053E-2</v>
      </c>
      <c r="R256" s="7">
        <v>1.4050470479779449E-2</v>
      </c>
      <c r="S256" s="8">
        <v>0</v>
      </c>
      <c r="T256" s="8">
        <v>1</v>
      </c>
      <c r="U256" s="8">
        <v>422</v>
      </c>
      <c r="V256" s="7">
        <v>0.17670361522524197</v>
      </c>
      <c r="W256" s="7">
        <v>1.6865782603968957E-2</v>
      </c>
      <c r="X256" s="8">
        <v>0</v>
      </c>
      <c r="Y256" s="8">
        <v>1</v>
      </c>
      <c r="Z256" s="8">
        <v>1068</v>
      </c>
      <c r="AA256" s="7">
        <v>0.10901593418102137</v>
      </c>
      <c r="AB256" s="7">
        <v>7.4445039199197852E-3</v>
      </c>
      <c r="AC256" s="8">
        <v>0</v>
      </c>
      <c r="AD256" s="8">
        <v>1</v>
      </c>
      <c r="AE256" s="8">
        <v>2775</v>
      </c>
      <c r="AF256">
        <f>(AA258/AA257)-AA256</f>
        <v>-2.7873656002883093E-2</v>
      </c>
    </row>
    <row r="257" spans="1:32" x14ac:dyDescent="0.45">
      <c r="A257" s="6" t="s">
        <v>44</v>
      </c>
      <c r="B257" s="7">
        <v>8.0786565347683054E-2</v>
      </c>
      <c r="C257" s="7">
        <v>1.5016123840370335E-2</v>
      </c>
      <c r="D257" s="8">
        <v>0</v>
      </c>
      <c r="E257" s="8">
        <v>1</v>
      </c>
      <c r="F257" s="8">
        <v>377</v>
      </c>
      <c r="G257" s="7">
        <v>9.1853674780647654E-2</v>
      </c>
      <c r="H257" s="7">
        <v>1.3604205216173792E-2</v>
      </c>
      <c r="I257" s="8">
        <v>0</v>
      </c>
      <c r="J257" s="8">
        <v>1</v>
      </c>
      <c r="K257" s="8">
        <v>473</v>
      </c>
      <c r="L257" s="7">
        <v>4.9754031578703402E-2</v>
      </c>
      <c r="M257" s="7">
        <v>1.103367216294986E-2</v>
      </c>
      <c r="N257" s="8">
        <v>0</v>
      </c>
      <c r="O257" s="8">
        <v>1</v>
      </c>
      <c r="P257" s="8">
        <v>443</v>
      </c>
      <c r="Q257" s="7">
        <v>0.15234303743644023</v>
      </c>
      <c r="R257" s="7">
        <v>1.7921333577869139E-2</v>
      </c>
      <c r="S257" s="8">
        <v>0</v>
      </c>
      <c r="T257" s="8">
        <v>1</v>
      </c>
      <c r="U257" s="8">
        <v>423</v>
      </c>
      <c r="V257" s="7">
        <v>8.2961551505331077E-2</v>
      </c>
      <c r="W257" s="7">
        <v>8.9475819872891042E-3</v>
      </c>
      <c r="X257" s="8">
        <v>0</v>
      </c>
      <c r="Y257" s="8">
        <v>1</v>
      </c>
      <c r="Z257" s="8">
        <v>1073</v>
      </c>
      <c r="AA257" s="7">
        <v>8.7706153685111046E-2</v>
      </c>
      <c r="AB257" s="7">
        <v>7.1838488407195067E-3</v>
      </c>
      <c r="AC257" s="8">
        <v>0</v>
      </c>
      <c r="AD257" s="8">
        <v>1</v>
      </c>
      <c r="AE257" s="8">
        <v>2789</v>
      </c>
      <c r="AF257">
        <f>(AA258/AA256)-AA257</f>
        <v>-2.2425081026186164E-2</v>
      </c>
    </row>
    <row r="258" spans="1:32" x14ac:dyDescent="0.45">
      <c r="A258" s="6" t="s">
        <v>114</v>
      </c>
      <c r="B258" s="7">
        <v>2.6881831974814113E-2</v>
      </c>
      <c r="C258" s="7">
        <v>8.5564811261163286E-3</v>
      </c>
      <c r="D258" s="8">
        <v>0</v>
      </c>
      <c r="E258" s="8">
        <v>1</v>
      </c>
      <c r="F258" s="8">
        <v>377</v>
      </c>
      <c r="G258" s="7">
        <v>1.3645499532345548E-2</v>
      </c>
      <c r="H258" s="7">
        <v>5.5408504713199344E-3</v>
      </c>
      <c r="I258" s="8">
        <v>0</v>
      </c>
      <c r="J258" s="8">
        <v>1</v>
      </c>
      <c r="K258" s="8">
        <v>467</v>
      </c>
      <c r="L258" s="7">
        <v>2.1394999406316758E-3</v>
      </c>
      <c r="M258" s="7">
        <v>2.1399424498196908E-3</v>
      </c>
      <c r="N258" s="8">
        <v>0</v>
      </c>
      <c r="O258" s="8">
        <v>1</v>
      </c>
      <c r="P258" s="8">
        <v>441</v>
      </c>
      <c r="Q258" s="7">
        <v>2.3068860467356849E-3</v>
      </c>
      <c r="R258" s="7">
        <v>2.3071695754940452E-3</v>
      </c>
      <c r="S258" s="8">
        <v>0</v>
      </c>
      <c r="T258" s="8">
        <v>1</v>
      </c>
      <c r="U258" s="8">
        <v>422</v>
      </c>
      <c r="V258" s="7">
        <v>5.1901797010347949E-3</v>
      </c>
      <c r="W258" s="7">
        <v>2.2094654037413388E-3</v>
      </c>
      <c r="X258" s="8">
        <v>0</v>
      </c>
      <c r="Y258" s="8">
        <v>1</v>
      </c>
      <c r="Z258" s="8">
        <v>1068</v>
      </c>
      <c r="AA258" s="7">
        <v>7.1166771202518285E-3</v>
      </c>
      <c r="AB258" s="7">
        <v>1.9179874954817233E-3</v>
      </c>
      <c r="AC258" s="8">
        <v>0</v>
      </c>
      <c r="AD258" s="8">
        <v>1</v>
      </c>
      <c r="AE258" s="8">
        <v>2775</v>
      </c>
    </row>
    <row r="259" spans="1:32" x14ac:dyDescent="0.45">
      <c r="A259" s="6" t="s">
        <v>36</v>
      </c>
      <c r="B259" s="7">
        <v>0.26636125194779031</v>
      </c>
      <c r="C259" s="7">
        <v>2.4189991287900472E-2</v>
      </c>
      <c r="D259" s="8">
        <v>0</v>
      </c>
      <c r="E259" s="8">
        <v>1</v>
      </c>
      <c r="F259" s="8">
        <v>377</v>
      </c>
      <c r="G259" s="7">
        <v>0.17672760534526755</v>
      </c>
      <c r="H259" s="7">
        <v>1.8127456261163202E-2</v>
      </c>
      <c r="I259" s="8">
        <v>0</v>
      </c>
      <c r="J259" s="8">
        <v>1</v>
      </c>
      <c r="K259" s="8">
        <v>467</v>
      </c>
      <c r="L259" s="7">
        <v>4.3890875888197518E-2</v>
      </c>
      <c r="M259" s="7">
        <v>9.6682460234033402E-3</v>
      </c>
      <c r="N259" s="8">
        <v>0</v>
      </c>
      <c r="O259" s="8">
        <v>1</v>
      </c>
      <c r="P259" s="8">
        <v>441</v>
      </c>
      <c r="Q259" s="7">
        <v>8.371081995835053E-2</v>
      </c>
      <c r="R259" s="7">
        <v>1.4050470479779449E-2</v>
      </c>
      <c r="S259" s="8">
        <v>0</v>
      </c>
      <c r="T259" s="8">
        <v>1</v>
      </c>
      <c r="U259" s="8">
        <v>422</v>
      </c>
      <c r="V259" s="7">
        <v>0.17670361522524197</v>
      </c>
      <c r="W259" s="7">
        <v>1.6865782603968957E-2</v>
      </c>
      <c r="X259" s="8">
        <v>0</v>
      </c>
      <c r="Y259" s="8">
        <v>1</v>
      </c>
      <c r="Z259" s="8">
        <v>1068</v>
      </c>
      <c r="AA259" s="7">
        <v>0.10901593418102137</v>
      </c>
      <c r="AB259" s="7">
        <v>7.4445039199197852E-3</v>
      </c>
      <c r="AC259" s="8">
        <v>0</v>
      </c>
      <c r="AD259" s="8">
        <v>1</v>
      </c>
      <c r="AE259" s="8">
        <v>2775</v>
      </c>
      <c r="AF259">
        <f>(AA261/AA260)-AA259</f>
        <v>1.4373316660725194E-2</v>
      </c>
    </row>
    <row r="260" spans="1:32" ht="39.4" x14ac:dyDescent="0.45">
      <c r="A260" s="6" t="s">
        <v>16</v>
      </c>
      <c r="B260" s="7">
        <v>0.51199366560399728</v>
      </c>
      <c r="C260" s="7">
        <v>2.9021889994445865E-2</v>
      </c>
      <c r="D260" s="8">
        <v>0</v>
      </c>
      <c r="E260" s="8">
        <v>1</v>
      </c>
      <c r="F260" s="8">
        <v>377</v>
      </c>
      <c r="G260" s="7">
        <v>0.75248336082973521</v>
      </c>
      <c r="H260" s="7">
        <v>2.0449467587927744E-2</v>
      </c>
      <c r="I260" s="8">
        <v>0</v>
      </c>
      <c r="J260" s="8">
        <v>1</v>
      </c>
      <c r="K260" s="8">
        <v>473</v>
      </c>
      <c r="L260" s="7">
        <v>0.55666891088221959</v>
      </c>
      <c r="M260" s="7">
        <v>2.4460269691669399E-2</v>
      </c>
      <c r="N260" s="8">
        <v>0</v>
      </c>
      <c r="O260" s="8">
        <v>1</v>
      </c>
      <c r="P260" s="8">
        <v>443</v>
      </c>
      <c r="Q260" s="7">
        <v>0.83603306383602227</v>
      </c>
      <c r="R260" s="7">
        <v>1.8289048327108152E-2</v>
      </c>
      <c r="S260" s="8">
        <v>0</v>
      </c>
      <c r="T260" s="8">
        <v>1</v>
      </c>
      <c r="U260" s="8">
        <v>423</v>
      </c>
      <c r="V260" s="7">
        <v>0.44289642409572316</v>
      </c>
      <c r="W260" s="7">
        <v>2.1056261249825466E-2</v>
      </c>
      <c r="X260" s="8">
        <v>0</v>
      </c>
      <c r="Y260" s="8">
        <v>1</v>
      </c>
      <c r="Z260" s="8">
        <v>1073</v>
      </c>
      <c r="AA260" s="7">
        <v>0.66677630791100306</v>
      </c>
      <c r="AB260" s="7">
        <v>1.2587121178159334E-2</v>
      </c>
      <c r="AC260" s="8">
        <v>0</v>
      </c>
      <c r="AD260" s="8">
        <v>1</v>
      </c>
      <c r="AE260" s="8">
        <v>2789</v>
      </c>
      <c r="AF260">
        <f>(AA261/AA259)-AA260</f>
        <v>8.7911800118688488E-2</v>
      </c>
    </row>
    <row r="261" spans="1:32" x14ac:dyDescent="0.45">
      <c r="A261" s="6" t="s">
        <v>115</v>
      </c>
      <c r="B261" s="7">
        <v>0.14011819334554476</v>
      </c>
      <c r="C261" s="7">
        <v>1.8890735723847051E-2</v>
      </c>
      <c r="D261" s="8">
        <v>0</v>
      </c>
      <c r="E261" s="8">
        <v>1</v>
      </c>
      <c r="F261" s="8">
        <v>377</v>
      </c>
      <c r="G261" s="7">
        <v>0.15177575191141493</v>
      </c>
      <c r="H261" s="7">
        <v>1.7249692850469719E-2</v>
      </c>
      <c r="I261" s="8">
        <v>0</v>
      </c>
      <c r="J261" s="8">
        <v>1</v>
      </c>
      <c r="K261" s="8">
        <v>467</v>
      </c>
      <c r="L261" s="7">
        <v>3.6974490486786561E-2</v>
      </c>
      <c r="M261" s="7">
        <v>8.9251652859731571E-3</v>
      </c>
      <c r="N261" s="8">
        <v>0</v>
      </c>
      <c r="O261" s="8">
        <v>1</v>
      </c>
      <c r="P261" s="8">
        <v>441</v>
      </c>
      <c r="Q261" s="7">
        <v>6.6155573023005704E-2</v>
      </c>
      <c r="R261" s="7">
        <v>1.2618024990787747E-2</v>
      </c>
      <c r="S261" s="8">
        <v>0</v>
      </c>
      <c r="T261" s="8">
        <v>1</v>
      </c>
      <c r="U261" s="8">
        <v>422</v>
      </c>
      <c r="V261" s="7">
        <v>4.0650401394474747E-2</v>
      </c>
      <c r="W261" s="7">
        <v>8.7923833334778781E-3</v>
      </c>
      <c r="X261" s="8">
        <v>0</v>
      </c>
      <c r="Y261" s="8">
        <v>1</v>
      </c>
      <c r="Z261" s="8">
        <v>1068</v>
      </c>
      <c r="AA261" s="7">
        <v>8.22730291121644E-2</v>
      </c>
      <c r="AB261" s="7">
        <v>6.8346386635140107E-3</v>
      </c>
      <c r="AC261" s="8">
        <v>0</v>
      </c>
      <c r="AD261" s="8">
        <v>1</v>
      </c>
      <c r="AE261" s="8">
        <v>2775</v>
      </c>
    </row>
    <row r="262" spans="1:32" x14ac:dyDescent="0.45">
      <c r="A262" s="6" t="s">
        <v>36</v>
      </c>
      <c r="B262" s="7">
        <v>0.26636125194779031</v>
      </c>
      <c r="C262" s="7">
        <v>2.4189991287900472E-2</v>
      </c>
      <c r="D262" s="8">
        <v>0</v>
      </c>
      <c r="E262" s="8">
        <v>1</v>
      </c>
      <c r="F262" s="8">
        <v>377</v>
      </c>
      <c r="G262" s="7">
        <v>0.17672760534526755</v>
      </c>
      <c r="H262" s="7">
        <v>1.8127456261163202E-2</v>
      </c>
      <c r="I262" s="8">
        <v>0</v>
      </c>
      <c r="J262" s="8">
        <v>1</v>
      </c>
      <c r="K262" s="8">
        <v>467</v>
      </c>
      <c r="L262" s="7">
        <v>4.3890875888197518E-2</v>
      </c>
      <c r="M262" s="7">
        <v>9.6682460234033402E-3</v>
      </c>
      <c r="N262" s="8">
        <v>0</v>
      </c>
      <c r="O262" s="8">
        <v>1</v>
      </c>
      <c r="P262" s="8">
        <v>441</v>
      </c>
      <c r="Q262" s="7">
        <v>8.371081995835053E-2</v>
      </c>
      <c r="R262" s="7">
        <v>1.4050470479779449E-2</v>
      </c>
      <c r="S262" s="8">
        <v>0</v>
      </c>
      <c r="T262" s="8">
        <v>1</v>
      </c>
      <c r="U262" s="8">
        <v>422</v>
      </c>
      <c r="V262" s="7">
        <v>0.17670361522524197</v>
      </c>
      <c r="W262" s="7">
        <v>1.6865782603968957E-2</v>
      </c>
      <c r="X262" s="8">
        <v>0</v>
      </c>
      <c r="Y262" s="8">
        <v>1</v>
      </c>
      <c r="Z262" s="8">
        <v>1068</v>
      </c>
      <c r="AA262" s="7">
        <v>0.10901593418102137</v>
      </c>
      <c r="AB262" s="7">
        <v>7.4445039199197852E-3</v>
      </c>
      <c r="AC262" s="8">
        <v>0</v>
      </c>
      <c r="AD262" s="8">
        <v>1</v>
      </c>
      <c r="AE262" s="8">
        <v>2775</v>
      </c>
      <c r="AF262">
        <f>(AA264/AA263)-AA262</f>
        <v>1.3158994649067501E-2</v>
      </c>
    </row>
    <row r="263" spans="1:32" ht="39.4" x14ac:dyDescent="0.45">
      <c r="A263" s="6" t="s">
        <v>18</v>
      </c>
      <c r="B263" s="7">
        <v>0.57798625450849994</v>
      </c>
      <c r="C263" s="7">
        <v>2.931190088877576E-2</v>
      </c>
      <c r="D263" s="8">
        <v>0</v>
      </c>
      <c r="E263" s="8">
        <v>1</v>
      </c>
      <c r="F263" s="8">
        <v>377</v>
      </c>
      <c r="G263" s="7">
        <v>0.7759090962333085</v>
      </c>
      <c r="H263" s="7">
        <v>1.9819100780919589E-2</v>
      </c>
      <c r="I263" s="8">
        <v>0</v>
      </c>
      <c r="J263" s="8">
        <v>1</v>
      </c>
      <c r="K263" s="8">
        <v>473</v>
      </c>
      <c r="L263" s="7">
        <v>0.54937707697091009</v>
      </c>
      <c r="M263" s="7">
        <v>2.442131248989543E-2</v>
      </c>
      <c r="N263" s="8">
        <v>0</v>
      </c>
      <c r="O263" s="8">
        <v>1</v>
      </c>
      <c r="P263" s="8">
        <v>443</v>
      </c>
      <c r="Q263" s="7">
        <v>0.74315598481496103</v>
      </c>
      <c r="R263" s="7">
        <v>2.153023882484394E-2</v>
      </c>
      <c r="S263" s="8">
        <v>0</v>
      </c>
      <c r="T263" s="8">
        <v>1</v>
      </c>
      <c r="U263" s="8">
        <v>423</v>
      </c>
      <c r="V263" s="7">
        <v>0.39927975706290247</v>
      </c>
      <c r="W263" s="7">
        <v>2.0519705334594719E-2</v>
      </c>
      <c r="X263" s="8">
        <v>0</v>
      </c>
      <c r="Y263" s="8">
        <v>1</v>
      </c>
      <c r="Z263" s="8">
        <v>1073</v>
      </c>
      <c r="AA263" s="7">
        <v>0.65235181396445241</v>
      </c>
      <c r="AB263" s="7">
        <v>1.2624611213770981E-2</v>
      </c>
      <c r="AC263" s="8">
        <v>0</v>
      </c>
      <c r="AD263" s="8">
        <v>1</v>
      </c>
      <c r="AE263" s="8">
        <v>2789</v>
      </c>
      <c r="AF263">
        <f>(AA264/AA262)-AA263</f>
        <v>7.8743479967006147E-2</v>
      </c>
    </row>
    <row r="264" spans="1:32" x14ac:dyDescent="0.45">
      <c r="A264" s="6" t="s">
        <v>116</v>
      </c>
      <c r="B264" s="7">
        <v>0.14190117461838764</v>
      </c>
      <c r="C264" s="7">
        <v>1.8939161480732325E-2</v>
      </c>
      <c r="D264" s="8">
        <v>0</v>
      </c>
      <c r="E264" s="8">
        <v>1</v>
      </c>
      <c r="F264" s="8">
        <v>377</v>
      </c>
      <c r="G264" s="7">
        <v>0.14732605814696081</v>
      </c>
      <c r="H264" s="7">
        <v>1.7047880588319578E-2</v>
      </c>
      <c r="I264" s="8">
        <v>0</v>
      </c>
      <c r="J264" s="8">
        <v>1</v>
      </c>
      <c r="K264" s="8">
        <v>467</v>
      </c>
      <c r="L264" s="7">
        <v>3.4881163193243352E-2</v>
      </c>
      <c r="M264" s="7">
        <v>8.6921021811789175E-3</v>
      </c>
      <c r="N264" s="8">
        <v>0</v>
      </c>
      <c r="O264" s="8">
        <v>1</v>
      </c>
      <c r="P264" s="8">
        <v>441</v>
      </c>
      <c r="Q264" s="7">
        <v>6.2467562479865658E-2</v>
      </c>
      <c r="R264" s="7">
        <v>1.2384791104877368E-2</v>
      </c>
      <c r="S264" s="8">
        <v>0</v>
      </c>
      <c r="T264" s="8">
        <v>1</v>
      </c>
      <c r="U264" s="8">
        <v>422</v>
      </c>
      <c r="V264" s="7">
        <v>4.6454922049310961E-2</v>
      </c>
      <c r="W264" s="7">
        <v>9.718228198940736E-3</v>
      </c>
      <c r="X264" s="8">
        <v>0</v>
      </c>
      <c r="Y264" s="8">
        <v>1</v>
      </c>
      <c r="Z264" s="8">
        <v>1068</v>
      </c>
      <c r="AA264" s="7">
        <v>7.9701036443286355E-2</v>
      </c>
      <c r="AB264" s="7">
        <v>6.723377619509462E-3</v>
      </c>
      <c r="AC264" s="8">
        <v>0</v>
      </c>
      <c r="AD264" s="8">
        <v>1</v>
      </c>
      <c r="AE264" s="8">
        <v>2775</v>
      </c>
    </row>
    <row r="265" spans="1:32" x14ac:dyDescent="0.45">
      <c r="A265" s="6" t="s">
        <v>36</v>
      </c>
      <c r="B265" s="7">
        <v>0.26636125194779031</v>
      </c>
      <c r="C265" s="7">
        <v>2.4189991287900472E-2</v>
      </c>
      <c r="D265" s="8">
        <v>0</v>
      </c>
      <c r="E265" s="8">
        <v>1</v>
      </c>
      <c r="F265" s="8">
        <v>377</v>
      </c>
      <c r="G265" s="7">
        <v>0.17672760534526755</v>
      </c>
      <c r="H265" s="7">
        <v>1.8127456261163202E-2</v>
      </c>
      <c r="I265" s="8">
        <v>0</v>
      </c>
      <c r="J265" s="8">
        <v>1</v>
      </c>
      <c r="K265" s="8">
        <v>467</v>
      </c>
      <c r="L265" s="7">
        <v>4.3890875888197518E-2</v>
      </c>
      <c r="M265" s="7">
        <v>9.6682460234033402E-3</v>
      </c>
      <c r="N265" s="8">
        <v>0</v>
      </c>
      <c r="O265" s="8">
        <v>1</v>
      </c>
      <c r="P265" s="8">
        <v>441</v>
      </c>
      <c r="Q265" s="7">
        <v>8.371081995835053E-2</v>
      </c>
      <c r="R265" s="7">
        <v>1.4050470479779449E-2</v>
      </c>
      <c r="S265" s="8">
        <v>0</v>
      </c>
      <c r="T265" s="8">
        <v>1</v>
      </c>
      <c r="U265" s="8">
        <v>422</v>
      </c>
      <c r="V265" s="7">
        <v>0.17670361522524197</v>
      </c>
      <c r="W265" s="7">
        <v>1.6865782603968957E-2</v>
      </c>
      <c r="X265" s="8">
        <v>0</v>
      </c>
      <c r="Y265" s="8">
        <v>1</v>
      </c>
      <c r="Z265" s="8">
        <v>1068</v>
      </c>
      <c r="AA265" s="7">
        <v>0.10901593418102137</v>
      </c>
      <c r="AB265" s="7">
        <v>7.4445039199197852E-3</v>
      </c>
      <c r="AC265" s="8">
        <v>0</v>
      </c>
      <c r="AD265" s="8">
        <v>1</v>
      </c>
      <c r="AE265" s="8">
        <v>2775</v>
      </c>
      <c r="AF265">
        <f>(AA267/AA266)-AA265</f>
        <v>2.4787791117795943E-2</v>
      </c>
    </row>
    <row r="266" spans="1:32" ht="39.4" x14ac:dyDescent="0.45">
      <c r="A266" s="6" t="s">
        <v>20</v>
      </c>
      <c r="B266" s="7">
        <v>0.49966441162735731</v>
      </c>
      <c r="C266" s="7">
        <v>2.8926538869362927E-2</v>
      </c>
      <c r="D266" s="8">
        <v>0</v>
      </c>
      <c r="E266" s="8">
        <v>1</v>
      </c>
      <c r="F266" s="8">
        <v>377</v>
      </c>
      <c r="G266" s="7">
        <v>0.694148109652721</v>
      </c>
      <c r="H266" s="7">
        <v>2.1903517365169416E-2</v>
      </c>
      <c r="I266" s="8">
        <v>0</v>
      </c>
      <c r="J266" s="8">
        <v>1</v>
      </c>
      <c r="K266" s="8">
        <v>473</v>
      </c>
      <c r="L266" s="7">
        <v>0.44678685166956866</v>
      </c>
      <c r="M266" s="7">
        <v>2.4472410267060745E-2</v>
      </c>
      <c r="N266" s="8">
        <v>0</v>
      </c>
      <c r="O266" s="8">
        <v>1</v>
      </c>
      <c r="P266" s="8">
        <v>443</v>
      </c>
      <c r="Q266" s="7">
        <v>0.58710843859266493</v>
      </c>
      <c r="R266" s="7">
        <v>2.4491537195724417E-2</v>
      </c>
      <c r="S266" s="8">
        <v>0</v>
      </c>
      <c r="T266" s="8">
        <v>1</v>
      </c>
      <c r="U266" s="8">
        <v>423</v>
      </c>
      <c r="V266" s="7">
        <v>0.24597703605277871</v>
      </c>
      <c r="W266" s="7">
        <v>1.7202819405463813E-2</v>
      </c>
      <c r="X266" s="8">
        <v>0</v>
      </c>
      <c r="Y266" s="8">
        <v>1</v>
      </c>
      <c r="Z266" s="8">
        <v>1073</v>
      </c>
      <c r="AA266" s="7">
        <v>0.54335791656094878</v>
      </c>
      <c r="AB266" s="7">
        <v>1.3167396812010984E-2</v>
      </c>
      <c r="AC266" s="8">
        <v>0</v>
      </c>
      <c r="AD266" s="8">
        <v>1</v>
      </c>
      <c r="AE266" s="8">
        <v>2789</v>
      </c>
      <c r="AF266">
        <f>(AA267/AA265)-AA266</f>
        <v>0.12354746706613418</v>
      </c>
    </row>
    <row r="267" spans="1:32" x14ac:dyDescent="0.45">
      <c r="A267" s="6" t="s">
        <v>117</v>
      </c>
      <c r="B267" s="7">
        <v>0.14190117461838764</v>
      </c>
      <c r="C267" s="7">
        <v>1.8939161480732325E-2</v>
      </c>
      <c r="D267" s="8">
        <v>0</v>
      </c>
      <c r="E267" s="8">
        <v>1</v>
      </c>
      <c r="F267" s="8">
        <v>377</v>
      </c>
      <c r="G267" s="7">
        <v>0.14257707189717989</v>
      </c>
      <c r="H267" s="7">
        <v>1.6810184299082605E-2</v>
      </c>
      <c r="I267" s="8">
        <v>0</v>
      </c>
      <c r="J267" s="8">
        <v>1</v>
      </c>
      <c r="K267" s="8">
        <v>467</v>
      </c>
      <c r="L267" s="7">
        <v>3.1921476068048529E-2</v>
      </c>
      <c r="M267" s="7">
        <v>8.2045760488913353E-3</v>
      </c>
      <c r="N267" s="8">
        <v>0</v>
      </c>
      <c r="O267" s="8">
        <v>1</v>
      </c>
      <c r="P267" s="8">
        <v>441</v>
      </c>
      <c r="Q267" s="7">
        <v>4.7433618524039017E-2</v>
      </c>
      <c r="R267" s="7">
        <v>1.0954354042747735E-2</v>
      </c>
      <c r="S267" s="8">
        <v>0</v>
      </c>
      <c r="T267" s="8">
        <v>1</v>
      </c>
      <c r="U267" s="8">
        <v>422</v>
      </c>
      <c r="V267" s="7">
        <v>1.3923308582991994E-2</v>
      </c>
      <c r="W267" s="7">
        <v>3.9886541345161399E-3</v>
      </c>
      <c r="X267" s="8">
        <v>0</v>
      </c>
      <c r="Y267" s="8">
        <v>1</v>
      </c>
      <c r="Z267" s="8">
        <v>1068</v>
      </c>
      <c r="AA267" s="7">
        <v>7.2703313406458886E-2</v>
      </c>
      <c r="AB267" s="7">
        <v>6.4410682518953981E-3</v>
      </c>
      <c r="AC267" s="8">
        <v>0</v>
      </c>
      <c r="AD267" s="8">
        <v>1</v>
      </c>
      <c r="AE267" s="8">
        <v>2775</v>
      </c>
    </row>
    <row r="268" spans="1:32" x14ac:dyDescent="0.45">
      <c r="A268" s="6" t="s">
        <v>36</v>
      </c>
      <c r="B268" s="7">
        <v>0.26636125194779031</v>
      </c>
      <c r="C268" s="7">
        <v>2.4189991287900472E-2</v>
      </c>
      <c r="D268" s="8">
        <v>0</v>
      </c>
      <c r="E268" s="8">
        <v>1</v>
      </c>
      <c r="F268" s="8">
        <v>377</v>
      </c>
      <c r="G268" s="7">
        <v>0.17672760534526755</v>
      </c>
      <c r="H268" s="7">
        <v>1.8127456261163202E-2</v>
      </c>
      <c r="I268" s="8">
        <v>0</v>
      </c>
      <c r="J268" s="8">
        <v>1</v>
      </c>
      <c r="K268" s="8">
        <v>467</v>
      </c>
      <c r="L268" s="7">
        <v>4.3890875888197518E-2</v>
      </c>
      <c r="M268" s="7">
        <v>9.6682460234033402E-3</v>
      </c>
      <c r="N268" s="8">
        <v>0</v>
      </c>
      <c r="O268" s="8">
        <v>1</v>
      </c>
      <c r="P268" s="8">
        <v>441</v>
      </c>
      <c r="Q268" s="7">
        <v>8.371081995835053E-2</v>
      </c>
      <c r="R268" s="7">
        <v>1.4050470479779449E-2</v>
      </c>
      <c r="S268" s="8">
        <v>0</v>
      </c>
      <c r="T268" s="8">
        <v>1</v>
      </c>
      <c r="U268" s="8">
        <v>422</v>
      </c>
      <c r="V268" s="7">
        <v>0.17670361522524197</v>
      </c>
      <c r="W268" s="7">
        <v>1.6865782603968957E-2</v>
      </c>
      <c r="X268" s="8">
        <v>0</v>
      </c>
      <c r="Y268" s="8">
        <v>1</v>
      </c>
      <c r="Z268" s="8">
        <v>1068</v>
      </c>
      <c r="AA268" s="7">
        <v>0.10901593418102137</v>
      </c>
      <c r="AB268" s="7">
        <v>7.4445039199197852E-3</v>
      </c>
      <c r="AC268" s="8">
        <v>0</v>
      </c>
      <c r="AD268" s="8">
        <v>1</v>
      </c>
      <c r="AE268" s="8">
        <v>2775</v>
      </c>
      <c r="AF268">
        <f>(AA270/AA269)-AA268</f>
        <v>1.0320046929006566E-3</v>
      </c>
    </row>
    <row r="269" spans="1:32" ht="26.25" x14ac:dyDescent="0.45">
      <c r="A269" s="6" t="s">
        <v>22</v>
      </c>
      <c r="B269" s="7">
        <v>0.44337971510161078</v>
      </c>
      <c r="C269" s="7">
        <v>2.8333918098961602E-2</v>
      </c>
      <c r="D269" s="8">
        <v>0</v>
      </c>
      <c r="E269" s="8">
        <v>1</v>
      </c>
      <c r="F269" s="8">
        <v>377</v>
      </c>
      <c r="G269" s="7">
        <v>0.55003587184041547</v>
      </c>
      <c r="H269" s="7">
        <v>2.3701595165381402E-2</v>
      </c>
      <c r="I269" s="8">
        <v>0</v>
      </c>
      <c r="J269" s="8">
        <v>1</v>
      </c>
      <c r="K269" s="8">
        <v>473</v>
      </c>
      <c r="L269" s="7">
        <v>0.47073477299276273</v>
      </c>
      <c r="M269" s="7">
        <v>2.455632484408668E-2</v>
      </c>
      <c r="N269" s="8">
        <v>0</v>
      </c>
      <c r="O269" s="8">
        <v>1</v>
      </c>
      <c r="P269" s="8">
        <v>443</v>
      </c>
      <c r="Q269" s="7">
        <v>0.81611123613737024</v>
      </c>
      <c r="R269" s="7">
        <v>1.9017745333524308E-2</v>
      </c>
      <c r="S269" s="8">
        <v>0</v>
      </c>
      <c r="T269" s="8">
        <v>1</v>
      </c>
      <c r="U269" s="8">
        <v>423</v>
      </c>
      <c r="V269" s="7">
        <v>0.49101498998080567</v>
      </c>
      <c r="W269" s="7">
        <v>2.153423791962325E-2</v>
      </c>
      <c r="X269" s="8">
        <v>0</v>
      </c>
      <c r="Y269" s="8">
        <v>1</v>
      </c>
      <c r="Z269" s="8">
        <v>1073</v>
      </c>
      <c r="AA269" s="7">
        <v>0.56929096770433274</v>
      </c>
      <c r="AB269" s="7">
        <v>1.3133161955805486E-2</v>
      </c>
      <c r="AC269" s="8">
        <v>0</v>
      </c>
      <c r="AD269" s="8">
        <v>1</v>
      </c>
      <c r="AE269" s="8">
        <v>2789</v>
      </c>
      <c r="AF269">
        <f>(AA270/AA268)-AA269</f>
        <v>5.389220894270963E-3</v>
      </c>
    </row>
    <row r="270" spans="1:32" x14ac:dyDescent="0.45">
      <c r="A270" s="6" t="s">
        <v>118</v>
      </c>
      <c r="B270" s="7">
        <v>0.11430846013187675</v>
      </c>
      <c r="C270" s="7">
        <v>1.7224451078593592E-2</v>
      </c>
      <c r="D270" s="8">
        <v>0</v>
      </c>
      <c r="E270" s="8">
        <v>1</v>
      </c>
      <c r="F270" s="8">
        <v>377</v>
      </c>
      <c r="G270" s="7">
        <v>0.10906450239219741</v>
      </c>
      <c r="H270" s="7">
        <v>1.5043880124013252E-2</v>
      </c>
      <c r="I270" s="8">
        <v>0</v>
      </c>
      <c r="J270" s="8">
        <v>1</v>
      </c>
      <c r="K270" s="8">
        <v>467</v>
      </c>
      <c r="L270" s="7">
        <v>2.2189325928899405E-2</v>
      </c>
      <c r="M270" s="7">
        <v>7.0633738176584283E-3</v>
      </c>
      <c r="N270" s="8">
        <v>0</v>
      </c>
      <c r="O270" s="8">
        <v>1</v>
      </c>
      <c r="P270" s="8">
        <v>441</v>
      </c>
      <c r="Q270" s="7">
        <v>6.3136344741973813E-2</v>
      </c>
      <c r="R270" s="7">
        <v>1.229927428700775E-2</v>
      </c>
      <c r="S270" s="8">
        <v>0</v>
      </c>
      <c r="T270" s="8">
        <v>1</v>
      </c>
      <c r="U270" s="8">
        <v>422</v>
      </c>
      <c r="V270" s="7">
        <v>5.322844970044377E-2</v>
      </c>
      <c r="W270" s="7">
        <v>9.958301045082836E-3</v>
      </c>
      <c r="X270" s="8">
        <v>0</v>
      </c>
      <c r="Y270" s="8">
        <v>1</v>
      </c>
      <c r="Z270" s="8">
        <v>1068</v>
      </c>
      <c r="AA270" s="7">
        <v>6.2649297615402333E-2</v>
      </c>
      <c r="AB270" s="7">
        <v>5.9377930834920911E-3</v>
      </c>
      <c r="AC270" s="8">
        <v>0</v>
      </c>
      <c r="AD270" s="8">
        <v>1</v>
      </c>
      <c r="AE270" s="8">
        <v>2775</v>
      </c>
    </row>
    <row r="271" spans="1:32" x14ac:dyDescent="0.45">
      <c r="A271" s="6" t="s">
        <v>36</v>
      </c>
      <c r="B271" s="7">
        <v>0.26636125194779031</v>
      </c>
      <c r="C271" s="7">
        <v>2.4189991287900472E-2</v>
      </c>
      <c r="D271" s="8">
        <v>0</v>
      </c>
      <c r="E271" s="8">
        <v>1</v>
      </c>
      <c r="F271" s="8">
        <v>377</v>
      </c>
      <c r="G271" s="7">
        <v>0.17672760534526755</v>
      </c>
      <c r="H271" s="7">
        <v>1.8127456261163202E-2</v>
      </c>
      <c r="I271" s="8">
        <v>0</v>
      </c>
      <c r="J271" s="8">
        <v>1</v>
      </c>
      <c r="K271" s="8">
        <v>467</v>
      </c>
      <c r="L271" s="7">
        <v>4.3890875888197518E-2</v>
      </c>
      <c r="M271" s="7">
        <v>9.6682460234033402E-3</v>
      </c>
      <c r="N271" s="8">
        <v>0</v>
      </c>
      <c r="O271" s="8">
        <v>1</v>
      </c>
      <c r="P271" s="8">
        <v>441</v>
      </c>
      <c r="Q271" s="7">
        <v>8.371081995835053E-2</v>
      </c>
      <c r="R271" s="7">
        <v>1.4050470479779449E-2</v>
      </c>
      <c r="S271" s="8">
        <v>0</v>
      </c>
      <c r="T271" s="8">
        <v>1</v>
      </c>
      <c r="U271" s="8">
        <v>422</v>
      </c>
      <c r="V271" s="7">
        <v>0.17670361522524197</v>
      </c>
      <c r="W271" s="7">
        <v>1.6865782603968957E-2</v>
      </c>
      <c r="X271" s="8">
        <v>0</v>
      </c>
      <c r="Y271" s="8">
        <v>1</v>
      </c>
      <c r="Z271" s="8">
        <v>1068</v>
      </c>
      <c r="AA271" s="7">
        <v>0.10901593418102137</v>
      </c>
      <c r="AB271" s="7">
        <v>7.4445039199197852E-3</v>
      </c>
      <c r="AC271" s="8">
        <v>0</v>
      </c>
      <c r="AD271" s="8">
        <v>1</v>
      </c>
      <c r="AE271" s="8">
        <v>2775</v>
      </c>
      <c r="AF271">
        <f>(AA273/AA272)-AA271</f>
        <v>3.8301360974792725E-3</v>
      </c>
    </row>
    <row r="272" spans="1:32" ht="26.25" x14ac:dyDescent="0.45">
      <c r="A272" s="6" t="s">
        <v>24</v>
      </c>
      <c r="B272" s="7">
        <v>0.3143161872698384</v>
      </c>
      <c r="C272" s="7">
        <v>2.5988451099292102E-2</v>
      </c>
      <c r="D272" s="8">
        <v>0</v>
      </c>
      <c r="E272" s="8">
        <v>1</v>
      </c>
      <c r="F272" s="8">
        <v>377</v>
      </c>
      <c r="G272" s="7">
        <v>0.35720003177347953</v>
      </c>
      <c r="H272" s="7">
        <v>2.2786551411140134E-2</v>
      </c>
      <c r="I272" s="8">
        <v>0</v>
      </c>
      <c r="J272" s="8">
        <v>1</v>
      </c>
      <c r="K272" s="8">
        <v>473</v>
      </c>
      <c r="L272" s="7">
        <v>0.30880783343155294</v>
      </c>
      <c r="M272" s="7">
        <v>2.2515152770261254E-2</v>
      </c>
      <c r="N272" s="8">
        <v>0</v>
      </c>
      <c r="O272" s="8">
        <v>1</v>
      </c>
      <c r="P272" s="8">
        <v>443</v>
      </c>
      <c r="Q272" s="7">
        <v>0.74339061825172903</v>
      </c>
      <c r="R272" s="7">
        <v>2.1616709115009351E-2</v>
      </c>
      <c r="S272" s="8">
        <v>0</v>
      </c>
      <c r="T272" s="8">
        <v>1</v>
      </c>
      <c r="U272" s="8">
        <v>423</v>
      </c>
      <c r="V272" s="7">
        <v>0.44031925904016395</v>
      </c>
      <c r="W272" s="7">
        <v>2.0999240945587205E-2</v>
      </c>
      <c r="X272" s="8">
        <v>0</v>
      </c>
      <c r="Y272" s="8">
        <v>1</v>
      </c>
      <c r="Z272" s="8">
        <v>1073</v>
      </c>
      <c r="AA272" s="7">
        <v>0.42493856155989945</v>
      </c>
      <c r="AB272" s="7">
        <v>1.2928208456969242E-2</v>
      </c>
      <c r="AC272" s="8">
        <v>0</v>
      </c>
      <c r="AD272" s="8">
        <v>1</v>
      </c>
      <c r="AE272" s="8">
        <v>2789</v>
      </c>
      <c r="AF272">
        <f>(AA273/AA271)-AA272</f>
        <v>1.4929675520084007E-2</v>
      </c>
    </row>
    <row r="273" spans="1:32" x14ac:dyDescent="0.45">
      <c r="A273" s="6" t="s">
        <v>119</v>
      </c>
      <c r="B273" s="7">
        <v>9.3594745309244678E-2</v>
      </c>
      <c r="C273" s="7">
        <v>1.5666460092510246E-2</v>
      </c>
      <c r="D273" s="8">
        <v>0</v>
      </c>
      <c r="E273" s="8">
        <v>1</v>
      </c>
      <c r="F273" s="8">
        <v>377</v>
      </c>
      <c r="G273" s="7">
        <v>7.8611066815772401E-2</v>
      </c>
      <c r="H273" s="7">
        <v>1.2969600542247849E-2</v>
      </c>
      <c r="I273" s="8">
        <v>0</v>
      </c>
      <c r="J273" s="8">
        <v>1</v>
      </c>
      <c r="K273" s="8">
        <v>467</v>
      </c>
      <c r="L273" s="7">
        <v>1.4864040820495389E-2</v>
      </c>
      <c r="M273" s="7">
        <v>5.6962105957647615E-3</v>
      </c>
      <c r="N273" s="8">
        <v>0</v>
      </c>
      <c r="O273" s="8">
        <v>1</v>
      </c>
      <c r="P273" s="8">
        <v>441</v>
      </c>
      <c r="Q273" s="7">
        <v>5.6176206604507756E-2</v>
      </c>
      <c r="R273" s="7">
        <v>1.1706959201374842E-2</v>
      </c>
      <c r="S273" s="8">
        <v>0</v>
      </c>
      <c r="T273" s="8">
        <v>1</v>
      </c>
      <c r="U273" s="8">
        <v>422</v>
      </c>
      <c r="V273" s="7">
        <v>4.0650401394474747E-2</v>
      </c>
      <c r="W273" s="7">
        <v>8.7923833334778781E-3</v>
      </c>
      <c r="X273" s="8">
        <v>0</v>
      </c>
      <c r="Y273" s="8">
        <v>1</v>
      </c>
      <c r="Z273" s="8">
        <v>1068</v>
      </c>
      <c r="AA273" s="7">
        <v>4.7952646781833384E-2</v>
      </c>
      <c r="AB273" s="7">
        <v>5.1667991701690617E-3</v>
      </c>
      <c r="AC273" s="8">
        <v>0</v>
      </c>
      <c r="AD273" s="8">
        <v>1</v>
      </c>
      <c r="AE273" s="8">
        <v>2775</v>
      </c>
    </row>
    <row r="274" spans="1:32" ht="26.25" x14ac:dyDescent="0.45">
      <c r="A274" s="6" t="s">
        <v>38</v>
      </c>
      <c r="B274" s="7">
        <v>0.44223301820394767</v>
      </c>
      <c r="C274" s="7">
        <v>2.8300310545730831E-2</v>
      </c>
      <c r="D274" s="8">
        <v>0</v>
      </c>
      <c r="E274" s="8">
        <v>1</v>
      </c>
      <c r="F274" s="8">
        <v>377</v>
      </c>
      <c r="G274" s="7">
        <v>0.67963669016962303</v>
      </c>
      <c r="H274" s="7">
        <v>2.2169291635117473E-2</v>
      </c>
      <c r="I274" s="8">
        <v>0</v>
      </c>
      <c r="J274" s="8">
        <v>1</v>
      </c>
      <c r="K274" s="8">
        <v>473</v>
      </c>
      <c r="L274" s="7">
        <v>0.41452170070524536</v>
      </c>
      <c r="M274" s="7">
        <v>2.4249093275481391E-2</v>
      </c>
      <c r="N274" s="8">
        <v>0</v>
      </c>
      <c r="O274" s="8">
        <v>1</v>
      </c>
      <c r="P274" s="8">
        <v>443</v>
      </c>
      <c r="Q274" s="7">
        <v>0.50232647922994245</v>
      </c>
      <c r="R274" s="7">
        <v>2.4962894154274457E-2</v>
      </c>
      <c r="S274" s="8">
        <v>0</v>
      </c>
      <c r="T274" s="8">
        <v>1</v>
      </c>
      <c r="U274" s="8">
        <v>423</v>
      </c>
      <c r="V274" s="7">
        <v>0.18691243882002603</v>
      </c>
      <c r="W274" s="7">
        <v>1.6206610488577019E-2</v>
      </c>
      <c r="X274" s="8">
        <v>0</v>
      </c>
      <c r="Y274" s="8">
        <v>1</v>
      </c>
      <c r="Z274" s="8">
        <v>1073</v>
      </c>
      <c r="AA274" s="7">
        <v>0.50156328466083933</v>
      </c>
      <c r="AB274" s="7">
        <v>1.320292147742998E-2</v>
      </c>
      <c r="AC274" s="8">
        <v>0</v>
      </c>
      <c r="AD274" s="8">
        <v>1</v>
      </c>
      <c r="AE274" s="8">
        <v>2789</v>
      </c>
      <c r="AF274">
        <f>(AA276/AA275)-AA274</f>
        <v>7.3625049962695366E-2</v>
      </c>
    </row>
    <row r="275" spans="1:32" x14ac:dyDescent="0.45">
      <c r="A275" s="6" t="s">
        <v>40</v>
      </c>
      <c r="B275" s="7">
        <v>0.24786641106498949</v>
      </c>
      <c r="C275" s="7">
        <v>2.3847850003411539E-2</v>
      </c>
      <c r="D275" s="8">
        <v>0</v>
      </c>
      <c r="E275" s="8">
        <v>1</v>
      </c>
      <c r="F275" s="8">
        <v>377</v>
      </c>
      <c r="G275" s="7">
        <v>0.31149999401439304</v>
      </c>
      <c r="H275" s="7">
        <v>2.2025125692018081E-2</v>
      </c>
      <c r="I275" s="8">
        <v>0</v>
      </c>
      <c r="J275" s="8">
        <v>1</v>
      </c>
      <c r="K275" s="8">
        <v>473</v>
      </c>
      <c r="L275" s="7">
        <v>0.27873695588735009</v>
      </c>
      <c r="M275" s="7">
        <v>2.1757269898733667E-2</v>
      </c>
      <c r="N275" s="8">
        <v>0</v>
      </c>
      <c r="O275" s="8">
        <v>1</v>
      </c>
      <c r="P275" s="8">
        <v>443</v>
      </c>
      <c r="Q275" s="7">
        <v>0.7144739729494628</v>
      </c>
      <c r="R275" s="7">
        <v>2.2433009195978806E-2</v>
      </c>
      <c r="S275" s="8">
        <v>0</v>
      </c>
      <c r="T275" s="8">
        <v>1</v>
      </c>
      <c r="U275" s="8">
        <v>423</v>
      </c>
      <c r="V275" s="7">
        <v>0.42578593556370831</v>
      </c>
      <c r="W275" s="7">
        <v>2.0859115306836037E-2</v>
      </c>
      <c r="X275" s="8">
        <v>0</v>
      </c>
      <c r="Y275" s="8">
        <v>1</v>
      </c>
      <c r="Z275" s="8">
        <v>1073</v>
      </c>
      <c r="AA275" s="7">
        <v>0.38890886648264583</v>
      </c>
      <c r="AB275" s="7">
        <v>1.2688043853195404E-2</v>
      </c>
      <c r="AC275" s="8">
        <v>0</v>
      </c>
      <c r="AD275" s="8">
        <v>1</v>
      </c>
      <c r="AE275" s="8">
        <v>2789</v>
      </c>
      <c r="AF275">
        <f>(AA276/AA274)-AA275</f>
        <v>5.7088378678040952E-2</v>
      </c>
    </row>
    <row r="276" spans="1:32" ht="39.4" x14ac:dyDescent="0.45">
      <c r="A276" s="6" t="s">
        <v>120</v>
      </c>
      <c r="B276" s="7">
        <v>0.17810576366493966</v>
      </c>
      <c r="C276" s="7">
        <v>2.0932998502012003E-2</v>
      </c>
      <c r="D276" s="8">
        <v>0</v>
      </c>
      <c r="E276" s="8">
        <v>1</v>
      </c>
      <c r="F276" s="8">
        <v>377</v>
      </c>
      <c r="G276" s="7">
        <v>0.23865332335428016</v>
      </c>
      <c r="H276" s="7">
        <v>2.0231226505229377E-2</v>
      </c>
      <c r="I276" s="8">
        <v>0</v>
      </c>
      <c r="J276" s="8">
        <v>1</v>
      </c>
      <c r="K276" s="8">
        <v>473</v>
      </c>
      <c r="L276" s="7">
        <v>0.13658974571037411</v>
      </c>
      <c r="M276" s="7">
        <v>1.6647061157070573E-2</v>
      </c>
      <c r="N276" s="8">
        <v>0</v>
      </c>
      <c r="O276" s="8">
        <v>1</v>
      </c>
      <c r="P276" s="8">
        <v>443</v>
      </c>
      <c r="Q276" s="7">
        <v>0.38076738834338175</v>
      </c>
      <c r="R276" s="7">
        <v>2.4404325555140955E-2</v>
      </c>
      <c r="S276" s="8">
        <v>0</v>
      </c>
      <c r="T276" s="8">
        <v>1</v>
      </c>
      <c r="U276" s="8">
        <v>423</v>
      </c>
      <c r="V276" s="7">
        <v>0.16980195028801123</v>
      </c>
      <c r="W276" s="7">
        <v>1.5707356701046206E-2</v>
      </c>
      <c r="X276" s="8">
        <v>0</v>
      </c>
      <c r="Y276" s="8">
        <v>1</v>
      </c>
      <c r="Z276" s="8">
        <v>1073</v>
      </c>
      <c r="AA276" s="7">
        <v>0.22369584323247968</v>
      </c>
      <c r="AB276" s="7">
        <v>1.0684153521402907E-2</v>
      </c>
      <c r="AC276" s="8">
        <v>0</v>
      </c>
      <c r="AD276" s="8">
        <v>1</v>
      </c>
      <c r="AE276" s="8">
        <v>2789</v>
      </c>
    </row>
    <row r="277" spans="1:32" ht="26.25" x14ac:dyDescent="0.45">
      <c r="A277" s="6" t="s">
        <v>38</v>
      </c>
      <c r="B277" s="7">
        <v>0.44223301820394767</v>
      </c>
      <c r="C277" s="7">
        <v>2.8300310545730831E-2</v>
      </c>
      <c r="D277" s="8">
        <v>0</v>
      </c>
      <c r="E277" s="8">
        <v>1</v>
      </c>
      <c r="F277" s="8">
        <v>377</v>
      </c>
      <c r="G277" s="7">
        <v>0.67963669016962303</v>
      </c>
      <c r="H277" s="7">
        <v>2.2169291635117473E-2</v>
      </c>
      <c r="I277" s="8">
        <v>0</v>
      </c>
      <c r="J277" s="8">
        <v>1</v>
      </c>
      <c r="K277" s="8">
        <v>473</v>
      </c>
      <c r="L277" s="7">
        <v>0.41452170070524536</v>
      </c>
      <c r="M277" s="7">
        <v>2.4249093275481391E-2</v>
      </c>
      <c r="N277" s="8">
        <v>0</v>
      </c>
      <c r="O277" s="8">
        <v>1</v>
      </c>
      <c r="P277" s="8">
        <v>443</v>
      </c>
      <c r="Q277" s="7">
        <v>0.50232647922994245</v>
      </c>
      <c r="R277" s="7">
        <v>2.4962894154274457E-2</v>
      </c>
      <c r="S277" s="8">
        <v>0</v>
      </c>
      <c r="T277" s="8">
        <v>1</v>
      </c>
      <c r="U277" s="8">
        <v>423</v>
      </c>
      <c r="V277" s="7">
        <v>0.18691243882002603</v>
      </c>
      <c r="W277" s="7">
        <v>1.6206610488577019E-2</v>
      </c>
      <c r="X277" s="8">
        <v>0</v>
      </c>
      <c r="Y277" s="8">
        <v>1</v>
      </c>
      <c r="Z277" s="8">
        <v>1073</v>
      </c>
      <c r="AA277" s="7">
        <v>0.50156328466083933</v>
      </c>
      <c r="AB277" s="7">
        <v>1.320292147742998E-2</v>
      </c>
      <c r="AC277" s="8">
        <v>0</v>
      </c>
      <c r="AD277" s="8">
        <v>1</v>
      </c>
      <c r="AE277" s="8">
        <v>2789</v>
      </c>
      <c r="AF277">
        <f>(AA279/AA278)-AA277</f>
        <v>8.0590738035487997E-2</v>
      </c>
    </row>
    <row r="278" spans="1:32" x14ac:dyDescent="0.45">
      <c r="A278" s="6" t="s">
        <v>42</v>
      </c>
      <c r="B278" s="7">
        <v>0.25408442278087268</v>
      </c>
      <c r="C278" s="7">
        <v>2.3890244562588821E-2</v>
      </c>
      <c r="D278" s="8">
        <v>0</v>
      </c>
      <c r="E278" s="8">
        <v>1</v>
      </c>
      <c r="F278" s="8">
        <v>377</v>
      </c>
      <c r="G278" s="7">
        <v>0.38956592850901783</v>
      </c>
      <c r="H278" s="7">
        <v>2.3227425068734729E-2</v>
      </c>
      <c r="I278" s="8">
        <v>0</v>
      </c>
      <c r="J278" s="8">
        <v>1</v>
      </c>
      <c r="K278" s="8">
        <v>473</v>
      </c>
      <c r="L278" s="7">
        <v>0.29434907940891936</v>
      </c>
      <c r="M278" s="7">
        <v>2.2760326811863539E-2</v>
      </c>
      <c r="N278" s="8">
        <v>0</v>
      </c>
      <c r="O278" s="8">
        <v>1</v>
      </c>
      <c r="P278" s="8">
        <v>443</v>
      </c>
      <c r="Q278" s="7">
        <v>0.48120800183961793</v>
      </c>
      <c r="R278" s="7">
        <v>2.4961710177192679E-2</v>
      </c>
      <c r="S278" s="8">
        <v>0</v>
      </c>
      <c r="T278" s="8">
        <v>1</v>
      </c>
      <c r="U278" s="8">
        <v>423</v>
      </c>
      <c r="V278" s="7">
        <v>0.3185812605122561</v>
      </c>
      <c r="W278" s="7">
        <v>1.8993252911173444E-2</v>
      </c>
      <c r="X278" s="8">
        <v>0</v>
      </c>
      <c r="Y278" s="8">
        <v>1</v>
      </c>
      <c r="Z278" s="8">
        <v>1073</v>
      </c>
      <c r="AA278" s="7">
        <v>0.36087108047955696</v>
      </c>
      <c r="AB278" s="7">
        <v>1.2672536005467003E-2</v>
      </c>
      <c r="AC278" s="8">
        <v>0</v>
      </c>
      <c r="AD278" s="8">
        <v>1</v>
      </c>
      <c r="AE278" s="8">
        <v>2789</v>
      </c>
      <c r="AF278">
        <f>(AA279/AA277)-AA278</f>
        <v>5.798444104850603E-2</v>
      </c>
    </row>
    <row r="279" spans="1:32" ht="39.4" x14ac:dyDescent="0.45">
      <c r="A279" s="6" t="s">
        <v>121</v>
      </c>
      <c r="B279" s="7">
        <v>0.11833118647632028</v>
      </c>
      <c r="C279" s="7">
        <v>1.7179307040094016E-2</v>
      </c>
      <c r="D279" s="8">
        <v>0</v>
      </c>
      <c r="E279" s="8">
        <v>1</v>
      </c>
      <c r="F279" s="8">
        <v>377</v>
      </c>
      <c r="G279" s="7">
        <v>0.29329352244533197</v>
      </c>
      <c r="H279" s="7">
        <v>2.1719972594469915E-2</v>
      </c>
      <c r="I279" s="8">
        <v>0</v>
      </c>
      <c r="J279" s="8">
        <v>1</v>
      </c>
      <c r="K279" s="8">
        <v>473</v>
      </c>
      <c r="L279" s="7">
        <v>0.15949370314325395</v>
      </c>
      <c r="M279" s="7">
        <v>1.8372812517244926E-2</v>
      </c>
      <c r="N279" s="8">
        <v>0</v>
      </c>
      <c r="O279" s="8">
        <v>1</v>
      </c>
      <c r="P279" s="8">
        <v>443</v>
      </c>
      <c r="Q279" s="7">
        <v>0.24037849625459801</v>
      </c>
      <c r="R279" s="7">
        <v>2.1614360240715402E-2</v>
      </c>
      <c r="S279" s="8">
        <v>0</v>
      </c>
      <c r="T279" s="8">
        <v>1</v>
      </c>
      <c r="U279" s="8">
        <v>423</v>
      </c>
      <c r="V279" s="7">
        <v>0.10621394226937897</v>
      </c>
      <c r="W279" s="7">
        <v>1.2630674468880148E-2</v>
      </c>
      <c r="X279" s="8">
        <v>0</v>
      </c>
      <c r="Y279" s="8">
        <v>1</v>
      </c>
      <c r="Z279" s="8">
        <v>1073</v>
      </c>
      <c r="AA279" s="7">
        <v>0.21008255117594418</v>
      </c>
      <c r="AB279" s="7">
        <v>1.0796373355302823E-2</v>
      </c>
      <c r="AC279" s="8">
        <v>0</v>
      </c>
      <c r="AD279" s="8">
        <v>1</v>
      </c>
      <c r="AE279" s="8">
        <v>2789</v>
      </c>
    </row>
    <row r="280" spans="1:32" ht="26.25" x14ac:dyDescent="0.45">
      <c r="A280" s="6" t="s">
        <v>38</v>
      </c>
      <c r="B280" s="7">
        <v>0.44223301820394767</v>
      </c>
      <c r="C280" s="7">
        <v>2.8300310545730831E-2</v>
      </c>
      <c r="D280" s="8">
        <v>0</v>
      </c>
      <c r="E280" s="8">
        <v>1</v>
      </c>
      <c r="F280" s="8">
        <v>377</v>
      </c>
      <c r="G280" s="7">
        <v>0.67963669016962303</v>
      </c>
      <c r="H280" s="7">
        <v>2.2169291635117473E-2</v>
      </c>
      <c r="I280" s="8">
        <v>0</v>
      </c>
      <c r="J280" s="8">
        <v>1</v>
      </c>
      <c r="K280" s="8">
        <v>473</v>
      </c>
      <c r="L280" s="7">
        <v>0.41452170070524536</v>
      </c>
      <c r="M280" s="7">
        <v>2.4249093275481391E-2</v>
      </c>
      <c r="N280" s="8">
        <v>0</v>
      </c>
      <c r="O280" s="8">
        <v>1</v>
      </c>
      <c r="P280" s="8">
        <v>443</v>
      </c>
      <c r="Q280" s="7">
        <v>0.50232647922994245</v>
      </c>
      <c r="R280" s="7">
        <v>2.4962894154274457E-2</v>
      </c>
      <c r="S280" s="8">
        <v>0</v>
      </c>
      <c r="T280" s="8">
        <v>1</v>
      </c>
      <c r="U280" s="8">
        <v>423</v>
      </c>
      <c r="V280" s="7">
        <v>0.18691243882002603</v>
      </c>
      <c r="W280" s="7">
        <v>1.6206610488577019E-2</v>
      </c>
      <c r="X280" s="8">
        <v>0</v>
      </c>
      <c r="Y280" s="8">
        <v>1</v>
      </c>
      <c r="Z280" s="8">
        <v>1073</v>
      </c>
      <c r="AA280" s="7">
        <v>0.50156328466083933</v>
      </c>
      <c r="AB280" s="7">
        <v>1.320292147742998E-2</v>
      </c>
      <c r="AC280" s="8">
        <v>0</v>
      </c>
      <c r="AD280" s="8">
        <v>1</v>
      </c>
      <c r="AE280" s="8">
        <v>2789</v>
      </c>
      <c r="AF280">
        <f>(AA282/AA281)-AA280</f>
        <v>2.1906504583777409E-2</v>
      </c>
    </row>
    <row r="281" spans="1:32" x14ac:dyDescent="0.45">
      <c r="A281" s="6" t="s">
        <v>44</v>
      </c>
      <c r="B281" s="7">
        <v>8.0786565347683054E-2</v>
      </c>
      <c r="C281" s="7">
        <v>1.5016123840370335E-2</v>
      </c>
      <c r="D281" s="8">
        <v>0</v>
      </c>
      <c r="E281" s="8">
        <v>1</v>
      </c>
      <c r="F281" s="8">
        <v>377</v>
      </c>
      <c r="G281" s="7">
        <v>9.1853674780647654E-2</v>
      </c>
      <c r="H281" s="7">
        <v>1.3604205216173792E-2</v>
      </c>
      <c r="I281" s="8">
        <v>0</v>
      </c>
      <c r="J281" s="8">
        <v>1</v>
      </c>
      <c r="K281" s="8">
        <v>473</v>
      </c>
      <c r="L281" s="7">
        <v>4.9754031578703402E-2</v>
      </c>
      <c r="M281" s="7">
        <v>1.103367216294986E-2</v>
      </c>
      <c r="N281" s="8">
        <v>0</v>
      </c>
      <c r="O281" s="8">
        <v>1</v>
      </c>
      <c r="P281" s="8">
        <v>443</v>
      </c>
      <c r="Q281" s="7">
        <v>0.15234303743644023</v>
      </c>
      <c r="R281" s="7">
        <v>1.7921333577869139E-2</v>
      </c>
      <c r="S281" s="8">
        <v>0</v>
      </c>
      <c r="T281" s="8">
        <v>1</v>
      </c>
      <c r="U281" s="8">
        <v>423</v>
      </c>
      <c r="V281" s="7">
        <v>8.2961551505331077E-2</v>
      </c>
      <c r="W281" s="7">
        <v>8.9475819872891042E-3</v>
      </c>
      <c r="X281" s="8">
        <v>0</v>
      </c>
      <c r="Y281" s="8">
        <v>1</v>
      </c>
      <c r="Z281" s="8">
        <v>1073</v>
      </c>
      <c r="AA281" s="7">
        <v>8.7706153685111046E-2</v>
      </c>
      <c r="AB281" s="7">
        <v>7.1838488407195067E-3</v>
      </c>
      <c r="AC281" s="8">
        <v>0</v>
      </c>
      <c r="AD281" s="8">
        <v>1</v>
      </c>
      <c r="AE281" s="8">
        <v>2789</v>
      </c>
      <c r="AF281">
        <f>(AA282/AA280)-AA281</f>
        <v>3.8306935864087094E-3</v>
      </c>
    </row>
    <row r="282" spans="1:32" ht="26.25" x14ac:dyDescent="0.45">
      <c r="A282" s="6" t="s">
        <v>122</v>
      </c>
      <c r="B282" s="7">
        <v>2.3355171924273471E-2</v>
      </c>
      <c r="C282" s="7">
        <v>7.8018888723229906E-3</v>
      </c>
      <c r="D282" s="8">
        <v>0</v>
      </c>
      <c r="E282" s="8">
        <v>1</v>
      </c>
      <c r="F282" s="8">
        <v>377</v>
      </c>
      <c r="G282" s="7">
        <v>7.734225529754972E-2</v>
      </c>
      <c r="H282" s="7">
        <v>1.2622702445043798E-2</v>
      </c>
      <c r="I282" s="8">
        <v>0</v>
      </c>
      <c r="J282" s="8">
        <v>1</v>
      </c>
      <c r="K282" s="8">
        <v>473</v>
      </c>
      <c r="L282" s="7">
        <v>1.7488880614379958E-2</v>
      </c>
      <c r="M282" s="7">
        <v>6.7496086006053752E-3</v>
      </c>
      <c r="N282" s="8">
        <v>0</v>
      </c>
      <c r="O282" s="8">
        <v>1</v>
      </c>
      <c r="P282" s="8">
        <v>443</v>
      </c>
      <c r="Q282" s="7">
        <v>6.7561078073718403E-2</v>
      </c>
      <c r="R282" s="7">
        <v>1.2649645341313595E-2</v>
      </c>
      <c r="S282" s="8">
        <v>0</v>
      </c>
      <c r="T282" s="8">
        <v>1</v>
      </c>
      <c r="U282" s="8">
        <v>423</v>
      </c>
      <c r="V282" s="7">
        <v>2.3896954272578635E-2</v>
      </c>
      <c r="W282" s="7">
        <v>5.9339327219127035E-3</v>
      </c>
      <c r="X282" s="8">
        <v>0</v>
      </c>
      <c r="Y282" s="8">
        <v>1</v>
      </c>
      <c r="Z282" s="8">
        <v>1073</v>
      </c>
      <c r="AA282" s="7">
        <v>4.591152178500104E-2</v>
      </c>
      <c r="AB282" s="7">
        <v>5.3132801415524365E-3</v>
      </c>
      <c r="AC282" s="8">
        <v>0</v>
      </c>
      <c r="AD282" s="8">
        <v>1</v>
      </c>
      <c r="AE282" s="8">
        <v>2789</v>
      </c>
    </row>
    <row r="283" spans="1:32" x14ac:dyDescent="0.45">
      <c r="A283" s="6" t="s">
        <v>40</v>
      </c>
      <c r="B283" s="7">
        <v>0.24786641106498949</v>
      </c>
      <c r="C283" s="7">
        <v>2.3847850003411539E-2</v>
      </c>
      <c r="D283" s="8">
        <v>0</v>
      </c>
      <c r="E283" s="8">
        <v>1</v>
      </c>
      <c r="F283" s="8">
        <v>377</v>
      </c>
      <c r="G283" s="7">
        <v>0.31149999401439304</v>
      </c>
      <c r="H283" s="7">
        <v>2.2025125692018081E-2</v>
      </c>
      <c r="I283" s="8">
        <v>0</v>
      </c>
      <c r="J283" s="8">
        <v>1</v>
      </c>
      <c r="K283" s="8">
        <v>473</v>
      </c>
      <c r="L283" s="7">
        <v>0.27873695588735009</v>
      </c>
      <c r="M283" s="7">
        <v>2.1757269898733667E-2</v>
      </c>
      <c r="N283" s="8">
        <v>0</v>
      </c>
      <c r="O283" s="8">
        <v>1</v>
      </c>
      <c r="P283" s="8">
        <v>443</v>
      </c>
      <c r="Q283" s="7">
        <v>0.7144739729494628</v>
      </c>
      <c r="R283" s="7">
        <v>2.2433009195978806E-2</v>
      </c>
      <c r="S283" s="8">
        <v>0</v>
      </c>
      <c r="T283" s="8">
        <v>1</v>
      </c>
      <c r="U283" s="8">
        <v>423</v>
      </c>
      <c r="V283" s="7">
        <v>0.42578593556370831</v>
      </c>
      <c r="W283" s="7">
        <v>2.0859115306836037E-2</v>
      </c>
      <c r="X283" s="8">
        <v>0</v>
      </c>
      <c r="Y283" s="8">
        <v>1</v>
      </c>
      <c r="Z283" s="8">
        <v>1073</v>
      </c>
      <c r="AA283" s="7">
        <v>0.38890886648264583</v>
      </c>
      <c r="AB283" s="7">
        <v>1.2688043853195404E-2</v>
      </c>
      <c r="AC283" s="8">
        <v>0</v>
      </c>
      <c r="AD283" s="8">
        <v>1</v>
      </c>
      <c r="AE283" s="8">
        <v>2789</v>
      </c>
      <c r="AF283">
        <f>(AA285/AA284)-AA283</f>
        <v>0.11123921692160338</v>
      </c>
    </row>
    <row r="284" spans="1:32" x14ac:dyDescent="0.45">
      <c r="A284" s="6" t="s">
        <v>42</v>
      </c>
      <c r="B284" s="7">
        <v>0.25408442278087268</v>
      </c>
      <c r="C284" s="7">
        <v>2.3890244562588821E-2</v>
      </c>
      <c r="D284" s="8">
        <v>0</v>
      </c>
      <c r="E284" s="8">
        <v>1</v>
      </c>
      <c r="F284" s="8">
        <v>377</v>
      </c>
      <c r="G284" s="7">
        <v>0.38956592850901783</v>
      </c>
      <c r="H284" s="7">
        <v>2.3227425068734729E-2</v>
      </c>
      <c r="I284" s="8">
        <v>0</v>
      </c>
      <c r="J284" s="8">
        <v>1</v>
      </c>
      <c r="K284" s="8">
        <v>473</v>
      </c>
      <c r="L284" s="7">
        <v>0.29434907940891936</v>
      </c>
      <c r="M284" s="7">
        <v>2.2760326811863539E-2</v>
      </c>
      <c r="N284" s="8">
        <v>0</v>
      </c>
      <c r="O284" s="8">
        <v>1</v>
      </c>
      <c r="P284" s="8">
        <v>443</v>
      </c>
      <c r="Q284" s="7">
        <v>0.48120800183961793</v>
      </c>
      <c r="R284" s="7">
        <v>2.4961710177192679E-2</v>
      </c>
      <c r="S284" s="8">
        <v>0</v>
      </c>
      <c r="T284" s="8">
        <v>1</v>
      </c>
      <c r="U284" s="8">
        <v>423</v>
      </c>
      <c r="V284" s="7">
        <v>0.3185812605122561</v>
      </c>
      <c r="W284" s="7">
        <v>1.8993252911173444E-2</v>
      </c>
      <c r="X284" s="8">
        <v>0</v>
      </c>
      <c r="Y284" s="8">
        <v>1</v>
      </c>
      <c r="Z284" s="8">
        <v>1073</v>
      </c>
      <c r="AA284" s="7">
        <v>0.36087108047955696</v>
      </c>
      <c r="AB284" s="7">
        <v>1.2672536005467003E-2</v>
      </c>
      <c r="AC284" s="8">
        <v>0</v>
      </c>
      <c r="AD284" s="8">
        <v>1</v>
      </c>
      <c r="AE284" s="8">
        <v>2789</v>
      </c>
      <c r="AF284">
        <f>(AA285/AA283)-AA284</f>
        <v>0.10321959683063725</v>
      </c>
    </row>
    <row r="285" spans="1:32" ht="26.25" x14ac:dyDescent="0.45">
      <c r="A285" s="6" t="s">
        <v>123</v>
      </c>
      <c r="B285" s="7">
        <v>5.8571118744252214E-2</v>
      </c>
      <c r="C285" s="7">
        <v>1.2464659475014982E-2</v>
      </c>
      <c r="D285" s="8">
        <v>0</v>
      </c>
      <c r="E285" s="8">
        <v>1</v>
      </c>
      <c r="F285" s="8">
        <v>377</v>
      </c>
      <c r="G285" s="7">
        <v>0.15103005068299569</v>
      </c>
      <c r="H285" s="7">
        <v>1.6960376091334294E-2</v>
      </c>
      <c r="I285" s="8">
        <v>0</v>
      </c>
      <c r="J285" s="8">
        <v>1</v>
      </c>
      <c r="K285" s="8">
        <v>473</v>
      </c>
      <c r="L285" s="7">
        <v>0.1023512623035058</v>
      </c>
      <c r="M285" s="7">
        <v>1.4966311033891459E-2</v>
      </c>
      <c r="N285" s="8">
        <v>0</v>
      </c>
      <c r="O285" s="8">
        <v>1</v>
      </c>
      <c r="P285" s="8">
        <v>443</v>
      </c>
      <c r="Q285" s="7">
        <v>0.37957073865170893</v>
      </c>
      <c r="R285" s="7">
        <v>2.4283051611127208E-2</v>
      </c>
      <c r="S285" s="8">
        <v>0</v>
      </c>
      <c r="T285" s="8">
        <v>1</v>
      </c>
      <c r="U285" s="8">
        <v>423</v>
      </c>
      <c r="V285" s="7">
        <v>0.25335220609515807</v>
      </c>
      <c r="W285" s="7">
        <v>1.7766102127231134E-2</v>
      </c>
      <c r="X285" s="8">
        <v>0</v>
      </c>
      <c r="Y285" s="8">
        <v>1</v>
      </c>
      <c r="Z285" s="8">
        <v>1073</v>
      </c>
      <c r="AA285" s="7">
        <v>0.180488979257871</v>
      </c>
      <c r="AB285" s="7">
        <v>9.7991377632570889E-3</v>
      </c>
      <c r="AC285" s="8">
        <v>0</v>
      </c>
      <c r="AD285" s="8">
        <v>1</v>
      </c>
      <c r="AE285" s="8">
        <v>2789</v>
      </c>
    </row>
    <row r="286" spans="1:32" x14ac:dyDescent="0.45">
      <c r="A286" s="6" t="s">
        <v>40</v>
      </c>
      <c r="B286" s="7">
        <v>0.24786641106498949</v>
      </c>
      <c r="C286" s="7">
        <v>2.3847850003411539E-2</v>
      </c>
      <c r="D286" s="8">
        <v>0</v>
      </c>
      <c r="E286" s="8">
        <v>1</v>
      </c>
      <c r="F286" s="8">
        <v>377</v>
      </c>
      <c r="G286" s="7">
        <v>0.31149999401439304</v>
      </c>
      <c r="H286" s="7">
        <v>2.2025125692018081E-2</v>
      </c>
      <c r="I286" s="8">
        <v>0</v>
      </c>
      <c r="J286" s="8">
        <v>1</v>
      </c>
      <c r="K286" s="8">
        <v>473</v>
      </c>
      <c r="L286" s="7">
        <v>0.27873695588735009</v>
      </c>
      <c r="M286" s="7">
        <v>2.1757269898733667E-2</v>
      </c>
      <c r="N286" s="8">
        <v>0</v>
      </c>
      <c r="O286" s="8">
        <v>1</v>
      </c>
      <c r="P286" s="8">
        <v>443</v>
      </c>
      <c r="Q286" s="7">
        <v>0.7144739729494628</v>
      </c>
      <c r="R286" s="7">
        <v>2.2433009195978806E-2</v>
      </c>
      <c r="S286" s="8">
        <v>0</v>
      </c>
      <c r="T286" s="8">
        <v>1</v>
      </c>
      <c r="U286" s="8">
        <v>423</v>
      </c>
      <c r="V286" s="7">
        <v>0.42578593556370831</v>
      </c>
      <c r="W286" s="7">
        <v>2.0859115306836037E-2</v>
      </c>
      <c r="X286" s="8">
        <v>0</v>
      </c>
      <c r="Y286" s="8">
        <v>1</v>
      </c>
      <c r="Z286" s="8">
        <v>1073</v>
      </c>
      <c r="AA286" s="7">
        <v>0.38890886648264583</v>
      </c>
      <c r="AB286" s="7">
        <v>1.2688043853195404E-2</v>
      </c>
      <c r="AC286" s="8">
        <v>0</v>
      </c>
      <c r="AD286" s="8">
        <v>1</v>
      </c>
      <c r="AE286" s="8">
        <v>2789</v>
      </c>
      <c r="AF286">
        <f>(AA288/AA287)-AA286</f>
        <v>0.20029105207027059</v>
      </c>
    </row>
    <row r="287" spans="1:32" x14ac:dyDescent="0.45">
      <c r="A287" s="6" t="s">
        <v>44</v>
      </c>
      <c r="B287" s="7">
        <v>8.0786565347683054E-2</v>
      </c>
      <c r="C287" s="7">
        <v>1.5016123840370335E-2</v>
      </c>
      <c r="D287" s="8">
        <v>0</v>
      </c>
      <c r="E287" s="8">
        <v>1</v>
      </c>
      <c r="F287" s="8">
        <v>377</v>
      </c>
      <c r="G287" s="7">
        <v>9.1853674780647654E-2</v>
      </c>
      <c r="H287" s="7">
        <v>1.3604205216173792E-2</v>
      </c>
      <c r="I287" s="8">
        <v>0</v>
      </c>
      <c r="J287" s="8">
        <v>1</v>
      </c>
      <c r="K287" s="8">
        <v>473</v>
      </c>
      <c r="L287" s="7">
        <v>4.9754031578703402E-2</v>
      </c>
      <c r="M287" s="7">
        <v>1.103367216294986E-2</v>
      </c>
      <c r="N287" s="8">
        <v>0</v>
      </c>
      <c r="O287" s="8">
        <v>1</v>
      </c>
      <c r="P287" s="8">
        <v>443</v>
      </c>
      <c r="Q287" s="7">
        <v>0.15234303743644023</v>
      </c>
      <c r="R287" s="7">
        <v>1.7921333577869139E-2</v>
      </c>
      <c r="S287" s="8">
        <v>0</v>
      </c>
      <c r="T287" s="8">
        <v>1</v>
      </c>
      <c r="U287" s="8">
        <v>423</v>
      </c>
      <c r="V287" s="7">
        <v>8.2961551505331077E-2</v>
      </c>
      <c r="W287" s="7">
        <v>8.9475819872891042E-3</v>
      </c>
      <c r="X287" s="8">
        <v>0</v>
      </c>
      <c r="Y287" s="8">
        <v>1</v>
      </c>
      <c r="Z287" s="8">
        <v>1073</v>
      </c>
      <c r="AA287" s="7">
        <v>8.7706153685111046E-2</v>
      </c>
      <c r="AB287" s="7">
        <v>7.1838488407195067E-3</v>
      </c>
      <c r="AC287" s="8">
        <v>0</v>
      </c>
      <c r="AD287" s="8">
        <v>1</v>
      </c>
      <c r="AE287" s="8">
        <v>2789</v>
      </c>
      <c r="AF287">
        <f>(AA288/AA286)-AA287</f>
        <v>4.5169342508193003E-2</v>
      </c>
    </row>
    <row r="288" spans="1:32" ht="26.25" x14ac:dyDescent="0.45">
      <c r="A288" s="6" t="s">
        <v>124</v>
      </c>
      <c r="B288" s="7">
        <v>1.4336789142834467E-2</v>
      </c>
      <c r="C288" s="7">
        <v>5.8655610248739224E-3</v>
      </c>
      <c r="D288" s="8">
        <v>0</v>
      </c>
      <c r="E288" s="8">
        <v>1</v>
      </c>
      <c r="F288" s="8">
        <v>377</v>
      </c>
      <c r="G288" s="7">
        <v>4.6153637021561701E-2</v>
      </c>
      <c r="H288" s="7">
        <v>9.8605769492144633E-3</v>
      </c>
      <c r="I288" s="8">
        <v>0</v>
      </c>
      <c r="J288" s="8">
        <v>1</v>
      </c>
      <c r="K288" s="8">
        <v>473</v>
      </c>
      <c r="L288" s="7">
        <v>1.9683154034500477E-2</v>
      </c>
      <c r="M288" s="7">
        <v>7.0730618824684432E-3</v>
      </c>
      <c r="N288" s="8">
        <v>0</v>
      </c>
      <c r="O288" s="8">
        <v>1</v>
      </c>
      <c r="P288" s="8">
        <v>443</v>
      </c>
      <c r="Q288" s="7">
        <v>0.1234263921341732</v>
      </c>
      <c r="R288" s="7">
        <v>1.6292817652525125E-2</v>
      </c>
      <c r="S288" s="8">
        <v>0</v>
      </c>
      <c r="T288" s="8">
        <v>1</v>
      </c>
      <c r="U288" s="8">
        <v>423</v>
      </c>
      <c r="V288" s="7">
        <v>6.8428228028874993E-2</v>
      </c>
      <c r="W288" s="7">
        <v>8.3583650505484452E-3</v>
      </c>
      <c r="X288" s="8">
        <v>0</v>
      </c>
      <c r="Y288" s="8">
        <v>1</v>
      </c>
      <c r="Z288" s="8">
        <v>1073</v>
      </c>
      <c r="AA288" s="7">
        <v>5.1676458607856995E-2</v>
      </c>
      <c r="AB288" s="7">
        <v>5.4731031353381001E-3</v>
      </c>
      <c r="AC288" s="8">
        <v>0</v>
      </c>
      <c r="AD288" s="8">
        <v>1</v>
      </c>
      <c r="AE288" s="8">
        <v>2789</v>
      </c>
    </row>
    <row r="289" spans="1:31" ht="26.65" thickBot="1" x14ac:dyDescent="0.5">
      <c r="A289" s="9" t="s">
        <v>125</v>
      </c>
      <c r="B289" s="10">
        <v>377</v>
      </c>
      <c r="C289" s="10" t="s">
        <v>126</v>
      </c>
      <c r="D289" s="11" t="s">
        <v>126</v>
      </c>
      <c r="E289" s="11" t="s">
        <v>126</v>
      </c>
      <c r="F289" s="11" t="s">
        <v>126</v>
      </c>
      <c r="G289" s="10">
        <v>473</v>
      </c>
      <c r="H289" s="10" t="s">
        <v>126</v>
      </c>
      <c r="I289" s="11" t="s">
        <v>126</v>
      </c>
      <c r="J289" s="11" t="s">
        <v>126</v>
      </c>
      <c r="K289" s="11" t="s">
        <v>126</v>
      </c>
      <c r="L289" s="10">
        <v>443</v>
      </c>
      <c r="M289" s="10" t="s">
        <v>126</v>
      </c>
      <c r="N289" s="11" t="s">
        <v>126</v>
      </c>
      <c r="O289" s="11" t="s">
        <v>126</v>
      </c>
      <c r="P289" s="11" t="s">
        <v>126</v>
      </c>
      <c r="Q289" s="10">
        <v>423</v>
      </c>
      <c r="R289" s="10" t="s">
        <v>126</v>
      </c>
      <c r="S289" s="11" t="s">
        <v>126</v>
      </c>
      <c r="T289" s="11" t="s">
        <v>126</v>
      </c>
      <c r="U289" s="11" t="s">
        <v>126</v>
      </c>
      <c r="V289" s="10">
        <v>1073</v>
      </c>
      <c r="W289" s="10" t="s">
        <v>126</v>
      </c>
      <c r="X289" s="11" t="s">
        <v>126</v>
      </c>
      <c r="Y289" s="11" t="s">
        <v>126</v>
      </c>
      <c r="Z289" s="11" t="s">
        <v>126</v>
      </c>
      <c r="AA289" s="10">
        <v>2789</v>
      </c>
      <c r="AB289" s="10" t="s">
        <v>126</v>
      </c>
      <c r="AC289" s="11" t="s">
        <v>126</v>
      </c>
      <c r="AD289" s="11" t="s">
        <v>126</v>
      </c>
      <c r="AE289" s="11" t="s">
        <v>126</v>
      </c>
    </row>
    <row r="290" spans="1:31" ht="14.65" thickTop="1" x14ac:dyDescent="0.45">
      <c r="A290" s="12" t="s">
        <v>127</v>
      </c>
    </row>
    <row r="291" spans="1:31" x14ac:dyDescent="0.45">
      <c r="A291" s="12" t="s">
        <v>128</v>
      </c>
    </row>
    <row r="292" spans="1:31" x14ac:dyDescent="0.45">
      <c r="A292" s="12" t="s">
        <v>129</v>
      </c>
    </row>
    <row r="293" spans="1:31" x14ac:dyDescent="0.45">
      <c r="A293" s="12" t="s">
        <v>22</v>
      </c>
    </row>
    <row r="294" spans="1:31" x14ac:dyDescent="0.45">
      <c r="A294" s="12" t="s">
        <v>130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1_ea_ess4</vt:lpstr>
      <vt:lpstr>Table 1_ea_oth regions</vt:lpstr>
      <vt:lpstr>Table 2_hh_ess4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Mallia</dc:creator>
  <dc:description>created using xml_tab</dc:description>
  <cp:lastModifiedBy>Paola Mallia</cp:lastModifiedBy>
  <dcterms:created xsi:type="dcterms:W3CDTF">2020-07-03T11:08:20Z</dcterms:created>
  <dcterms:modified xsi:type="dcterms:W3CDTF">2020-07-03T11:08:20Z</dcterms:modified>
</cp:coreProperties>
</file>