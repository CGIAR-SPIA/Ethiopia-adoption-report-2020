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Dropbox (Personal)\SPIA\2_Country work\2_Ethiopia\ESS\4_table\Final tables\"/>
    </mc:Choice>
  </mc:AlternateContent>
  <xr:revisionPtr revIDLastSave="0" documentId="13_ncr:1_{72CCED51-2B1F-4C27-BF69-8DB1117E67F9}" xr6:coauthVersionLast="45" xr6:coauthVersionMax="45" xr10:uidLastSave="{00000000-0000-0000-0000-000000000000}"/>
  <bookViews>
    <workbookView xWindow="7185" yWindow="-13620" windowWidth="21840" windowHeight="13290" xr2:uid="{00000000-000D-0000-FFFF-FFFF00000000}"/>
  </bookViews>
  <sheets>
    <sheet name="Table 1_hh_ess4" sheetId="1" r:id="rId1"/>
    <sheet name="Table 2_ea_ess4" sheetId="2" r:id="rId2"/>
    <sheet name="Table 3_ea_oth reg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31" i="1" l="1"/>
  <c r="AF92" i="1"/>
  <c r="AF50" i="1" l="1"/>
  <c r="AK110" i="3" l="1"/>
  <c r="AK109" i="3"/>
  <c r="AK107" i="3"/>
  <c r="AK106" i="3"/>
  <c r="AK104" i="3"/>
  <c r="AK103" i="3"/>
  <c r="AK101" i="3"/>
  <c r="AK100" i="3"/>
  <c r="AK98" i="3"/>
  <c r="AK97" i="3"/>
  <c r="AK95" i="3"/>
  <c r="AK94" i="3"/>
  <c r="AK92" i="3"/>
  <c r="AK91" i="3"/>
  <c r="AK89" i="3"/>
  <c r="AK88" i="3"/>
  <c r="AK86" i="3"/>
  <c r="AK85" i="3"/>
  <c r="AK83" i="3"/>
  <c r="AK82" i="3"/>
  <c r="AK80" i="3"/>
  <c r="AK79" i="3"/>
  <c r="AK77" i="3"/>
  <c r="AK76" i="3"/>
  <c r="AK74" i="3"/>
  <c r="AK73" i="3"/>
  <c r="AK71" i="3"/>
  <c r="AK70" i="3"/>
  <c r="AK68" i="3"/>
  <c r="AK67" i="3"/>
  <c r="AK65" i="3"/>
  <c r="AK64" i="3"/>
  <c r="AK62" i="3"/>
  <c r="AK61" i="3"/>
  <c r="AK59" i="3"/>
  <c r="AK58" i="3"/>
  <c r="AK56" i="3"/>
  <c r="AK55" i="3"/>
  <c r="AK53" i="3"/>
  <c r="AK52" i="3"/>
  <c r="AK50" i="3"/>
  <c r="AK49" i="3"/>
  <c r="AK47" i="3"/>
  <c r="AK46" i="3"/>
  <c r="AK44" i="3"/>
  <c r="AK43" i="3"/>
  <c r="AK41" i="3"/>
  <c r="AK40" i="3"/>
  <c r="AK38" i="3"/>
  <c r="AK37" i="3"/>
  <c r="AK35" i="3"/>
  <c r="AK34" i="3"/>
  <c r="AK32" i="3"/>
  <c r="AK31" i="3"/>
  <c r="AK29" i="3"/>
  <c r="AK28" i="3"/>
  <c r="AK26" i="3"/>
  <c r="AK25" i="3"/>
  <c r="AK23" i="3"/>
  <c r="AK22" i="3"/>
  <c r="AK20" i="3"/>
  <c r="AK19" i="3"/>
  <c r="AK17" i="3"/>
  <c r="AK16" i="3"/>
  <c r="AK14" i="3"/>
  <c r="AK13" i="3"/>
  <c r="AK11" i="3"/>
  <c r="AK10" i="3"/>
  <c r="AK8" i="3"/>
  <c r="AK7" i="3"/>
  <c r="AK4" i="3"/>
  <c r="AK5" i="3"/>
  <c r="AF110" i="2"/>
  <c r="AF109" i="2"/>
  <c r="AF107" i="2"/>
  <c r="AF106" i="2"/>
  <c r="AF104" i="2"/>
  <c r="AF103" i="2"/>
  <c r="AF101" i="2"/>
  <c r="AF100" i="2"/>
  <c r="AF98" i="2"/>
  <c r="AF97" i="2"/>
  <c r="AF95" i="2"/>
  <c r="AF94" i="2"/>
  <c r="AF92" i="2"/>
  <c r="AF91" i="2"/>
  <c r="AF89" i="2"/>
  <c r="AF88" i="2"/>
  <c r="AF86" i="2"/>
  <c r="AF85" i="2"/>
  <c r="AF83" i="2"/>
  <c r="AF82" i="2"/>
  <c r="AF80" i="2"/>
  <c r="AF79" i="2"/>
  <c r="AF77" i="2"/>
  <c r="AF76" i="2"/>
  <c r="AF74" i="2"/>
  <c r="AF73" i="2"/>
  <c r="AF71" i="2"/>
  <c r="AF70" i="2"/>
  <c r="AF68" i="2"/>
  <c r="AF67" i="2"/>
  <c r="AF65" i="2"/>
  <c r="AF64" i="2"/>
  <c r="AF62" i="2"/>
  <c r="AF61" i="2"/>
  <c r="AF59" i="2"/>
  <c r="AF58" i="2"/>
  <c r="AF56" i="2"/>
  <c r="AF55" i="2"/>
  <c r="AF53" i="2"/>
  <c r="AF52" i="2"/>
  <c r="AF50" i="2"/>
  <c r="AF49" i="2"/>
  <c r="AF47" i="2"/>
  <c r="AF46" i="2"/>
  <c r="AF44" i="2"/>
  <c r="AF43" i="2"/>
  <c r="AF41" i="2"/>
  <c r="AF40" i="2"/>
  <c r="AF38" i="2"/>
  <c r="AF37" i="2"/>
  <c r="AF35" i="2"/>
  <c r="AF34" i="2"/>
  <c r="AF32" i="2"/>
  <c r="AF31" i="2"/>
  <c r="AF29" i="2"/>
  <c r="AF28" i="2"/>
  <c r="AF26" i="2"/>
  <c r="AF25" i="2"/>
  <c r="AF23" i="2"/>
  <c r="AF22" i="2"/>
  <c r="AF20" i="2"/>
  <c r="AF19" i="2"/>
  <c r="AF17" i="2"/>
  <c r="AF16" i="2"/>
  <c r="AF14" i="2"/>
  <c r="AF13" i="2"/>
  <c r="AF11" i="2"/>
  <c r="AF10" i="2"/>
  <c r="AF8" i="2"/>
  <c r="AF7" i="2"/>
  <c r="AF4" i="2"/>
  <c r="AF5" i="2"/>
  <c r="AF110" i="1"/>
  <c r="AF109" i="1"/>
  <c r="AF107" i="1"/>
  <c r="AF106" i="1"/>
  <c r="AF104" i="1"/>
  <c r="AF103" i="1"/>
  <c r="AF101" i="1"/>
  <c r="AF100" i="1"/>
  <c r="AF98" i="1"/>
  <c r="AF97" i="1"/>
  <c r="AF95" i="1"/>
  <c r="AF94" i="1"/>
  <c r="AF91" i="1"/>
  <c r="AF89" i="1"/>
  <c r="AF88" i="1"/>
  <c r="AF86" i="1"/>
  <c r="AF85" i="1"/>
  <c r="AF83" i="1"/>
  <c r="AF82" i="1"/>
  <c r="AF80" i="1"/>
  <c r="AF79" i="1"/>
  <c r="AF77" i="1"/>
  <c r="AF76" i="1"/>
  <c r="AF74" i="1"/>
  <c r="AF73" i="1"/>
  <c r="AF71" i="1"/>
  <c r="AF70" i="1"/>
  <c r="AF68" i="1"/>
  <c r="AF67" i="1"/>
  <c r="AF65" i="1"/>
  <c r="AF64" i="1"/>
  <c r="AF62" i="1"/>
  <c r="AF61" i="1"/>
  <c r="AF59" i="1"/>
  <c r="AF58" i="1"/>
  <c r="AF56" i="1"/>
  <c r="AF55" i="1"/>
  <c r="AF53" i="1"/>
  <c r="AF52" i="1"/>
  <c r="AF49" i="1"/>
  <c r="AF47" i="1"/>
  <c r="AF46" i="1"/>
  <c r="AF44" i="1"/>
  <c r="AF43" i="1"/>
  <c r="AF41" i="1"/>
  <c r="AF40" i="1"/>
  <c r="AF38" i="1"/>
  <c r="AF37" i="1"/>
  <c r="AF35" i="1"/>
  <c r="AF34" i="1"/>
  <c r="AF32" i="1"/>
  <c r="AF29" i="1"/>
  <c r="AF28" i="1"/>
  <c r="AF26" i="1"/>
  <c r="AF25" i="1"/>
  <c r="AF23" i="1"/>
  <c r="AF22" i="1"/>
  <c r="AF20" i="1"/>
  <c r="AF19" i="1"/>
  <c r="AF17" i="1"/>
  <c r="AF16" i="1"/>
  <c r="AF14" i="1"/>
  <c r="AF13" i="1"/>
  <c r="AF11" i="1"/>
  <c r="AF10" i="1"/>
  <c r="AF8" i="1"/>
  <c r="AF7" i="1"/>
  <c r="AF5" i="1"/>
  <c r="AF4" i="1"/>
</calcChain>
</file>

<file path=xl/sharedStrings.xml><?xml version="1.0" encoding="utf-8"?>
<sst xmlns="http://schemas.openxmlformats.org/spreadsheetml/2006/main" count="745" uniqueCount="75">
  <si>
    <t>Table 2: ESS4 - HH LEVEL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</si>
  <si>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</si>
  <si>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</si>
  <si>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</si>
  <si>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</si>
  <si>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</si>
  <si>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</si>
  <si>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</si>
  <si>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</si>
  <si>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</si>
  <si>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</si>
  <si>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</si>
  <si>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</si>
  <si>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NRM</t>
  </si>
  <si>
    <t>Maize - CG germplasm</t>
  </si>
  <si>
    <t>NRM - Maize - CG germplasm</t>
  </si>
  <si>
    <t>Sorghum - CG germplasm</t>
  </si>
  <si>
    <t>NRM - Sorghum - CG germplasm</t>
  </si>
  <si>
    <t>.</t>
  </si>
  <si>
    <t>Barley - CG germplasm</t>
  </si>
  <si>
    <t>NRM - Barley - CG germplasm</t>
  </si>
  <si>
    <t>CA</t>
  </si>
  <si>
    <t>CA - Maize - CG germplasm</t>
  </si>
  <si>
    <t>CA - Sorghum - CG germplasm</t>
  </si>
  <si>
    <t>CA - Barley - CG germplasm</t>
  </si>
  <si>
    <t>Crop varieties</t>
  </si>
  <si>
    <t>Crop varieties - Maize - CG germplasm</t>
  </si>
  <si>
    <t>Crop varieties - Sorghum - CG germplasm</t>
  </si>
  <si>
    <t>Crop varieties - Barley - CG germplasm</t>
  </si>
  <si>
    <t>Trees</t>
  </si>
  <si>
    <t>Trees - Maize - CG germplasm</t>
  </si>
  <si>
    <t>Trees - Sorghum - CG germplasm</t>
  </si>
  <si>
    <t>Trees - Barley - CG germplasm</t>
  </si>
  <si>
    <t>Feed and Forages</t>
  </si>
  <si>
    <t>Feed and Forages - Maize - CG germplasm</t>
  </si>
  <si>
    <t>Feed and Forages - Sorghum - CG germplasm</t>
  </si>
  <si>
    <t>Feed and Forages - Barley - CG germplasm</t>
  </si>
  <si>
    <t>Breeding</t>
  </si>
  <si>
    <t>Breeding - Maize - CG germplasm</t>
  </si>
  <si>
    <t>Breeding - Sorghum - CG germplasm</t>
  </si>
  <si>
    <t>Breeding - Barley - CG germplasm</t>
  </si>
  <si>
    <t>Breeding (excl. poultry)</t>
  </si>
  <si>
    <t>Breeding (excl. poultry) - Maize - CG germplasm</t>
  </si>
  <si>
    <t>Breeding (excl. poultry) - Sorghum - CG germplasm</t>
  </si>
  <si>
    <t>Breeding (excl. poultry) - Barley - CG germplasm</t>
  </si>
  <si>
    <t>PSNP</t>
  </si>
  <si>
    <t>PSNP - Maize - CG germplasm</t>
  </si>
  <si>
    <t>PSNP - Sorghum - CG germplasm</t>
  </si>
  <si>
    <t>PSNP - Barley - CG germplasm</t>
  </si>
  <si>
    <t>Crop rotation with legume</t>
  </si>
  <si>
    <t>Crop rotation with legume - Maize - CG germplasm</t>
  </si>
  <si>
    <t>Crop rotation with legume - Sorghum - CG germplasm</t>
  </si>
  <si>
    <t>Crop rotation with legume - Barley - CG germplasm</t>
  </si>
  <si>
    <t>Crop residue cover</t>
  </si>
  <si>
    <t>Crop residue cover - Maize - CG germplasm</t>
  </si>
  <si>
    <t>Crop residue cover - Sorghum - CG germplasm</t>
  </si>
  <si>
    <t>Crop residue cover - Barley - CG germplasm</t>
  </si>
  <si>
    <t>Minimum tillage</t>
  </si>
  <si>
    <t>Minimum tillage - Maize - CG germplasm</t>
  </si>
  <si>
    <t>Minimum tillage - Sorghum - CG germplasm</t>
  </si>
  <si>
    <t>Minimum tillage - Barley - CG germplasm</t>
  </si>
  <si>
    <t>Zero tillage</t>
  </si>
  <si>
    <t>Zero tillage - Maize - CG germplasm</t>
  </si>
  <si>
    <t>Zero tillage - Sorghum - CG germplasm</t>
  </si>
  <si>
    <t>Zero tillage - Barley - CG germplasm</t>
  </si>
  <si>
    <t>Total No. of obs. per region</t>
  </si>
  <si>
    <t>Point estimates are weighted sample means.</t>
  </si>
  <si>
    <t>Table 2: ESS4 - EA LEVEL</t>
  </si>
  <si>
    <t>Table 3: ESS4 - EA - Other regions</t>
  </si>
  <si>
    <t>Afar</t>
  </si>
  <si>
    <t>Somali</t>
  </si>
  <si>
    <t>Benshangul Gumuz</t>
  </si>
  <si>
    <t>Gambela</t>
  </si>
  <si>
    <t>Harar</t>
  </si>
  <si>
    <t>Dire Dawa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</si>
</sst>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&quot;;\-#,##0&quot;&quot;"/>
    <numFmt numFmtId="165" formatCode="#,##0.000&quot;&quot;;\-#,##0.000&quot;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64" fontId="19" fillId="0" borderId="10" xfId="0" applyNumberFormat="1" applyFont="1" applyFill="1" applyBorder="1" applyAlignment="1" applyProtection="1">
      <alignment horizontal="left" vertical="center" wrapText="1"/>
    </xf>
    <xf numFmtId="164" fontId="19" fillId="0" borderId="10" xfId="0" applyNumberFormat="1" applyFont="1" applyFill="1" applyBorder="1" applyAlignment="1" applyProtection="1">
      <alignment horizontal="center"/>
    </xf>
    <xf numFmtId="165" fontId="19" fillId="0" borderId="10" xfId="0" applyNumberFormat="1" applyFont="1" applyFill="1" applyBorder="1" applyAlignment="1" applyProtection="1">
      <alignment horizontal="center"/>
    </xf>
    <xf numFmtId="164" fontId="19" fillId="0" borderId="0" xfId="0" applyNumberFormat="1" applyFont="1" applyFill="1" applyBorder="1" applyAlignment="1" applyProtection="1">
      <alignment horizontal="left" vertical="center" wrapText="1"/>
    </xf>
    <xf numFmtId="165" fontId="19" fillId="0" borderId="0" xfId="0" applyNumberFormat="1" applyFont="1" applyFill="1" applyBorder="1" applyAlignment="1" applyProtection="1">
      <alignment horizontal="center"/>
    </xf>
    <xf numFmtId="164" fontId="19" fillId="0" borderId="0" xfId="0" applyNumberFormat="1" applyFont="1" applyFill="1" applyBorder="1" applyAlignment="1" applyProtection="1">
      <alignment horizontal="center"/>
    </xf>
    <xf numFmtId="164" fontId="19" fillId="0" borderId="11" xfId="0" applyNumberFormat="1" applyFont="1" applyFill="1" applyBorder="1" applyAlignment="1" applyProtection="1">
      <alignment horizontal="left" vertical="center" wrapText="1"/>
    </xf>
    <xf numFmtId="165" fontId="19" fillId="0" borderId="11" xfId="0" applyNumberFormat="1" applyFont="1" applyFill="1" applyBorder="1" applyAlignment="1" applyProtection="1">
      <alignment horizontal="center"/>
    </xf>
    <xf numFmtId="164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  <xf numFmtId="164" fontId="19" fillId="33" borderId="0" xfId="0" applyNumberFormat="1" applyFont="1" applyFill="1" applyBorder="1" applyAlignment="1" applyProtection="1">
      <alignment horizontal="left" vertical="center" wrapText="1"/>
    </xf>
    <xf numFmtId="165" fontId="19" fillId="33" borderId="0" xfId="0" applyNumberFormat="1" applyFont="1" applyFill="1" applyBorder="1" applyAlignment="1" applyProtection="1">
      <alignment horizontal="center"/>
    </xf>
    <xf numFmtId="164" fontId="19" fillId="33" borderId="0" xfId="0" applyNumberFormat="1" applyFont="1" applyFill="1" applyBorder="1" applyAlignment="1" applyProtection="1">
      <alignment horizontal="center"/>
    </xf>
    <xf numFmtId="0" fontId="0" fillId="33" borderId="0" xfId="0" applyFill="1"/>
    <xf numFmtId="165" fontId="18" fillId="0" borderId="10" xfId="0" applyNumberFormat="1" applyFont="1" applyFill="1" applyBorder="1" applyAlignment="1" applyProtection="1">
      <alignment horizontal="center"/>
    </xf>
    <xf numFmtId="165" fontId="18" fillId="0" borderId="0" xfId="0" applyNumberFormat="1" applyFont="1" applyFill="1" applyBorder="1" applyAlignment="1" applyProtection="1">
      <alignment horizontal="center"/>
    </xf>
    <xf numFmtId="165" fontId="18" fillId="33" borderId="0" xfId="0" applyNumberFormat="1" applyFont="1" applyFill="1" applyBorder="1" applyAlignment="1" applyProtection="1">
      <alignment horizontal="center"/>
    </xf>
    <xf numFmtId="165" fontId="18" fillId="0" borderId="11" xfId="0" applyNumberFormat="1" applyFont="1" applyFill="1" applyBorder="1" applyAlignment="1" applyProtection="1">
      <alignment horizontal="center"/>
    </xf>
    <xf numFmtId="0" fontId="16" fillId="0" borderId="0" xfId="0" applyFont="1"/>
    <xf numFmtId="0" fontId="18" fillId="0" borderId="0" xfId="0" applyNumberFormat="1" applyFont="1" applyFill="1" applyBorder="1" applyAlignment="1" applyProtection="1">
      <alignment horizontal="center" vertical="center" wrapText="1"/>
    </xf>
    <xf numFmtId="164" fontId="19" fillId="0" borderId="10" xfId="0" applyNumberFormat="1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3"/>
  <sheetViews>
    <sheetView tabSelected="1" workbookViewId="0">
      <pane xSplit="1" ySplit="3" topLeftCell="AA153" activePane="bottomRight" state="frozen"/>
      <selection pane="topRight" activeCell="B1" sqref="B1"/>
      <selection pane="bottomLeft" activeCell="A4" sqref="A4"/>
      <selection pane="bottomRight" activeCell="AF1" sqref="AF1:AF1048576"/>
    </sheetView>
  </sheetViews>
  <sheetFormatPr defaultRowHeight="14.25" x14ac:dyDescent="0.45"/>
  <cols>
    <col min="1" max="1" width="19.53125" customWidth="1"/>
    <col min="2" max="3" width="9.796875" customWidth="1"/>
    <col min="4" max="5" width="5.33203125" customWidth="1"/>
    <col min="6" max="6" width="7.1328125" customWidth="1"/>
    <col min="7" max="8" width="9.796875" customWidth="1"/>
    <col min="9" max="10" width="5.33203125" customWidth="1"/>
    <col min="11" max="11" width="7.1328125" customWidth="1"/>
    <col min="12" max="13" width="9.796875" customWidth="1"/>
    <col min="14" max="15" width="5.33203125" customWidth="1"/>
    <col min="16" max="16" width="7.1328125" customWidth="1"/>
    <col min="17" max="18" width="9.796875" customWidth="1"/>
    <col min="19" max="20" width="5.33203125" customWidth="1"/>
    <col min="21" max="21" width="7.1328125" customWidth="1"/>
    <col min="22" max="23" width="9.796875" customWidth="1"/>
    <col min="24" max="25" width="5.33203125" customWidth="1"/>
    <col min="26" max="26" width="7.1328125" customWidth="1"/>
    <col min="27" max="27" width="9.796875" style="19" customWidth="1"/>
    <col min="28" max="28" width="9.796875" customWidth="1"/>
    <col min="29" max="30" width="5.33203125" customWidth="1"/>
    <col min="31" max="31" width="7.1328125" customWidth="1"/>
  </cols>
  <sheetData>
    <row r="1" spans="1:32" ht="12.75" customHeight="1" x14ac:dyDescent="0.4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</row>
    <row r="2" spans="1:32" x14ac:dyDescent="0.45">
      <c r="A2" s="1" t="s">
        <v>1</v>
      </c>
      <c r="B2" s="21" t="s">
        <v>2</v>
      </c>
      <c r="C2" s="21"/>
      <c r="D2" s="21"/>
      <c r="E2" s="21"/>
      <c r="F2" s="21"/>
      <c r="G2" s="21" t="s">
        <v>3</v>
      </c>
      <c r="H2" s="21"/>
      <c r="I2" s="21"/>
      <c r="J2" s="21"/>
      <c r="K2" s="21"/>
      <c r="L2" s="21" t="s">
        <v>4</v>
      </c>
      <c r="M2" s="21"/>
      <c r="N2" s="21"/>
      <c r="O2" s="21"/>
      <c r="P2" s="21"/>
      <c r="Q2" s="21" t="s">
        <v>5</v>
      </c>
      <c r="R2" s="21"/>
      <c r="S2" s="21"/>
      <c r="T2" s="21"/>
      <c r="U2" s="21"/>
      <c r="V2" s="21" t="s">
        <v>6</v>
      </c>
      <c r="W2" s="21"/>
      <c r="X2" s="21"/>
      <c r="Y2" s="21"/>
      <c r="Z2" s="21"/>
      <c r="AA2" s="21" t="s">
        <v>7</v>
      </c>
      <c r="AB2" s="21"/>
      <c r="AC2" s="21"/>
      <c r="AD2" s="21"/>
      <c r="AE2" s="21"/>
    </row>
    <row r="3" spans="1:32" x14ac:dyDescent="0.45">
      <c r="A3" s="1" t="s">
        <v>1</v>
      </c>
      <c r="B3" s="3" t="s">
        <v>8</v>
      </c>
      <c r="C3" s="3" t="s">
        <v>9</v>
      </c>
      <c r="D3" s="2" t="s">
        <v>10</v>
      </c>
      <c r="E3" s="2" t="s">
        <v>11</v>
      </c>
      <c r="F3" s="2" t="s">
        <v>12</v>
      </c>
      <c r="G3" s="3" t="s">
        <v>8</v>
      </c>
      <c r="H3" s="3" t="s">
        <v>9</v>
      </c>
      <c r="I3" s="2" t="s">
        <v>10</v>
      </c>
      <c r="J3" s="2" t="s">
        <v>11</v>
      </c>
      <c r="K3" s="2" t="s">
        <v>12</v>
      </c>
      <c r="L3" s="3" t="s">
        <v>8</v>
      </c>
      <c r="M3" s="3" t="s">
        <v>9</v>
      </c>
      <c r="N3" s="2" t="s">
        <v>10</v>
      </c>
      <c r="O3" s="2" t="s">
        <v>11</v>
      </c>
      <c r="P3" s="2" t="s">
        <v>12</v>
      </c>
      <c r="Q3" s="3" t="s">
        <v>8</v>
      </c>
      <c r="R3" s="3" t="s">
        <v>9</v>
      </c>
      <c r="S3" s="2" t="s">
        <v>10</v>
      </c>
      <c r="T3" s="2" t="s">
        <v>11</v>
      </c>
      <c r="U3" s="2" t="s">
        <v>12</v>
      </c>
      <c r="V3" s="3" t="s">
        <v>8</v>
      </c>
      <c r="W3" s="3" t="s">
        <v>9</v>
      </c>
      <c r="X3" s="2" t="s">
        <v>10</v>
      </c>
      <c r="Y3" s="2" t="s">
        <v>11</v>
      </c>
      <c r="Z3" s="2" t="s">
        <v>12</v>
      </c>
      <c r="AA3" s="15" t="s">
        <v>8</v>
      </c>
      <c r="AB3" s="3" t="s">
        <v>9</v>
      </c>
      <c r="AC3" s="2" t="s">
        <v>10</v>
      </c>
      <c r="AD3" s="2" t="s">
        <v>11</v>
      </c>
      <c r="AE3" s="2" t="s">
        <v>12</v>
      </c>
    </row>
    <row r="4" spans="1:32" x14ac:dyDescent="0.45">
      <c r="A4" s="4" t="s">
        <v>13</v>
      </c>
      <c r="B4" s="5">
        <v>0.960145624795122</v>
      </c>
      <c r="C4" s="5">
        <v>2.0040283477729109E-2</v>
      </c>
      <c r="D4" s="6">
        <v>0</v>
      </c>
      <c r="E4" s="6">
        <v>1</v>
      </c>
      <c r="F4" s="6">
        <v>90</v>
      </c>
      <c r="G4" s="5">
        <v>0.94975610023195045</v>
      </c>
      <c r="H4" s="5">
        <v>2.0258215882474083E-2</v>
      </c>
      <c r="I4" s="6">
        <v>0</v>
      </c>
      <c r="J4" s="6">
        <v>1</v>
      </c>
      <c r="K4" s="6">
        <v>125</v>
      </c>
      <c r="L4" s="5">
        <v>0.71600394757011332</v>
      </c>
      <c r="M4" s="5">
        <v>4.6033611993746407E-2</v>
      </c>
      <c r="N4" s="6">
        <v>0</v>
      </c>
      <c r="O4" s="6">
        <v>1</v>
      </c>
      <c r="P4" s="6">
        <v>100</v>
      </c>
      <c r="Q4" s="5">
        <v>0.6592665754380761</v>
      </c>
      <c r="R4" s="5">
        <v>5.2110995909111807E-2</v>
      </c>
      <c r="S4" s="6">
        <v>0</v>
      </c>
      <c r="T4" s="6">
        <v>1</v>
      </c>
      <c r="U4" s="6">
        <v>83</v>
      </c>
      <c r="V4" s="5">
        <v>0.89956207946873301</v>
      </c>
      <c r="W4" s="5">
        <v>4.6329327143293887E-2</v>
      </c>
      <c r="X4" s="6">
        <v>0</v>
      </c>
      <c r="Y4" s="6">
        <v>1</v>
      </c>
      <c r="Z4" s="6">
        <v>49</v>
      </c>
      <c r="AA4" s="16">
        <v>0.80013300791383779</v>
      </c>
      <c r="AB4" s="5">
        <v>2.2981842901584476E-2</v>
      </c>
      <c r="AC4" s="6">
        <v>0</v>
      </c>
      <c r="AD4" s="6">
        <v>1</v>
      </c>
      <c r="AE4" s="6">
        <v>447</v>
      </c>
      <c r="AF4">
        <f>(AA6/AA5)-AA4</f>
        <v>4.8713414938218014E-2</v>
      </c>
    </row>
    <row r="5" spans="1:32" x14ac:dyDescent="0.45">
      <c r="A5" s="4" t="s">
        <v>14</v>
      </c>
      <c r="B5" s="5">
        <v>0.79321304904364254</v>
      </c>
      <c r="C5" s="5">
        <v>4.3039128791149045E-2</v>
      </c>
      <c r="D5" s="6">
        <v>0</v>
      </c>
      <c r="E5" s="6">
        <v>1</v>
      </c>
      <c r="F5" s="6">
        <v>90</v>
      </c>
      <c r="G5" s="5">
        <v>0.63843941264368653</v>
      </c>
      <c r="H5" s="5">
        <v>4.3361765153530248E-2</v>
      </c>
      <c r="I5" s="6">
        <v>0</v>
      </c>
      <c r="J5" s="6">
        <v>1</v>
      </c>
      <c r="K5" s="6">
        <v>125</v>
      </c>
      <c r="L5" s="5">
        <v>0.58432009369337878</v>
      </c>
      <c r="M5" s="5">
        <v>5.0207452132509274E-2</v>
      </c>
      <c r="N5" s="6">
        <v>0</v>
      </c>
      <c r="O5" s="6">
        <v>1</v>
      </c>
      <c r="P5" s="6">
        <v>100</v>
      </c>
      <c r="Q5" s="5">
        <v>0.62898008352691293</v>
      </c>
      <c r="R5" s="5">
        <v>5.3401158711994051E-2</v>
      </c>
      <c r="S5" s="6">
        <v>0</v>
      </c>
      <c r="T5" s="6">
        <v>1</v>
      </c>
      <c r="U5" s="6">
        <v>83</v>
      </c>
      <c r="V5" s="5">
        <v>0.81519781986826212</v>
      </c>
      <c r="W5" s="5">
        <v>5.9517950839845665E-2</v>
      </c>
      <c r="X5" s="6">
        <v>0</v>
      </c>
      <c r="Y5" s="6">
        <v>1</v>
      </c>
      <c r="Z5" s="6">
        <v>49</v>
      </c>
      <c r="AA5" s="16">
        <v>0.62633244953010792</v>
      </c>
      <c r="AB5" s="5">
        <v>2.6998005023716822E-2</v>
      </c>
      <c r="AC5" s="6">
        <v>0</v>
      </c>
      <c r="AD5" s="6">
        <v>1</v>
      </c>
      <c r="AE5" s="6">
        <v>447</v>
      </c>
      <c r="AF5">
        <f>(AA6/AA4)-AA5</f>
        <v>3.8132150781756247E-2</v>
      </c>
    </row>
    <row r="6" spans="1:32" ht="26.25" x14ac:dyDescent="0.45">
      <c r="A6" s="4" t="s">
        <v>15</v>
      </c>
      <c r="B6" s="5">
        <v>0.76463950797279179</v>
      </c>
      <c r="C6" s="5">
        <v>4.4963106054853104E-2</v>
      </c>
      <c r="D6" s="6">
        <v>0</v>
      </c>
      <c r="E6" s="6">
        <v>1</v>
      </c>
      <c r="F6" s="6">
        <v>90</v>
      </c>
      <c r="G6" s="5">
        <v>0.62972791429528641</v>
      </c>
      <c r="H6" s="5">
        <v>4.3595404685500015E-2</v>
      </c>
      <c r="I6" s="6">
        <v>0</v>
      </c>
      <c r="J6" s="6">
        <v>1</v>
      </c>
      <c r="K6" s="6">
        <v>125</v>
      </c>
      <c r="L6" s="5">
        <v>0.47533895952981847</v>
      </c>
      <c r="M6" s="5">
        <v>5.0834031153241928E-2</v>
      </c>
      <c r="N6" s="6">
        <v>0</v>
      </c>
      <c r="O6" s="6">
        <v>1</v>
      </c>
      <c r="P6" s="6">
        <v>100</v>
      </c>
      <c r="Q6" s="5">
        <v>0.3931046395055221</v>
      </c>
      <c r="R6" s="5">
        <v>5.4276386782530009E-2</v>
      </c>
      <c r="S6" s="6">
        <v>0</v>
      </c>
      <c r="T6" s="6">
        <v>1</v>
      </c>
      <c r="U6" s="6">
        <v>83</v>
      </c>
      <c r="V6" s="5">
        <v>0.71475989933699546</v>
      </c>
      <c r="W6" s="5">
        <v>6.9042111503859638E-2</v>
      </c>
      <c r="X6" s="6">
        <v>0</v>
      </c>
      <c r="Y6" s="6">
        <v>1</v>
      </c>
      <c r="Z6" s="6">
        <v>49</v>
      </c>
      <c r="AA6" s="16">
        <v>0.53166005929979787</v>
      </c>
      <c r="AB6" s="5">
        <v>2.7660445962150615E-2</v>
      </c>
      <c r="AC6" s="6">
        <v>0</v>
      </c>
      <c r="AD6" s="6">
        <v>1</v>
      </c>
      <c r="AE6" s="6">
        <v>447</v>
      </c>
    </row>
    <row r="7" spans="1:32" x14ac:dyDescent="0.45">
      <c r="A7" s="4" t="s">
        <v>13</v>
      </c>
      <c r="B7" s="5">
        <v>0.91143150217173974</v>
      </c>
      <c r="C7" s="5">
        <v>3.5179762003488005E-2</v>
      </c>
      <c r="D7" s="6">
        <v>0</v>
      </c>
      <c r="E7" s="6">
        <v>1</v>
      </c>
      <c r="F7" s="6">
        <v>69</v>
      </c>
      <c r="G7" s="5">
        <v>0.95736876344881128</v>
      </c>
      <c r="H7" s="5">
        <v>2.4601260867347013E-2</v>
      </c>
      <c r="I7" s="6">
        <v>0</v>
      </c>
      <c r="J7" s="6">
        <v>1</v>
      </c>
      <c r="K7" s="6">
        <v>64</v>
      </c>
      <c r="L7" s="5">
        <v>0.88474168363514794</v>
      </c>
      <c r="M7" s="5">
        <v>4.5807476199229188E-2</v>
      </c>
      <c r="N7" s="6">
        <v>0</v>
      </c>
      <c r="O7" s="6">
        <v>1</v>
      </c>
      <c r="P7" s="6">
        <v>49</v>
      </c>
      <c r="Q7" s="5">
        <v>0.75343583865047692</v>
      </c>
      <c r="R7" s="5">
        <v>6.0203724111989827E-2</v>
      </c>
      <c r="S7" s="6">
        <v>0</v>
      </c>
      <c r="T7" s="6">
        <v>1</v>
      </c>
      <c r="U7" s="6">
        <v>52</v>
      </c>
      <c r="V7" s="5">
        <v>0.91248857602968336</v>
      </c>
      <c r="W7" s="5">
        <v>3.7719875576820411E-2</v>
      </c>
      <c r="X7" s="6">
        <v>0</v>
      </c>
      <c r="Y7" s="6">
        <v>1</v>
      </c>
      <c r="Z7" s="6">
        <v>77</v>
      </c>
      <c r="AA7" s="16">
        <v>0.88069807445034365</v>
      </c>
      <c r="AB7" s="5">
        <v>2.3384350623163193E-2</v>
      </c>
      <c r="AC7" s="6">
        <v>0</v>
      </c>
      <c r="AD7" s="6">
        <v>1</v>
      </c>
      <c r="AE7" s="6">
        <v>311</v>
      </c>
      <c r="AF7">
        <f>(AA9/AA8)-AA7</f>
        <v>-0.26998126709359771</v>
      </c>
    </row>
    <row r="8" spans="1:32" ht="26.25" x14ac:dyDescent="0.45">
      <c r="A8" s="4" t="s">
        <v>16</v>
      </c>
      <c r="B8" s="5">
        <v>2.0116465112707569E-2</v>
      </c>
      <c r="C8" s="5">
        <v>1.6411369979554096E-2</v>
      </c>
      <c r="D8" s="6">
        <v>0</v>
      </c>
      <c r="E8" s="6">
        <v>1</v>
      </c>
      <c r="F8" s="6">
        <v>69</v>
      </c>
      <c r="G8" s="5">
        <v>0</v>
      </c>
      <c r="H8" s="5">
        <v>0</v>
      </c>
      <c r="I8" s="6">
        <v>0</v>
      </c>
      <c r="J8" s="6">
        <v>0</v>
      </c>
      <c r="K8" s="6">
        <v>64</v>
      </c>
      <c r="L8" s="5">
        <v>0</v>
      </c>
      <c r="M8" s="5">
        <v>0</v>
      </c>
      <c r="N8" s="6">
        <v>0</v>
      </c>
      <c r="O8" s="6">
        <v>0</v>
      </c>
      <c r="P8" s="6">
        <v>49</v>
      </c>
      <c r="Q8" s="5">
        <v>3.7239277633767734E-2</v>
      </c>
      <c r="R8" s="5">
        <v>2.6109109911868628E-2</v>
      </c>
      <c r="S8" s="6">
        <v>0</v>
      </c>
      <c r="T8" s="6">
        <v>1</v>
      </c>
      <c r="U8" s="6">
        <v>52</v>
      </c>
      <c r="V8" s="5">
        <v>4.5102864901990225E-2</v>
      </c>
      <c r="W8" s="5">
        <v>2.105195985339256E-2</v>
      </c>
      <c r="X8" s="6">
        <v>0</v>
      </c>
      <c r="Y8" s="6">
        <v>1</v>
      </c>
      <c r="Z8" s="6">
        <v>77</v>
      </c>
      <c r="AA8" s="16">
        <v>1.0517616768506599E-2</v>
      </c>
      <c r="AB8" s="5">
        <v>6.0121864066784306E-3</v>
      </c>
      <c r="AC8" s="6">
        <v>0</v>
      </c>
      <c r="AD8" s="6">
        <v>1</v>
      </c>
      <c r="AE8" s="6">
        <v>311</v>
      </c>
      <c r="AF8">
        <f>(AA9/AA7)-AA8</f>
        <v>-3.224214500228687E-3</v>
      </c>
    </row>
    <row r="9" spans="1:32" ht="26.25" x14ac:dyDescent="0.45">
      <c r="A9" s="4" t="s">
        <v>17</v>
      </c>
      <c r="B9" s="5">
        <v>2.0116465112707569E-2</v>
      </c>
      <c r="C9" s="5">
        <v>1.6411369979554096E-2</v>
      </c>
      <c r="D9" s="6">
        <v>0</v>
      </c>
      <c r="E9" s="6">
        <v>1</v>
      </c>
      <c r="F9" s="6">
        <v>69</v>
      </c>
      <c r="G9" s="5">
        <v>0</v>
      </c>
      <c r="H9" s="5">
        <v>0</v>
      </c>
      <c r="I9" s="6">
        <v>0</v>
      </c>
      <c r="J9" s="6">
        <v>0</v>
      </c>
      <c r="K9" s="6">
        <v>64</v>
      </c>
      <c r="L9" s="5">
        <v>0</v>
      </c>
      <c r="M9" s="5">
        <v>0</v>
      </c>
      <c r="N9" s="6">
        <v>0</v>
      </c>
      <c r="O9" s="6">
        <v>0</v>
      </c>
      <c r="P9" s="6">
        <v>49</v>
      </c>
      <c r="Q9" s="5">
        <v>1.8619638816883867E-2</v>
      </c>
      <c r="R9" s="5">
        <v>1.8632386074044379E-2</v>
      </c>
      <c r="S9" s="6">
        <v>0</v>
      </c>
      <c r="T9" s="6">
        <v>1</v>
      </c>
      <c r="U9" s="6">
        <v>52</v>
      </c>
      <c r="V9" s="5">
        <v>4.5102864901990225E-2</v>
      </c>
      <c r="W9" s="5">
        <v>2.105195985339256E-2</v>
      </c>
      <c r="X9" s="6">
        <v>0</v>
      </c>
      <c r="Y9" s="6">
        <v>1</v>
      </c>
      <c r="Z9" s="6">
        <v>77</v>
      </c>
      <c r="AA9" s="16">
        <v>6.4232853338641255E-3</v>
      </c>
      <c r="AB9" s="5">
        <v>4.4122026590689188E-3</v>
      </c>
      <c r="AC9" s="6">
        <v>0</v>
      </c>
      <c r="AD9" s="6">
        <v>1</v>
      </c>
      <c r="AE9" s="6">
        <v>311</v>
      </c>
    </row>
    <row r="10" spans="1:32" x14ac:dyDescent="0.45">
      <c r="A10" s="4" t="s">
        <v>13</v>
      </c>
      <c r="B10" s="5">
        <v>0.98035203037013285</v>
      </c>
      <c r="C10" s="5">
        <v>1.9629875496239263E-2</v>
      </c>
      <c r="D10" s="6">
        <v>0</v>
      </c>
      <c r="E10" s="6">
        <v>1</v>
      </c>
      <c r="F10" s="6">
        <v>54</v>
      </c>
      <c r="G10" s="5">
        <v>0.97302347631484243</v>
      </c>
      <c r="H10" s="5">
        <v>1.9018520945794502E-2</v>
      </c>
      <c r="I10" s="6">
        <v>0</v>
      </c>
      <c r="J10" s="6">
        <v>1</v>
      </c>
      <c r="K10" s="6">
        <v>84</v>
      </c>
      <c r="L10" s="5">
        <v>0.8470967301989023</v>
      </c>
      <c r="M10" s="5">
        <v>6.3985322217453622E-2</v>
      </c>
      <c r="N10" s="6">
        <v>0</v>
      </c>
      <c r="O10" s="6">
        <v>1</v>
      </c>
      <c r="P10" s="6">
        <v>33</v>
      </c>
      <c r="Q10" s="5">
        <v>0.77642626858239561</v>
      </c>
      <c r="R10" s="5">
        <v>5.8277304001650106E-2</v>
      </c>
      <c r="S10" s="6">
        <v>0</v>
      </c>
      <c r="T10" s="6">
        <v>1</v>
      </c>
      <c r="U10" s="6">
        <v>51</v>
      </c>
      <c r="V10" s="5">
        <v>0</v>
      </c>
      <c r="W10" s="5">
        <v>0</v>
      </c>
      <c r="X10" s="6" t="s">
        <v>18</v>
      </c>
      <c r="Y10" s="6" t="s">
        <v>18</v>
      </c>
      <c r="Z10" s="6">
        <v>0</v>
      </c>
      <c r="AA10" s="16">
        <v>0.89279360887211956</v>
      </c>
      <c r="AB10" s="5">
        <v>2.3954803302024347E-2</v>
      </c>
      <c r="AC10" s="6">
        <v>0</v>
      </c>
      <c r="AD10" s="6">
        <v>1</v>
      </c>
      <c r="AE10" s="6">
        <v>222</v>
      </c>
      <c r="AF10">
        <f>(AA12/AA11)-AA10</f>
        <v>-0.10934404960521305</v>
      </c>
    </row>
    <row r="11" spans="1:32" x14ac:dyDescent="0.45">
      <c r="A11" s="4" t="s">
        <v>19</v>
      </c>
      <c r="B11" s="5">
        <v>0</v>
      </c>
      <c r="C11" s="5">
        <v>0</v>
      </c>
      <c r="D11" s="6">
        <v>0</v>
      </c>
      <c r="E11" s="6">
        <v>0</v>
      </c>
      <c r="F11" s="6">
        <v>54</v>
      </c>
      <c r="G11" s="5">
        <v>0</v>
      </c>
      <c r="H11" s="5">
        <v>0</v>
      </c>
      <c r="I11" s="6">
        <v>0</v>
      </c>
      <c r="J11" s="6">
        <v>0</v>
      </c>
      <c r="K11" s="6">
        <v>84</v>
      </c>
      <c r="L11" s="5">
        <v>0.51294588308387212</v>
      </c>
      <c r="M11" s="5">
        <v>8.8775012583452828E-2</v>
      </c>
      <c r="N11" s="6">
        <v>0</v>
      </c>
      <c r="O11" s="6">
        <v>1</v>
      </c>
      <c r="P11" s="6">
        <v>33</v>
      </c>
      <c r="Q11" s="5">
        <v>0.20115357837551784</v>
      </c>
      <c r="R11" s="5">
        <v>5.7475752421020931E-2</v>
      </c>
      <c r="S11" s="6">
        <v>0</v>
      </c>
      <c r="T11" s="6">
        <v>1</v>
      </c>
      <c r="U11" s="6">
        <v>51</v>
      </c>
      <c r="V11" s="5">
        <v>0</v>
      </c>
      <c r="W11" s="5">
        <v>0</v>
      </c>
      <c r="X11" s="6" t="s">
        <v>18</v>
      </c>
      <c r="Y11" s="6" t="s">
        <v>18</v>
      </c>
      <c r="Z11" s="6">
        <v>0</v>
      </c>
      <c r="AA11" s="16">
        <v>0.18588338138996935</v>
      </c>
      <c r="AB11" s="5">
        <v>3.2400145905225268E-2</v>
      </c>
      <c r="AC11" s="6">
        <v>0</v>
      </c>
      <c r="AD11" s="6">
        <v>1</v>
      </c>
      <c r="AE11" s="6">
        <v>222</v>
      </c>
      <c r="AF11">
        <f>(AA12/AA10)-AA11</f>
        <v>-2.276589065323481E-2</v>
      </c>
    </row>
    <row r="12" spans="1:32" ht="26.25" x14ac:dyDescent="0.45">
      <c r="A12" s="4" t="s">
        <v>20</v>
      </c>
      <c r="B12" s="5">
        <v>0</v>
      </c>
      <c r="C12" s="5">
        <v>0</v>
      </c>
      <c r="D12" s="6">
        <v>0</v>
      </c>
      <c r="E12" s="6">
        <v>0</v>
      </c>
      <c r="F12" s="6">
        <v>54</v>
      </c>
      <c r="G12" s="5">
        <v>0</v>
      </c>
      <c r="H12" s="5">
        <v>0</v>
      </c>
      <c r="I12" s="6">
        <v>0</v>
      </c>
      <c r="J12" s="6">
        <v>0</v>
      </c>
      <c r="K12" s="6">
        <v>84</v>
      </c>
      <c r="L12" s="5">
        <v>0.45102083551470867</v>
      </c>
      <c r="M12" s="5">
        <v>8.8293715599047917E-2</v>
      </c>
      <c r="N12" s="6">
        <v>0</v>
      </c>
      <c r="O12" s="6">
        <v>1</v>
      </c>
      <c r="P12" s="6">
        <v>33</v>
      </c>
      <c r="Q12" s="5">
        <v>0.10225025870669648</v>
      </c>
      <c r="R12" s="5">
        <v>4.3908026564831421E-2</v>
      </c>
      <c r="S12" s="6">
        <v>0</v>
      </c>
      <c r="T12" s="6">
        <v>1</v>
      </c>
      <c r="U12" s="6">
        <v>51</v>
      </c>
      <c r="V12" s="5">
        <v>0</v>
      </c>
      <c r="W12" s="5">
        <v>0</v>
      </c>
      <c r="X12" s="6" t="s">
        <v>18</v>
      </c>
      <c r="Y12" s="6" t="s">
        <v>18</v>
      </c>
      <c r="Z12" s="6">
        <v>0</v>
      </c>
      <c r="AA12" s="16">
        <v>0.14563025322501377</v>
      </c>
      <c r="AB12" s="5">
        <v>3.0118845135292779E-2</v>
      </c>
      <c r="AC12" s="6">
        <v>0</v>
      </c>
      <c r="AD12" s="6">
        <v>1</v>
      </c>
      <c r="AE12" s="6">
        <v>222</v>
      </c>
    </row>
    <row r="13" spans="1:32" x14ac:dyDescent="0.45">
      <c r="A13" s="4" t="s">
        <v>21</v>
      </c>
      <c r="B13" s="5">
        <v>2.4716662477345153E-2</v>
      </c>
      <c r="C13" s="5">
        <v>1.7773581985949832E-2</v>
      </c>
      <c r="D13" s="6">
        <v>0</v>
      </c>
      <c r="E13" s="6">
        <v>1</v>
      </c>
      <c r="F13" s="6">
        <v>90</v>
      </c>
      <c r="G13" s="5">
        <v>4.6722952426245225E-2</v>
      </c>
      <c r="H13" s="5">
        <v>1.872294351870778E-2</v>
      </c>
      <c r="I13" s="6">
        <v>0</v>
      </c>
      <c r="J13" s="6">
        <v>1</v>
      </c>
      <c r="K13" s="6">
        <v>125</v>
      </c>
      <c r="L13" s="5">
        <v>4.5808357691683635E-2</v>
      </c>
      <c r="M13" s="5">
        <v>2.0443620099753854E-2</v>
      </c>
      <c r="N13" s="6">
        <v>0</v>
      </c>
      <c r="O13" s="6">
        <v>1</v>
      </c>
      <c r="P13" s="6">
        <v>100</v>
      </c>
      <c r="Q13" s="5">
        <v>5.4465947893859265E-2</v>
      </c>
      <c r="R13" s="5">
        <v>2.6556811357065765E-2</v>
      </c>
      <c r="S13" s="6">
        <v>0</v>
      </c>
      <c r="T13" s="6">
        <v>1</v>
      </c>
      <c r="U13" s="6">
        <v>83</v>
      </c>
      <c r="V13" s="5">
        <v>3.6026520439602999E-2</v>
      </c>
      <c r="W13" s="5">
        <v>3.5482988551923687E-2</v>
      </c>
      <c r="X13" s="6">
        <v>0</v>
      </c>
      <c r="Y13" s="6">
        <v>1</v>
      </c>
      <c r="Z13" s="6">
        <v>49</v>
      </c>
      <c r="AA13" s="16">
        <v>4.6256341702035957E-2</v>
      </c>
      <c r="AB13" s="5">
        <v>1.1532195226237664E-2</v>
      </c>
      <c r="AC13" s="6">
        <v>0</v>
      </c>
      <c r="AD13" s="6">
        <v>1</v>
      </c>
      <c r="AE13" s="6">
        <v>447</v>
      </c>
      <c r="AF13">
        <f>(AA15/AA14)-AA13</f>
        <v>8.061336969187427E-3</v>
      </c>
    </row>
    <row r="14" spans="1:32" x14ac:dyDescent="0.45">
      <c r="A14" s="4" t="s">
        <v>14</v>
      </c>
      <c r="B14" s="5">
        <v>0.79321304904364254</v>
      </c>
      <c r="C14" s="5">
        <v>4.3039128791149045E-2</v>
      </c>
      <c r="D14" s="6">
        <v>0</v>
      </c>
      <c r="E14" s="6">
        <v>1</v>
      </c>
      <c r="F14" s="6">
        <v>90</v>
      </c>
      <c r="G14" s="5">
        <v>0.63843941264368653</v>
      </c>
      <c r="H14" s="5">
        <v>4.3361765153530248E-2</v>
      </c>
      <c r="I14" s="6">
        <v>0</v>
      </c>
      <c r="J14" s="6">
        <v>1</v>
      </c>
      <c r="K14" s="6">
        <v>125</v>
      </c>
      <c r="L14" s="5">
        <v>0.58432009369337878</v>
      </c>
      <c r="M14" s="5">
        <v>5.0207452132509274E-2</v>
      </c>
      <c r="N14" s="6">
        <v>0</v>
      </c>
      <c r="O14" s="6">
        <v>1</v>
      </c>
      <c r="P14" s="6">
        <v>100</v>
      </c>
      <c r="Q14" s="5">
        <v>0.62898008352691293</v>
      </c>
      <c r="R14" s="5">
        <v>5.3401158711994051E-2</v>
      </c>
      <c r="S14" s="6">
        <v>0</v>
      </c>
      <c r="T14" s="6">
        <v>1</v>
      </c>
      <c r="U14" s="6">
        <v>83</v>
      </c>
      <c r="V14" s="5">
        <v>0.81519781986826212</v>
      </c>
      <c r="W14" s="5">
        <v>5.9517950839845665E-2</v>
      </c>
      <c r="X14" s="6">
        <v>0</v>
      </c>
      <c r="Y14" s="6">
        <v>1</v>
      </c>
      <c r="Z14" s="6">
        <v>49</v>
      </c>
      <c r="AA14" s="16">
        <v>0.62633244953010792</v>
      </c>
      <c r="AB14" s="5">
        <v>2.6998005023716822E-2</v>
      </c>
      <c r="AC14" s="6">
        <v>0</v>
      </c>
      <c r="AD14" s="6">
        <v>1</v>
      </c>
      <c r="AE14" s="6">
        <v>447</v>
      </c>
      <c r="AF14">
        <f>(AA15/AA13)-AA14</f>
        <v>0.10915426392607575</v>
      </c>
    </row>
    <row r="15" spans="1:32" ht="26.25" x14ac:dyDescent="0.45">
      <c r="A15" s="4" t="s">
        <v>22</v>
      </c>
      <c r="B15" s="5">
        <v>1.5160113116621538E-2</v>
      </c>
      <c r="C15" s="5">
        <v>1.5101962017720494E-2</v>
      </c>
      <c r="D15" s="6">
        <v>0</v>
      </c>
      <c r="E15" s="6">
        <v>1</v>
      </c>
      <c r="F15" s="6">
        <v>90</v>
      </c>
      <c r="G15" s="5">
        <v>4.6722952426245225E-2</v>
      </c>
      <c r="H15" s="5">
        <v>1.872294351870778E-2</v>
      </c>
      <c r="I15" s="6">
        <v>0</v>
      </c>
      <c r="J15" s="6">
        <v>1</v>
      </c>
      <c r="K15" s="6">
        <v>125</v>
      </c>
      <c r="L15" s="5">
        <v>3.677361163678089E-2</v>
      </c>
      <c r="M15" s="5">
        <v>1.8485275772338258E-2</v>
      </c>
      <c r="N15" s="6">
        <v>0</v>
      </c>
      <c r="O15" s="6">
        <v>1</v>
      </c>
      <c r="P15" s="6">
        <v>100</v>
      </c>
      <c r="Q15" s="5">
        <v>1.3616486973464816E-2</v>
      </c>
      <c r="R15" s="5">
        <v>1.3595269909250121E-2</v>
      </c>
      <c r="S15" s="6">
        <v>0</v>
      </c>
      <c r="T15" s="6">
        <v>1</v>
      </c>
      <c r="U15" s="6">
        <v>83</v>
      </c>
      <c r="V15" s="5">
        <v>3.6026520439602999E-2</v>
      </c>
      <c r="W15" s="5">
        <v>3.5482988551923687E-2</v>
      </c>
      <c r="X15" s="6">
        <v>0</v>
      </c>
      <c r="Y15" s="6">
        <v>1</v>
      </c>
      <c r="Z15" s="6">
        <v>49</v>
      </c>
      <c r="AA15" s="16">
        <v>3.402092473493664E-2</v>
      </c>
      <c r="AB15" s="5">
        <v>1.00556404222348E-2</v>
      </c>
      <c r="AC15" s="6">
        <v>0</v>
      </c>
      <c r="AD15" s="6">
        <v>1</v>
      </c>
      <c r="AE15" s="6">
        <v>447</v>
      </c>
    </row>
    <row r="16" spans="1:32" x14ac:dyDescent="0.45">
      <c r="A16" s="4" t="s">
        <v>21</v>
      </c>
      <c r="B16" s="5">
        <v>1.9905528378234148E-2</v>
      </c>
      <c r="C16" s="5">
        <v>1.9805230798237594E-2</v>
      </c>
      <c r="D16" s="6">
        <v>0</v>
      </c>
      <c r="E16" s="6">
        <v>1</v>
      </c>
      <c r="F16" s="6">
        <v>69</v>
      </c>
      <c r="G16" s="5">
        <v>5.9933642197537274E-2</v>
      </c>
      <c r="H16" s="5">
        <v>2.9335864339702002E-2</v>
      </c>
      <c r="I16" s="6">
        <v>0</v>
      </c>
      <c r="J16" s="6">
        <v>1</v>
      </c>
      <c r="K16" s="6">
        <v>64</v>
      </c>
      <c r="L16" s="5">
        <v>2.9883909481817031E-2</v>
      </c>
      <c r="M16" s="5">
        <v>2.1506683931905336E-2</v>
      </c>
      <c r="N16" s="6">
        <v>0</v>
      </c>
      <c r="O16" s="6">
        <v>1</v>
      </c>
      <c r="P16" s="6">
        <v>49</v>
      </c>
      <c r="Q16" s="5">
        <v>0</v>
      </c>
      <c r="R16" s="5">
        <v>0</v>
      </c>
      <c r="S16" s="6">
        <v>0</v>
      </c>
      <c r="T16" s="6">
        <v>0</v>
      </c>
      <c r="U16" s="6">
        <v>52</v>
      </c>
      <c r="V16" s="5">
        <v>9.0037421764185471E-2</v>
      </c>
      <c r="W16" s="5">
        <v>3.8447313237508184E-2</v>
      </c>
      <c r="X16" s="6">
        <v>0</v>
      </c>
      <c r="Y16" s="6">
        <v>1</v>
      </c>
      <c r="Z16" s="6">
        <v>77</v>
      </c>
      <c r="AA16" s="16">
        <v>3.1871594569167092E-2</v>
      </c>
      <c r="AB16" s="5">
        <v>1.2093717807440094E-2</v>
      </c>
      <c r="AC16" s="6">
        <v>0</v>
      </c>
      <c r="AD16" s="6">
        <v>1</v>
      </c>
      <c r="AE16" s="6">
        <v>311</v>
      </c>
      <c r="AF16">
        <f>(AA18/AA17)-AA16</f>
        <v>-3.1871594569167092E-2</v>
      </c>
    </row>
    <row r="17" spans="1:32" ht="26.25" x14ac:dyDescent="0.45">
      <c r="A17" s="4" t="s">
        <v>16</v>
      </c>
      <c r="B17" s="5">
        <v>2.0116465112707569E-2</v>
      </c>
      <c r="C17" s="5">
        <v>1.6411369979554096E-2</v>
      </c>
      <c r="D17" s="6">
        <v>0</v>
      </c>
      <c r="E17" s="6">
        <v>1</v>
      </c>
      <c r="F17" s="6">
        <v>69</v>
      </c>
      <c r="G17" s="5">
        <v>0</v>
      </c>
      <c r="H17" s="5">
        <v>0</v>
      </c>
      <c r="I17" s="6">
        <v>0</v>
      </c>
      <c r="J17" s="6">
        <v>0</v>
      </c>
      <c r="K17" s="6">
        <v>64</v>
      </c>
      <c r="L17" s="5">
        <v>0</v>
      </c>
      <c r="M17" s="5">
        <v>0</v>
      </c>
      <c r="N17" s="6">
        <v>0</v>
      </c>
      <c r="O17" s="6">
        <v>0</v>
      </c>
      <c r="P17" s="6">
        <v>49</v>
      </c>
      <c r="Q17" s="5">
        <v>3.7239277633767734E-2</v>
      </c>
      <c r="R17" s="5">
        <v>2.6109109911868628E-2</v>
      </c>
      <c r="S17" s="6">
        <v>0</v>
      </c>
      <c r="T17" s="6">
        <v>1</v>
      </c>
      <c r="U17" s="6">
        <v>52</v>
      </c>
      <c r="V17" s="5">
        <v>4.5102864901990225E-2</v>
      </c>
      <c r="W17" s="5">
        <v>2.105195985339256E-2</v>
      </c>
      <c r="X17" s="6">
        <v>0</v>
      </c>
      <c r="Y17" s="6">
        <v>1</v>
      </c>
      <c r="Z17" s="6">
        <v>77</v>
      </c>
      <c r="AA17" s="16">
        <v>1.0517616768506599E-2</v>
      </c>
      <c r="AB17" s="5">
        <v>6.0121864066784306E-3</v>
      </c>
      <c r="AC17" s="6">
        <v>0</v>
      </c>
      <c r="AD17" s="6">
        <v>1</v>
      </c>
      <c r="AE17" s="6">
        <v>311</v>
      </c>
      <c r="AF17">
        <f>(AA18/AA16)-AA17</f>
        <v>-1.0517616768506599E-2</v>
      </c>
    </row>
    <row r="18" spans="1:32" ht="26.25" x14ac:dyDescent="0.45">
      <c r="A18" s="4" t="s">
        <v>23</v>
      </c>
      <c r="B18" s="5">
        <v>0</v>
      </c>
      <c r="C18" s="5">
        <v>0</v>
      </c>
      <c r="D18" s="6">
        <v>0</v>
      </c>
      <c r="E18" s="6">
        <v>0</v>
      </c>
      <c r="F18" s="6">
        <v>69</v>
      </c>
      <c r="G18" s="5">
        <v>0</v>
      </c>
      <c r="H18" s="5">
        <v>0</v>
      </c>
      <c r="I18" s="6">
        <v>0</v>
      </c>
      <c r="J18" s="6">
        <v>0</v>
      </c>
      <c r="K18" s="6">
        <v>64</v>
      </c>
      <c r="L18" s="5">
        <v>0</v>
      </c>
      <c r="M18" s="5">
        <v>0</v>
      </c>
      <c r="N18" s="6">
        <v>0</v>
      </c>
      <c r="O18" s="6">
        <v>0</v>
      </c>
      <c r="P18" s="6">
        <v>49</v>
      </c>
      <c r="Q18" s="5">
        <v>0</v>
      </c>
      <c r="R18" s="5">
        <v>0</v>
      </c>
      <c r="S18" s="6">
        <v>0</v>
      </c>
      <c r="T18" s="6">
        <v>0</v>
      </c>
      <c r="U18" s="6">
        <v>52</v>
      </c>
      <c r="V18" s="5">
        <v>0</v>
      </c>
      <c r="W18" s="5">
        <v>0</v>
      </c>
      <c r="X18" s="6">
        <v>0</v>
      </c>
      <c r="Y18" s="6">
        <v>0</v>
      </c>
      <c r="Z18" s="6">
        <v>77</v>
      </c>
      <c r="AA18" s="16">
        <v>0</v>
      </c>
      <c r="AB18" s="5">
        <v>0</v>
      </c>
      <c r="AC18" s="6">
        <v>0</v>
      </c>
      <c r="AD18" s="6">
        <v>0</v>
      </c>
      <c r="AE18" s="6">
        <v>311</v>
      </c>
    </row>
    <row r="19" spans="1:32" x14ac:dyDescent="0.45">
      <c r="A19" s="4" t="s">
        <v>21</v>
      </c>
      <c r="B19" s="5">
        <v>7.2823740535301398E-2</v>
      </c>
      <c r="C19" s="5">
        <v>3.5611347814401846E-2</v>
      </c>
      <c r="D19" s="6">
        <v>0</v>
      </c>
      <c r="E19" s="6">
        <v>1</v>
      </c>
      <c r="F19" s="6">
        <v>54</v>
      </c>
      <c r="G19" s="5">
        <v>4.6592900446272352E-2</v>
      </c>
      <c r="H19" s="5">
        <v>2.2946395798024592E-2</v>
      </c>
      <c r="I19" s="6">
        <v>0</v>
      </c>
      <c r="J19" s="6">
        <v>1</v>
      </c>
      <c r="K19" s="6">
        <v>84</v>
      </c>
      <c r="L19" s="5">
        <v>5.8919177976567948E-2</v>
      </c>
      <c r="M19" s="5">
        <v>4.1092679777760231E-2</v>
      </c>
      <c r="N19" s="6">
        <v>0</v>
      </c>
      <c r="O19" s="6">
        <v>1</v>
      </c>
      <c r="P19" s="6">
        <v>33</v>
      </c>
      <c r="Q19" s="5">
        <v>8.0004333942555614E-2</v>
      </c>
      <c r="R19" s="5">
        <v>3.9093410483657033E-2</v>
      </c>
      <c r="S19" s="6">
        <v>0</v>
      </c>
      <c r="T19" s="6">
        <v>1</v>
      </c>
      <c r="U19" s="6">
        <v>51</v>
      </c>
      <c r="V19" s="5">
        <v>0</v>
      </c>
      <c r="W19" s="5">
        <v>0</v>
      </c>
      <c r="X19" s="6" t="s">
        <v>18</v>
      </c>
      <c r="Y19" s="6" t="s">
        <v>18</v>
      </c>
      <c r="Z19" s="6">
        <v>0</v>
      </c>
      <c r="AA19" s="16">
        <v>5.9835235045045426E-2</v>
      </c>
      <c r="AB19" s="5">
        <v>1.7432067468159729E-2</v>
      </c>
      <c r="AC19" s="6">
        <v>0</v>
      </c>
      <c r="AD19" s="6">
        <v>1</v>
      </c>
      <c r="AE19" s="6">
        <v>222</v>
      </c>
      <c r="AF19">
        <f>(AA21/AA20)-AA19</f>
        <v>-1.6921549300880565E-2</v>
      </c>
    </row>
    <row r="20" spans="1:32" x14ac:dyDescent="0.45">
      <c r="A20" s="4" t="s">
        <v>19</v>
      </c>
      <c r="B20" s="5">
        <v>0</v>
      </c>
      <c r="C20" s="5">
        <v>0</v>
      </c>
      <c r="D20" s="6">
        <v>0</v>
      </c>
      <c r="E20" s="6">
        <v>0</v>
      </c>
      <c r="F20" s="6">
        <v>54</v>
      </c>
      <c r="G20" s="5">
        <v>0</v>
      </c>
      <c r="H20" s="5">
        <v>0</v>
      </c>
      <c r="I20" s="6">
        <v>0</v>
      </c>
      <c r="J20" s="6">
        <v>0</v>
      </c>
      <c r="K20" s="6">
        <v>84</v>
      </c>
      <c r="L20" s="5">
        <v>0.51294588308387212</v>
      </c>
      <c r="M20" s="5">
        <v>8.8775012583452828E-2</v>
      </c>
      <c r="N20" s="6">
        <v>0</v>
      </c>
      <c r="O20" s="6">
        <v>1</v>
      </c>
      <c r="P20" s="6">
        <v>33</v>
      </c>
      <c r="Q20" s="5">
        <v>0.20115357837551784</v>
      </c>
      <c r="R20" s="5">
        <v>5.7475752421020931E-2</v>
      </c>
      <c r="S20" s="6">
        <v>0</v>
      </c>
      <c r="T20" s="6">
        <v>1</v>
      </c>
      <c r="U20" s="6">
        <v>51</v>
      </c>
      <c r="V20" s="5">
        <v>0</v>
      </c>
      <c r="W20" s="5">
        <v>0</v>
      </c>
      <c r="X20" s="6" t="s">
        <v>18</v>
      </c>
      <c r="Y20" s="6" t="s">
        <v>18</v>
      </c>
      <c r="Z20" s="6">
        <v>0</v>
      </c>
      <c r="AA20" s="16">
        <v>0.18588338138996935</v>
      </c>
      <c r="AB20" s="5">
        <v>3.2400145905225268E-2</v>
      </c>
      <c r="AC20" s="6">
        <v>0</v>
      </c>
      <c r="AD20" s="6">
        <v>1</v>
      </c>
      <c r="AE20" s="6">
        <v>222</v>
      </c>
      <c r="AF20">
        <f>(AA21/AA19)-AA20</f>
        <v>-5.2568270184562504E-2</v>
      </c>
    </row>
    <row r="21" spans="1:32" ht="26.25" x14ac:dyDescent="0.45">
      <c r="A21" s="4" t="s">
        <v>24</v>
      </c>
      <c r="B21" s="5">
        <v>0</v>
      </c>
      <c r="C21" s="5">
        <v>0</v>
      </c>
      <c r="D21" s="6">
        <v>0</v>
      </c>
      <c r="E21" s="6">
        <v>0</v>
      </c>
      <c r="F21" s="6">
        <v>54</v>
      </c>
      <c r="G21" s="5">
        <v>0</v>
      </c>
      <c r="H21" s="5">
        <v>0</v>
      </c>
      <c r="I21" s="6">
        <v>0</v>
      </c>
      <c r="J21" s="6">
        <v>0</v>
      </c>
      <c r="K21" s="6">
        <v>84</v>
      </c>
      <c r="L21" s="5">
        <v>2.9679177921503822E-2</v>
      </c>
      <c r="M21" s="5">
        <v>2.9702488721899855E-2</v>
      </c>
      <c r="N21" s="6">
        <v>0</v>
      </c>
      <c r="O21" s="6">
        <v>1</v>
      </c>
      <c r="P21" s="6">
        <v>33</v>
      </c>
      <c r="Q21" s="5">
        <v>0</v>
      </c>
      <c r="R21" s="5">
        <v>0</v>
      </c>
      <c r="S21" s="6">
        <v>0</v>
      </c>
      <c r="T21" s="6">
        <v>0</v>
      </c>
      <c r="U21" s="6">
        <v>51</v>
      </c>
      <c r="V21" s="5">
        <v>0</v>
      </c>
      <c r="W21" s="5">
        <v>0</v>
      </c>
      <c r="X21" s="6" t="s">
        <v>18</v>
      </c>
      <c r="Y21" s="6" t="s">
        <v>18</v>
      </c>
      <c r="Z21" s="6">
        <v>0</v>
      </c>
      <c r="AA21" s="16">
        <v>7.976941014031888E-3</v>
      </c>
      <c r="AB21" s="5">
        <v>7.9532803537146167E-3</v>
      </c>
      <c r="AC21" s="6">
        <v>0</v>
      </c>
      <c r="AD21" s="6">
        <v>1</v>
      </c>
      <c r="AE21" s="6">
        <v>222</v>
      </c>
    </row>
    <row r="22" spans="1:32" x14ac:dyDescent="0.45">
      <c r="A22" s="4" t="s">
        <v>25</v>
      </c>
      <c r="B22" s="5">
        <v>4.1915333390832317E-2</v>
      </c>
      <c r="C22" s="5">
        <v>2.0718766622108333E-2</v>
      </c>
      <c r="D22" s="6">
        <v>0</v>
      </c>
      <c r="E22" s="6">
        <v>1</v>
      </c>
      <c r="F22" s="6">
        <v>90</v>
      </c>
      <c r="G22" s="5">
        <v>0.17400245990800531</v>
      </c>
      <c r="H22" s="5">
        <v>3.4049216362372473E-2</v>
      </c>
      <c r="I22" s="6">
        <v>0</v>
      </c>
      <c r="J22" s="6">
        <v>1</v>
      </c>
      <c r="K22" s="6">
        <v>125</v>
      </c>
      <c r="L22" s="5">
        <v>0.11462032012634105</v>
      </c>
      <c r="M22" s="5">
        <v>3.2898308788303895E-2</v>
      </c>
      <c r="N22" s="6">
        <v>0</v>
      </c>
      <c r="O22" s="6">
        <v>1</v>
      </c>
      <c r="P22" s="6">
        <v>100</v>
      </c>
      <c r="Q22" s="5">
        <v>0.23318684044704152</v>
      </c>
      <c r="R22" s="5">
        <v>4.7143036867623167E-2</v>
      </c>
      <c r="S22" s="6">
        <v>0</v>
      </c>
      <c r="T22" s="6">
        <v>1</v>
      </c>
      <c r="U22" s="6">
        <v>83</v>
      </c>
      <c r="V22" s="5">
        <v>9.8945607353846318E-2</v>
      </c>
      <c r="W22" s="5">
        <v>4.2975894495064414E-2</v>
      </c>
      <c r="X22" s="6">
        <v>0</v>
      </c>
      <c r="Y22" s="6">
        <v>1</v>
      </c>
      <c r="Z22" s="6">
        <v>49</v>
      </c>
      <c r="AA22" s="16">
        <v>0.15198409342522207</v>
      </c>
      <c r="AB22" s="5">
        <v>1.9761402385767526E-2</v>
      </c>
      <c r="AC22" s="6">
        <v>0</v>
      </c>
      <c r="AD22" s="6">
        <v>1</v>
      </c>
      <c r="AE22" s="6">
        <v>447</v>
      </c>
      <c r="AF22">
        <f>(AA24/AA23)-AA22</f>
        <v>1.8674166014631038E-2</v>
      </c>
    </row>
    <row r="23" spans="1:32" x14ac:dyDescent="0.45">
      <c r="A23" s="4" t="s">
        <v>14</v>
      </c>
      <c r="B23" s="5">
        <v>0.79321304904364254</v>
      </c>
      <c r="C23" s="5">
        <v>4.3039128791149045E-2</v>
      </c>
      <c r="D23" s="6">
        <v>0</v>
      </c>
      <c r="E23" s="6">
        <v>1</v>
      </c>
      <c r="F23" s="6">
        <v>90</v>
      </c>
      <c r="G23" s="5">
        <v>0.63843941264368653</v>
      </c>
      <c r="H23" s="5">
        <v>4.3361765153530248E-2</v>
      </c>
      <c r="I23" s="6">
        <v>0</v>
      </c>
      <c r="J23" s="6">
        <v>1</v>
      </c>
      <c r="K23" s="6">
        <v>125</v>
      </c>
      <c r="L23" s="5">
        <v>0.58432009369337878</v>
      </c>
      <c r="M23" s="5">
        <v>5.0207452132509274E-2</v>
      </c>
      <c r="N23" s="6">
        <v>0</v>
      </c>
      <c r="O23" s="6">
        <v>1</v>
      </c>
      <c r="P23" s="6">
        <v>100</v>
      </c>
      <c r="Q23" s="5">
        <v>0.62898008352691293</v>
      </c>
      <c r="R23" s="5">
        <v>5.3401158711994051E-2</v>
      </c>
      <c r="S23" s="6">
        <v>0</v>
      </c>
      <c r="T23" s="6">
        <v>1</v>
      </c>
      <c r="U23" s="6">
        <v>83</v>
      </c>
      <c r="V23" s="5">
        <v>0.81519781986826212</v>
      </c>
      <c r="W23" s="5">
        <v>5.9517950839845665E-2</v>
      </c>
      <c r="X23" s="6">
        <v>0</v>
      </c>
      <c r="Y23" s="6">
        <v>1</v>
      </c>
      <c r="Z23" s="6">
        <v>49</v>
      </c>
      <c r="AA23" s="16">
        <v>0.62633244953010792</v>
      </c>
      <c r="AB23" s="5">
        <v>2.6998005023716822E-2</v>
      </c>
      <c r="AC23" s="6">
        <v>0</v>
      </c>
      <c r="AD23" s="6">
        <v>1</v>
      </c>
      <c r="AE23" s="6">
        <v>447</v>
      </c>
      <c r="AF23">
        <f>(AA24/AA22)-AA23</f>
        <v>7.6956975426052954E-2</v>
      </c>
    </row>
    <row r="24" spans="1:32" ht="26.25" x14ac:dyDescent="0.45">
      <c r="A24" s="4" t="s">
        <v>26</v>
      </c>
      <c r="B24" s="5">
        <v>2.2222310943691953E-2</v>
      </c>
      <c r="C24" s="5">
        <v>1.5633424134249358E-2</v>
      </c>
      <c r="D24" s="6">
        <v>0</v>
      </c>
      <c r="E24" s="6">
        <v>1</v>
      </c>
      <c r="F24" s="6">
        <v>90</v>
      </c>
      <c r="G24" s="5">
        <v>0.15086844646366759</v>
      </c>
      <c r="H24" s="5">
        <v>3.2206006153212431E-2</v>
      </c>
      <c r="I24" s="6">
        <v>0</v>
      </c>
      <c r="J24" s="6">
        <v>1</v>
      </c>
      <c r="K24" s="6">
        <v>125</v>
      </c>
      <c r="L24" s="5">
        <v>5.5780077605883334E-2</v>
      </c>
      <c r="M24" s="5">
        <v>2.4467337975742721E-2</v>
      </c>
      <c r="N24" s="6">
        <v>0</v>
      </c>
      <c r="O24" s="6">
        <v>1</v>
      </c>
      <c r="P24" s="6">
        <v>100</v>
      </c>
      <c r="Q24" s="5">
        <v>0.16925959486445452</v>
      </c>
      <c r="R24" s="5">
        <v>4.158431328283009E-2</v>
      </c>
      <c r="S24" s="6">
        <v>0</v>
      </c>
      <c r="T24" s="6">
        <v>1</v>
      </c>
      <c r="U24" s="6">
        <v>83</v>
      </c>
      <c r="V24" s="5">
        <v>9.8945607353846318E-2</v>
      </c>
      <c r="W24" s="5">
        <v>4.2975894495064414E-2</v>
      </c>
      <c r="X24" s="6">
        <v>0</v>
      </c>
      <c r="Y24" s="6">
        <v>1</v>
      </c>
      <c r="Z24" s="6">
        <v>49</v>
      </c>
      <c r="AA24" s="16">
        <v>0.10688880566750786</v>
      </c>
      <c r="AB24" s="5">
        <v>1.6774456280621543E-2</v>
      </c>
      <c r="AC24" s="6">
        <v>0</v>
      </c>
      <c r="AD24" s="6">
        <v>1</v>
      </c>
      <c r="AE24" s="6">
        <v>447</v>
      </c>
    </row>
    <row r="25" spans="1:32" x14ac:dyDescent="0.45">
      <c r="A25" s="4" t="s">
        <v>25</v>
      </c>
      <c r="B25" s="5">
        <v>2.8554172506543199E-2</v>
      </c>
      <c r="C25" s="5">
        <v>2.0111141586330417E-2</v>
      </c>
      <c r="D25" s="6">
        <v>0</v>
      </c>
      <c r="E25" s="6">
        <v>1</v>
      </c>
      <c r="F25" s="6">
        <v>69</v>
      </c>
      <c r="G25" s="5">
        <v>0.19211712689104216</v>
      </c>
      <c r="H25" s="5">
        <v>5.0306588449061412E-2</v>
      </c>
      <c r="I25" s="6">
        <v>0</v>
      </c>
      <c r="J25" s="6">
        <v>1</v>
      </c>
      <c r="K25" s="6">
        <v>64</v>
      </c>
      <c r="L25" s="5">
        <v>0.19375890903215437</v>
      </c>
      <c r="M25" s="5">
        <v>5.8745237300984882E-2</v>
      </c>
      <c r="N25" s="6">
        <v>0</v>
      </c>
      <c r="O25" s="6">
        <v>1</v>
      </c>
      <c r="P25" s="6">
        <v>49</v>
      </c>
      <c r="Q25" s="5">
        <v>0.20920497330604573</v>
      </c>
      <c r="R25" s="5">
        <v>5.6852356820140885E-2</v>
      </c>
      <c r="S25" s="6">
        <v>0</v>
      </c>
      <c r="T25" s="6">
        <v>1</v>
      </c>
      <c r="U25" s="6">
        <v>52</v>
      </c>
      <c r="V25" s="5">
        <v>6.4678249719826761E-2</v>
      </c>
      <c r="W25" s="5">
        <v>2.9313754157885206E-2</v>
      </c>
      <c r="X25" s="6">
        <v>0</v>
      </c>
      <c r="Y25" s="6">
        <v>1</v>
      </c>
      <c r="Z25" s="6">
        <v>77</v>
      </c>
      <c r="AA25" s="16">
        <v>0.17934404338280549</v>
      </c>
      <c r="AB25" s="5">
        <v>2.9319682603981826E-2</v>
      </c>
      <c r="AC25" s="6">
        <v>0</v>
      </c>
      <c r="AD25" s="6">
        <v>1</v>
      </c>
      <c r="AE25" s="6">
        <v>311</v>
      </c>
      <c r="AF25">
        <f>(AA27/AA26)-AA25</f>
        <v>-0.17934404338280549</v>
      </c>
    </row>
    <row r="26" spans="1:32" ht="26.25" x14ac:dyDescent="0.45">
      <c r="A26" s="4" t="s">
        <v>16</v>
      </c>
      <c r="B26" s="5">
        <v>2.0116465112707569E-2</v>
      </c>
      <c r="C26" s="5">
        <v>1.6411369979554096E-2</v>
      </c>
      <c r="D26" s="6">
        <v>0</v>
      </c>
      <c r="E26" s="6">
        <v>1</v>
      </c>
      <c r="F26" s="6">
        <v>69</v>
      </c>
      <c r="G26" s="5">
        <v>0</v>
      </c>
      <c r="H26" s="5">
        <v>0</v>
      </c>
      <c r="I26" s="6">
        <v>0</v>
      </c>
      <c r="J26" s="6">
        <v>0</v>
      </c>
      <c r="K26" s="6">
        <v>64</v>
      </c>
      <c r="L26" s="5">
        <v>0</v>
      </c>
      <c r="M26" s="5">
        <v>0</v>
      </c>
      <c r="N26" s="6">
        <v>0</v>
      </c>
      <c r="O26" s="6">
        <v>0</v>
      </c>
      <c r="P26" s="6">
        <v>49</v>
      </c>
      <c r="Q26" s="5">
        <v>3.7239277633767734E-2</v>
      </c>
      <c r="R26" s="5">
        <v>2.6109109911868628E-2</v>
      </c>
      <c r="S26" s="6">
        <v>0</v>
      </c>
      <c r="T26" s="6">
        <v>1</v>
      </c>
      <c r="U26" s="6">
        <v>52</v>
      </c>
      <c r="V26" s="5">
        <v>4.5102864901990225E-2</v>
      </c>
      <c r="W26" s="5">
        <v>2.105195985339256E-2</v>
      </c>
      <c r="X26" s="6">
        <v>0</v>
      </c>
      <c r="Y26" s="6">
        <v>1</v>
      </c>
      <c r="Z26" s="6">
        <v>77</v>
      </c>
      <c r="AA26" s="16">
        <v>1.0517616768506599E-2</v>
      </c>
      <c r="AB26" s="5">
        <v>6.0121864066784306E-3</v>
      </c>
      <c r="AC26" s="6">
        <v>0</v>
      </c>
      <c r="AD26" s="6">
        <v>1</v>
      </c>
      <c r="AE26" s="6">
        <v>311</v>
      </c>
      <c r="AF26">
        <f>(AA27/AA25)-AA26</f>
        <v>-1.0517616768506599E-2</v>
      </c>
    </row>
    <row r="27" spans="1:32" ht="26.25" x14ac:dyDescent="0.45">
      <c r="A27" s="4" t="s">
        <v>27</v>
      </c>
      <c r="B27" s="5">
        <v>0</v>
      </c>
      <c r="C27" s="5">
        <v>0</v>
      </c>
      <c r="D27" s="6">
        <v>0</v>
      </c>
      <c r="E27" s="6">
        <v>0</v>
      </c>
      <c r="F27" s="6">
        <v>69</v>
      </c>
      <c r="G27" s="5">
        <v>0</v>
      </c>
      <c r="H27" s="5">
        <v>0</v>
      </c>
      <c r="I27" s="6">
        <v>0</v>
      </c>
      <c r="J27" s="6">
        <v>0</v>
      </c>
      <c r="K27" s="6">
        <v>64</v>
      </c>
      <c r="L27" s="5">
        <v>0</v>
      </c>
      <c r="M27" s="5">
        <v>0</v>
      </c>
      <c r="N27" s="6">
        <v>0</v>
      </c>
      <c r="O27" s="6">
        <v>0</v>
      </c>
      <c r="P27" s="6">
        <v>49</v>
      </c>
      <c r="Q27" s="5">
        <v>0</v>
      </c>
      <c r="R27" s="5">
        <v>0</v>
      </c>
      <c r="S27" s="6">
        <v>0</v>
      </c>
      <c r="T27" s="6">
        <v>0</v>
      </c>
      <c r="U27" s="6">
        <v>52</v>
      </c>
      <c r="V27" s="5">
        <v>0</v>
      </c>
      <c r="W27" s="5">
        <v>0</v>
      </c>
      <c r="X27" s="6">
        <v>0</v>
      </c>
      <c r="Y27" s="6">
        <v>0</v>
      </c>
      <c r="Z27" s="6">
        <v>77</v>
      </c>
      <c r="AA27" s="16">
        <v>0</v>
      </c>
      <c r="AB27" s="5">
        <v>0</v>
      </c>
      <c r="AC27" s="6">
        <v>0</v>
      </c>
      <c r="AD27" s="6">
        <v>0</v>
      </c>
      <c r="AE27" s="6">
        <v>311</v>
      </c>
    </row>
    <row r="28" spans="1:32" x14ac:dyDescent="0.45">
      <c r="A28" s="4" t="s">
        <v>25</v>
      </c>
      <c r="B28" s="5">
        <v>0.13640455613041386</v>
      </c>
      <c r="C28" s="5">
        <v>4.8366633119782731E-2</v>
      </c>
      <c r="D28" s="6">
        <v>0</v>
      </c>
      <c r="E28" s="6">
        <v>1</v>
      </c>
      <c r="F28" s="6">
        <v>54</v>
      </c>
      <c r="G28" s="5">
        <v>0.24887680615623717</v>
      </c>
      <c r="H28" s="5">
        <v>4.7557029673091111E-2</v>
      </c>
      <c r="I28" s="6">
        <v>0</v>
      </c>
      <c r="J28" s="6">
        <v>1</v>
      </c>
      <c r="K28" s="6">
        <v>84</v>
      </c>
      <c r="L28" s="5">
        <v>0.24257279261702852</v>
      </c>
      <c r="M28" s="5">
        <v>7.6009472780138282E-2</v>
      </c>
      <c r="N28" s="6">
        <v>0</v>
      </c>
      <c r="O28" s="6">
        <v>1</v>
      </c>
      <c r="P28" s="6">
        <v>33</v>
      </c>
      <c r="Q28" s="5">
        <v>0.28027595060013644</v>
      </c>
      <c r="R28" s="5">
        <v>6.4320509286373534E-2</v>
      </c>
      <c r="S28" s="6">
        <v>0</v>
      </c>
      <c r="T28" s="6">
        <v>1</v>
      </c>
      <c r="U28" s="6">
        <v>51</v>
      </c>
      <c r="V28" s="5">
        <v>0</v>
      </c>
      <c r="W28" s="5">
        <v>0</v>
      </c>
      <c r="X28" s="6" t="s">
        <v>18</v>
      </c>
      <c r="Y28" s="6" t="s">
        <v>18</v>
      </c>
      <c r="Z28" s="6">
        <v>0</v>
      </c>
      <c r="AA28" s="16">
        <v>0.24630089315375481</v>
      </c>
      <c r="AB28" s="5">
        <v>3.2352532646624556E-2</v>
      </c>
      <c r="AC28" s="6">
        <v>0</v>
      </c>
      <c r="AD28" s="6">
        <v>1</v>
      </c>
      <c r="AE28" s="6">
        <v>222</v>
      </c>
      <c r="AF28">
        <f>(AA30/AA29)-AA28</f>
        <v>4.6791014823469979E-2</v>
      </c>
    </row>
    <row r="29" spans="1:32" x14ac:dyDescent="0.45">
      <c r="A29" s="4" t="s">
        <v>19</v>
      </c>
      <c r="B29" s="5">
        <v>0</v>
      </c>
      <c r="C29" s="5">
        <v>0</v>
      </c>
      <c r="D29" s="6">
        <v>0</v>
      </c>
      <c r="E29" s="6">
        <v>0</v>
      </c>
      <c r="F29" s="6">
        <v>54</v>
      </c>
      <c r="G29" s="5">
        <v>0</v>
      </c>
      <c r="H29" s="5">
        <v>0</v>
      </c>
      <c r="I29" s="6">
        <v>0</v>
      </c>
      <c r="J29" s="6">
        <v>0</v>
      </c>
      <c r="K29" s="6">
        <v>84</v>
      </c>
      <c r="L29" s="5">
        <v>0.51294588308387212</v>
      </c>
      <c r="M29" s="5">
        <v>8.8775012583452828E-2</v>
      </c>
      <c r="N29" s="6">
        <v>0</v>
      </c>
      <c r="O29" s="6">
        <v>1</v>
      </c>
      <c r="P29" s="6">
        <v>33</v>
      </c>
      <c r="Q29" s="5">
        <v>0.20115357837551784</v>
      </c>
      <c r="R29" s="5">
        <v>5.7475752421020931E-2</v>
      </c>
      <c r="S29" s="6">
        <v>0</v>
      </c>
      <c r="T29" s="6">
        <v>1</v>
      </c>
      <c r="U29" s="6">
        <v>51</v>
      </c>
      <c r="V29" s="5">
        <v>0</v>
      </c>
      <c r="W29" s="5">
        <v>0</v>
      </c>
      <c r="X29" s="6" t="s">
        <v>18</v>
      </c>
      <c r="Y29" s="6" t="s">
        <v>18</v>
      </c>
      <c r="Z29" s="6">
        <v>0</v>
      </c>
      <c r="AA29" s="16">
        <v>0.18588338138996935</v>
      </c>
      <c r="AB29" s="5">
        <v>3.2400145905225268E-2</v>
      </c>
      <c r="AC29" s="6">
        <v>0</v>
      </c>
      <c r="AD29" s="6">
        <v>1</v>
      </c>
      <c r="AE29" s="6">
        <v>222</v>
      </c>
      <c r="AF29">
        <f>(AA30/AA28)-AA29</f>
        <v>3.5313197376938499E-2</v>
      </c>
    </row>
    <row r="30" spans="1:32" ht="26.25" x14ac:dyDescent="0.45">
      <c r="A30" s="4" t="s">
        <v>28</v>
      </c>
      <c r="B30" s="5">
        <v>0</v>
      </c>
      <c r="C30" s="5">
        <v>0</v>
      </c>
      <c r="D30" s="6">
        <v>0</v>
      </c>
      <c r="E30" s="6">
        <v>0</v>
      </c>
      <c r="F30" s="6">
        <v>54</v>
      </c>
      <c r="G30" s="5">
        <v>0</v>
      </c>
      <c r="H30" s="5">
        <v>0</v>
      </c>
      <c r="I30" s="6">
        <v>0</v>
      </c>
      <c r="J30" s="6">
        <v>0</v>
      </c>
      <c r="K30" s="6">
        <v>84</v>
      </c>
      <c r="L30" s="5">
        <v>0.18152773746187192</v>
      </c>
      <c r="M30" s="5">
        <v>6.8248616961842312E-2</v>
      </c>
      <c r="N30" s="6">
        <v>0</v>
      </c>
      <c r="O30" s="6">
        <v>1</v>
      </c>
      <c r="P30" s="6">
        <v>33</v>
      </c>
      <c r="Q30" s="5">
        <v>2.3841664009210735E-2</v>
      </c>
      <c r="R30" s="5">
        <v>2.3742084762001986E-2</v>
      </c>
      <c r="S30" s="6">
        <v>0</v>
      </c>
      <c r="T30" s="6">
        <v>1</v>
      </c>
      <c r="U30" s="6">
        <v>51</v>
      </c>
      <c r="V30" s="5">
        <v>0</v>
      </c>
      <c r="W30" s="5">
        <v>0</v>
      </c>
      <c r="X30" s="6" t="s">
        <v>18</v>
      </c>
      <c r="Y30" s="6" t="s">
        <v>18</v>
      </c>
      <c r="Z30" s="6">
        <v>0</v>
      </c>
      <c r="AA30" s="16">
        <v>5.4480914912844278E-2</v>
      </c>
      <c r="AB30" s="5">
        <v>2.0044106997055638E-2</v>
      </c>
      <c r="AC30" s="6">
        <v>0</v>
      </c>
      <c r="AD30" s="6">
        <v>1</v>
      </c>
      <c r="AE30" s="6">
        <v>222</v>
      </c>
    </row>
    <row r="31" spans="1:32" x14ac:dyDescent="0.45">
      <c r="A31" s="4" t="s">
        <v>29</v>
      </c>
      <c r="B31" s="5">
        <v>1.9843747802558907E-2</v>
      </c>
      <c r="C31" s="5">
        <v>1.4373086312929004E-2</v>
      </c>
      <c r="D31" s="6">
        <v>0</v>
      </c>
      <c r="E31" s="6">
        <v>1</v>
      </c>
      <c r="F31" s="6">
        <v>90</v>
      </c>
      <c r="G31" s="5">
        <v>0.10914061945588453</v>
      </c>
      <c r="H31" s="5">
        <v>2.7801539773295723E-2</v>
      </c>
      <c r="I31" s="6">
        <v>0</v>
      </c>
      <c r="J31" s="6">
        <v>1</v>
      </c>
      <c r="K31" s="6">
        <v>125</v>
      </c>
      <c r="L31" s="5">
        <v>0.19443720496291131</v>
      </c>
      <c r="M31" s="5">
        <v>3.8588225760957523E-2</v>
      </c>
      <c r="N31" s="6">
        <v>0</v>
      </c>
      <c r="O31" s="6">
        <v>1</v>
      </c>
      <c r="P31" s="6">
        <v>100</v>
      </c>
      <c r="Q31" s="5">
        <v>0.353322491795584</v>
      </c>
      <c r="R31" s="5">
        <v>5.3054349399674801E-2</v>
      </c>
      <c r="S31" s="6">
        <v>0</v>
      </c>
      <c r="T31" s="6">
        <v>1</v>
      </c>
      <c r="U31" s="6">
        <v>83</v>
      </c>
      <c r="V31" s="5">
        <v>0.34878166211408507</v>
      </c>
      <c r="W31" s="5">
        <v>7.335806942127715E-2</v>
      </c>
      <c r="X31" s="6">
        <v>0</v>
      </c>
      <c r="Y31" s="6">
        <v>1</v>
      </c>
      <c r="Z31" s="6">
        <v>49</v>
      </c>
      <c r="AA31" s="16">
        <v>0.18488390224351497</v>
      </c>
      <c r="AB31" s="5">
        <v>2.1177978730629037E-2</v>
      </c>
      <c r="AC31" s="6">
        <v>0</v>
      </c>
      <c r="AD31" s="6">
        <v>1</v>
      </c>
      <c r="AE31" s="6">
        <v>447</v>
      </c>
      <c r="AF31">
        <f>(AA33/AA32)-AA31</f>
        <v>-2.6779997419897172E-2</v>
      </c>
    </row>
    <row r="32" spans="1:32" x14ac:dyDescent="0.45">
      <c r="A32" s="4" t="s">
        <v>14</v>
      </c>
      <c r="B32" s="5">
        <v>0.79321304904364254</v>
      </c>
      <c r="C32" s="5">
        <v>4.3039128791149045E-2</v>
      </c>
      <c r="D32" s="6">
        <v>0</v>
      </c>
      <c r="E32" s="6">
        <v>1</v>
      </c>
      <c r="F32" s="6">
        <v>90</v>
      </c>
      <c r="G32" s="5">
        <v>0.63843941264368653</v>
      </c>
      <c r="H32" s="5">
        <v>4.3361765153530248E-2</v>
      </c>
      <c r="I32" s="6">
        <v>0</v>
      </c>
      <c r="J32" s="6">
        <v>1</v>
      </c>
      <c r="K32" s="6">
        <v>125</v>
      </c>
      <c r="L32" s="5">
        <v>0.58432009369337878</v>
      </c>
      <c r="M32" s="5">
        <v>5.0207452132509274E-2</v>
      </c>
      <c r="N32" s="6">
        <v>0</v>
      </c>
      <c r="O32" s="6">
        <v>1</v>
      </c>
      <c r="P32" s="6">
        <v>100</v>
      </c>
      <c r="Q32" s="5">
        <v>0.62898008352691293</v>
      </c>
      <c r="R32" s="5">
        <v>5.3401158711994051E-2</v>
      </c>
      <c r="S32" s="6">
        <v>0</v>
      </c>
      <c r="T32" s="6">
        <v>1</v>
      </c>
      <c r="U32" s="6">
        <v>83</v>
      </c>
      <c r="V32" s="5">
        <v>0.81519781986826212</v>
      </c>
      <c r="W32" s="5">
        <v>5.9517950839845665E-2</v>
      </c>
      <c r="X32" s="6">
        <v>0</v>
      </c>
      <c r="Y32" s="6">
        <v>1</v>
      </c>
      <c r="Z32" s="6">
        <v>49</v>
      </c>
      <c r="AA32" s="16">
        <v>0.62633244953010792</v>
      </c>
      <c r="AB32" s="5">
        <v>2.6998005023716822E-2</v>
      </c>
      <c r="AC32" s="6">
        <v>0</v>
      </c>
      <c r="AD32" s="6">
        <v>1</v>
      </c>
      <c r="AE32" s="6">
        <v>447</v>
      </c>
      <c r="AF32">
        <f>(AA33/AA31)-AA32</f>
        <v>-9.0722778883808974E-2</v>
      </c>
    </row>
    <row r="33" spans="1:32" ht="26.25" x14ac:dyDescent="0.45">
      <c r="A33" s="4" t="s">
        <v>30</v>
      </c>
      <c r="B33" s="5">
        <v>7.5687870936931049E-3</v>
      </c>
      <c r="C33" s="5">
        <v>7.5978573421966048E-3</v>
      </c>
      <c r="D33" s="6">
        <v>0</v>
      </c>
      <c r="E33" s="6">
        <v>1</v>
      </c>
      <c r="F33" s="6">
        <v>90</v>
      </c>
      <c r="G33" s="5">
        <v>5.3282445846901283E-2</v>
      </c>
      <c r="H33" s="5">
        <v>1.9758653678707921E-2</v>
      </c>
      <c r="I33" s="6">
        <v>0</v>
      </c>
      <c r="J33" s="6">
        <v>1</v>
      </c>
      <c r="K33" s="6">
        <v>125</v>
      </c>
      <c r="L33" s="5">
        <v>0.117465507913132</v>
      </c>
      <c r="M33" s="5">
        <v>3.0475107690145171E-2</v>
      </c>
      <c r="N33" s="6">
        <v>0</v>
      </c>
      <c r="O33" s="6">
        <v>1</v>
      </c>
      <c r="P33" s="6">
        <v>100</v>
      </c>
      <c r="Q33" s="5">
        <v>0.17079029457882727</v>
      </c>
      <c r="R33" s="5">
        <v>4.1870598246700981E-2</v>
      </c>
      <c r="S33" s="6">
        <v>0</v>
      </c>
      <c r="T33" s="6">
        <v>1</v>
      </c>
      <c r="U33" s="6">
        <v>83</v>
      </c>
      <c r="V33" s="5">
        <v>0.25666566344170377</v>
      </c>
      <c r="W33" s="5">
        <v>6.8076850627654575E-2</v>
      </c>
      <c r="X33" s="6">
        <v>0</v>
      </c>
      <c r="Y33" s="6">
        <v>1</v>
      </c>
      <c r="Z33" s="6">
        <v>49</v>
      </c>
      <c r="AA33" s="16">
        <v>9.9025605988451587E-2</v>
      </c>
      <c r="AB33" s="5">
        <v>1.6164815345259247E-2</v>
      </c>
      <c r="AC33" s="6">
        <v>0</v>
      </c>
      <c r="AD33" s="6">
        <v>1</v>
      </c>
      <c r="AE33" s="6">
        <v>447</v>
      </c>
    </row>
    <row r="34" spans="1:32" x14ac:dyDescent="0.45">
      <c r="A34" s="4" t="s">
        <v>29</v>
      </c>
      <c r="B34" s="5">
        <v>2.0582923990272752E-2</v>
      </c>
      <c r="C34" s="5">
        <v>1.4587649720620922E-2</v>
      </c>
      <c r="D34" s="6">
        <v>0</v>
      </c>
      <c r="E34" s="6">
        <v>1</v>
      </c>
      <c r="F34" s="6">
        <v>69</v>
      </c>
      <c r="G34" s="5">
        <v>8.1151919476074447E-2</v>
      </c>
      <c r="H34" s="5">
        <v>3.5119109991129625E-2</v>
      </c>
      <c r="I34" s="6">
        <v>0</v>
      </c>
      <c r="J34" s="6">
        <v>1</v>
      </c>
      <c r="K34" s="6">
        <v>64</v>
      </c>
      <c r="L34" s="5">
        <v>0.25408001766699523</v>
      </c>
      <c r="M34" s="5">
        <v>6.2566809183580527E-2</v>
      </c>
      <c r="N34" s="6">
        <v>0</v>
      </c>
      <c r="O34" s="6">
        <v>1</v>
      </c>
      <c r="P34" s="6">
        <v>49</v>
      </c>
      <c r="Q34" s="5">
        <v>0.4538973733093401</v>
      </c>
      <c r="R34" s="5">
        <v>6.9822393749619974E-2</v>
      </c>
      <c r="S34" s="6">
        <v>0</v>
      </c>
      <c r="T34" s="6">
        <v>1</v>
      </c>
      <c r="U34" s="6">
        <v>52</v>
      </c>
      <c r="V34" s="5">
        <v>0.40158065745740357</v>
      </c>
      <c r="W34" s="5">
        <v>5.9102546981938363E-2</v>
      </c>
      <c r="X34" s="6">
        <v>0</v>
      </c>
      <c r="Y34" s="6">
        <v>1</v>
      </c>
      <c r="Z34" s="6">
        <v>77</v>
      </c>
      <c r="AA34" s="16">
        <v>0.22368697461721024</v>
      </c>
      <c r="AB34" s="5">
        <v>3.0937604744354422E-2</v>
      </c>
      <c r="AC34" s="6">
        <v>0</v>
      </c>
      <c r="AD34" s="6">
        <v>1</v>
      </c>
      <c r="AE34" s="6">
        <v>311</v>
      </c>
      <c r="AF34">
        <f>(AA36/AA35)-AA34</f>
        <v>0.56981835863465491</v>
      </c>
    </row>
    <row r="35" spans="1:32" ht="26.25" x14ac:dyDescent="0.45">
      <c r="A35" s="4" t="s">
        <v>16</v>
      </c>
      <c r="B35" s="5">
        <v>2.0116465112707569E-2</v>
      </c>
      <c r="C35" s="5">
        <v>1.6411369979554096E-2</v>
      </c>
      <c r="D35" s="6">
        <v>0</v>
      </c>
      <c r="E35" s="6">
        <v>1</v>
      </c>
      <c r="F35" s="6">
        <v>69</v>
      </c>
      <c r="G35" s="5">
        <v>0</v>
      </c>
      <c r="H35" s="5">
        <v>0</v>
      </c>
      <c r="I35" s="6">
        <v>0</v>
      </c>
      <c r="J35" s="6">
        <v>0</v>
      </c>
      <c r="K35" s="6">
        <v>64</v>
      </c>
      <c r="L35" s="5">
        <v>0</v>
      </c>
      <c r="M35" s="5">
        <v>0</v>
      </c>
      <c r="N35" s="6">
        <v>0</v>
      </c>
      <c r="O35" s="6">
        <v>0</v>
      </c>
      <c r="P35" s="6">
        <v>49</v>
      </c>
      <c r="Q35" s="5">
        <v>3.7239277633767734E-2</v>
      </c>
      <c r="R35" s="5">
        <v>2.6109109911868628E-2</v>
      </c>
      <c r="S35" s="6">
        <v>0</v>
      </c>
      <c r="T35" s="6">
        <v>1</v>
      </c>
      <c r="U35" s="6">
        <v>52</v>
      </c>
      <c r="V35" s="5">
        <v>4.5102864901990225E-2</v>
      </c>
      <c r="W35" s="5">
        <v>2.105195985339256E-2</v>
      </c>
      <c r="X35" s="6">
        <v>0</v>
      </c>
      <c r="Y35" s="6">
        <v>1</v>
      </c>
      <c r="Z35" s="6">
        <v>77</v>
      </c>
      <c r="AA35" s="16">
        <v>1.0517616768506599E-2</v>
      </c>
      <c r="AB35" s="5">
        <v>6.0121864066784306E-3</v>
      </c>
      <c r="AC35" s="6">
        <v>0</v>
      </c>
      <c r="AD35" s="6">
        <v>1</v>
      </c>
      <c r="AE35" s="6">
        <v>311</v>
      </c>
      <c r="AF35">
        <f>(AA36/AA34)-AA35</f>
        <v>2.6792490416729202E-2</v>
      </c>
    </row>
    <row r="36" spans="1:32" s="14" customFormat="1" ht="26.25" x14ac:dyDescent="0.45">
      <c r="A36" s="11" t="s">
        <v>31</v>
      </c>
      <c r="B36" s="12">
        <v>0</v>
      </c>
      <c r="C36" s="12">
        <v>0</v>
      </c>
      <c r="D36" s="13">
        <v>0</v>
      </c>
      <c r="E36" s="13">
        <v>0</v>
      </c>
      <c r="F36" s="13">
        <v>69</v>
      </c>
      <c r="G36" s="12">
        <v>0</v>
      </c>
      <c r="H36" s="12">
        <v>0</v>
      </c>
      <c r="I36" s="13">
        <v>0</v>
      </c>
      <c r="J36" s="13">
        <v>0</v>
      </c>
      <c r="K36" s="13">
        <v>64</v>
      </c>
      <c r="L36" s="12">
        <v>0</v>
      </c>
      <c r="M36" s="12">
        <v>0</v>
      </c>
      <c r="N36" s="13">
        <v>0</v>
      </c>
      <c r="O36" s="13">
        <v>0</v>
      </c>
      <c r="P36" s="13">
        <v>49</v>
      </c>
      <c r="Q36" s="12">
        <v>3.7239277633767734E-2</v>
      </c>
      <c r="R36" s="12">
        <v>2.6109109911868628E-2</v>
      </c>
      <c r="S36" s="13">
        <v>0</v>
      </c>
      <c r="T36" s="13">
        <v>1</v>
      </c>
      <c r="U36" s="13">
        <v>52</v>
      </c>
      <c r="V36" s="12">
        <v>2.0927074996863256E-2</v>
      </c>
      <c r="W36" s="12">
        <v>1.4797882699360273E-2</v>
      </c>
      <c r="X36" s="13">
        <v>0</v>
      </c>
      <c r="Y36" s="13">
        <v>1</v>
      </c>
      <c r="Z36" s="13">
        <v>77</v>
      </c>
      <c r="AA36" s="17">
        <v>8.3457849989092333E-3</v>
      </c>
      <c r="AB36" s="12">
        <v>5.7846522085855572E-3</v>
      </c>
      <c r="AC36" s="13">
        <v>0</v>
      </c>
      <c r="AD36" s="13">
        <v>1</v>
      </c>
      <c r="AE36" s="13">
        <v>311</v>
      </c>
    </row>
    <row r="37" spans="1:32" x14ac:dyDescent="0.45">
      <c r="A37" s="4" t="s">
        <v>29</v>
      </c>
      <c r="B37" s="5">
        <v>0</v>
      </c>
      <c r="C37" s="5">
        <v>0</v>
      </c>
      <c r="D37" s="6">
        <v>0</v>
      </c>
      <c r="E37" s="6">
        <v>0</v>
      </c>
      <c r="F37" s="6">
        <v>54</v>
      </c>
      <c r="G37" s="5">
        <v>0</v>
      </c>
      <c r="H37" s="5">
        <v>0</v>
      </c>
      <c r="I37" s="6">
        <v>0</v>
      </c>
      <c r="J37" s="6">
        <v>0</v>
      </c>
      <c r="K37" s="6">
        <v>84</v>
      </c>
      <c r="L37" s="5">
        <v>5.7102085450761578E-2</v>
      </c>
      <c r="M37" s="5">
        <v>3.9911833516827894E-2</v>
      </c>
      <c r="N37" s="6">
        <v>0</v>
      </c>
      <c r="O37" s="6">
        <v>1</v>
      </c>
      <c r="P37" s="6">
        <v>33</v>
      </c>
      <c r="Q37" s="5">
        <v>8.7677410525695984E-2</v>
      </c>
      <c r="R37" s="5">
        <v>3.8277420347877331E-2</v>
      </c>
      <c r="S37" s="6">
        <v>0</v>
      </c>
      <c r="T37" s="6">
        <v>1</v>
      </c>
      <c r="U37" s="6">
        <v>51</v>
      </c>
      <c r="V37" s="5">
        <v>0</v>
      </c>
      <c r="W37" s="5">
        <v>0</v>
      </c>
      <c r="X37" s="6" t="s">
        <v>18</v>
      </c>
      <c r="Y37" s="6" t="s">
        <v>18</v>
      </c>
      <c r="Z37" s="6">
        <v>0</v>
      </c>
      <c r="AA37" s="16">
        <v>3.6277092432440768E-2</v>
      </c>
      <c r="AB37" s="5">
        <v>1.4133267554979576E-2</v>
      </c>
      <c r="AC37" s="6">
        <v>0</v>
      </c>
      <c r="AD37" s="6">
        <v>1</v>
      </c>
      <c r="AE37" s="6">
        <v>222</v>
      </c>
      <c r="AF37">
        <f>(AA39/AA38)-AA37</f>
        <v>-3.6277092432440768E-2</v>
      </c>
    </row>
    <row r="38" spans="1:32" x14ac:dyDescent="0.45">
      <c r="A38" s="4" t="s">
        <v>19</v>
      </c>
      <c r="B38" s="5">
        <v>0</v>
      </c>
      <c r="C38" s="5">
        <v>0</v>
      </c>
      <c r="D38" s="6">
        <v>0</v>
      </c>
      <c r="E38" s="6">
        <v>0</v>
      </c>
      <c r="F38" s="6">
        <v>54</v>
      </c>
      <c r="G38" s="5">
        <v>0</v>
      </c>
      <c r="H38" s="5">
        <v>0</v>
      </c>
      <c r="I38" s="6">
        <v>0</v>
      </c>
      <c r="J38" s="6">
        <v>0</v>
      </c>
      <c r="K38" s="6">
        <v>84</v>
      </c>
      <c r="L38" s="5">
        <v>0.51294588308387212</v>
      </c>
      <c r="M38" s="5">
        <v>8.8775012583452828E-2</v>
      </c>
      <c r="N38" s="6">
        <v>0</v>
      </c>
      <c r="O38" s="6">
        <v>1</v>
      </c>
      <c r="P38" s="6">
        <v>33</v>
      </c>
      <c r="Q38" s="5">
        <v>0.20115357837551784</v>
      </c>
      <c r="R38" s="5">
        <v>5.7475752421020931E-2</v>
      </c>
      <c r="S38" s="6">
        <v>0</v>
      </c>
      <c r="T38" s="6">
        <v>1</v>
      </c>
      <c r="U38" s="6">
        <v>51</v>
      </c>
      <c r="V38" s="5">
        <v>0</v>
      </c>
      <c r="W38" s="5">
        <v>0</v>
      </c>
      <c r="X38" s="6" t="s">
        <v>18</v>
      </c>
      <c r="Y38" s="6" t="s">
        <v>18</v>
      </c>
      <c r="Z38" s="6">
        <v>0</v>
      </c>
      <c r="AA38" s="16">
        <v>0.18588338138996935</v>
      </c>
      <c r="AB38" s="5">
        <v>3.2400145905225268E-2</v>
      </c>
      <c r="AC38" s="6">
        <v>0</v>
      </c>
      <c r="AD38" s="6">
        <v>1</v>
      </c>
      <c r="AE38" s="6">
        <v>222</v>
      </c>
      <c r="AF38">
        <f>(AA39/AA37)-AA38</f>
        <v>-0.18588338138996935</v>
      </c>
    </row>
    <row r="39" spans="1:32" ht="26.25" x14ac:dyDescent="0.45">
      <c r="A39" s="4" t="s">
        <v>32</v>
      </c>
      <c r="B39" s="5">
        <v>0</v>
      </c>
      <c r="C39" s="5">
        <v>0</v>
      </c>
      <c r="D39" s="6">
        <v>0</v>
      </c>
      <c r="E39" s="6">
        <v>0</v>
      </c>
      <c r="F39" s="6">
        <v>54</v>
      </c>
      <c r="G39" s="5">
        <v>0</v>
      </c>
      <c r="H39" s="5">
        <v>0</v>
      </c>
      <c r="I39" s="6">
        <v>0</v>
      </c>
      <c r="J39" s="6">
        <v>0</v>
      </c>
      <c r="K39" s="6">
        <v>84</v>
      </c>
      <c r="L39" s="5">
        <v>0</v>
      </c>
      <c r="M39" s="5">
        <v>0</v>
      </c>
      <c r="N39" s="6">
        <v>0</v>
      </c>
      <c r="O39" s="6">
        <v>0</v>
      </c>
      <c r="P39" s="6">
        <v>33</v>
      </c>
      <c r="Q39" s="5">
        <v>0</v>
      </c>
      <c r="R39" s="5">
        <v>0</v>
      </c>
      <c r="S39" s="6">
        <v>0</v>
      </c>
      <c r="T39" s="6">
        <v>0</v>
      </c>
      <c r="U39" s="6">
        <v>51</v>
      </c>
      <c r="V39" s="5">
        <v>0</v>
      </c>
      <c r="W39" s="5">
        <v>0</v>
      </c>
      <c r="X39" s="6" t="s">
        <v>18</v>
      </c>
      <c r="Y39" s="6" t="s">
        <v>18</v>
      </c>
      <c r="Z39" s="6">
        <v>0</v>
      </c>
      <c r="AA39" s="16">
        <v>0</v>
      </c>
      <c r="AB39" s="5">
        <v>0</v>
      </c>
      <c r="AC39" s="6">
        <v>0</v>
      </c>
      <c r="AD39" s="6">
        <v>0</v>
      </c>
      <c r="AE39" s="6">
        <v>222</v>
      </c>
    </row>
    <row r="40" spans="1:32" x14ac:dyDescent="0.45">
      <c r="A40" s="4" t="s">
        <v>33</v>
      </c>
      <c r="B40" s="5">
        <v>3.2285966179492194E-3</v>
      </c>
      <c r="C40" s="5">
        <v>3.2550823801887822E-3</v>
      </c>
      <c r="D40" s="6">
        <v>0</v>
      </c>
      <c r="E40" s="6">
        <v>1</v>
      </c>
      <c r="F40" s="6">
        <v>90</v>
      </c>
      <c r="G40" s="5">
        <v>2.6119515188799867E-2</v>
      </c>
      <c r="H40" s="5">
        <v>1.5023942710858877E-2</v>
      </c>
      <c r="I40" s="6">
        <v>0</v>
      </c>
      <c r="J40" s="6">
        <v>1</v>
      </c>
      <c r="K40" s="6">
        <v>125</v>
      </c>
      <c r="L40" s="5">
        <v>5.8616576564704773E-2</v>
      </c>
      <c r="M40" s="5">
        <v>2.3383568927977359E-2</v>
      </c>
      <c r="N40" s="6">
        <v>0</v>
      </c>
      <c r="O40" s="6">
        <v>1</v>
      </c>
      <c r="P40" s="6">
        <v>100</v>
      </c>
      <c r="Q40" s="5">
        <v>7.1814403804973892E-2</v>
      </c>
      <c r="R40" s="5">
        <v>2.8490922050220541E-2</v>
      </c>
      <c r="S40" s="6">
        <v>0</v>
      </c>
      <c r="T40" s="6">
        <v>1</v>
      </c>
      <c r="U40" s="6">
        <v>83</v>
      </c>
      <c r="V40" s="5">
        <v>4.1505840425154927E-2</v>
      </c>
      <c r="W40" s="5">
        <v>2.9078405398090767E-2</v>
      </c>
      <c r="X40" s="6">
        <v>0</v>
      </c>
      <c r="Y40" s="6">
        <v>1</v>
      </c>
      <c r="Z40" s="6">
        <v>49</v>
      </c>
      <c r="AA40" s="16">
        <v>4.6431646117076016E-2</v>
      </c>
      <c r="AB40" s="5">
        <v>1.1967028939543621E-2</v>
      </c>
      <c r="AC40" s="6">
        <v>0</v>
      </c>
      <c r="AD40" s="6">
        <v>1</v>
      </c>
      <c r="AE40" s="6">
        <v>447</v>
      </c>
      <c r="AF40">
        <f>(AA42/AA41)-AA40</f>
        <v>1.6780985475710677E-3</v>
      </c>
    </row>
    <row r="41" spans="1:32" x14ac:dyDescent="0.45">
      <c r="A41" s="4" t="s">
        <v>14</v>
      </c>
      <c r="B41" s="5">
        <v>0.79321304904364254</v>
      </c>
      <c r="C41" s="5">
        <v>4.3039128791149045E-2</v>
      </c>
      <c r="D41" s="6">
        <v>0</v>
      </c>
      <c r="E41" s="6">
        <v>1</v>
      </c>
      <c r="F41" s="6">
        <v>90</v>
      </c>
      <c r="G41" s="5">
        <v>0.63843941264368653</v>
      </c>
      <c r="H41" s="5">
        <v>4.3361765153530248E-2</v>
      </c>
      <c r="I41" s="6">
        <v>0</v>
      </c>
      <c r="J41" s="6">
        <v>1</v>
      </c>
      <c r="K41" s="6">
        <v>125</v>
      </c>
      <c r="L41" s="5">
        <v>0.58432009369337878</v>
      </c>
      <c r="M41" s="5">
        <v>5.0207452132509274E-2</v>
      </c>
      <c r="N41" s="6">
        <v>0</v>
      </c>
      <c r="O41" s="6">
        <v>1</v>
      </c>
      <c r="P41" s="6">
        <v>100</v>
      </c>
      <c r="Q41" s="5">
        <v>0.62898008352691293</v>
      </c>
      <c r="R41" s="5">
        <v>5.3401158711994051E-2</v>
      </c>
      <c r="S41" s="6">
        <v>0</v>
      </c>
      <c r="T41" s="6">
        <v>1</v>
      </c>
      <c r="U41" s="6">
        <v>83</v>
      </c>
      <c r="V41" s="5">
        <v>0.81519781986826212</v>
      </c>
      <c r="W41" s="5">
        <v>5.9517950839845665E-2</v>
      </c>
      <c r="X41" s="6">
        <v>0</v>
      </c>
      <c r="Y41" s="6">
        <v>1</v>
      </c>
      <c r="Z41" s="6">
        <v>49</v>
      </c>
      <c r="AA41" s="16">
        <v>0.62633244953010792</v>
      </c>
      <c r="AB41" s="5">
        <v>2.6998005023716822E-2</v>
      </c>
      <c r="AC41" s="6">
        <v>0</v>
      </c>
      <c r="AD41" s="6">
        <v>1</v>
      </c>
      <c r="AE41" s="6">
        <v>447</v>
      </c>
      <c r="AF41">
        <f>(AA42/AA40)-AA41</f>
        <v>2.2636448666991438E-2</v>
      </c>
    </row>
    <row r="42" spans="1:32" ht="26.25" x14ac:dyDescent="0.45">
      <c r="A42" s="4" t="s">
        <v>34</v>
      </c>
      <c r="B42" s="5">
        <v>3.2285966179492194E-3</v>
      </c>
      <c r="C42" s="5">
        <v>3.2550823801887822E-3</v>
      </c>
      <c r="D42" s="6">
        <v>0</v>
      </c>
      <c r="E42" s="6">
        <v>1</v>
      </c>
      <c r="F42" s="6">
        <v>90</v>
      </c>
      <c r="G42" s="5">
        <v>1.766342898897531E-2</v>
      </c>
      <c r="H42" s="5">
        <v>1.2533958873474168E-2</v>
      </c>
      <c r="I42" s="6">
        <v>0</v>
      </c>
      <c r="J42" s="6">
        <v>1</v>
      </c>
      <c r="K42" s="6">
        <v>125</v>
      </c>
      <c r="L42" s="5">
        <v>4.8317157679211194E-2</v>
      </c>
      <c r="M42" s="5">
        <v>2.1225303967109244E-2</v>
      </c>
      <c r="N42" s="6">
        <v>0</v>
      </c>
      <c r="O42" s="6">
        <v>1</v>
      </c>
      <c r="P42" s="6">
        <v>100</v>
      </c>
      <c r="Q42" s="5">
        <v>2.3505997989108379E-2</v>
      </c>
      <c r="R42" s="5">
        <v>1.6545945071228568E-2</v>
      </c>
      <c r="S42" s="6">
        <v>0</v>
      </c>
      <c r="T42" s="6">
        <v>1</v>
      </c>
      <c r="U42" s="6">
        <v>83</v>
      </c>
      <c r="V42" s="5">
        <v>4.1505840425154927E-2</v>
      </c>
      <c r="W42" s="5">
        <v>2.9078405398090767E-2</v>
      </c>
      <c r="X42" s="6">
        <v>0</v>
      </c>
      <c r="Y42" s="6">
        <v>1</v>
      </c>
      <c r="Z42" s="6">
        <v>49</v>
      </c>
      <c r="AA42" s="16">
        <v>3.0132694222076449E-2</v>
      </c>
      <c r="AB42" s="5">
        <v>1.0002059738872046E-2</v>
      </c>
      <c r="AC42" s="6">
        <v>0</v>
      </c>
      <c r="AD42" s="6">
        <v>1</v>
      </c>
      <c r="AE42" s="6">
        <v>447</v>
      </c>
    </row>
    <row r="43" spans="1:32" x14ac:dyDescent="0.45">
      <c r="A43" s="4" t="s">
        <v>33</v>
      </c>
      <c r="B43" s="5">
        <v>4.2392112186812629E-3</v>
      </c>
      <c r="C43" s="5">
        <v>4.2850466986920199E-3</v>
      </c>
      <c r="D43" s="6">
        <v>0</v>
      </c>
      <c r="E43" s="6">
        <v>1</v>
      </c>
      <c r="F43" s="6">
        <v>69</v>
      </c>
      <c r="G43" s="5">
        <v>1.5697958161769734E-2</v>
      </c>
      <c r="H43" s="5">
        <v>1.5697708728685058E-2</v>
      </c>
      <c r="I43" s="6">
        <v>0</v>
      </c>
      <c r="J43" s="6">
        <v>1</v>
      </c>
      <c r="K43" s="6">
        <v>64</v>
      </c>
      <c r="L43" s="5">
        <v>3.839197859620385E-2</v>
      </c>
      <c r="M43" s="5">
        <v>2.6941729126105748E-2</v>
      </c>
      <c r="N43" s="6">
        <v>0</v>
      </c>
      <c r="O43" s="6">
        <v>1</v>
      </c>
      <c r="P43" s="6">
        <v>49</v>
      </c>
      <c r="Q43" s="5">
        <v>0.15089327606790598</v>
      </c>
      <c r="R43" s="5">
        <v>4.9767618540319379E-2</v>
      </c>
      <c r="S43" s="6">
        <v>0</v>
      </c>
      <c r="T43" s="6">
        <v>1</v>
      </c>
      <c r="U43" s="6">
        <v>52</v>
      </c>
      <c r="V43" s="5">
        <v>6.9802151782929381E-2</v>
      </c>
      <c r="W43" s="5">
        <v>3.3662197676600121E-2</v>
      </c>
      <c r="X43" s="6">
        <v>0</v>
      </c>
      <c r="Y43" s="6">
        <v>1</v>
      </c>
      <c r="Z43" s="6">
        <v>77</v>
      </c>
      <c r="AA43" s="16">
        <v>5.3118647345692001E-2</v>
      </c>
      <c r="AB43" s="5">
        <v>1.5816061746920015E-2</v>
      </c>
      <c r="AC43" s="6">
        <v>0</v>
      </c>
      <c r="AD43" s="6">
        <v>1</v>
      </c>
      <c r="AE43" s="6">
        <v>311</v>
      </c>
      <c r="AF43">
        <f>(AA45/AA44)-AA43</f>
        <v>-5.3118647345692001E-2</v>
      </c>
    </row>
    <row r="44" spans="1:32" ht="26.25" x14ac:dyDescent="0.45">
      <c r="A44" s="4" t="s">
        <v>16</v>
      </c>
      <c r="B44" s="5">
        <v>2.0116465112707569E-2</v>
      </c>
      <c r="C44" s="5">
        <v>1.6411369979554096E-2</v>
      </c>
      <c r="D44" s="6">
        <v>0</v>
      </c>
      <c r="E44" s="6">
        <v>1</v>
      </c>
      <c r="F44" s="6">
        <v>69</v>
      </c>
      <c r="G44" s="5">
        <v>0</v>
      </c>
      <c r="H44" s="5">
        <v>0</v>
      </c>
      <c r="I44" s="6">
        <v>0</v>
      </c>
      <c r="J44" s="6">
        <v>0</v>
      </c>
      <c r="K44" s="6">
        <v>64</v>
      </c>
      <c r="L44" s="5">
        <v>0</v>
      </c>
      <c r="M44" s="5">
        <v>0</v>
      </c>
      <c r="N44" s="6">
        <v>0</v>
      </c>
      <c r="O44" s="6">
        <v>0</v>
      </c>
      <c r="P44" s="6">
        <v>49</v>
      </c>
      <c r="Q44" s="5">
        <v>3.7239277633767734E-2</v>
      </c>
      <c r="R44" s="5">
        <v>2.6109109911868628E-2</v>
      </c>
      <c r="S44" s="6">
        <v>0</v>
      </c>
      <c r="T44" s="6">
        <v>1</v>
      </c>
      <c r="U44" s="6">
        <v>52</v>
      </c>
      <c r="V44" s="5">
        <v>4.5102864901990225E-2</v>
      </c>
      <c r="W44" s="5">
        <v>2.105195985339256E-2</v>
      </c>
      <c r="X44" s="6">
        <v>0</v>
      </c>
      <c r="Y44" s="6">
        <v>1</v>
      </c>
      <c r="Z44" s="6">
        <v>77</v>
      </c>
      <c r="AA44" s="16">
        <v>1.0517616768506599E-2</v>
      </c>
      <c r="AB44" s="5">
        <v>6.0121864066784306E-3</v>
      </c>
      <c r="AC44" s="6">
        <v>0</v>
      </c>
      <c r="AD44" s="6">
        <v>1</v>
      </c>
      <c r="AE44" s="6">
        <v>311</v>
      </c>
      <c r="AF44">
        <f>(AA45/AA43)-AA44</f>
        <v>-1.0517616768506599E-2</v>
      </c>
    </row>
    <row r="45" spans="1:32" ht="39.4" x14ac:dyDescent="0.45">
      <c r="A45" s="4" t="s">
        <v>35</v>
      </c>
      <c r="B45" s="5">
        <v>0</v>
      </c>
      <c r="C45" s="5">
        <v>0</v>
      </c>
      <c r="D45" s="6">
        <v>0</v>
      </c>
      <c r="E45" s="6">
        <v>0</v>
      </c>
      <c r="F45" s="6">
        <v>69</v>
      </c>
      <c r="G45" s="5">
        <v>0</v>
      </c>
      <c r="H45" s="5">
        <v>0</v>
      </c>
      <c r="I45" s="6">
        <v>0</v>
      </c>
      <c r="J45" s="6">
        <v>0</v>
      </c>
      <c r="K45" s="6">
        <v>64</v>
      </c>
      <c r="L45" s="5">
        <v>0</v>
      </c>
      <c r="M45" s="5">
        <v>0</v>
      </c>
      <c r="N45" s="6">
        <v>0</v>
      </c>
      <c r="O45" s="6">
        <v>0</v>
      </c>
      <c r="P45" s="6">
        <v>49</v>
      </c>
      <c r="Q45" s="5">
        <v>0</v>
      </c>
      <c r="R45" s="5">
        <v>0</v>
      </c>
      <c r="S45" s="6">
        <v>0</v>
      </c>
      <c r="T45" s="6">
        <v>0</v>
      </c>
      <c r="U45" s="6">
        <v>52</v>
      </c>
      <c r="V45" s="5">
        <v>0</v>
      </c>
      <c r="W45" s="5">
        <v>0</v>
      </c>
      <c r="X45" s="6">
        <v>0</v>
      </c>
      <c r="Y45" s="6">
        <v>0</v>
      </c>
      <c r="Z45" s="6">
        <v>77</v>
      </c>
      <c r="AA45" s="16">
        <v>0</v>
      </c>
      <c r="AB45" s="5">
        <v>0</v>
      </c>
      <c r="AC45" s="6">
        <v>0</v>
      </c>
      <c r="AD45" s="6">
        <v>0</v>
      </c>
      <c r="AE45" s="6">
        <v>311</v>
      </c>
    </row>
    <row r="46" spans="1:32" x14ac:dyDescent="0.45">
      <c r="A46" s="4" t="s">
        <v>33</v>
      </c>
      <c r="B46" s="5">
        <v>3.8588124204745423E-2</v>
      </c>
      <c r="C46" s="5">
        <v>2.7000780808770424E-2</v>
      </c>
      <c r="D46" s="6">
        <v>0</v>
      </c>
      <c r="E46" s="6">
        <v>1</v>
      </c>
      <c r="F46" s="6">
        <v>54</v>
      </c>
      <c r="G46" s="5">
        <v>0</v>
      </c>
      <c r="H46" s="5">
        <v>0</v>
      </c>
      <c r="I46" s="6">
        <v>0</v>
      </c>
      <c r="J46" s="6">
        <v>0</v>
      </c>
      <c r="K46" s="6">
        <v>84</v>
      </c>
      <c r="L46" s="5">
        <v>0</v>
      </c>
      <c r="M46" s="5">
        <v>0</v>
      </c>
      <c r="N46" s="6">
        <v>0</v>
      </c>
      <c r="O46" s="6">
        <v>0</v>
      </c>
      <c r="P46" s="6">
        <v>33</v>
      </c>
      <c r="Q46" s="5">
        <v>2.1421672598836535E-2</v>
      </c>
      <c r="R46" s="5">
        <v>2.1385233831454509E-2</v>
      </c>
      <c r="S46" s="6">
        <v>0</v>
      </c>
      <c r="T46" s="6">
        <v>1</v>
      </c>
      <c r="U46" s="6">
        <v>51</v>
      </c>
      <c r="V46" s="5">
        <v>0</v>
      </c>
      <c r="W46" s="5">
        <v>0</v>
      </c>
      <c r="X46" s="6" t="s">
        <v>18</v>
      </c>
      <c r="Y46" s="6" t="s">
        <v>18</v>
      </c>
      <c r="Z46" s="6">
        <v>0</v>
      </c>
      <c r="AA46" s="16">
        <v>7.9876436291755684E-3</v>
      </c>
      <c r="AB46" s="5">
        <v>5.5033957137089612E-3</v>
      </c>
      <c r="AC46" s="6">
        <v>0</v>
      </c>
      <c r="AD46" s="6">
        <v>1</v>
      </c>
      <c r="AE46" s="6">
        <v>222</v>
      </c>
      <c r="AF46">
        <f>(AA48/AA47)-AA46</f>
        <v>-7.9876436291755684E-3</v>
      </c>
    </row>
    <row r="47" spans="1:32" x14ac:dyDescent="0.45">
      <c r="A47" s="4" t="s">
        <v>19</v>
      </c>
      <c r="B47" s="5">
        <v>0</v>
      </c>
      <c r="C47" s="5">
        <v>0</v>
      </c>
      <c r="D47" s="6">
        <v>0</v>
      </c>
      <c r="E47" s="6">
        <v>0</v>
      </c>
      <c r="F47" s="6">
        <v>54</v>
      </c>
      <c r="G47" s="5">
        <v>0</v>
      </c>
      <c r="H47" s="5">
        <v>0</v>
      </c>
      <c r="I47" s="6">
        <v>0</v>
      </c>
      <c r="J47" s="6">
        <v>0</v>
      </c>
      <c r="K47" s="6">
        <v>84</v>
      </c>
      <c r="L47" s="5">
        <v>0.51294588308387212</v>
      </c>
      <c r="M47" s="5">
        <v>8.8775012583452828E-2</v>
      </c>
      <c r="N47" s="6">
        <v>0</v>
      </c>
      <c r="O47" s="6">
        <v>1</v>
      </c>
      <c r="P47" s="6">
        <v>33</v>
      </c>
      <c r="Q47" s="5">
        <v>0.20115357837551784</v>
      </c>
      <c r="R47" s="5">
        <v>5.7475752421020931E-2</v>
      </c>
      <c r="S47" s="6">
        <v>0</v>
      </c>
      <c r="T47" s="6">
        <v>1</v>
      </c>
      <c r="U47" s="6">
        <v>51</v>
      </c>
      <c r="V47" s="5">
        <v>0</v>
      </c>
      <c r="W47" s="5">
        <v>0</v>
      </c>
      <c r="X47" s="6" t="s">
        <v>18</v>
      </c>
      <c r="Y47" s="6" t="s">
        <v>18</v>
      </c>
      <c r="Z47" s="6">
        <v>0</v>
      </c>
      <c r="AA47" s="16">
        <v>0.18588338138996935</v>
      </c>
      <c r="AB47" s="5">
        <v>3.2400145905225268E-2</v>
      </c>
      <c r="AC47" s="6">
        <v>0</v>
      </c>
      <c r="AD47" s="6">
        <v>1</v>
      </c>
      <c r="AE47" s="6">
        <v>222</v>
      </c>
      <c r="AF47">
        <f>(AA48/AA46)-AA47</f>
        <v>-0.18588338138996935</v>
      </c>
    </row>
    <row r="48" spans="1:32" ht="26.25" x14ac:dyDescent="0.45">
      <c r="A48" s="4" t="s">
        <v>36</v>
      </c>
      <c r="B48" s="5">
        <v>0</v>
      </c>
      <c r="C48" s="5">
        <v>0</v>
      </c>
      <c r="D48" s="6">
        <v>0</v>
      </c>
      <c r="E48" s="6">
        <v>0</v>
      </c>
      <c r="F48" s="6">
        <v>54</v>
      </c>
      <c r="G48" s="5">
        <v>0</v>
      </c>
      <c r="H48" s="5">
        <v>0</v>
      </c>
      <c r="I48" s="6">
        <v>0</v>
      </c>
      <c r="J48" s="6">
        <v>0</v>
      </c>
      <c r="K48" s="6">
        <v>84</v>
      </c>
      <c r="L48" s="5">
        <v>0</v>
      </c>
      <c r="M48" s="5">
        <v>0</v>
      </c>
      <c r="N48" s="6">
        <v>0</v>
      </c>
      <c r="O48" s="6">
        <v>0</v>
      </c>
      <c r="P48" s="6">
        <v>33</v>
      </c>
      <c r="Q48" s="5">
        <v>0</v>
      </c>
      <c r="R48" s="5">
        <v>0</v>
      </c>
      <c r="S48" s="6">
        <v>0</v>
      </c>
      <c r="T48" s="6">
        <v>0</v>
      </c>
      <c r="U48" s="6">
        <v>51</v>
      </c>
      <c r="V48" s="5">
        <v>0</v>
      </c>
      <c r="W48" s="5">
        <v>0</v>
      </c>
      <c r="X48" s="6" t="s">
        <v>18</v>
      </c>
      <c r="Y48" s="6" t="s">
        <v>18</v>
      </c>
      <c r="Z48" s="6">
        <v>0</v>
      </c>
      <c r="AA48" s="16">
        <v>0</v>
      </c>
      <c r="AB48" s="5">
        <v>0</v>
      </c>
      <c r="AC48" s="6">
        <v>0</v>
      </c>
      <c r="AD48" s="6">
        <v>0</v>
      </c>
      <c r="AE48" s="6">
        <v>222</v>
      </c>
    </row>
    <row r="49" spans="1:32" x14ac:dyDescent="0.45">
      <c r="A49" s="4" t="s">
        <v>37</v>
      </c>
      <c r="B49" s="5">
        <v>0.31377689109759827</v>
      </c>
      <c r="C49" s="5">
        <v>5.0103078905604795E-2</v>
      </c>
      <c r="D49" s="6">
        <v>0</v>
      </c>
      <c r="E49" s="6">
        <v>1</v>
      </c>
      <c r="F49" s="6">
        <v>90</v>
      </c>
      <c r="G49" s="5">
        <v>0.23960380174273821</v>
      </c>
      <c r="H49" s="5">
        <v>3.844390383564044E-2</v>
      </c>
      <c r="I49" s="6">
        <v>0</v>
      </c>
      <c r="J49" s="6">
        <v>1</v>
      </c>
      <c r="K49" s="6">
        <v>125</v>
      </c>
      <c r="L49" s="5">
        <v>7.8621465608527064E-2</v>
      </c>
      <c r="M49" s="5">
        <v>2.5627889855747685E-2</v>
      </c>
      <c r="N49" s="6">
        <v>0</v>
      </c>
      <c r="O49" s="6">
        <v>1</v>
      </c>
      <c r="P49" s="6">
        <v>100</v>
      </c>
      <c r="Q49" s="5">
        <v>0.12035579389780468</v>
      </c>
      <c r="R49" s="5">
        <v>3.5965298701005344E-2</v>
      </c>
      <c r="S49" s="6">
        <v>0</v>
      </c>
      <c r="T49" s="6">
        <v>1</v>
      </c>
      <c r="U49" s="6">
        <v>83</v>
      </c>
      <c r="V49" s="5">
        <v>0.10407303427427916</v>
      </c>
      <c r="W49" s="5">
        <v>4.3448558078011686E-2</v>
      </c>
      <c r="X49" s="6">
        <v>0</v>
      </c>
      <c r="Y49" s="6">
        <v>1</v>
      </c>
      <c r="Z49" s="6">
        <v>49</v>
      </c>
      <c r="AA49" s="16">
        <v>0.15680943878182271</v>
      </c>
      <c r="AB49" s="5">
        <v>1.8639488877210016E-2</v>
      </c>
      <c r="AC49" s="6">
        <v>0</v>
      </c>
      <c r="AD49" s="6">
        <v>1</v>
      </c>
      <c r="AE49" s="6">
        <v>447</v>
      </c>
      <c r="AF49">
        <f>(AA51/AA50)-AA49</f>
        <v>1.730476769749173E-2</v>
      </c>
    </row>
    <row r="50" spans="1:32" x14ac:dyDescent="0.45">
      <c r="A50" s="4" t="s">
        <v>14</v>
      </c>
      <c r="B50" s="5">
        <v>0.79321304904364254</v>
      </c>
      <c r="C50" s="5">
        <v>4.3039128791149045E-2</v>
      </c>
      <c r="D50" s="6">
        <v>0</v>
      </c>
      <c r="E50" s="6">
        <v>1</v>
      </c>
      <c r="F50" s="6">
        <v>90</v>
      </c>
      <c r="G50" s="5">
        <v>0.63843941264368653</v>
      </c>
      <c r="H50" s="5">
        <v>4.3361765153530248E-2</v>
      </c>
      <c r="I50" s="6">
        <v>0</v>
      </c>
      <c r="J50" s="6">
        <v>1</v>
      </c>
      <c r="K50" s="6">
        <v>125</v>
      </c>
      <c r="L50" s="5">
        <v>0.58432009369337878</v>
      </c>
      <c r="M50" s="5">
        <v>5.0207452132509274E-2</v>
      </c>
      <c r="N50" s="6">
        <v>0</v>
      </c>
      <c r="O50" s="6">
        <v>1</v>
      </c>
      <c r="P50" s="6">
        <v>100</v>
      </c>
      <c r="Q50" s="5">
        <v>0.62898008352691293</v>
      </c>
      <c r="R50" s="5">
        <v>5.3401158711994051E-2</v>
      </c>
      <c r="S50" s="6">
        <v>0</v>
      </c>
      <c r="T50" s="6">
        <v>1</v>
      </c>
      <c r="U50" s="6">
        <v>83</v>
      </c>
      <c r="V50" s="5">
        <v>0.81519781986826212</v>
      </c>
      <c r="W50" s="5">
        <v>5.9517950839845665E-2</v>
      </c>
      <c r="X50" s="6">
        <v>0</v>
      </c>
      <c r="Y50" s="6">
        <v>1</v>
      </c>
      <c r="Z50" s="6">
        <v>49</v>
      </c>
      <c r="AA50" s="16">
        <v>0.62633244953010792</v>
      </c>
      <c r="AB50" s="5">
        <v>2.6998005023716822E-2</v>
      </c>
      <c r="AC50" s="6">
        <v>0</v>
      </c>
      <c r="AD50" s="6">
        <v>1</v>
      </c>
      <c r="AE50" s="6">
        <v>447</v>
      </c>
      <c r="AF50">
        <f>(AA51/AA49)-AA50</f>
        <v>6.9119165432380059E-2</v>
      </c>
    </row>
    <row r="51" spans="1:32" ht="26.25" x14ac:dyDescent="0.45">
      <c r="A51" s="4" t="s">
        <v>38</v>
      </c>
      <c r="B51" s="5">
        <v>0.20766343488135441</v>
      </c>
      <c r="C51" s="5">
        <v>4.4213375163597454E-2</v>
      </c>
      <c r="D51" s="6">
        <v>0</v>
      </c>
      <c r="E51" s="6">
        <v>1</v>
      </c>
      <c r="F51" s="6">
        <v>90</v>
      </c>
      <c r="G51" s="5">
        <v>0.1766018672380846</v>
      </c>
      <c r="H51" s="5">
        <v>3.4415022865601309E-2</v>
      </c>
      <c r="I51" s="6">
        <v>0</v>
      </c>
      <c r="J51" s="6">
        <v>1</v>
      </c>
      <c r="K51" s="6">
        <v>125</v>
      </c>
      <c r="L51" s="5">
        <v>5.9722837645266855E-2</v>
      </c>
      <c r="M51" s="5">
        <v>2.2287124031975504E-2</v>
      </c>
      <c r="N51" s="6">
        <v>0</v>
      </c>
      <c r="O51" s="6">
        <v>1</v>
      </c>
      <c r="P51" s="6">
        <v>100</v>
      </c>
      <c r="Q51" s="5">
        <v>5.9798094560288478E-2</v>
      </c>
      <c r="R51" s="5">
        <v>2.6113408887433725E-2</v>
      </c>
      <c r="S51" s="6">
        <v>0</v>
      </c>
      <c r="T51" s="6">
        <v>1</v>
      </c>
      <c r="U51" s="6">
        <v>83</v>
      </c>
      <c r="V51" s="5">
        <v>0.10407303427427916</v>
      </c>
      <c r="W51" s="5">
        <v>4.3448558078011686E-2</v>
      </c>
      <c r="X51" s="6">
        <v>0</v>
      </c>
      <c r="Y51" s="6">
        <v>1</v>
      </c>
      <c r="Z51" s="6">
        <v>49</v>
      </c>
      <c r="AA51" s="16">
        <v>0.10905337744217999</v>
      </c>
      <c r="AB51" s="5">
        <v>1.5964631489452992E-2</v>
      </c>
      <c r="AC51" s="6">
        <v>0</v>
      </c>
      <c r="AD51" s="6">
        <v>1</v>
      </c>
      <c r="AE51" s="6">
        <v>447</v>
      </c>
    </row>
    <row r="52" spans="1:32" x14ac:dyDescent="0.45">
      <c r="A52" s="4" t="s">
        <v>37</v>
      </c>
      <c r="B52" s="5">
        <v>0.25599558268250366</v>
      </c>
      <c r="C52" s="5">
        <v>5.4335562884789898E-2</v>
      </c>
      <c r="D52" s="6">
        <v>0</v>
      </c>
      <c r="E52" s="6">
        <v>1</v>
      </c>
      <c r="F52" s="6">
        <v>69</v>
      </c>
      <c r="G52" s="5">
        <v>0.12537255286629082</v>
      </c>
      <c r="H52" s="5">
        <v>4.1991424191841993E-2</v>
      </c>
      <c r="I52" s="6">
        <v>0</v>
      </c>
      <c r="J52" s="6">
        <v>1</v>
      </c>
      <c r="K52" s="6">
        <v>64</v>
      </c>
      <c r="L52" s="5">
        <v>8.6633796218865564E-2</v>
      </c>
      <c r="M52" s="5">
        <v>3.8243328472002833E-2</v>
      </c>
      <c r="N52" s="6">
        <v>0</v>
      </c>
      <c r="O52" s="6">
        <v>1</v>
      </c>
      <c r="P52" s="6">
        <v>49</v>
      </c>
      <c r="Q52" s="5">
        <v>0.21349618116290786</v>
      </c>
      <c r="R52" s="5">
        <v>5.7711672255248148E-2</v>
      </c>
      <c r="S52" s="6">
        <v>0</v>
      </c>
      <c r="T52" s="6">
        <v>1</v>
      </c>
      <c r="U52" s="6">
        <v>52</v>
      </c>
      <c r="V52" s="5">
        <v>0.1443110409160259</v>
      </c>
      <c r="W52" s="5">
        <v>4.5502296510387855E-2</v>
      </c>
      <c r="X52" s="6">
        <v>0</v>
      </c>
      <c r="Y52" s="6">
        <v>1</v>
      </c>
      <c r="Z52" s="6">
        <v>77</v>
      </c>
      <c r="AA52" s="16">
        <v>0.14344394004476063</v>
      </c>
      <c r="AB52" s="5">
        <v>2.3764007079016373E-2</v>
      </c>
      <c r="AC52" s="6">
        <v>0</v>
      </c>
      <c r="AD52" s="6">
        <v>1</v>
      </c>
      <c r="AE52" s="6">
        <v>311</v>
      </c>
      <c r="AF52">
        <f>(AA54/AA53)-AA52</f>
        <v>-0.1035654668075851</v>
      </c>
    </row>
    <row r="53" spans="1:32" ht="26.25" x14ac:dyDescent="0.45">
      <c r="A53" s="4" t="s">
        <v>16</v>
      </c>
      <c r="B53" s="5">
        <v>2.0116465112707569E-2</v>
      </c>
      <c r="C53" s="5">
        <v>1.6411369979554096E-2</v>
      </c>
      <c r="D53" s="6">
        <v>0</v>
      </c>
      <c r="E53" s="6">
        <v>1</v>
      </c>
      <c r="F53" s="6">
        <v>69</v>
      </c>
      <c r="G53" s="5">
        <v>0</v>
      </c>
      <c r="H53" s="5">
        <v>0</v>
      </c>
      <c r="I53" s="6">
        <v>0</v>
      </c>
      <c r="J53" s="6">
        <v>0</v>
      </c>
      <c r="K53" s="6">
        <v>64</v>
      </c>
      <c r="L53" s="5">
        <v>0</v>
      </c>
      <c r="M53" s="5">
        <v>0</v>
      </c>
      <c r="N53" s="6">
        <v>0</v>
      </c>
      <c r="O53" s="6">
        <v>0</v>
      </c>
      <c r="P53" s="6">
        <v>49</v>
      </c>
      <c r="Q53" s="5">
        <v>3.7239277633767734E-2</v>
      </c>
      <c r="R53" s="5">
        <v>2.6109109911868628E-2</v>
      </c>
      <c r="S53" s="6">
        <v>0</v>
      </c>
      <c r="T53" s="6">
        <v>1</v>
      </c>
      <c r="U53" s="6">
        <v>52</v>
      </c>
      <c r="V53" s="5">
        <v>4.5102864901990225E-2</v>
      </c>
      <c r="W53" s="5">
        <v>2.105195985339256E-2</v>
      </c>
      <c r="X53" s="6">
        <v>0</v>
      </c>
      <c r="Y53" s="6">
        <v>1</v>
      </c>
      <c r="Z53" s="6">
        <v>77</v>
      </c>
      <c r="AA53" s="16">
        <v>1.0517616768506599E-2</v>
      </c>
      <c r="AB53" s="5">
        <v>6.0121864066784306E-3</v>
      </c>
      <c r="AC53" s="6">
        <v>0</v>
      </c>
      <c r="AD53" s="6">
        <v>1</v>
      </c>
      <c r="AE53" s="6">
        <v>311</v>
      </c>
      <c r="AF53">
        <f>(AA54/AA52)-AA53</f>
        <v>-7.5936417390220501E-3</v>
      </c>
    </row>
    <row r="54" spans="1:32" ht="26.25" x14ac:dyDescent="0.45">
      <c r="A54" s="4" t="s">
        <v>39</v>
      </c>
      <c r="B54" s="5">
        <v>4.2392112186812629E-3</v>
      </c>
      <c r="C54" s="5">
        <v>4.2850466986920199E-3</v>
      </c>
      <c r="D54" s="6">
        <v>0</v>
      </c>
      <c r="E54" s="6">
        <v>1</v>
      </c>
      <c r="F54" s="6">
        <v>69</v>
      </c>
      <c r="G54" s="5">
        <v>0</v>
      </c>
      <c r="H54" s="5">
        <v>0</v>
      </c>
      <c r="I54" s="6">
        <v>0</v>
      </c>
      <c r="J54" s="6">
        <v>0</v>
      </c>
      <c r="K54" s="6">
        <v>64</v>
      </c>
      <c r="L54" s="5">
        <v>0</v>
      </c>
      <c r="M54" s="5">
        <v>0</v>
      </c>
      <c r="N54" s="6">
        <v>0</v>
      </c>
      <c r="O54" s="6">
        <v>0</v>
      </c>
      <c r="P54" s="6">
        <v>49</v>
      </c>
      <c r="Q54" s="5">
        <v>0</v>
      </c>
      <c r="R54" s="5">
        <v>0</v>
      </c>
      <c r="S54" s="6">
        <v>0</v>
      </c>
      <c r="T54" s="6">
        <v>0</v>
      </c>
      <c r="U54" s="6">
        <v>52</v>
      </c>
      <c r="V54" s="5">
        <v>0</v>
      </c>
      <c r="W54" s="5">
        <v>0</v>
      </c>
      <c r="X54" s="6">
        <v>0</v>
      </c>
      <c r="Y54" s="6">
        <v>0</v>
      </c>
      <c r="Z54" s="6">
        <v>77</v>
      </c>
      <c r="AA54" s="16">
        <v>4.1942649882175889E-4</v>
      </c>
      <c r="AB54" s="5">
        <v>4.2105602298388417E-4</v>
      </c>
      <c r="AC54" s="6">
        <v>0</v>
      </c>
      <c r="AD54" s="6">
        <v>1</v>
      </c>
      <c r="AE54" s="6">
        <v>311</v>
      </c>
    </row>
    <row r="55" spans="1:32" x14ac:dyDescent="0.45">
      <c r="A55" s="4" t="s">
        <v>37</v>
      </c>
      <c r="B55" s="5">
        <v>0.38752481479965017</v>
      </c>
      <c r="C55" s="5">
        <v>6.7705278261890628E-2</v>
      </c>
      <c r="D55" s="6">
        <v>0</v>
      </c>
      <c r="E55" s="6">
        <v>1</v>
      </c>
      <c r="F55" s="6">
        <v>54</v>
      </c>
      <c r="G55" s="5">
        <v>0.15388926962063282</v>
      </c>
      <c r="H55" s="5">
        <v>3.9617422535679313E-2</v>
      </c>
      <c r="I55" s="6">
        <v>0</v>
      </c>
      <c r="J55" s="6">
        <v>1</v>
      </c>
      <c r="K55" s="6">
        <v>84</v>
      </c>
      <c r="L55" s="5">
        <v>0.33885257076153091</v>
      </c>
      <c r="M55" s="5">
        <v>8.4433108400444684E-2</v>
      </c>
      <c r="N55" s="6">
        <v>0</v>
      </c>
      <c r="O55" s="6">
        <v>1</v>
      </c>
      <c r="P55" s="6">
        <v>33</v>
      </c>
      <c r="Q55" s="5">
        <v>7.3892115200379846E-2</v>
      </c>
      <c r="R55" s="5">
        <v>3.6131236885440753E-2</v>
      </c>
      <c r="S55" s="6">
        <v>0</v>
      </c>
      <c r="T55" s="6">
        <v>1</v>
      </c>
      <c r="U55" s="6">
        <v>51</v>
      </c>
      <c r="V55" s="5">
        <v>0</v>
      </c>
      <c r="W55" s="5">
        <v>0</v>
      </c>
      <c r="X55" s="6" t="s">
        <v>18</v>
      </c>
      <c r="Y55" s="6" t="s">
        <v>18</v>
      </c>
      <c r="Z55" s="6">
        <v>0</v>
      </c>
      <c r="AA55" s="16">
        <v>0.20190715498234052</v>
      </c>
      <c r="AB55" s="5">
        <v>3.0767633636798172E-2</v>
      </c>
      <c r="AC55" s="6">
        <v>0</v>
      </c>
      <c r="AD55" s="6">
        <v>1</v>
      </c>
      <c r="AE55" s="6">
        <v>222</v>
      </c>
      <c r="AF55">
        <f>(AA57/AA56)-AA55</f>
        <v>-7.0192030058509242E-2</v>
      </c>
    </row>
    <row r="56" spans="1:32" x14ac:dyDescent="0.45">
      <c r="A56" s="4" t="s">
        <v>19</v>
      </c>
      <c r="B56" s="5">
        <v>0</v>
      </c>
      <c r="C56" s="5">
        <v>0</v>
      </c>
      <c r="D56" s="6">
        <v>0</v>
      </c>
      <c r="E56" s="6">
        <v>0</v>
      </c>
      <c r="F56" s="6">
        <v>54</v>
      </c>
      <c r="G56" s="5">
        <v>0</v>
      </c>
      <c r="H56" s="5">
        <v>0</v>
      </c>
      <c r="I56" s="6">
        <v>0</v>
      </c>
      <c r="J56" s="6">
        <v>0</v>
      </c>
      <c r="K56" s="6">
        <v>84</v>
      </c>
      <c r="L56" s="5">
        <v>0.51294588308387212</v>
      </c>
      <c r="M56" s="5">
        <v>8.8775012583452828E-2</v>
      </c>
      <c r="N56" s="6">
        <v>0</v>
      </c>
      <c r="O56" s="6">
        <v>1</v>
      </c>
      <c r="P56" s="6">
        <v>33</v>
      </c>
      <c r="Q56" s="5">
        <v>0.20115357837551784</v>
      </c>
      <c r="R56" s="5">
        <v>5.7475752421020931E-2</v>
      </c>
      <c r="S56" s="6">
        <v>0</v>
      </c>
      <c r="T56" s="6">
        <v>1</v>
      </c>
      <c r="U56" s="6">
        <v>51</v>
      </c>
      <c r="V56" s="5">
        <v>0</v>
      </c>
      <c r="W56" s="5">
        <v>0</v>
      </c>
      <c r="X56" s="6" t="s">
        <v>18</v>
      </c>
      <c r="Y56" s="6" t="s">
        <v>18</v>
      </c>
      <c r="Z56" s="6">
        <v>0</v>
      </c>
      <c r="AA56" s="16">
        <v>0.18588338138996935</v>
      </c>
      <c r="AB56" s="5">
        <v>3.2400145905225268E-2</v>
      </c>
      <c r="AC56" s="6">
        <v>0</v>
      </c>
      <c r="AD56" s="6">
        <v>1</v>
      </c>
      <c r="AE56" s="6">
        <v>222</v>
      </c>
      <c r="AF56">
        <f>(AA57/AA55)-AA56</f>
        <v>-6.4621443925765021E-2</v>
      </c>
    </row>
    <row r="57" spans="1:32" ht="26.25" x14ac:dyDescent="0.45">
      <c r="A57" s="4" t="s">
        <v>40</v>
      </c>
      <c r="B57" s="5">
        <v>0</v>
      </c>
      <c r="C57" s="5">
        <v>0</v>
      </c>
      <c r="D57" s="6">
        <v>0</v>
      </c>
      <c r="E57" s="6">
        <v>0</v>
      </c>
      <c r="F57" s="6">
        <v>54</v>
      </c>
      <c r="G57" s="5">
        <v>0</v>
      </c>
      <c r="H57" s="5">
        <v>0</v>
      </c>
      <c r="I57" s="6">
        <v>0</v>
      </c>
      <c r="J57" s="6">
        <v>0</v>
      </c>
      <c r="K57" s="6">
        <v>84</v>
      </c>
      <c r="L57" s="5">
        <v>5.8673930356348242E-2</v>
      </c>
      <c r="M57" s="5">
        <v>4.1258838310709277E-2</v>
      </c>
      <c r="N57" s="6">
        <v>0</v>
      </c>
      <c r="O57" s="6">
        <v>1</v>
      </c>
      <c r="P57" s="6">
        <v>33</v>
      </c>
      <c r="Q57" s="5">
        <v>3.6503118024052476E-2</v>
      </c>
      <c r="R57" s="5">
        <v>2.5632253324543507E-2</v>
      </c>
      <c r="S57" s="6">
        <v>0</v>
      </c>
      <c r="T57" s="6">
        <v>1</v>
      </c>
      <c r="U57" s="6">
        <v>51</v>
      </c>
      <c r="V57" s="5">
        <v>0</v>
      </c>
      <c r="W57" s="5">
        <v>0</v>
      </c>
      <c r="X57" s="6" t="s">
        <v>18</v>
      </c>
      <c r="Y57" s="6" t="s">
        <v>18</v>
      </c>
      <c r="Z57" s="6">
        <v>0</v>
      </c>
      <c r="AA57" s="16">
        <v>2.4483652801043986E-2</v>
      </c>
      <c r="AB57" s="5">
        <v>1.2666735543966972E-2</v>
      </c>
      <c r="AC57" s="6">
        <v>0</v>
      </c>
      <c r="AD57" s="6">
        <v>1</v>
      </c>
      <c r="AE57" s="6">
        <v>222</v>
      </c>
    </row>
    <row r="58" spans="1:32" x14ac:dyDescent="0.45">
      <c r="A58" s="4" t="s">
        <v>41</v>
      </c>
      <c r="B58" s="5">
        <v>3.2038247776882481E-2</v>
      </c>
      <c r="C58" s="5">
        <v>1.853380708659165E-2</v>
      </c>
      <c r="D58" s="6">
        <v>0</v>
      </c>
      <c r="E58" s="6">
        <v>1</v>
      </c>
      <c r="F58" s="6">
        <v>90</v>
      </c>
      <c r="G58" s="5">
        <v>8.3028786820851991E-2</v>
      </c>
      <c r="H58" s="5">
        <v>2.5232076022014275E-2</v>
      </c>
      <c r="I58" s="6">
        <v>0</v>
      </c>
      <c r="J58" s="6">
        <v>1</v>
      </c>
      <c r="K58" s="6">
        <v>125</v>
      </c>
      <c r="L58" s="5">
        <v>2.7685994524427979E-2</v>
      </c>
      <c r="M58" s="5">
        <v>1.5877178745762492E-2</v>
      </c>
      <c r="N58" s="6">
        <v>0</v>
      </c>
      <c r="O58" s="6">
        <v>1</v>
      </c>
      <c r="P58" s="6">
        <v>100</v>
      </c>
      <c r="Q58" s="5">
        <v>4.7275733283579535E-2</v>
      </c>
      <c r="R58" s="5">
        <v>2.3249181017508141E-2</v>
      </c>
      <c r="S58" s="6">
        <v>0</v>
      </c>
      <c r="T58" s="6">
        <v>1</v>
      </c>
      <c r="U58" s="6">
        <v>83</v>
      </c>
      <c r="V58" s="5">
        <v>8.8037257850940701E-2</v>
      </c>
      <c r="W58" s="5">
        <v>4.0838730502072186E-2</v>
      </c>
      <c r="X58" s="6">
        <v>0</v>
      </c>
      <c r="Y58" s="6">
        <v>1</v>
      </c>
      <c r="Z58" s="6">
        <v>49</v>
      </c>
      <c r="AA58" s="16">
        <v>5.0213286811967579E-2</v>
      </c>
      <c r="AB58" s="5">
        <v>1.1556359362904575E-2</v>
      </c>
      <c r="AC58" s="6">
        <v>0</v>
      </c>
      <c r="AD58" s="6">
        <v>1</v>
      </c>
      <c r="AE58" s="6">
        <v>447</v>
      </c>
      <c r="AF58">
        <f>(AA60/AA59)-AA58</f>
        <v>4.7111730061168353E-3</v>
      </c>
    </row>
    <row r="59" spans="1:32" x14ac:dyDescent="0.45">
      <c r="A59" s="4" t="s">
        <v>14</v>
      </c>
      <c r="B59" s="5">
        <v>0.79321304904364254</v>
      </c>
      <c r="C59" s="5">
        <v>4.3039128791149045E-2</v>
      </c>
      <c r="D59" s="6">
        <v>0</v>
      </c>
      <c r="E59" s="6">
        <v>1</v>
      </c>
      <c r="F59" s="6">
        <v>90</v>
      </c>
      <c r="G59" s="5">
        <v>0.63843941264368653</v>
      </c>
      <c r="H59" s="5">
        <v>4.3361765153530248E-2</v>
      </c>
      <c r="I59" s="6">
        <v>0</v>
      </c>
      <c r="J59" s="6">
        <v>1</v>
      </c>
      <c r="K59" s="6">
        <v>125</v>
      </c>
      <c r="L59" s="5">
        <v>0.58432009369337878</v>
      </c>
      <c r="M59" s="5">
        <v>5.0207452132509274E-2</v>
      </c>
      <c r="N59" s="6">
        <v>0</v>
      </c>
      <c r="O59" s="6">
        <v>1</v>
      </c>
      <c r="P59" s="6">
        <v>100</v>
      </c>
      <c r="Q59" s="5">
        <v>0.62898008352691293</v>
      </c>
      <c r="R59" s="5">
        <v>5.3401158711994051E-2</v>
      </c>
      <c r="S59" s="6">
        <v>0</v>
      </c>
      <c r="T59" s="6">
        <v>1</v>
      </c>
      <c r="U59" s="6">
        <v>83</v>
      </c>
      <c r="V59" s="5">
        <v>0.81519781986826212</v>
      </c>
      <c r="W59" s="5">
        <v>5.9517950839845665E-2</v>
      </c>
      <c r="X59" s="6">
        <v>0</v>
      </c>
      <c r="Y59" s="6">
        <v>1</v>
      </c>
      <c r="Z59" s="6">
        <v>49</v>
      </c>
      <c r="AA59" s="16">
        <v>0.62633244953010792</v>
      </c>
      <c r="AB59" s="5">
        <v>2.6998005023716822E-2</v>
      </c>
      <c r="AC59" s="6">
        <v>0</v>
      </c>
      <c r="AD59" s="6">
        <v>1</v>
      </c>
      <c r="AE59" s="6">
        <v>447</v>
      </c>
      <c r="AF59">
        <f>(AA60/AA58)-AA59</f>
        <v>5.8764536568397086E-2</v>
      </c>
    </row>
    <row r="60" spans="1:32" ht="26.25" x14ac:dyDescent="0.45">
      <c r="A60" s="4" t="s">
        <v>42</v>
      </c>
      <c r="B60" s="5">
        <v>1.9763287068016683E-2</v>
      </c>
      <c r="C60" s="5">
        <v>1.4084300548707254E-2</v>
      </c>
      <c r="D60" s="6">
        <v>0</v>
      </c>
      <c r="E60" s="6">
        <v>1</v>
      </c>
      <c r="F60" s="6">
        <v>90</v>
      </c>
      <c r="G60" s="5">
        <v>5.8377331546767976E-2</v>
      </c>
      <c r="H60" s="5">
        <v>2.1485384526926526E-2</v>
      </c>
      <c r="I60" s="6">
        <v>0</v>
      </c>
      <c r="J60" s="6">
        <v>1</v>
      </c>
      <c r="K60" s="6">
        <v>125</v>
      </c>
      <c r="L60" s="5">
        <v>2.7685994524427979E-2</v>
      </c>
      <c r="M60" s="5">
        <v>1.5877178745762492E-2</v>
      </c>
      <c r="N60" s="6">
        <v>0</v>
      </c>
      <c r="O60" s="6">
        <v>1</v>
      </c>
      <c r="P60" s="6">
        <v>100</v>
      </c>
      <c r="Q60" s="5">
        <v>1.2265940797748115E-2</v>
      </c>
      <c r="R60" s="5">
        <v>1.2263610549751603E-2</v>
      </c>
      <c r="S60" s="6">
        <v>0</v>
      </c>
      <c r="T60" s="6">
        <v>1</v>
      </c>
      <c r="U60" s="6">
        <v>83</v>
      </c>
      <c r="V60" s="5">
        <v>8.8037257850940701E-2</v>
      </c>
      <c r="W60" s="5">
        <v>4.0838730502072186E-2</v>
      </c>
      <c r="X60" s="6">
        <v>0</v>
      </c>
      <c r="Y60" s="6">
        <v>1</v>
      </c>
      <c r="Z60" s="6">
        <v>49</v>
      </c>
      <c r="AA60" s="16">
        <v>3.4400971456978797E-2</v>
      </c>
      <c r="AB60" s="5">
        <v>9.9036259912982129E-3</v>
      </c>
      <c r="AC60" s="6">
        <v>0</v>
      </c>
      <c r="AD60" s="6">
        <v>1</v>
      </c>
      <c r="AE60" s="6">
        <v>447</v>
      </c>
    </row>
    <row r="61" spans="1:32" x14ac:dyDescent="0.45">
      <c r="A61" s="4" t="s">
        <v>41</v>
      </c>
      <c r="B61" s="5">
        <v>4.2392112186812629E-3</v>
      </c>
      <c r="C61" s="5">
        <v>4.2850466986920199E-3</v>
      </c>
      <c r="D61" s="6">
        <v>0</v>
      </c>
      <c r="E61" s="6">
        <v>1</v>
      </c>
      <c r="F61" s="6">
        <v>69</v>
      </c>
      <c r="G61" s="5">
        <v>1.5697958161769734E-2</v>
      </c>
      <c r="H61" s="5">
        <v>1.5697708728685058E-2</v>
      </c>
      <c r="I61" s="6">
        <v>0</v>
      </c>
      <c r="J61" s="6">
        <v>1</v>
      </c>
      <c r="K61" s="6">
        <v>64</v>
      </c>
      <c r="L61" s="5">
        <v>0</v>
      </c>
      <c r="M61" s="5">
        <v>0</v>
      </c>
      <c r="N61" s="6">
        <v>0</v>
      </c>
      <c r="O61" s="6">
        <v>0</v>
      </c>
      <c r="P61" s="6">
        <v>49</v>
      </c>
      <c r="Q61" s="5">
        <v>0.13355175020941817</v>
      </c>
      <c r="R61" s="5">
        <v>4.7531816536433402E-2</v>
      </c>
      <c r="S61" s="6">
        <v>0</v>
      </c>
      <c r="T61" s="6">
        <v>1</v>
      </c>
      <c r="U61" s="6">
        <v>52</v>
      </c>
      <c r="V61" s="5">
        <v>9.0661811393406028E-3</v>
      </c>
      <c r="W61" s="5">
        <v>9.1088024226924393E-3</v>
      </c>
      <c r="X61" s="6">
        <v>0</v>
      </c>
      <c r="Y61" s="6">
        <v>1</v>
      </c>
      <c r="Z61" s="6">
        <v>77</v>
      </c>
      <c r="AA61" s="16">
        <v>3.4605612743044821E-2</v>
      </c>
      <c r="AB61" s="5">
        <v>1.19566052057784E-2</v>
      </c>
      <c r="AC61" s="6">
        <v>0</v>
      </c>
      <c r="AD61" s="6">
        <v>1</v>
      </c>
      <c r="AE61" s="6">
        <v>311</v>
      </c>
      <c r="AF61">
        <f>(AA63/AA62)-AA61</f>
        <v>5.2728604941306989E-3</v>
      </c>
    </row>
    <row r="62" spans="1:32" ht="26.25" x14ac:dyDescent="0.45">
      <c r="A62" s="4" t="s">
        <v>16</v>
      </c>
      <c r="B62" s="5">
        <v>2.0116465112707569E-2</v>
      </c>
      <c r="C62" s="5">
        <v>1.6411369979554096E-2</v>
      </c>
      <c r="D62" s="6">
        <v>0</v>
      </c>
      <c r="E62" s="6">
        <v>1</v>
      </c>
      <c r="F62" s="6">
        <v>69</v>
      </c>
      <c r="G62" s="5">
        <v>0</v>
      </c>
      <c r="H62" s="5">
        <v>0</v>
      </c>
      <c r="I62" s="6">
        <v>0</v>
      </c>
      <c r="J62" s="6">
        <v>0</v>
      </c>
      <c r="K62" s="6">
        <v>64</v>
      </c>
      <c r="L62" s="5">
        <v>0</v>
      </c>
      <c r="M62" s="5">
        <v>0</v>
      </c>
      <c r="N62" s="6">
        <v>0</v>
      </c>
      <c r="O62" s="6">
        <v>0</v>
      </c>
      <c r="P62" s="6">
        <v>49</v>
      </c>
      <c r="Q62" s="5">
        <v>3.7239277633767734E-2</v>
      </c>
      <c r="R62" s="5">
        <v>2.6109109911868628E-2</v>
      </c>
      <c r="S62" s="6">
        <v>0</v>
      </c>
      <c r="T62" s="6">
        <v>1</v>
      </c>
      <c r="U62" s="6">
        <v>52</v>
      </c>
      <c r="V62" s="5">
        <v>4.5102864901990225E-2</v>
      </c>
      <c r="W62" s="5">
        <v>2.105195985339256E-2</v>
      </c>
      <c r="X62" s="6">
        <v>0</v>
      </c>
      <c r="Y62" s="6">
        <v>1</v>
      </c>
      <c r="Z62" s="6">
        <v>77</v>
      </c>
      <c r="AA62" s="16">
        <v>1.0517616768506599E-2</v>
      </c>
      <c r="AB62" s="5">
        <v>6.0121864066784306E-3</v>
      </c>
      <c r="AC62" s="6">
        <v>0</v>
      </c>
      <c r="AD62" s="6">
        <v>1</v>
      </c>
      <c r="AE62" s="6">
        <v>311</v>
      </c>
      <c r="AF62">
        <f>(AA63/AA61)-AA62</f>
        <v>1.6025702640451358E-3</v>
      </c>
    </row>
    <row r="63" spans="1:32" ht="39.4" x14ac:dyDescent="0.45">
      <c r="A63" s="4" t="s">
        <v>43</v>
      </c>
      <c r="B63" s="5">
        <v>4.2392112186812629E-3</v>
      </c>
      <c r="C63" s="5">
        <v>4.2850466986920199E-3</v>
      </c>
      <c r="D63" s="6">
        <v>0</v>
      </c>
      <c r="E63" s="6">
        <v>1</v>
      </c>
      <c r="F63" s="6">
        <v>69</v>
      </c>
      <c r="G63" s="5">
        <v>0</v>
      </c>
      <c r="H63" s="5">
        <v>0</v>
      </c>
      <c r="I63" s="6">
        <v>0</v>
      </c>
      <c r="J63" s="6">
        <v>0</v>
      </c>
      <c r="K63" s="6">
        <v>64</v>
      </c>
      <c r="L63" s="5">
        <v>0</v>
      </c>
      <c r="M63" s="5">
        <v>0</v>
      </c>
      <c r="N63" s="6">
        <v>0</v>
      </c>
      <c r="O63" s="6">
        <v>0</v>
      </c>
      <c r="P63" s="6">
        <v>49</v>
      </c>
      <c r="Q63" s="5">
        <v>0</v>
      </c>
      <c r="R63" s="5">
        <v>0</v>
      </c>
      <c r="S63" s="6">
        <v>0</v>
      </c>
      <c r="T63" s="6">
        <v>0</v>
      </c>
      <c r="U63" s="6">
        <v>52</v>
      </c>
      <c r="V63" s="5">
        <v>0</v>
      </c>
      <c r="W63" s="5">
        <v>0</v>
      </c>
      <c r="X63" s="6">
        <v>0</v>
      </c>
      <c r="Y63" s="6">
        <v>0</v>
      </c>
      <c r="Z63" s="6">
        <v>77</v>
      </c>
      <c r="AA63" s="16">
        <v>4.1942649882175889E-4</v>
      </c>
      <c r="AB63" s="5">
        <v>4.2105602298388417E-4</v>
      </c>
      <c r="AC63" s="6">
        <v>0</v>
      </c>
      <c r="AD63" s="6">
        <v>1</v>
      </c>
      <c r="AE63" s="6">
        <v>311</v>
      </c>
    </row>
    <row r="64" spans="1:32" x14ac:dyDescent="0.45">
      <c r="A64" s="4" t="s">
        <v>41</v>
      </c>
      <c r="B64" s="5">
        <v>8.1296366420468405E-2</v>
      </c>
      <c r="C64" s="5">
        <v>3.9535894256564161E-2</v>
      </c>
      <c r="D64" s="6">
        <v>0</v>
      </c>
      <c r="E64" s="6">
        <v>1</v>
      </c>
      <c r="F64" s="6">
        <v>54</v>
      </c>
      <c r="G64" s="5">
        <v>6.2594792721310397E-2</v>
      </c>
      <c r="H64" s="5">
        <v>2.7244744925628665E-2</v>
      </c>
      <c r="I64" s="6">
        <v>0</v>
      </c>
      <c r="J64" s="6">
        <v>1</v>
      </c>
      <c r="K64" s="6">
        <v>84</v>
      </c>
      <c r="L64" s="5">
        <v>0.30566960100207186</v>
      </c>
      <c r="M64" s="5">
        <v>8.2070422905712287E-2</v>
      </c>
      <c r="N64" s="6">
        <v>0</v>
      </c>
      <c r="O64" s="6">
        <v>1</v>
      </c>
      <c r="P64" s="6">
        <v>33</v>
      </c>
      <c r="Q64" s="5">
        <v>1.8177062852793479E-2</v>
      </c>
      <c r="R64" s="5">
        <v>1.8206303046604991E-2</v>
      </c>
      <c r="S64" s="6">
        <v>0</v>
      </c>
      <c r="T64" s="6">
        <v>1</v>
      </c>
      <c r="U64" s="6">
        <v>51</v>
      </c>
      <c r="V64" s="5">
        <v>0</v>
      </c>
      <c r="W64" s="5">
        <v>0</v>
      </c>
      <c r="X64" s="6" t="s">
        <v>18</v>
      </c>
      <c r="Y64" s="6" t="s">
        <v>18</v>
      </c>
      <c r="Z64" s="6">
        <v>0</v>
      </c>
      <c r="AA64" s="16">
        <v>0.11871642238928072</v>
      </c>
      <c r="AB64" s="5">
        <v>2.6987556813836831E-2</v>
      </c>
      <c r="AC64" s="6">
        <v>0</v>
      </c>
      <c r="AD64" s="6">
        <v>1</v>
      </c>
      <c r="AE64" s="6">
        <v>222</v>
      </c>
      <c r="AF64">
        <f>(AA66/AA65)-AA64</f>
        <v>-1.0535654190098956E-2</v>
      </c>
    </row>
    <row r="65" spans="1:32" x14ac:dyDescent="0.45">
      <c r="A65" s="4" t="s">
        <v>19</v>
      </c>
      <c r="B65" s="5">
        <v>0</v>
      </c>
      <c r="C65" s="5">
        <v>0</v>
      </c>
      <c r="D65" s="6">
        <v>0</v>
      </c>
      <c r="E65" s="6">
        <v>0</v>
      </c>
      <c r="F65" s="6">
        <v>54</v>
      </c>
      <c r="G65" s="5">
        <v>0</v>
      </c>
      <c r="H65" s="5">
        <v>0</v>
      </c>
      <c r="I65" s="6">
        <v>0</v>
      </c>
      <c r="J65" s="6">
        <v>0</v>
      </c>
      <c r="K65" s="6">
        <v>84</v>
      </c>
      <c r="L65" s="5">
        <v>0.51294588308387212</v>
      </c>
      <c r="M65" s="5">
        <v>8.8775012583452828E-2</v>
      </c>
      <c r="N65" s="6">
        <v>0</v>
      </c>
      <c r="O65" s="6">
        <v>1</v>
      </c>
      <c r="P65" s="6">
        <v>33</v>
      </c>
      <c r="Q65" s="5">
        <v>0.20115357837551784</v>
      </c>
      <c r="R65" s="5">
        <v>5.7475752421020931E-2</v>
      </c>
      <c r="S65" s="6">
        <v>0</v>
      </c>
      <c r="T65" s="6">
        <v>1</v>
      </c>
      <c r="U65" s="6">
        <v>51</v>
      </c>
      <c r="V65" s="5">
        <v>0</v>
      </c>
      <c r="W65" s="5">
        <v>0</v>
      </c>
      <c r="X65" s="6" t="s">
        <v>18</v>
      </c>
      <c r="Y65" s="6" t="s">
        <v>18</v>
      </c>
      <c r="Z65" s="6">
        <v>0</v>
      </c>
      <c r="AA65" s="16">
        <v>0.18588338138996935</v>
      </c>
      <c r="AB65" s="5">
        <v>3.2400145905225268E-2</v>
      </c>
      <c r="AC65" s="6">
        <v>0</v>
      </c>
      <c r="AD65" s="6">
        <v>1</v>
      </c>
      <c r="AE65" s="6">
        <v>222</v>
      </c>
      <c r="AF65">
        <f>(AA66/AA64)-AA65</f>
        <v>-1.6496479481071552E-2</v>
      </c>
    </row>
    <row r="66" spans="1:32" ht="26.25" x14ac:dyDescent="0.45">
      <c r="A66" s="4" t="s">
        <v>44</v>
      </c>
      <c r="B66" s="5">
        <v>0</v>
      </c>
      <c r="C66" s="5">
        <v>0</v>
      </c>
      <c r="D66" s="6">
        <v>0</v>
      </c>
      <c r="E66" s="6">
        <v>0</v>
      </c>
      <c r="F66" s="6">
        <v>54</v>
      </c>
      <c r="G66" s="5">
        <v>0</v>
      </c>
      <c r="H66" s="5">
        <v>0</v>
      </c>
      <c r="I66" s="6">
        <v>0</v>
      </c>
      <c r="J66" s="6">
        <v>0</v>
      </c>
      <c r="K66" s="6">
        <v>84</v>
      </c>
      <c r="L66" s="5">
        <v>5.8673930356348242E-2</v>
      </c>
      <c r="M66" s="5">
        <v>4.1258838310709277E-2</v>
      </c>
      <c r="N66" s="6">
        <v>0</v>
      </c>
      <c r="O66" s="6">
        <v>1</v>
      </c>
      <c r="P66" s="6">
        <v>33</v>
      </c>
      <c r="Q66" s="5">
        <v>1.8177062852793479E-2</v>
      </c>
      <c r="R66" s="5">
        <v>1.8206303046604991E-2</v>
      </c>
      <c r="S66" s="6">
        <v>0</v>
      </c>
      <c r="T66" s="6">
        <v>1</v>
      </c>
      <c r="U66" s="6">
        <v>51</v>
      </c>
      <c r="V66" s="5">
        <v>0</v>
      </c>
      <c r="W66" s="5">
        <v>0</v>
      </c>
      <c r="X66" s="6" t="s">
        <v>18</v>
      </c>
      <c r="Y66" s="6" t="s">
        <v>18</v>
      </c>
      <c r="Z66" s="6">
        <v>0</v>
      </c>
      <c r="AA66" s="16">
        <v>2.0109006994228372E-2</v>
      </c>
      <c r="AB66" s="5">
        <v>1.1931154544675495E-2</v>
      </c>
      <c r="AC66" s="6">
        <v>0</v>
      </c>
      <c r="AD66" s="6">
        <v>1</v>
      </c>
      <c r="AE66" s="6">
        <v>222</v>
      </c>
    </row>
    <row r="67" spans="1:32" x14ac:dyDescent="0.45">
      <c r="A67" s="4" t="s">
        <v>45</v>
      </c>
      <c r="B67" s="5">
        <v>0.27431963178285196</v>
      </c>
      <c r="C67" s="5">
        <v>4.8915030211276939E-2</v>
      </c>
      <c r="D67" s="6">
        <v>0</v>
      </c>
      <c r="E67" s="6">
        <v>1</v>
      </c>
      <c r="F67" s="6">
        <v>90</v>
      </c>
      <c r="G67" s="5">
        <v>0.14669570628731021</v>
      </c>
      <c r="H67" s="5">
        <v>3.2135846882054599E-2</v>
      </c>
      <c r="I67" s="6">
        <v>0</v>
      </c>
      <c r="J67" s="6">
        <v>1</v>
      </c>
      <c r="K67" s="6">
        <v>124</v>
      </c>
      <c r="L67" s="5">
        <v>6.149874080329891E-2</v>
      </c>
      <c r="M67" s="5">
        <v>2.4590273172009954E-2</v>
      </c>
      <c r="N67" s="6">
        <v>0</v>
      </c>
      <c r="O67" s="6">
        <v>1</v>
      </c>
      <c r="P67" s="6">
        <v>89</v>
      </c>
      <c r="Q67" s="5">
        <v>3.7146026228441341E-2</v>
      </c>
      <c r="R67" s="5">
        <v>2.1163421380843626E-2</v>
      </c>
      <c r="S67" s="6">
        <v>0</v>
      </c>
      <c r="T67" s="6">
        <v>1</v>
      </c>
      <c r="U67" s="6">
        <v>83</v>
      </c>
      <c r="V67" s="5">
        <v>5.4706562828134006E-2</v>
      </c>
      <c r="W67" s="5">
        <v>3.8232203743013199E-2</v>
      </c>
      <c r="X67" s="6">
        <v>0</v>
      </c>
      <c r="Y67" s="6">
        <v>1</v>
      </c>
      <c r="Z67" s="6">
        <v>49</v>
      </c>
      <c r="AA67" s="16">
        <v>0.1019862879090694</v>
      </c>
      <c r="AB67" s="5">
        <v>1.5729179579447389E-2</v>
      </c>
      <c r="AC67" s="6">
        <v>0</v>
      </c>
      <c r="AD67" s="6">
        <v>1</v>
      </c>
      <c r="AE67" s="6">
        <v>435</v>
      </c>
      <c r="AF67">
        <f>(AA69/AA68)-AA67</f>
        <v>2.2529242486817286E-2</v>
      </c>
    </row>
    <row r="68" spans="1:32" x14ac:dyDescent="0.45">
      <c r="A68" s="4" t="s">
        <v>14</v>
      </c>
      <c r="B68" s="5">
        <v>0.79321304904364254</v>
      </c>
      <c r="C68" s="5">
        <v>4.3039128791149045E-2</v>
      </c>
      <c r="D68" s="6">
        <v>0</v>
      </c>
      <c r="E68" s="6">
        <v>1</v>
      </c>
      <c r="F68" s="6">
        <v>90</v>
      </c>
      <c r="G68" s="5">
        <v>0.63843941264368653</v>
      </c>
      <c r="H68" s="5">
        <v>4.3361765153530248E-2</v>
      </c>
      <c r="I68" s="6">
        <v>0</v>
      </c>
      <c r="J68" s="6">
        <v>1</v>
      </c>
      <c r="K68" s="6">
        <v>125</v>
      </c>
      <c r="L68" s="5">
        <v>0.58432009369337878</v>
      </c>
      <c r="M68" s="5">
        <v>5.0207452132509274E-2</v>
      </c>
      <c r="N68" s="6">
        <v>0</v>
      </c>
      <c r="O68" s="6">
        <v>1</v>
      </c>
      <c r="P68" s="6">
        <v>100</v>
      </c>
      <c r="Q68" s="5">
        <v>0.62898008352691293</v>
      </c>
      <c r="R68" s="5">
        <v>5.3401158711994051E-2</v>
      </c>
      <c r="S68" s="6">
        <v>0</v>
      </c>
      <c r="T68" s="6">
        <v>1</v>
      </c>
      <c r="U68" s="6">
        <v>83</v>
      </c>
      <c r="V68" s="5">
        <v>0.81519781986826212</v>
      </c>
      <c r="W68" s="5">
        <v>5.9517950839845665E-2</v>
      </c>
      <c r="X68" s="6">
        <v>0</v>
      </c>
      <c r="Y68" s="6">
        <v>1</v>
      </c>
      <c r="Z68" s="6">
        <v>49</v>
      </c>
      <c r="AA68" s="16">
        <v>0.62633244953010792</v>
      </c>
      <c r="AB68" s="5">
        <v>2.6998005023716822E-2</v>
      </c>
      <c r="AC68" s="6">
        <v>0</v>
      </c>
      <c r="AD68" s="6">
        <v>1</v>
      </c>
      <c r="AE68" s="6">
        <v>447</v>
      </c>
      <c r="AF68">
        <f>(AA69/AA67)-AA68</f>
        <v>0.13835973366740428</v>
      </c>
    </row>
    <row r="69" spans="1:32" ht="26.25" x14ac:dyDescent="0.45">
      <c r="A69" s="4" t="s">
        <v>46</v>
      </c>
      <c r="B69" s="5">
        <v>0.19623418551589827</v>
      </c>
      <c r="C69" s="5">
        <v>4.4077340794911386E-2</v>
      </c>
      <c r="D69" s="6">
        <v>0</v>
      </c>
      <c r="E69" s="6">
        <v>1</v>
      </c>
      <c r="F69" s="6">
        <v>90</v>
      </c>
      <c r="G69" s="5">
        <v>0.1305771301320568</v>
      </c>
      <c r="H69" s="5">
        <v>3.0619836542001174E-2</v>
      </c>
      <c r="I69" s="6">
        <v>0</v>
      </c>
      <c r="J69" s="6">
        <v>1</v>
      </c>
      <c r="K69" s="6">
        <v>124</v>
      </c>
      <c r="L69" s="5">
        <v>4.1486793651750904E-2</v>
      </c>
      <c r="M69" s="5">
        <v>2.0508093715682435E-2</v>
      </c>
      <c r="N69" s="6">
        <v>0</v>
      </c>
      <c r="O69" s="6">
        <v>1</v>
      </c>
      <c r="P69" s="6">
        <v>89</v>
      </c>
      <c r="Q69" s="5">
        <v>1.2280347260002043E-2</v>
      </c>
      <c r="R69" s="5">
        <v>1.2277835165898799E-2</v>
      </c>
      <c r="S69" s="6">
        <v>0</v>
      </c>
      <c r="T69" s="6">
        <v>1</v>
      </c>
      <c r="U69" s="6">
        <v>83</v>
      </c>
      <c r="V69" s="5">
        <v>5.4706562828134006E-2</v>
      </c>
      <c r="W69" s="5">
        <v>3.8232203743013199E-2</v>
      </c>
      <c r="X69" s="6">
        <v>0</v>
      </c>
      <c r="Y69" s="6">
        <v>1</v>
      </c>
      <c r="Z69" s="6">
        <v>49</v>
      </c>
      <c r="AA69" s="16">
        <v>7.7988117157396314E-2</v>
      </c>
      <c r="AB69" s="5">
        <v>1.3960024292253967E-2</v>
      </c>
      <c r="AC69" s="6">
        <v>0</v>
      </c>
      <c r="AD69" s="6">
        <v>1</v>
      </c>
      <c r="AE69" s="6">
        <v>435</v>
      </c>
    </row>
    <row r="70" spans="1:32" x14ac:dyDescent="0.45">
      <c r="A70" s="4" t="s">
        <v>45</v>
      </c>
      <c r="B70" s="5">
        <v>0.30473314637618965</v>
      </c>
      <c r="C70" s="5">
        <v>5.7953737703248069E-2</v>
      </c>
      <c r="D70" s="6">
        <v>0</v>
      </c>
      <c r="E70" s="6">
        <v>1</v>
      </c>
      <c r="F70" s="6">
        <v>69</v>
      </c>
      <c r="G70" s="5">
        <v>0.18586983346418867</v>
      </c>
      <c r="H70" s="5">
        <v>4.8990520636528971E-2</v>
      </c>
      <c r="I70" s="6">
        <v>0</v>
      </c>
      <c r="J70" s="6">
        <v>1</v>
      </c>
      <c r="K70" s="6">
        <v>64</v>
      </c>
      <c r="L70" s="5">
        <v>4.3680684191827877E-2</v>
      </c>
      <c r="M70" s="5">
        <v>3.092124289840021E-2</v>
      </c>
      <c r="N70" s="6">
        <v>0</v>
      </c>
      <c r="O70" s="6">
        <v>1</v>
      </c>
      <c r="P70" s="6">
        <v>46</v>
      </c>
      <c r="Q70" s="5">
        <v>1.8742947683220847E-2</v>
      </c>
      <c r="R70" s="5">
        <v>1.8753424334910441E-2</v>
      </c>
      <c r="S70" s="6">
        <v>0</v>
      </c>
      <c r="T70" s="6">
        <v>1</v>
      </c>
      <c r="U70" s="6">
        <v>52</v>
      </c>
      <c r="V70" s="5">
        <v>0.21208176128651185</v>
      </c>
      <c r="W70" s="5">
        <v>5.3937206906595023E-2</v>
      </c>
      <c r="X70" s="6">
        <v>0</v>
      </c>
      <c r="Y70" s="6">
        <v>1</v>
      </c>
      <c r="Z70" s="6">
        <v>77</v>
      </c>
      <c r="AA70" s="16">
        <v>0.10970136964547464</v>
      </c>
      <c r="AB70" s="5">
        <v>2.0811345674852978E-2</v>
      </c>
      <c r="AC70" s="6">
        <v>0</v>
      </c>
      <c r="AD70" s="6">
        <v>1</v>
      </c>
      <c r="AE70" s="6">
        <v>308</v>
      </c>
      <c r="AF70">
        <f>(AA72/AA71)-AA70</f>
        <v>-0.10970136964547464</v>
      </c>
    </row>
    <row r="71" spans="1:32" ht="26.25" x14ac:dyDescent="0.45">
      <c r="A71" s="4" t="s">
        <v>16</v>
      </c>
      <c r="B71" s="5">
        <v>2.0116465112707569E-2</v>
      </c>
      <c r="C71" s="5">
        <v>1.6411369979554096E-2</v>
      </c>
      <c r="D71" s="6">
        <v>0</v>
      </c>
      <c r="E71" s="6">
        <v>1</v>
      </c>
      <c r="F71" s="6">
        <v>69</v>
      </c>
      <c r="G71" s="5">
        <v>0</v>
      </c>
      <c r="H71" s="5">
        <v>0</v>
      </c>
      <c r="I71" s="6">
        <v>0</v>
      </c>
      <c r="J71" s="6">
        <v>0</v>
      </c>
      <c r="K71" s="6">
        <v>64</v>
      </c>
      <c r="L71" s="5">
        <v>0</v>
      </c>
      <c r="M71" s="5">
        <v>0</v>
      </c>
      <c r="N71" s="6">
        <v>0</v>
      </c>
      <c r="O71" s="6">
        <v>0</v>
      </c>
      <c r="P71" s="6">
        <v>49</v>
      </c>
      <c r="Q71" s="5">
        <v>3.7239277633767734E-2</v>
      </c>
      <c r="R71" s="5">
        <v>2.6109109911868628E-2</v>
      </c>
      <c r="S71" s="6">
        <v>0</v>
      </c>
      <c r="T71" s="6">
        <v>1</v>
      </c>
      <c r="U71" s="6">
        <v>52</v>
      </c>
      <c r="V71" s="5">
        <v>4.5102864901990225E-2</v>
      </c>
      <c r="W71" s="5">
        <v>2.105195985339256E-2</v>
      </c>
      <c r="X71" s="6">
        <v>0</v>
      </c>
      <c r="Y71" s="6">
        <v>1</v>
      </c>
      <c r="Z71" s="6">
        <v>77</v>
      </c>
      <c r="AA71" s="16">
        <v>1.0517616768506599E-2</v>
      </c>
      <c r="AB71" s="5">
        <v>6.0121864066784306E-3</v>
      </c>
      <c r="AC71" s="6">
        <v>0</v>
      </c>
      <c r="AD71" s="6">
        <v>1</v>
      </c>
      <c r="AE71" s="6">
        <v>311</v>
      </c>
      <c r="AF71">
        <f>(AA72/AA70)-AA71</f>
        <v>-1.0517616768506599E-2</v>
      </c>
    </row>
    <row r="72" spans="1:32" ht="26.25" x14ac:dyDescent="0.45">
      <c r="A72" s="4" t="s">
        <v>47</v>
      </c>
      <c r="B72" s="5">
        <v>0</v>
      </c>
      <c r="C72" s="5">
        <v>0</v>
      </c>
      <c r="D72" s="6">
        <v>0</v>
      </c>
      <c r="E72" s="6">
        <v>0</v>
      </c>
      <c r="F72" s="6">
        <v>69</v>
      </c>
      <c r="G72" s="5">
        <v>0</v>
      </c>
      <c r="H72" s="5">
        <v>0</v>
      </c>
      <c r="I72" s="6">
        <v>0</v>
      </c>
      <c r="J72" s="6">
        <v>0</v>
      </c>
      <c r="K72" s="6">
        <v>64</v>
      </c>
      <c r="L72" s="5">
        <v>0</v>
      </c>
      <c r="M72" s="5">
        <v>0</v>
      </c>
      <c r="N72" s="6">
        <v>0</v>
      </c>
      <c r="O72" s="6">
        <v>0</v>
      </c>
      <c r="P72" s="6">
        <v>46</v>
      </c>
      <c r="Q72" s="5">
        <v>0</v>
      </c>
      <c r="R72" s="5">
        <v>0</v>
      </c>
      <c r="S72" s="6">
        <v>0</v>
      </c>
      <c r="T72" s="6">
        <v>0</v>
      </c>
      <c r="U72" s="6">
        <v>52</v>
      </c>
      <c r="V72" s="5">
        <v>0</v>
      </c>
      <c r="W72" s="5">
        <v>0</v>
      </c>
      <c r="X72" s="6">
        <v>0</v>
      </c>
      <c r="Y72" s="6">
        <v>0</v>
      </c>
      <c r="Z72" s="6">
        <v>77</v>
      </c>
      <c r="AA72" s="16">
        <v>0</v>
      </c>
      <c r="AB72" s="5">
        <v>0</v>
      </c>
      <c r="AC72" s="6">
        <v>0</v>
      </c>
      <c r="AD72" s="6">
        <v>0</v>
      </c>
      <c r="AE72" s="6">
        <v>308</v>
      </c>
    </row>
    <row r="73" spans="1:32" x14ac:dyDescent="0.45">
      <c r="A73" s="4" t="s">
        <v>45</v>
      </c>
      <c r="B73" s="5">
        <v>0.35836014503598945</v>
      </c>
      <c r="C73" s="5">
        <v>6.6963888052832626E-2</v>
      </c>
      <c r="D73" s="6">
        <v>0</v>
      </c>
      <c r="E73" s="6">
        <v>1</v>
      </c>
      <c r="F73" s="6">
        <v>54</v>
      </c>
      <c r="G73" s="5">
        <v>0.21634743510626403</v>
      </c>
      <c r="H73" s="5">
        <v>4.55567813431847E-2</v>
      </c>
      <c r="I73" s="6">
        <v>0</v>
      </c>
      <c r="J73" s="6">
        <v>1</v>
      </c>
      <c r="K73" s="6">
        <v>84</v>
      </c>
      <c r="L73" s="5">
        <v>5.6961215989324208E-2</v>
      </c>
      <c r="M73" s="5">
        <v>4.0010456196257684E-2</v>
      </c>
      <c r="N73" s="6">
        <v>0</v>
      </c>
      <c r="O73" s="6">
        <v>1</v>
      </c>
      <c r="P73" s="6">
        <v>33</v>
      </c>
      <c r="Q73" s="5">
        <v>2.0825062694612494E-2</v>
      </c>
      <c r="R73" s="5">
        <v>2.0802329422392962E-2</v>
      </c>
      <c r="S73" s="6">
        <v>0</v>
      </c>
      <c r="T73" s="6">
        <v>1</v>
      </c>
      <c r="U73" s="6">
        <v>51</v>
      </c>
      <c r="V73" s="5">
        <v>0</v>
      </c>
      <c r="W73" s="5">
        <v>0</v>
      </c>
      <c r="X73" s="6" t="s">
        <v>18</v>
      </c>
      <c r="Y73" s="6" t="s">
        <v>18</v>
      </c>
      <c r="Z73" s="6">
        <v>0</v>
      </c>
      <c r="AA73" s="16">
        <v>0.13741241852675415</v>
      </c>
      <c r="AB73" s="5">
        <v>2.3902938750517057E-2</v>
      </c>
      <c r="AC73" s="6">
        <v>0</v>
      </c>
      <c r="AD73" s="6">
        <v>1</v>
      </c>
      <c r="AE73" s="6">
        <v>222</v>
      </c>
      <c r="AF73">
        <f>(AA75/AA74)-AA73</f>
        <v>-5.505111697600347E-2</v>
      </c>
    </row>
    <row r="74" spans="1:32" x14ac:dyDescent="0.45">
      <c r="A74" s="4" t="s">
        <v>19</v>
      </c>
      <c r="B74" s="5">
        <v>0</v>
      </c>
      <c r="C74" s="5">
        <v>0</v>
      </c>
      <c r="D74" s="6">
        <v>0</v>
      </c>
      <c r="E74" s="6">
        <v>0</v>
      </c>
      <c r="F74" s="6">
        <v>54</v>
      </c>
      <c r="G74" s="5">
        <v>0</v>
      </c>
      <c r="H74" s="5">
        <v>0</v>
      </c>
      <c r="I74" s="6">
        <v>0</v>
      </c>
      <c r="J74" s="6">
        <v>0</v>
      </c>
      <c r="K74" s="6">
        <v>84</v>
      </c>
      <c r="L74" s="5">
        <v>0.51294588308387212</v>
      </c>
      <c r="M74" s="5">
        <v>8.8775012583452828E-2</v>
      </c>
      <c r="N74" s="6">
        <v>0</v>
      </c>
      <c r="O74" s="6">
        <v>1</v>
      </c>
      <c r="P74" s="6">
        <v>33</v>
      </c>
      <c r="Q74" s="5">
        <v>0.20115357837551784</v>
      </c>
      <c r="R74" s="5">
        <v>5.7475752421020931E-2</v>
      </c>
      <c r="S74" s="6">
        <v>0</v>
      </c>
      <c r="T74" s="6">
        <v>1</v>
      </c>
      <c r="U74" s="6">
        <v>51</v>
      </c>
      <c r="V74" s="5">
        <v>0</v>
      </c>
      <c r="W74" s="5">
        <v>0</v>
      </c>
      <c r="X74" s="6" t="s">
        <v>18</v>
      </c>
      <c r="Y74" s="6" t="s">
        <v>18</v>
      </c>
      <c r="Z74" s="6">
        <v>0</v>
      </c>
      <c r="AA74" s="16">
        <v>0.18588338138996935</v>
      </c>
      <c r="AB74" s="5">
        <v>3.2400145905225268E-2</v>
      </c>
      <c r="AC74" s="6">
        <v>0</v>
      </c>
      <c r="AD74" s="6">
        <v>1</v>
      </c>
      <c r="AE74" s="6">
        <v>222</v>
      </c>
      <c r="AF74">
        <f>(AA75/AA73)-AA74</f>
        <v>-7.4469890585630666E-2</v>
      </c>
    </row>
    <row r="75" spans="1:32" ht="26.25" x14ac:dyDescent="0.45">
      <c r="A75" s="4" t="s">
        <v>48</v>
      </c>
      <c r="B75" s="5">
        <v>0</v>
      </c>
      <c r="C75" s="5">
        <v>0</v>
      </c>
      <c r="D75" s="6">
        <v>0</v>
      </c>
      <c r="E75" s="6">
        <v>0</v>
      </c>
      <c r="F75" s="6">
        <v>54</v>
      </c>
      <c r="G75" s="5">
        <v>0</v>
      </c>
      <c r="H75" s="5">
        <v>0</v>
      </c>
      <c r="I75" s="6">
        <v>0</v>
      </c>
      <c r="J75" s="6">
        <v>0</v>
      </c>
      <c r="K75" s="6">
        <v>84</v>
      </c>
      <c r="L75" s="5">
        <v>5.6961215989324208E-2</v>
      </c>
      <c r="M75" s="5">
        <v>4.0010456196257684E-2</v>
      </c>
      <c r="N75" s="6">
        <v>0</v>
      </c>
      <c r="O75" s="6">
        <v>1</v>
      </c>
      <c r="P75" s="6">
        <v>33</v>
      </c>
      <c r="Q75" s="5">
        <v>0</v>
      </c>
      <c r="R75" s="5">
        <v>0</v>
      </c>
      <c r="S75" s="6">
        <v>0</v>
      </c>
      <c r="T75" s="6">
        <v>0</v>
      </c>
      <c r="U75" s="6">
        <v>51</v>
      </c>
      <c r="V75" s="5">
        <v>0</v>
      </c>
      <c r="W75" s="5">
        <v>0</v>
      </c>
      <c r="X75" s="6" t="s">
        <v>18</v>
      </c>
      <c r="Y75" s="6" t="s">
        <v>18</v>
      </c>
      <c r="Z75" s="6">
        <v>0</v>
      </c>
      <c r="AA75" s="16">
        <v>1.5309597227932462E-2</v>
      </c>
      <c r="AB75" s="5">
        <v>1.0801210859575095E-2</v>
      </c>
      <c r="AC75" s="6">
        <v>0</v>
      </c>
      <c r="AD75" s="6">
        <v>1</v>
      </c>
      <c r="AE75" s="6">
        <v>222</v>
      </c>
    </row>
    <row r="76" spans="1:32" ht="26.25" x14ac:dyDescent="0.45">
      <c r="A76" s="4" t="s">
        <v>49</v>
      </c>
      <c r="B76" s="5">
        <v>0.612818810578593</v>
      </c>
      <c r="C76" s="5">
        <v>5.2858100682016011E-2</v>
      </c>
      <c r="D76" s="6">
        <v>0</v>
      </c>
      <c r="E76" s="6">
        <v>1</v>
      </c>
      <c r="F76" s="6">
        <v>90</v>
      </c>
      <c r="G76" s="5">
        <v>0.7663058221904463</v>
      </c>
      <c r="H76" s="5">
        <v>3.8284908377072109E-2</v>
      </c>
      <c r="I76" s="6">
        <v>0</v>
      </c>
      <c r="J76" s="6">
        <v>1</v>
      </c>
      <c r="K76" s="6">
        <v>125</v>
      </c>
      <c r="L76" s="5">
        <v>0.44989760661633654</v>
      </c>
      <c r="M76" s="5">
        <v>5.0490436436460416E-2</v>
      </c>
      <c r="N76" s="6">
        <v>0</v>
      </c>
      <c r="O76" s="6">
        <v>1</v>
      </c>
      <c r="P76" s="6">
        <v>100</v>
      </c>
      <c r="Q76" s="5">
        <v>0.4605444422702662</v>
      </c>
      <c r="R76" s="5">
        <v>5.5319404041430972E-2</v>
      </c>
      <c r="S76" s="6">
        <v>0</v>
      </c>
      <c r="T76" s="6">
        <v>1</v>
      </c>
      <c r="U76" s="6">
        <v>83</v>
      </c>
      <c r="V76" s="5">
        <v>0.16744812245477536</v>
      </c>
      <c r="W76" s="5">
        <v>5.8988607800237292E-2</v>
      </c>
      <c r="X76" s="6">
        <v>0</v>
      </c>
      <c r="Y76" s="6">
        <v>1</v>
      </c>
      <c r="Z76" s="6">
        <v>49</v>
      </c>
      <c r="AA76" s="16">
        <v>0.56756546933103147</v>
      </c>
      <c r="AB76" s="5">
        <v>2.7609902830366663E-2</v>
      </c>
      <c r="AC76" s="6">
        <v>0</v>
      </c>
      <c r="AD76" s="6">
        <v>1</v>
      </c>
      <c r="AE76" s="6">
        <v>447</v>
      </c>
      <c r="AF76">
        <f>(AA78/AA77)-AA76</f>
        <v>4.5875308645999757E-2</v>
      </c>
    </row>
    <row r="77" spans="1:32" x14ac:dyDescent="0.45">
      <c r="A77" s="4" t="s">
        <v>14</v>
      </c>
      <c r="B77" s="5">
        <v>0.79321304904364254</v>
      </c>
      <c r="C77" s="5">
        <v>4.3039128791149045E-2</v>
      </c>
      <c r="D77" s="6">
        <v>0</v>
      </c>
      <c r="E77" s="6">
        <v>1</v>
      </c>
      <c r="F77" s="6">
        <v>90</v>
      </c>
      <c r="G77" s="5">
        <v>0.63843941264368653</v>
      </c>
      <c r="H77" s="5">
        <v>4.3361765153530248E-2</v>
      </c>
      <c r="I77" s="6">
        <v>0</v>
      </c>
      <c r="J77" s="6">
        <v>1</v>
      </c>
      <c r="K77" s="6">
        <v>125</v>
      </c>
      <c r="L77" s="5">
        <v>0.58432009369337878</v>
      </c>
      <c r="M77" s="5">
        <v>5.0207452132509274E-2</v>
      </c>
      <c r="N77" s="6">
        <v>0</v>
      </c>
      <c r="O77" s="6">
        <v>1</v>
      </c>
      <c r="P77" s="6">
        <v>100</v>
      </c>
      <c r="Q77" s="5">
        <v>0.62898008352691293</v>
      </c>
      <c r="R77" s="5">
        <v>5.3401158711994051E-2</v>
      </c>
      <c r="S77" s="6">
        <v>0</v>
      </c>
      <c r="T77" s="6">
        <v>1</v>
      </c>
      <c r="U77" s="6">
        <v>83</v>
      </c>
      <c r="V77" s="5">
        <v>0.81519781986826212</v>
      </c>
      <c r="W77" s="5">
        <v>5.9517950839845665E-2</v>
      </c>
      <c r="X77" s="6">
        <v>0</v>
      </c>
      <c r="Y77" s="6">
        <v>1</v>
      </c>
      <c r="Z77" s="6">
        <v>49</v>
      </c>
      <c r="AA77" s="16">
        <v>0.62633244953010792</v>
      </c>
      <c r="AB77" s="5">
        <v>2.6998005023716822E-2</v>
      </c>
      <c r="AC77" s="6">
        <v>0</v>
      </c>
      <c r="AD77" s="6">
        <v>1</v>
      </c>
      <c r="AE77" s="6">
        <v>447</v>
      </c>
      <c r="AF77">
        <f>(AA78/AA76)-AA77</f>
        <v>5.0625339260095492E-2</v>
      </c>
    </row>
    <row r="78" spans="1:32" ht="39.4" x14ac:dyDescent="0.45">
      <c r="A78" s="4" t="s">
        <v>50</v>
      </c>
      <c r="B78" s="5">
        <v>0.42894834951317889</v>
      </c>
      <c r="C78" s="5">
        <v>5.3849800061620309E-2</v>
      </c>
      <c r="D78" s="6">
        <v>0</v>
      </c>
      <c r="E78" s="6">
        <v>1</v>
      </c>
      <c r="F78" s="6">
        <v>90</v>
      </c>
      <c r="G78" s="5">
        <v>0.51714424723833474</v>
      </c>
      <c r="H78" s="5">
        <v>4.5076196284977263E-2</v>
      </c>
      <c r="I78" s="6">
        <v>0</v>
      </c>
      <c r="J78" s="6">
        <v>1</v>
      </c>
      <c r="K78" s="6">
        <v>125</v>
      </c>
      <c r="L78" s="5">
        <v>0.32040479775056385</v>
      </c>
      <c r="M78" s="5">
        <v>4.7040432456165703E-2</v>
      </c>
      <c r="N78" s="6">
        <v>0</v>
      </c>
      <c r="O78" s="6">
        <v>1</v>
      </c>
      <c r="P78" s="6">
        <v>100</v>
      </c>
      <c r="Q78" s="5">
        <v>0.27611859200839101</v>
      </c>
      <c r="R78" s="5">
        <v>5.0158610736785687E-2</v>
      </c>
      <c r="S78" s="6">
        <v>0</v>
      </c>
      <c r="T78" s="6">
        <v>1</v>
      </c>
      <c r="U78" s="6">
        <v>83</v>
      </c>
      <c r="V78" s="5">
        <v>0.14436145454548507</v>
      </c>
      <c r="W78" s="5">
        <v>5.5910125466698248E-2</v>
      </c>
      <c r="X78" s="6">
        <v>0</v>
      </c>
      <c r="Y78" s="6">
        <v>1</v>
      </c>
      <c r="Z78" s="6">
        <v>49</v>
      </c>
      <c r="AA78" s="16">
        <v>0.38421786511200906</v>
      </c>
      <c r="AB78" s="5">
        <v>2.6688685237922786E-2</v>
      </c>
      <c r="AC78" s="6">
        <v>0</v>
      </c>
      <c r="AD78" s="6">
        <v>1</v>
      </c>
      <c r="AE78" s="6">
        <v>447</v>
      </c>
    </row>
    <row r="79" spans="1:32" ht="26.25" x14ac:dyDescent="0.45">
      <c r="A79" s="4" t="s">
        <v>49</v>
      </c>
      <c r="B79" s="5">
        <v>0.51558703216587598</v>
      </c>
      <c r="C79" s="5">
        <v>6.2352255799429095E-2</v>
      </c>
      <c r="D79" s="6">
        <v>0</v>
      </c>
      <c r="E79" s="6">
        <v>1</v>
      </c>
      <c r="F79" s="6">
        <v>69</v>
      </c>
      <c r="G79" s="5">
        <v>0.75210497179178293</v>
      </c>
      <c r="H79" s="5">
        <v>5.4482081659406136E-2</v>
      </c>
      <c r="I79" s="6">
        <v>0</v>
      </c>
      <c r="J79" s="6">
        <v>1</v>
      </c>
      <c r="K79" s="6">
        <v>64</v>
      </c>
      <c r="L79" s="5">
        <v>0.47766425892730785</v>
      </c>
      <c r="M79" s="5">
        <v>7.2607797811509611E-2</v>
      </c>
      <c r="N79" s="6">
        <v>0</v>
      </c>
      <c r="O79" s="6">
        <v>1</v>
      </c>
      <c r="P79" s="6">
        <v>49</v>
      </c>
      <c r="Q79" s="5">
        <v>0.6683537714528488</v>
      </c>
      <c r="R79" s="5">
        <v>6.5353071749164257E-2</v>
      </c>
      <c r="S79" s="6">
        <v>0</v>
      </c>
      <c r="T79" s="6">
        <v>1</v>
      </c>
      <c r="U79" s="6">
        <v>52</v>
      </c>
      <c r="V79" s="5">
        <v>0.21177424975713419</v>
      </c>
      <c r="W79" s="5">
        <v>5.1239787284661761E-2</v>
      </c>
      <c r="X79" s="6">
        <v>0</v>
      </c>
      <c r="Y79" s="6">
        <v>1</v>
      </c>
      <c r="Z79" s="6">
        <v>77</v>
      </c>
      <c r="AA79" s="16">
        <v>0.60441101294059252</v>
      </c>
      <c r="AB79" s="5">
        <v>3.6258833116086298E-2</v>
      </c>
      <c r="AC79" s="6">
        <v>0</v>
      </c>
      <c r="AD79" s="6">
        <v>1</v>
      </c>
      <c r="AE79" s="6">
        <v>311</v>
      </c>
      <c r="AF79">
        <f>(AA81/AA80)-AA79</f>
        <v>-0.21512782029733857</v>
      </c>
    </row>
    <row r="80" spans="1:32" ht="26.25" x14ac:dyDescent="0.45">
      <c r="A80" s="4" t="s">
        <v>16</v>
      </c>
      <c r="B80" s="5">
        <v>2.0116465112707569E-2</v>
      </c>
      <c r="C80" s="5">
        <v>1.6411369979554096E-2</v>
      </c>
      <c r="D80" s="6">
        <v>0</v>
      </c>
      <c r="E80" s="6">
        <v>1</v>
      </c>
      <c r="F80" s="6">
        <v>69</v>
      </c>
      <c r="G80" s="5">
        <v>0</v>
      </c>
      <c r="H80" s="5">
        <v>0</v>
      </c>
      <c r="I80" s="6">
        <v>0</v>
      </c>
      <c r="J80" s="6">
        <v>0</v>
      </c>
      <c r="K80" s="6">
        <v>64</v>
      </c>
      <c r="L80" s="5">
        <v>0</v>
      </c>
      <c r="M80" s="5">
        <v>0</v>
      </c>
      <c r="N80" s="6">
        <v>0</v>
      </c>
      <c r="O80" s="6">
        <v>0</v>
      </c>
      <c r="P80" s="6">
        <v>49</v>
      </c>
      <c r="Q80" s="5">
        <v>3.7239277633767734E-2</v>
      </c>
      <c r="R80" s="5">
        <v>2.6109109911868628E-2</v>
      </c>
      <c r="S80" s="6">
        <v>0</v>
      </c>
      <c r="T80" s="6">
        <v>1</v>
      </c>
      <c r="U80" s="6">
        <v>52</v>
      </c>
      <c r="V80" s="5">
        <v>4.5102864901990225E-2</v>
      </c>
      <c r="W80" s="5">
        <v>2.105195985339256E-2</v>
      </c>
      <c r="X80" s="6">
        <v>0</v>
      </c>
      <c r="Y80" s="6">
        <v>1</v>
      </c>
      <c r="Z80" s="6">
        <v>77</v>
      </c>
      <c r="AA80" s="16">
        <v>1.0517616768506599E-2</v>
      </c>
      <c r="AB80" s="5">
        <v>6.0121864066784306E-3</v>
      </c>
      <c r="AC80" s="6">
        <v>0</v>
      </c>
      <c r="AD80" s="6">
        <v>1</v>
      </c>
      <c r="AE80" s="6">
        <v>311</v>
      </c>
      <c r="AF80">
        <f>(AA81/AA79)-AA80</f>
        <v>-3.7435320033686352E-3</v>
      </c>
    </row>
    <row r="81" spans="1:32" ht="39.4" x14ac:dyDescent="0.45">
      <c r="A81" s="4" t="s">
        <v>51</v>
      </c>
      <c r="B81" s="5">
        <v>0</v>
      </c>
      <c r="C81" s="5">
        <v>0</v>
      </c>
      <c r="D81" s="6">
        <v>0</v>
      </c>
      <c r="E81" s="6">
        <v>0</v>
      </c>
      <c r="F81" s="6">
        <v>69</v>
      </c>
      <c r="G81" s="5">
        <v>0</v>
      </c>
      <c r="H81" s="5">
        <v>0</v>
      </c>
      <c r="I81" s="6">
        <v>0</v>
      </c>
      <c r="J81" s="6">
        <v>0</v>
      </c>
      <c r="K81" s="6">
        <v>64</v>
      </c>
      <c r="L81" s="5">
        <v>0</v>
      </c>
      <c r="M81" s="5">
        <v>0</v>
      </c>
      <c r="N81" s="6">
        <v>0</v>
      </c>
      <c r="O81" s="6">
        <v>0</v>
      </c>
      <c r="P81" s="6">
        <v>49</v>
      </c>
      <c r="Q81" s="5">
        <v>1.8619638816883867E-2</v>
      </c>
      <c r="R81" s="5">
        <v>1.8632386074044379E-2</v>
      </c>
      <c r="S81" s="6">
        <v>0</v>
      </c>
      <c r="T81" s="6">
        <v>1</v>
      </c>
      <c r="U81" s="6">
        <v>52</v>
      </c>
      <c r="V81" s="5">
        <v>0</v>
      </c>
      <c r="W81" s="5">
        <v>0</v>
      </c>
      <c r="X81" s="6">
        <v>0</v>
      </c>
      <c r="Y81" s="6">
        <v>0</v>
      </c>
      <c r="Z81" s="6">
        <v>77</v>
      </c>
      <c r="AA81" s="16">
        <v>4.0943314346424727E-3</v>
      </c>
      <c r="AB81" s="5">
        <v>4.0951744203175881E-3</v>
      </c>
      <c r="AC81" s="6">
        <v>0</v>
      </c>
      <c r="AD81" s="6">
        <v>1</v>
      </c>
      <c r="AE81" s="6">
        <v>311</v>
      </c>
    </row>
    <row r="82" spans="1:32" ht="26.25" x14ac:dyDescent="0.45">
      <c r="A82" s="4" t="s">
        <v>49</v>
      </c>
      <c r="B82" s="5">
        <v>0.76058641171351382</v>
      </c>
      <c r="C82" s="5">
        <v>5.793982031659678E-2</v>
      </c>
      <c r="D82" s="6">
        <v>0</v>
      </c>
      <c r="E82" s="6">
        <v>1</v>
      </c>
      <c r="F82" s="6">
        <v>54</v>
      </c>
      <c r="G82" s="5">
        <v>0.86063069312912299</v>
      </c>
      <c r="H82" s="5">
        <v>3.9328191256267513E-2</v>
      </c>
      <c r="I82" s="6">
        <v>0</v>
      </c>
      <c r="J82" s="6">
        <v>1</v>
      </c>
      <c r="K82" s="6">
        <v>84</v>
      </c>
      <c r="L82" s="5">
        <v>0.72321198480608262</v>
      </c>
      <c r="M82" s="5">
        <v>7.9824154799127897E-2</v>
      </c>
      <c r="N82" s="6">
        <v>0</v>
      </c>
      <c r="O82" s="6">
        <v>1</v>
      </c>
      <c r="P82" s="6">
        <v>33</v>
      </c>
      <c r="Q82" s="5">
        <v>0.79406299738548181</v>
      </c>
      <c r="R82" s="5">
        <v>5.6416457111212355E-2</v>
      </c>
      <c r="S82" s="6">
        <v>0</v>
      </c>
      <c r="T82" s="6">
        <v>1</v>
      </c>
      <c r="U82" s="6">
        <v>51</v>
      </c>
      <c r="V82" s="5">
        <v>0</v>
      </c>
      <c r="W82" s="5">
        <v>0</v>
      </c>
      <c r="X82" s="6" t="s">
        <v>18</v>
      </c>
      <c r="Y82" s="6" t="s">
        <v>18</v>
      </c>
      <c r="Z82" s="6">
        <v>0</v>
      </c>
      <c r="AA82" s="16">
        <v>0.80035457295292534</v>
      </c>
      <c r="AB82" s="5">
        <v>3.0551653391973601E-2</v>
      </c>
      <c r="AC82" s="6">
        <v>0</v>
      </c>
      <c r="AD82" s="6">
        <v>1</v>
      </c>
      <c r="AE82" s="6">
        <v>222</v>
      </c>
      <c r="AF82">
        <f>(AA84/AA83)-AA82</f>
        <v>-6.92860979232095E-2</v>
      </c>
    </row>
    <row r="83" spans="1:32" x14ac:dyDescent="0.45">
      <c r="A83" s="4" t="s">
        <v>19</v>
      </c>
      <c r="B83" s="5">
        <v>0</v>
      </c>
      <c r="C83" s="5">
        <v>0</v>
      </c>
      <c r="D83" s="6">
        <v>0</v>
      </c>
      <c r="E83" s="6">
        <v>0</v>
      </c>
      <c r="F83" s="6">
        <v>54</v>
      </c>
      <c r="G83" s="5">
        <v>0</v>
      </c>
      <c r="H83" s="5">
        <v>0</v>
      </c>
      <c r="I83" s="6">
        <v>0</v>
      </c>
      <c r="J83" s="6">
        <v>0</v>
      </c>
      <c r="K83" s="6">
        <v>84</v>
      </c>
      <c r="L83" s="5">
        <v>0.51294588308387212</v>
      </c>
      <c r="M83" s="5">
        <v>8.8775012583452828E-2</v>
      </c>
      <c r="N83" s="6">
        <v>0</v>
      </c>
      <c r="O83" s="6">
        <v>1</v>
      </c>
      <c r="P83" s="6">
        <v>33</v>
      </c>
      <c r="Q83" s="5">
        <v>0.20115357837551784</v>
      </c>
      <c r="R83" s="5">
        <v>5.7475752421020931E-2</v>
      </c>
      <c r="S83" s="6">
        <v>0</v>
      </c>
      <c r="T83" s="6">
        <v>1</v>
      </c>
      <c r="U83" s="6">
        <v>51</v>
      </c>
      <c r="V83" s="5">
        <v>0</v>
      </c>
      <c r="W83" s="5">
        <v>0</v>
      </c>
      <c r="X83" s="6" t="s">
        <v>18</v>
      </c>
      <c r="Y83" s="6" t="s">
        <v>18</v>
      </c>
      <c r="Z83" s="6">
        <v>0</v>
      </c>
      <c r="AA83" s="16">
        <v>0.18588338138996935</v>
      </c>
      <c r="AB83" s="5">
        <v>3.2400145905225268E-2</v>
      </c>
      <c r="AC83" s="6">
        <v>0</v>
      </c>
      <c r="AD83" s="6">
        <v>1</v>
      </c>
      <c r="AE83" s="6">
        <v>222</v>
      </c>
      <c r="AF83">
        <f>(AA84/AA82)-AA83</f>
        <v>-1.6091785566695604E-2</v>
      </c>
    </row>
    <row r="84" spans="1:32" ht="39.4" x14ac:dyDescent="0.45">
      <c r="A84" s="4" t="s">
        <v>52</v>
      </c>
      <c r="B84" s="5">
        <v>0</v>
      </c>
      <c r="C84" s="5">
        <v>0</v>
      </c>
      <c r="D84" s="6">
        <v>0</v>
      </c>
      <c r="E84" s="6">
        <v>0</v>
      </c>
      <c r="F84" s="6">
        <v>54</v>
      </c>
      <c r="G84" s="5">
        <v>0</v>
      </c>
      <c r="H84" s="5">
        <v>0</v>
      </c>
      <c r="I84" s="6">
        <v>0</v>
      </c>
      <c r="J84" s="6">
        <v>0</v>
      </c>
      <c r="K84" s="6">
        <v>84</v>
      </c>
      <c r="L84" s="5">
        <v>0.41328380717880459</v>
      </c>
      <c r="M84" s="5">
        <v>8.7073521988291214E-2</v>
      </c>
      <c r="N84" s="6">
        <v>0</v>
      </c>
      <c r="O84" s="6">
        <v>1</v>
      </c>
      <c r="P84" s="6">
        <v>33</v>
      </c>
      <c r="Q84" s="5">
        <v>0.10395061434114319</v>
      </c>
      <c r="R84" s="5">
        <v>4.4501532456659269E-2</v>
      </c>
      <c r="S84" s="6">
        <v>0</v>
      </c>
      <c r="T84" s="6">
        <v>1</v>
      </c>
      <c r="U84" s="6">
        <v>51</v>
      </c>
      <c r="V84" s="5">
        <v>0</v>
      </c>
      <c r="W84" s="5">
        <v>0</v>
      </c>
      <c r="X84" s="6" t="s">
        <v>18</v>
      </c>
      <c r="Y84" s="6" t="s">
        <v>18</v>
      </c>
      <c r="Z84" s="6">
        <v>0</v>
      </c>
      <c r="AA84" s="16">
        <v>0.13589348016613195</v>
      </c>
      <c r="AB84" s="5">
        <v>2.9026698377796159E-2</v>
      </c>
      <c r="AC84" s="6">
        <v>0</v>
      </c>
      <c r="AD84" s="6">
        <v>1</v>
      </c>
      <c r="AE84" s="6">
        <v>222</v>
      </c>
    </row>
    <row r="85" spans="1:32" x14ac:dyDescent="0.45">
      <c r="A85" s="4" t="s">
        <v>53</v>
      </c>
      <c r="B85" s="5">
        <v>0.30435816006553251</v>
      </c>
      <c r="C85" s="5">
        <v>5.0436466869403125E-2</v>
      </c>
      <c r="D85" s="6">
        <v>0</v>
      </c>
      <c r="E85" s="6">
        <v>1</v>
      </c>
      <c r="F85" s="6">
        <v>90</v>
      </c>
      <c r="G85" s="5">
        <v>0.36661896196176391</v>
      </c>
      <c r="H85" s="5">
        <v>4.3382168299114093E-2</v>
      </c>
      <c r="I85" s="6">
        <v>0</v>
      </c>
      <c r="J85" s="6">
        <v>1</v>
      </c>
      <c r="K85" s="6">
        <v>125</v>
      </c>
      <c r="L85" s="5">
        <v>0.43307551310280812</v>
      </c>
      <c r="M85" s="5">
        <v>5.0104213149153386E-2</v>
      </c>
      <c r="N85" s="6">
        <v>0</v>
      </c>
      <c r="O85" s="6">
        <v>1</v>
      </c>
      <c r="P85" s="6">
        <v>100</v>
      </c>
      <c r="Q85" s="5">
        <v>0.88977834535833633</v>
      </c>
      <c r="R85" s="5">
        <v>3.4948062719285272E-2</v>
      </c>
      <c r="S85" s="6">
        <v>0</v>
      </c>
      <c r="T85" s="6">
        <v>1</v>
      </c>
      <c r="U85" s="6">
        <v>83</v>
      </c>
      <c r="V85" s="5">
        <v>0.65996355841270693</v>
      </c>
      <c r="W85" s="5">
        <v>7.2055140379522056E-2</v>
      </c>
      <c r="X85" s="6">
        <v>0</v>
      </c>
      <c r="Y85" s="6">
        <v>1</v>
      </c>
      <c r="Z85" s="6">
        <v>49</v>
      </c>
      <c r="AA85" s="16">
        <v>0.49093276047446255</v>
      </c>
      <c r="AB85" s="5">
        <v>2.7625841923390355E-2</v>
      </c>
      <c r="AC85" s="6">
        <v>0</v>
      </c>
      <c r="AD85" s="6">
        <v>1</v>
      </c>
      <c r="AE85" s="6">
        <v>447</v>
      </c>
      <c r="AF85">
        <f>(AA87/AA86)-AA85</f>
        <v>3.7886515611053828E-2</v>
      </c>
    </row>
    <row r="86" spans="1:32" x14ac:dyDescent="0.45">
      <c r="A86" s="4" t="s">
        <v>14</v>
      </c>
      <c r="B86" s="5">
        <v>0.79321304904364254</v>
      </c>
      <c r="C86" s="5">
        <v>4.3039128791149045E-2</v>
      </c>
      <c r="D86" s="6">
        <v>0</v>
      </c>
      <c r="E86" s="6">
        <v>1</v>
      </c>
      <c r="F86" s="6">
        <v>90</v>
      </c>
      <c r="G86" s="5">
        <v>0.63843941264368653</v>
      </c>
      <c r="H86" s="5">
        <v>4.3361765153530248E-2</v>
      </c>
      <c r="I86" s="6">
        <v>0</v>
      </c>
      <c r="J86" s="6">
        <v>1</v>
      </c>
      <c r="K86" s="6">
        <v>125</v>
      </c>
      <c r="L86" s="5">
        <v>0.58432009369337878</v>
      </c>
      <c r="M86" s="5">
        <v>5.0207452132509274E-2</v>
      </c>
      <c r="N86" s="6">
        <v>0</v>
      </c>
      <c r="O86" s="6">
        <v>1</v>
      </c>
      <c r="P86" s="6">
        <v>100</v>
      </c>
      <c r="Q86" s="5">
        <v>0.62898008352691293</v>
      </c>
      <c r="R86" s="5">
        <v>5.3401158711994051E-2</v>
      </c>
      <c r="S86" s="6">
        <v>0</v>
      </c>
      <c r="T86" s="6">
        <v>1</v>
      </c>
      <c r="U86" s="6">
        <v>83</v>
      </c>
      <c r="V86" s="5">
        <v>0.81519781986826212</v>
      </c>
      <c r="W86" s="5">
        <v>5.9517950839845665E-2</v>
      </c>
      <c r="X86" s="6">
        <v>0</v>
      </c>
      <c r="Y86" s="6">
        <v>1</v>
      </c>
      <c r="Z86" s="6">
        <v>49</v>
      </c>
      <c r="AA86" s="16">
        <v>0.62633244953010792</v>
      </c>
      <c r="AB86" s="5">
        <v>2.6998005023716822E-2</v>
      </c>
      <c r="AC86" s="6">
        <v>0</v>
      </c>
      <c r="AD86" s="6">
        <v>1</v>
      </c>
      <c r="AE86" s="6">
        <v>447</v>
      </c>
      <c r="AF86">
        <f>(AA87/AA85)-AA86</f>
        <v>4.833565008759777E-2</v>
      </c>
    </row>
    <row r="87" spans="1:32" ht="26.25" x14ac:dyDescent="0.45">
      <c r="A87" s="4" t="s">
        <v>54</v>
      </c>
      <c r="B87" s="5">
        <v>0.21256994923070446</v>
      </c>
      <c r="C87" s="5">
        <v>4.604424776402373E-2</v>
      </c>
      <c r="D87" s="6">
        <v>0</v>
      </c>
      <c r="E87" s="6">
        <v>1</v>
      </c>
      <c r="F87" s="6">
        <v>90</v>
      </c>
      <c r="G87" s="5">
        <v>0.26844382257176375</v>
      </c>
      <c r="H87" s="5">
        <v>3.9747279721299711E-2</v>
      </c>
      <c r="I87" s="6">
        <v>0</v>
      </c>
      <c r="J87" s="6">
        <v>1</v>
      </c>
      <c r="K87" s="6">
        <v>125</v>
      </c>
      <c r="L87" s="5">
        <v>0.30121562531692225</v>
      </c>
      <c r="M87" s="5">
        <v>4.6052365782050984E-2</v>
      </c>
      <c r="N87" s="6">
        <v>0</v>
      </c>
      <c r="O87" s="6">
        <v>1</v>
      </c>
      <c r="P87" s="6">
        <v>100</v>
      </c>
      <c r="Q87" s="5">
        <v>0.54183826764487497</v>
      </c>
      <c r="R87" s="5">
        <v>5.5163455669565542E-2</v>
      </c>
      <c r="S87" s="6">
        <v>0</v>
      </c>
      <c r="T87" s="6">
        <v>1</v>
      </c>
      <c r="U87" s="6">
        <v>83</v>
      </c>
      <c r="V87" s="5">
        <v>0.54442138200883972</v>
      </c>
      <c r="W87" s="5">
        <v>7.5379110524644258E-2</v>
      </c>
      <c r="X87" s="6">
        <v>0</v>
      </c>
      <c r="Y87" s="6">
        <v>1</v>
      </c>
      <c r="Z87" s="6">
        <v>49</v>
      </c>
      <c r="AA87" s="16">
        <v>0.33121667254937992</v>
      </c>
      <c r="AB87" s="5">
        <v>2.5749394244560467E-2</v>
      </c>
      <c r="AC87" s="6">
        <v>0</v>
      </c>
      <c r="AD87" s="6">
        <v>1</v>
      </c>
      <c r="AE87" s="6">
        <v>447</v>
      </c>
    </row>
    <row r="88" spans="1:32" x14ac:dyDescent="0.45">
      <c r="A88" s="4" t="s">
        <v>53</v>
      </c>
      <c r="B88" s="5">
        <v>0.36931676008772862</v>
      </c>
      <c r="C88" s="5">
        <v>6.0981626564075693E-2</v>
      </c>
      <c r="D88" s="6">
        <v>0</v>
      </c>
      <c r="E88" s="6">
        <v>1</v>
      </c>
      <c r="F88" s="6">
        <v>69</v>
      </c>
      <c r="G88" s="5">
        <v>0.45597448909241062</v>
      </c>
      <c r="H88" s="5">
        <v>6.2994801042703455E-2</v>
      </c>
      <c r="I88" s="6">
        <v>0</v>
      </c>
      <c r="J88" s="6">
        <v>1</v>
      </c>
      <c r="K88" s="6">
        <v>64</v>
      </c>
      <c r="L88" s="5">
        <v>0.35340595247732498</v>
      </c>
      <c r="M88" s="5">
        <v>6.8981533123624983E-2</v>
      </c>
      <c r="N88" s="6">
        <v>0</v>
      </c>
      <c r="O88" s="6">
        <v>1</v>
      </c>
      <c r="P88" s="6">
        <v>49</v>
      </c>
      <c r="Q88" s="5">
        <v>0.85550511091760806</v>
      </c>
      <c r="R88" s="5">
        <v>5.0910450046365498E-2</v>
      </c>
      <c r="S88" s="6">
        <v>0</v>
      </c>
      <c r="T88" s="6">
        <v>1</v>
      </c>
      <c r="U88" s="6">
        <v>52</v>
      </c>
      <c r="V88" s="5">
        <v>0.64763006364501563</v>
      </c>
      <c r="W88" s="5">
        <v>5.8745415233323696E-2</v>
      </c>
      <c r="X88" s="6">
        <v>0</v>
      </c>
      <c r="Y88" s="6">
        <v>1</v>
      </c>
      <c r="Z88" s="6">
        <v>77</v>
      </c>
      <c r="AA88" s="16">
        <v>0.49863984192788541</v>
      </c>
      <c r="AB88" s="5">
        <v>3.6738383740342447E-2</v>
      </c>
      <c r="AC88" s="6">
        <v>0</v>
      </c>
      <c r="AD88" s="6">
        <v>1</v>
      </c>
      <c r="AE88" s="6">
        <v>311</v>
      </c>
      <c r="AF88">
        <f>(AA90/AA89)-AA88</f>
        <v>0.34453255781760267</v>
      </c>
    </row>
    <row r="89" spans="1:32" ht="26.25" x14ac:dyDescent="0.45">
      <c r="A89" s="4" t="s">
        <v>16</v>
      </c>
      <c r="B89" s="5">
        <v>2.0116465112707569E-2</v>
      </c>
      <c r="C89" s="5">
        <v>1.6411369979554096E-2</v>
      </c>
      <c r="D89" s="6">
        <v>0</v>
      </c>
      <c r="E89" s="6">
        <v>1</v>
      </c>
      <c r="F89" s="6">
        <v>69</v>
      </c>
      <c r="G89" s="5">
        <v>0</v>
      </c>
      <c r="H89" s="5">
        <v>0</v>
      </c>
      <c r="I89" s="6">
        <v>0</v>
      </c>
      <c r="J89" s="6">
        <v>0</v>
      </c>
      <c r="K89" s="6">
        <v>64</v>
      </c>
      <c r="L89" s="5">
        <v>0</v>
      </c>
      <c r="M89" s="5">
        <v>0</v>
      </c>
      <c r="N89" s="6">
        <v>0</v>
      </c>
      <c r="O89" s="6">
        <v>0</v>
      </c>
      <c r="P89" s="6">
        <v>49</v>
      </c>
      <c r="Q89" s="5">
        <v>3.7239277633767734E-2</v>
      </c>
      <c r="R89" s="5">
        <v>2.6109109911868628E-2</v>
      </c>
      <c r="S89" s="6">
        <v>0</v>
      </c>
      <c r="T89" s="6">
        <v>1</v>
      </c>
      <c r="U89" s="6">
        <v>52</v>
      </c>
      <c r="V89" s="5">
        <v>4.5102864901990225E-2</v>
      </c>
      <c r="W89" s="5">
        <v>2.105195985339256E-2</v>
      </c>
      <c r="X89" s="6">
        <v>0</v>
      </c>
      <c r="Y89" s="6">
        <v>1</v>
      </c>
      <c r="Z89" s="6">
        <v>77</v>
      </c>
      <c r="AA89" s="16">
        <v>1.0517616768506599E-2</v>
      </c>
      <c r="AB89" s="5">
        <v>6.0121864066784306E-3</v>
      </c>
      <c r="AC89" s="6">
        <v>0</v>
      </c>
      <c r="AD89" s="6">
        <v>1</v>
      </c>
      <c r="AE89" s="6">
        <v>311</v>
      </c>
      <c r="AF89">
        <f>(AA90/AA88)-AA89</f>
        <v>7.2670916014026601E-3</v>
      </c>
    </row>
    <row r="90" spans="1:32" s="14" customFormat="1" ht="39.4" x14ac:dyDescent="0.45">
      <c r="A90" s="11" t="s">
        <v>55</v>
      </c>
      <c r="B90" s="12">
        <v>4.2392112186812629E-3</v>
      </c>
      <c r="C90" s="12">
        <v>4.2850466986920199E-3</v>
      </c>
      <c r="D90" s="13">
        <v>0</v>
      </c>
      <c r="E90" s="13">
        <v>1</v>
      </c>
      <c r="F90" s="13">
        <v>69</v>
      </c>
      <c r="G90" s="12">
        <v>0</v>
      </c>
      <c r="H90" s="12">
        <v>0</v>
      </c>
      <c r="I90" s="13">
        <v>0</v>
      </c>
      <c r="J90" s="13">
        <v>0</v>
      </c>
      <c r="K90" s="13">
        <v>64</v>
      </c>
      <c r="L90" s="12">
        <v>0</v>
      </c>
      <c r="M90" s="12">
        <v>0</v>
      </c>
      <c r="N90" s="13">
        <v>0</v>
      </c>
      <c r="O90" s="13">
        <v>0</v>
      </c>
      <c r="P90" s="13">
        <v>49</v>
      </c>
      <c r="Q90" s="12">
        <v>3.7239277633767734E-2</v>
      </c>
      <c r="R90" s="12">
        <v>2.6109109911868628E-2</v>
      </c>
      <c r="S90" s="13">
        <v>0</v>
      </c>
      <c r="T90" s="13">
        <v>1</v>
      </c>
      <c r="U90" s="13">
        <v>52</v>
      </c>
      <c r="V90" s="12">
        <v>3.4639327403558601E-2</v>
      </c>
      <c r="W90" s="12">
        <v>1.8364084337790923E-2</v>
      </c>
      <c r="X90" s="13">
        <v>0</v>
      </c>
      <c r="Y90" s="13">
        <v>1</v>
      </c>
      <c r="Z90" s="13">
        <v>77</v>
      </c>
      <c r="AA90" s="17">
        <v>8.8681641703050942E-3</v>
      </c>
      <c r="AB90" s="12">
        <v>5.8013480650884602E-3</v>
      </c>
      <c r="AC90" s="13">
        <v>0</v>
      </c>
      <c r="AD90" s="13">
        <v>1</v>
      </c>
      <c r="AE90" s="13">
        <v>311</v>
      </c>
    </row>
    <row r="91" spans="1:32" x14ac:dyDescent="0.45">
      <c r="A91" s="4" t="s">
        <v>53</v>
      </c>
      <c r="B91" s="5">
        <v>0.22859074008909755</v>
      </c>
      <c r="C91" s="5">
        <v>5.7169246462515845E-2</v>
      </c>
      <c r="D91" s="6">
        <v>0</v>
      </c>
      <c r="E91" s="6">
        <v>1</v>
      </c>
      <c r="F91" s="6">
        <v>54</v>
      </c>
      <c r="G91" s="5">
        <v>0.42864290892996887</v>
      </c>
      <c r="H91" s="5">
        <v>5.4572177452820954E-2</v>
      </c>
      <c r="I91" s="6">
        <v>0</v>
      </c>
      <c r="J91" s="6">
        <v>1</v>
      </c>
      <c r="K91" s="6">
        <v>84</v>
      </c>
      <c r="L91" s="5">
        <v>0.1777489152057431</v>
      </c>
      <c r="M91" s="5">
        <v>6.7143804313472791E-2</v>
      </c>
      <c r="N91" s="6">
        <v>0</v>
      </c>
      <c r="O91" s="6">
        <v>1</v>
      </c>
      <c r="P91" s="6">
        <v>33</v>
      </c>
      <c r="Q91" s="5">
        <v>0.87110999884225904</v>
      </c>
      <c r="R91" s="5">
        <v>4.6614887343802869E-2</v>
      </c>
      <c r="S91" s="6">
        <v>0</v>
      </c>
      <c r="T91" s="6">
        <v>1</v>
      </c>
      <c r="U91" s="6">
        <v>51</v>
      </c>
      <c r="V91" s="5">
        <v>0</v>
      </c>
      <c r="W91" s="5">
        <v>0</v>
      </c>
      <c r="X91" s="6" t="s">
        <v>18</v>
      </c>
      <c r="Y91" s="6" t="s">
        <v>18</v>
      </c>
      <c r="Z91" s="6">
        <v>0</v>
      </c>
      <c r="AA91" s="16">
        <v>0.4519318185136395</v>
      </c>
      <c r="AB91" s="5">
        <v>3.6888999920056252E-2</v>
      </c>
      <c r="AC91" s="6">
        <v>0</v>
      </c>
      <c r="AD91" s="6">
        <v>1</v>
      </c>
      <c r="AE91" s="6">
        <v>222</v>
      </c>
      <c r="AF91">
        <f>(AA93/AA92)-AA91</f>
        <v>-0.1726435339563559</v>
      </c>
    </row>
    <row r="92" spans="1:32" x14ac:dyDescent="0.45">
      <c r="A92" s="4" t="s">
        <v>19</v>
      </c>
      <c r="B92" s="5">
        <v>0</v>
      </c>
      <c r="C92" s="5">
        <v>0</v>
      </c>
      <c r="D92" s="6">
        <v>0</v>
      </c>
      <c r="E92" s="6">
        <v>0</v>
      </c>
      <c r="F92" s="6">
        <v>54</v>
      </c>
      <c r="G92" s="5">
        <v>0</v>
      </c>
      <c r="H92" s="5">
        <v>0</v>
      </c>
      <c r="I92" s="6">
        <v>0</v>
      </c>
      <c r="J92" s="6">
        <v>0</v>
      </c>
      <c r="K92" s="6">
        <v>84</v>
      </c>
      <c r="L92" s="5">
        <v>0.51294588308387212</v>
      </c>
      <c r="M92" s="5">
        <v>8.8775012583452828E-2</v>
      </c>
      <c r="N92" s="6">
        <v>0</v>
      </c>
      <c r="O92" s="6">
        <v>1</v>
      </c>
      <c r="P92" s="6">
        <v>33</v>
      </c>
      <c r="Q92" s="5">
        <v>0.20115357837551784</v>
      </c>
      <c r="R92" s="5">
        <v>5.7475752421020931E-2</v>
      </c>
      <c r="S92" s="6">
        <v>0</v>
      </c>
      <c r="T92" s="6">
        <v>1</v>
      </c>
      <c r="U92" s="6">
        <v>51</v>
      </c>
      <c r="V92" s="5">
        <v>0</v>
      </c>
      <c r="W92" s="5">
        <v>0</v>
      </c>
      <c r="X92" s="6" t="s">
        <v>18</v>
      </c>
      <c r="Y92" s="6" t="s">
        <v>18</v>
      </c>
      <c r="Z92" s="6">
        <v>0</v>
      </c>
      <c r="AA92" s="16">
        <v>0.18588338138996935</v>
      </c>
      <c r="AB92" s="5">
        <v>3.2400145905225268E-2</v>
      </c>
      <c r="AC92" s="6">
        <v>0</v>
      </c>
      <c r="AD92" s="6">
        <v>1</v>
      </c>
      <c r="AE92" s="6">
        <v>222</v>
      </c>
      <c r="AF92">
        <f>(AA93/AA91)-AA92</f>
        <v>-7.1009746497751616E-2</v>
      </c>
    </row>
    <row r="93" spans="1:32" ht="26.25" x14ac:dyDescent="0.45">
      <c r="A93" s="4" t="s">
        <v>56</v>
      </c>
      <c r="B93" s="5">
        <v>0</v>
      </c>
      <c r="C93" s="5">
        <v>0</v>
      </c>
      <c r="D93" s="6">
        <v>0</v>
      </c>
      <c r="E93" s="6">
        <v>0</v>
      </c>
      <c r="F93" s="6">
        <v>54</v>
      </c>
      <c r="G93" s="5">
        <v>0</v>
      </c>
      <c r="H93" s="5">
        <v>0</v>
      </c>
      <c r="I93" s="6">
        <v>0</v>
      </c>
      <c r="J93" s="6">
        <v>0</v>
      </c>
      <c r="K93" s="6">
        <v>84</v>
      </c>
      <c r="L93" s="5">
        <v>8.5646767469716001E-2</v>
      </c>
      <c r="M93" s="5">
        <v>4.8193023473314354E-2</v>
      </c>
      <c r="N93" s="6">
        <v>0</v>
      </c>
      <c r="O93" s="6">
        <v>1</v>
      </c>
      <c r="P93" s="6">
        <v>33</v>
      </c>
      <c r="Q93" s="5">
        <v>0.12104793515269505</v>
      </c>
      <c r="R93" s="5">
        <v>4.6953442893298988E-2</v>
      </c>
      <c r="S93" s="6">
        <v>0</v>
      </c>
      <c r="T93" s="6">
        <v>1</v>
      </c>
      <c r="U93" s="6">
        <v>51</v>
      </c>
      <c r="V93" s="5">
        <v>0</v>
      </c>
      <c r="W93" s="5">
        <v>0</v>
      </c>
      <c r="X93" s="6" t="s">
        <v>18</v>
      </c>
      <c r="Y93" s="6" t="s">
        <v>18</v>
      </c>
      <c r="Z93" s="6">
        <v>0</v>
      </c>
      <c r="AA93" s="16">
        <v>5.1915050716111834E-2</v>
      </c>
      <c r="AB93" s="5">
        <v>1.7341253960619543E-2</v>
      </c>
      <c r="AC93" s="6">
        <v>0</v>
      </c>
      <c r="AD93" s="6">
        <v>1</v>
      </c>
      <c r="AE93" s="6">
        <v>222</v>
      </c>
    </row>
    <row r="94" spans="1:32" x14ac:dyDescent="0.45">
      <c r="A94" s="4" t="s">
        <v>57</v>
      </c>
      <c r="B94" s="5">
        <v>0.36799563727175366</v>
      </c>
      <c r="C94" s="5">
        <v>5.2141465827294876E-2</v>
      </c>
      <c r="D94" s="6">
        <v>0</v>
      </c>
      <c r="E94" s="6">
        <v>1</v>
      </c>
      <c r="F94" s="6">
        <v>90</v>
      </c>
      <c r="G94" s="5">
        <v>0.46018307558533433</v>
      </c>
      <c r="H94" s="5">
        <v>4.4932537123773666E-2</v>
      </c>
      <c r="I94" s="6">
        <v>0</v>
      </c>
      <c r="J94" s="6">
        <v>1</v>
      </c>
      <c r="K94" s="6">
        <v>125</v>
      </c>
      <c r="L94" s="5">
        <v>0.41931509895880953</v>
      </c>
      <c r="M94" s="5">
        <v>5.039986164178771E-2</v>
      </c>
      <c r="N94" s="6">
        <v>0</v>
      </c>
      <c r="O94" s="6">
        <v>1</v>
      </c>
      <c r="P94" s="6">
        <v>100</v>
      </c>
      <c r="Q94" s="5">
        <v>0.498905618482473</v>
      </c>
      <c r="R94" s="5">
        <v>5.535466058958572E-2</v>
      </c>
      <c r="S94" s="6">
        <v>0</v>
      </c>
      <c r="T94" s="6">
        <v>1</v>
      </c>
      <c r="U94" s="6">
        <v>83</v>
      </c>
      <c r="V94" s="5">
        <v>0.33418186598409644</v>
      </c>
      <c r="W94" s="5">
        <v>7.3778819833908632E-2</v>
      </c>
      <c r="X94" s="6">
        <v>0</v>
      </c>
      <c r="Y94" s="6">
        <v>1</v>
      </c>
      <c r="Z94" s="6">
        <v>49</v>
      </c>
      <c r="AA94" s="16">
        <v>0.44438607621525278</v>
      </c>
      <c r="AB94" s="5">
        <v>2.7503492078545418E-2</v>
      </c>
      <c r="AC94" s="6">
        <v>0</v>
      </c>
      <c r="AD94" s="6">
        <v>1</v>
      </c>
      <c r="AE94" s="6">
        <v>447</v>
      </c>
      <c r="AF94">
        <f>(AA96/AA95)-AA94</f>
        <v>4.4301661384413993E-2</v>
      </c>
    </row>
    <row r="95" spans="1:32" x14ac:dyDescent="0.45">
      <c r="A95" s="4" t="s">
        <v>14</v>
      </c>
      <c r="B95" s="5">
        <v>0.79321304904364254</v>
      </c>
      <c r="C95" s="5">
        <v>4.3039128791149045E-2</v>
      </c>
      <c r="D95" s="6">
        <v>0</v>
      </c>
      <c r="E95" s="6">
        <v>1</v>
      </c>
      <c r="F95" s="6">
        <v>90</v>
      </c>
      <c r="G95" s="5">
        <v>0.63843941264368653</v>
      </c>
      <c r="H95" s="5">
        <v>4.3361765153530248E-2</v>
      </c>
      <c r="I95" s="6">
        <v>0</v>
      </c>
      <c r="J95" s="6">
        <v>1</v>
      </c>
      <c r="K95" s="6">
        <v>125</v>
      </c>
      <c r="L95" s="5">
        <v>0.58432009369337878</v>
      </c>
      <c r="M95" s="5">
        <v>5.0207452132509274E-2</v>
      </c>
      <c r="N95" s="6">
        <v>0</v>
      </c>
      <c r="O95" s="6">
        <v>1</v>
      </c>
      <c r="P95" s="6">
        <v>100</v>
      </c>
      <c r="Q95" s="5">
        <v>0.62898008352691293</v>
      </c>
      <c r="R95" s="5">
        <v>5.3401158711994051E-2</v>
      </c>
      <c r="S95" s="6">
        <v>0</v>
      </c>
      <c r="T95" s="6">
        <v>1</v>
      </c>
      <c r="U95" s="6">
        <v>83</v>
      </c>
      <c r="V95" s="5">
        <v>0.81519781986826212</v>
      </c>
      <c r="W95" s="5">
        <v>5.9517950839845665E-2</v>
      </c>
      <c r="X95" s="6">
        <v>0</v>
      </c>
      <c r="Y95" s="6">
        <v>1</v>
      </c>
      <c r="Z95" s="6">
        <v>49</v>
      </c>
      <c r="AA95" s="16">
        <v>0.62633244953010792</v>
      </c>
      <c r="AB95" s="5">
        <v>2.6998005023716822E-2</v>
      </c>
      <c r="AC95" s="6">
        <v>0</v>
      </c>
      <c r="AD95" s="6">
        <v>1</v>
      </c>
      <c r="AE95" s="6">
        <v>447</v>
      </c>
      <c r="AF95">
        <f>(AA96/AA94)-AA95</f>
        <v>6.2440228392108721E-2</v>
      </c>
    </row>
    <row r="96" spans="1:32" ht="26.25" x14ac:dyDescent="0.45">
      <c r="A96" s="4" t="s">
        <v>58</v>
      </c>
      <c r="B96" s="5">
        <v>0.29239112251928034</v>
      </c>
      <c r="C96" s="5">
        <v>4.9272506056028904E-2</v>
      </c>
      <c r="D96" s="6">
        <v>0</v>
      </c>
      <c r="E96" s="6">
        <v>1</v>
      </c>
      <c r="F96" s="6">
        <v>90</v>
      </c>
      <c r="G96" s="5">
        <v>0.35971919987774703</v>
      </c>
      <c r="H96" s="5">
        <v>4.3296112819110166E-2</v>
      </c>
      <c r="I96" s="6">
        <v>0</v>
      </c>
      <c r="J96" s="6">
        <v>1</v>
      </c>
      <c r="K96" s="6">
        <v>125</v>
      </c>
      <c r="L96" s="5">
        <v>0.24836583224118522</v>
      </c>
      <c r="M96" s="5">
        <v>4.3977849300669808E-2</v>
      </c>
      <c r="N96" s="6">
        <v>0</v>
      </c>
      <c r="O96" s="6">
        <v>1</v>
      </c>
      <c r="P96" s="6">
        <v>100</v>
      </c>
      <c r="Q96" s="5">
        <v>0.3403935976930767</v>
      </c>
      <c r="R96" s="5">
        <v>5.2585974729395336E-2</v>
      </c>
      <c r="S96" s="6">
        <v>0</v>
      </c>
      <c r="T96" s="6">
        <v>1</v>
      </c>
      <c r="U96" s="6">
        <v>83</v>
      </c>
      <c r="V96" s="5">
        <v>0.21438205289107565</v>
      </c>
      <c r="W96" s="5">
        <v>6.6034979891511497E-2</v>
      </c>
      <c r="X96" s="6">
        <v>0</v>
      </c>
      <c r="Y96" s="6">
        <v>1</v>
      </c>
      <c r="Z96" s="6">
        <v>49</v>
      </c>
      <c r="AA96" s="16">
        <v>0.30608098774612591</v>
      </c>
      <c r="AB96" s="5">
        <v>2.5247877074884042E-2</v>
      </c>
      <c r="AC96" s="6">
        <v>0</v>
      </c>
      <c r="AD96" s="6">
        <v>1</v>
      </c>
      <c r="AE96" s="6">
        <v>447</v>
      </c>
    </row>
    <row r="97" spans="1:32" x14ac:dyDescent="0.45">
      <c r="A97" s="4" t="s">
        <v>57</v>
      </c>
      <c r="B97" s="5">
        <v>0.35907807554543664</v>
      </c>
      <c r="C97" s="5">
        <v>5.964813055870867E-2</v>
      </c>
      <c r="D97" s="6">
        <v>0</v>
      </c>
      <c r="E97" s="6">
        <v>1</v>
      </c>
      <c r="F97" s="6">
        <v>69</v>
      </c>
      <c r="G97" s="5">
        <v>0.62152703680576593</v>
      </c>
      <c r="H97" s="5">
        <v>6.1476657056064241E-2</v>
      </c>
      <c r="I97" s="6">
        <v>0</v>
      </c>
      <c r="J97" s="6">
        <v>1</v>
      </c>
      <c r="K97" s="6">
        <v>64</v>
      </c>
      <c r="L97" s="5">
        <v>0.44759266239307915</v>
      </c>
      <c r="M97" s="5">
        <v>7.2369788794935372E-2</v>
      </c>
      <c r="N97" s="6">
        <v>0</v>
      </c>
      <c r="O97" s="6">
        <v>1</v>
      </c>
      <c r="P97" s="6">
        <v>49</v>
      </c>
      <c r="Q97" s="5">
        <v>0.49787677557334437</v>
      </c>
      <c r="R97" s="5">
        <v>7.0244590987382186E-2</v>
      </c>
      <c r="S97" s="6">
        <v>0</v>
      </c>
      <c r="T97" s="6">
        <v>1</v>
      </c>
      <c r="U97" s="6">
        <v>52</v>
      </c>
      <c r="V97" s="5">
        <v>0.66733845504192968</v>
      </c>
      <c r="W97" s="5">
        <v>5.4174948945428833E-2</v>
      </c>
      <c r="X97" s="6">
        <v>0</v>
      </c>
      <c r="Y97" s="6">
        <v>1</v>
      </c>
      <c r="Z97" s="6">
        <v>77</v>
      </c>
      <c r="AA97" s="16">
        <v>0.50418342086867329</v>
      </c>
      <c r="AB97" s="5">
        <v>3.6745585097390836E-2</v>
      </c>
      <c r="AC97" s="6">
        <v>0</v>
      </c>
      <c r="AD97" s="6">
        <v>1</v>
      </c>
      <c r="AE97" s="6">
        <v>311</v>
      </c>
      <c r="AF97">
        <f>(AA99/AA98)-AA97</f>
        <v>0.10421426721430382</v>
      </c>
    </row>
    <row r="98" spans="1:32" ht="26.25" x14ac:dyDescent="0.45">
      <c r="A98" s="4" t="s">
        <v>16</v>
      </c>
      <c r="B98" s="5">
        <v>2.0116465112707569E-2</v>
      </c>
      <c r="C98" s="5">
        <v>1.6411369979554096E-2</v>
      </c>
      <c r="D98" s="6">
        <v>0</v>
      </c>
      <c r="E98" s="6">
        <v>1</v>
      </c>
      <c r="F98" s="6">
        <v>69</v>
      </c>
      <c r="G98" s="5">
        <v>0</v>
      </c>
      <c r="H98" s="5">
        <v>0</v>
      </c>
      <c r="I98" s="6">
        <v>0</v>
      </c>
      <c r="J98" s="6">
        <v>0</v>
      </c>
      <c r="K98" s="6">
        <v>64</v>
      </c>
      <c r="L98" s="5">
        <v>0</v>
      </c>
      <c r="M98" s="5">
        <v>0</v>
      </c>
      <c r="N98" s="6">
        <v>0</v>
      </c>
      <c r="O98" s="6">
        <v>0</v>
      </c>
      <c r="P98" s="6">
        <v>49</v>
      </c>
      <c r="Q98" s="5">
        <v>3.7239277633767734E-2</v>
      </c>
      <c r="R98" s="5">
        <v>2.6109109911868628E-2</v>
      </c>
      <c r="S98" s="6">
        <v>0</v>
      </c>
      <c r="T98" s="6">
        <v>1</v>
      </c>
      <c r="U98" s="6">
        <v>52</v>
      </c>
      <c r="V98" s="5">
        <v>4.5102864901990225E-2</v>
      </c>
      <c r="W98" s="5">
        <v>2.105195985339256E-2</v>
      </c>
      <c r="X98" s="6">
        <v>0</v>
      </c>
      <c r="Y98" s="6">
        <v>1</v>
      </c>
      <c r="Z98" s="6">
        <v>77</v>
      </c>
      <c r="AA98" s="16">
        <v>1.0517616768506599E-2</v>
      </c>
      <c r="AB98" s="5">
        <v>6.0121864066784306E-3</v>
      </c>
      <c r="AC98" s="6">
        <v>0</v>
      </c>
      <c r="AD98" s="6">
        <v>1</v>
      </c>
      <c r="AE98" s="6">
        <v>311</v>
      </c>
      <c r="AF98">
        <f>(AA99/AA97)-AA98</f>
        <v>2.1739820846990755E-3</v>
      </c>
    </row>
    <row r="99" spans="1:32" ht="39.4" x14ac:dyDescent="0.45">
      <c r="A99" s="4" t="s">
        <v>59</v>
      </c>
      <c r="B99" s="5">
        <v>2.0116465112707569E-2</v>
      </c>
      <c r="C99" s="5">
        <v>1.6411369979554096E-2</v>
      </c>
      <c r="D99" s="6">
        <v>0</v>
      </c>
      <c r="E99" s="6">
        <v>1</v>
      </c>
      <c r="F99" s="6">
        <v>69</v>
      </c>
      <c r="G99" s="5">
        <v>0</v>
      </c>
      <c r="H99" s="5">
        <v>0</v>
      </c>
      <c r="I99" s="6">
        <v>0</v>
      </c>
      <c r="J99" s="6">
        <v>0</v>
      </c>
      <c r="K99" s="6">
        <v>64</v>
      </c>
      <c r="L99" s="5">
        <v>0</v>
      </c>
      <c r="M99" s="5">
        <v>0</v>
      </c>
      <c r="N99" s="6">
        <v>0</v>
      </c>
      <c r="O99" s="6">
        <v>0</v>
      </c>
      <c r="P99" s="6">
        <v>49</v>
      </c>
      <c r="Q99" s="5">
        <v>1.8619638816883867E-2</v>
      </c>
      <c r="R99" s="5">
        <v>1.8632386074044379E-2</v>
      </c>
      <c r="S99" s="6">
        <v>0</v>
      </c>
      <c r="T99" s="6">
        <v>1</v>
      </c>
      <c r="U99" s="6">
        <v>52</v>
      </c>
      <c r="V99" s="5">
        <v>4.1854149993726511E-2</v>
      </c>
      <c r="W99" s="5">
        <v>2.07895276694307E-2</v>
      </c>
      <c r="X99" s="6">
        <v>0</v>
      </c>
      <c r="Y99" s="6">
        <v>1</v>
      </c>
      <c r="Z99" s="6">
        <v>77</v>
      </c>
      <c r="AA99" s="16">
        <v>6.3988937261021681E-3</v>
      </c>
      <c r="AB99" s="5">
        <v>4.412052231909872E-3</v>
      </c>
      <c r="AC99" s="6">
        <v>0</v>
      </c>
      <c r="AD99" s="6">
        <v>1</v>
      </c>
      <c r="AE99" s="6">
        <v>311</v>
      </c>
    </row>
    <row r="100" spans="1:32" x14ac:dyDescent="0.45">
      <c r="A100" s="4" t="s">
        <v>57</v>
      </c>
      <c r="B100" s="5">
        <v>0.43661277946188221</v>
      </c>
      <c r="C100" s="5">
        <v>6.9427463752396085E-2</v>
      </c>
      <c r="D100" s="6">
        <v>0</v>
      </c>
      <c r="E100" s="6">
        <v>1</v>
      </c>
      <c r="F100" s="6">
        <v>54</v>
      </c>
      <c r="G100" s="5">
        <v>0.45056201836247178</v>
      </c>
      <c r="H100" s="5">
        <v>5.4909552210647319E-2</v>
      </c>
      <c r="I100" s="6">
        <v>0</v>
      </c>
      <c r="J100" s="6">
        <v>1</v>
      </c>
      <c r="K100" s="6">
        <v>84</v>
      </c>
      <c r="L100" s="5">
        <v>0.41315705109764389</v>
      </c>
      <c r="M100" s="5">
        <v>8.8019159731047084E-2</v>
      </c>
      <c r="N100" s="6">
        <v>0</v>
      </c>
      <c r="O100" s="6">
        <v>1</v>
      </c>
      <c r="P100" s="6">
        <v>33</v>
      </c>
      <c r="Q100" s="5">
        <v>0.54681418140907601</v>
      </c>
      <c r="R100" s="5">
        <v>7.0973117672338909E-2</v>
      </c>
      <c r="S100" s="6">
        <v>0</v>
      </c>
      <c r="T100" s="6">
        <v>1</v>
      </c>
      <c r="U100" s="6">
        <v>51</v>
      </c>
      <c r="V100" s="5">
        <v>0</v>
      </c>
      <c r="W100" s="5">
        <v>0</v>
      </c>
      <c r="X100" s="6" t="s">
        <v>18</v>
      </c>
      <c r="Y100" s="6" t="s">
        <v>18</v>
      </c>
      <c r="Z100" s="6">
        <v>0</v>
      </c>
      <c r="AA100" s="16">
        <v>0.4624461901383064</v>
      </c>
      <c r="AB100" s="5">
        <v>3.723259980779875E-2</v>
      </c>
      <c r="AC100" s="6">
        <v>0</v>
      </c>
      <c r="AD100" s="6">
        <v>1</v>
      </c>
      <c r="AE100" s="6">
        <v>222</v>
      </c>
      <c r="AF100">
        <f>(AA102/AA101)-AA100</f>
        <v>1.141422555966376E-2</v>
      </c>
    </row>
    <row r="101" spans="1:32" x14ac:dyDescent="0.45">
      <c r="A101" s="4" t="s">
        <v>19</v>
      </c>
      <c r="B101" s="5">
        <v>0</v>
      </c>
      <c r="C101" s="5">
        <v>0</v>
      </c>
      <c r="D101" s="6">
        <v>0</v>
      </c>
      <c r="E101" s="6">
        <v>0</v>
      </c>
      <c r="F101" s="6">
        <v>54</v>
      </c>
      <c r="G101" s="5">
        <v>0</v>
      </c>
      <c r="H101" s="5">
        <v>0</v>
      </c>
      <c r="I101" s="6">
        <v>0</v>
      </c>
      <c r="J101" s="6">
        <v>0</v>
      </c>
      <c r="K101" s="6">
        <v>84</v>
      </c>
      <c r="L101" s="5">
        <v>0.51294588308387212</v>
      </c>
      <c r="M101" s="5">
        <v>8.8775012583452828E-2</v>
      </c>
      <c r="N101" s="6">
        <v>0</v>
      </c>
      <c r="O101" s="6">
        <v>1</v>
      </c>
      <c r="P101" s="6">
        <v>33</v>
      </c>
      <c r="Q101" s="5">
        <v>0.20115357837551784</v>
      </c>
      <c r="R101" s="5">
        <v>5.7475752421020931E-2</v>
      </c>
      <c r="S101" s="6">
        <v>0</v>
      </c>
      <c r="T101" s="6">
        <v>1</v>
      </c>
      <c r="U101" s="6">
        <v>51</v>
      </c>
      <c r="V101" s="5">
        <v>0</v>
      </c>
      <c r="W101" s="5">
        <v>0</v>
      </c>
      <c r="X101" s="6" t="s">
        <v>18</v>
      </c>
      <c r="Y101" s="6" t="s">
        <v>18</v>
      </c>
      <c r="Z101" s="6">
        <v>0</v>
      </c>
      <c r="AA101" s="16">
        <v>0.18588338138996935</v>
      </c>
      <c r="AB101" s="5">
        <v>3.2400145905225268E-2</v>
      </c>
      <c r="AC101" s="6">
        <v>0</v>
      </c>
      <c r="AD101" s="6">
        <v>1</v>
      </c>
      <c r="AE101" s="6">
        <v>222</v>
      </c>
      <c r="AF101">
        <f>(AA102/AA100)-AA101</f>
        <v>4.588025349162389E-3</v>
      </c>
    </row>
    <row r="102" spans="1:32" ht="26.25" x14ac:dyDescent="0.45">
      <c r="A102" s="4" t="s">
        <v>60</v>
      </c>
      <c r="B102" s="5">
        <v>0</v>
      </c>
      <c r="C102" s="5">
        <v>0</v>
      </c>
      <c r="D102" s="6">
        <v>0</v>
      </c>
      <c r="E102" s="6">
        <v>0</v>
      </c>
      <c r="F102" s="6">
        <v>54</v>
      </c>
      <c r="G102" s="5">
        <v>0</v>
      </c>
      <c r="H102" s="5">
        <v>0</v>
      </c>
      <c r="I102" s="6">
        <v>0</v>
      </c>
      <c r="J102" s="6">
        <v>0</v>
      </c>
      <c r="K102" s="6">
        <v>84</v>
      </c>
      <c r="L102" s="5">
        <v>0.22086790667958506</v>
      </c>
      <c r="M102" s="5">
        <v>7.4525044987474018E-2</v>
      </c>
      <c r="N102" s="6">
        <v>0</v>
      </c>
      <c r="O102" s="6">
        <v>1</v>
      </c>
      <c r="P102" s="6">
        <v>33</v>
      </c>
      <c r="Q102" s="5">
        <v>0.12031076426180939</v>
      </c>
      <c r="R102" s="5">
        <v>4.6554759115176689E-2</v>
      </c>
      <c r="S102" s="6">
        <v>0</v>
      </c>
      <c r="T102" s="6">
        <v>1</v>
      </c>
      <c r="U102" s="6">
        <v>51</v>
      </c>
      <c r="V102" s="5">
        <v>0</v>
      </c>
      <c r="W102" s="5">
        <v>0</v>
      </c>
      <c r="X102" s="6" t="s">
        <v>18</v>
      </c>
      <c r="Y102" s="6" t="s">
        <v>18</v>
      </c>
      <c r="Z102" s="6">
        <v>0</v>
      </c>
      <c r="AA102" s="16">
        <v>8.8082776376795208E-2</v>
      </c>
      <c r="AB102" s="5">
        <v>2.3965017626995037E-2</v>
      </c>
      <c r="AC102" s="6">
        <v>0</v>
      </c>
      <c r="AD102" s="6">
        <v>1</v>
      </c>
      <c r="AE102" s="6">
        <v>222</v>
      </c>
    </row>
    <row r="103" spans="1:32" x14ac:dyDescent="0.45">
      <c r="A103" s="4" t="s">
        <v>61</v>
      </c>
      <c r="B103" s="5">
        <v>9.7432486516456654E-2</v>
      </c>
      <c r="C103" s="5">
        <v>3.303094016782817E-2</v>
      </c>
      <c r="D103" s="6">
        <v>0</v>
      </c>
      <c r="E103" s="6">
        <v>1</v>
      </c>
      <c r="F103" s="6">
        <v>90</v>
      </c>
      <c r="G103" s="5">
        <v>0.10769939534852066</v>
      </c>
      <c r="H103" s="5">
        <v>2.7467587315998878E-2</v>
      </c>
      <c r="I103" s="6">
        <v>0</v>
      </c>
      <c r="J103" s="6">
        <v>1</v>
      </c>
      <c r="K103" s="6">
        <v>125</v>
      </c>
      <c r="L103" s="5">
        <v>0.11994505892266875</v>
      </c>
      <c r="M103" s="5">
        <v>3.4688601381015975E-2</v>
      </c>
      <c r="N103" s="6">
        <v>0</v>
      </c>
      <c r="O103" s="6">
        <v>1</v>
      </c>
      <c r="P103" s="6">
        <v>100</v>
      </c>
      <c r="Q103" s="5">
        <v>0.20332267612718924</v>
      </c>
      <c r="R103" s="5">
        <v>4.4445265858682206E-2</v>
      </c>
      <c r="S103" s="6">
        <v>0</v>
      </c>
      <c r="T103" s="6">
        <v>1</v>
      </c>
      <c r="U103" s="6">
        <v>83</v>
      </c>
      <c r="V103" s="5">
        <v>2.7113631633664061E-2</v>
      </c>
      <c r="W103" s="5">
        <v>2.6953878965010791E-2</v>
      </c>
      <c r="X103" s="6">
        <v>0</v>
      </c>
      <c r="Y103" s="6">
        <v>1</v>
      </c>
      <c r="Z103" s="6">
        <v>49</v>
      </c>
      <c r="AA103" s="16">
        <v>0.1302484198741877</v>
      </c>
      <c r="AB103" s="5">
        <v>1.8881168314190754E-2</v>
      </c>
      <c r="AC103" s="6">
        <v>0</v>
      </c>
      <c r="AD103" s="6">
        <v>1</v>
      </c>
      <c r="AE103" s="6">
        <v>447</v>
      </c>
      <c r="AF103">
        <f>(AA105/AA104)-AA103</f>
        <v>1.8334426964373901E-2</v>
      </c>
    </row>
    <row r="104" spans="1:32" x14ac:dyDescent="0.45">
      <c r="A104" s="4" t="s">
        <v>14</v>
      </c>
      <c r="B104" s="5">
        <v>0.79321304904364254</v>
      </c>
      <c r="C104" s="5">
        <v>4.3039128791149045E-2</v>
      </c>
      <c r="D104" s="6">
        <v>0</v>
      </c>
      <c r="E104" s="6">
        <v>1</v>
      </c>
      <c r="F104" s="6">
        <v>90</v>
      </c>
      <c r="G104" s="5">
        <v>0.63843941264368653</v>
      </c>
      <c r="H104" s="5">
        <v>4.3361765153530248E-2</v>
      </c>
      <c r="I104" s="6">
        <v>0</v>
      </c>
      <c r="J104" s="6">
        <v>1</v>
      </c>
      <c r="K104" s="6">
        <v>125</v>
      </c>
      <c r="L104" s="5">
        <v>0.58432009369337878</v>
      </c>
      <c r="M104" s="5">
        <v>5.0207452132509274E-2</v>
      </c>
      <c r="N104" s="6">
        <v>0</v>
      </c>
      <c r="O104" s="6">
        <v>1</v>
      </c>
      <c r="P104" s="6">
        <v>100</v>
      </c>
      <c r="Q104" s="5">
        <v>0.62898008352691293</v>
      </c>
      <c r="R104" s="5">
        <v>5.3401158711994051E-2</v>
      </c>
      <c r="S104" s="6">
        <v>0</v>
      </c>
      <c r="T104" s="6">
        <v>1</v>
      </c>
      <c r="U104" s="6">
        <v>83</v>
      </c>
      <c r="V104" s="5">
        <v>0.81519781986826212</v>
      </c>
      <c r="W104" s="5">
        <v>5.9517950839845665E-2</v>
      </c>
      <c r="X104" s="6">
        <v>0</v>
      </c>
      <c r="Y104" s="6">
        <v>1</v>
      </c>
      <c r="Z104" s="6">
        <v>49</v>
      </c>
      <c r="AA104" s="16">
        <v>0.62633244953010792</v>
      </c>
      <c r="AB104" s="5">
        <v>2.6998005023716822E-2</v>
      </c>
      <c r="AC104" s="6">
        <v>0</v>
      </c>
      <c r="AD104" s="6">
        <v>1</v>
      </c>
      <c r="AE104" s="6">
        <v>447</v>
      </c>
      <c r="AF104">
        <f>(AA105/AA103)-AA104</f>
        <v>8.8165726405122546E-2</v>
      </c>
    </row>
    <row r="105" spans="1:32" ht="26.25" x14ac:dyDescent="0.45">
      <c r="A105" s="4" t="s">
        <v>62</v>
      </c>
      <c r="B105" s="5">
        <v>8.7875937155733039E-2</v>
      </c>
      <c r="C105" s="5">
        <v>3.1895589776075858E-2</v>
      </c>
      <c r="D105" s="6">
        <v>0</v>
      </c>
      <c r="E105" s="6">
        <v>1</v>
      </c>
      <c r="F105" s="6">
        <v>90</v>
      </c>
      <c r="G105" s="5">
        <v>0.10769939534852066</v>
      </c>
      <c r="H105" s="5">
        <v>2.7467587315998878E-2</v>
      </c>
      <c r="I105" s="6">
        <v>0</v>
      </c>
      <c r="J105" s="6">
        <v>1</v>
      </c>
      <c r="K105" s="6">
        <v>125</v>
      </c>
      <c r="L105" s="5">
        <v>6.4805401006073515E-2</v>
      </c>
      <c r="M105" s="5">
        <v>2.6359260933423299E-2</v>
      </c>
      <c r="N105" s="6">
        <v>0</v>
      </c>
      <c r="O105" s="6">
        <v>1</v>
      </c>
      <c r="P105" s="6">
        <v>100</v>
      </c>
      <c r="Q105" s="5">
        <v>0.1293471534923003</v>
      </c>
      <c r="R105" s="5">
        <v>3.6760405912568878E-2</v>
      </c>
      <c r="S105" s="6">
        <v>0</v>
      </c>
      <c r="T105" s="6">
        <v>1</v>
      </c>
      <c r="U105" s="6">
        <v>83</v>
      </c>
      <c r="V105" s="5">
        <v>2.7113631633664061E-2</v>
      </c>
      <c r="W105" s="5">
        <v>2.6953878965010791E-2</v>
      </c>
      <c r="X105" s="6">
        <v>0</v>
      </c>
      <c r="Y105" s="6">
        <v>1</v>
      </c>
      <c r="Z105" s="6">
        <v>49</v>
      </c>
      <c r="AA105" s="16">
        <v>9.3062258418553132E-2</v>
      </c>
      <c r="AB105" s="5">
        <v>1.5808465004699977E-2</v>
      </c>
      <c r="AC105" s="6">
        <v>0</v>
      </c>
      <c r="AD105" s="6">
        <v>1</v>
      </c>
      <c r="AE105" s="6">
        <v>447</v>
      </c>
    </row>
    <row r="106" spans="1:32" x14ac:dyDescent="0.45">
      <c r="A106" s="4" t="s">
        <v>61</v>
      </c>
      <c r="B106" s="5">
        <v>0.12255573409792797</v>
      </c>
      <c r="C106" s="5">
        <v>4.1294909649188687E-2</v>
      </c>
      <c r="D106" s="6">
        <v>0</v>
      </c>
      <c r="E106" s="6">
        <v>1</v>
      </c>
      <c r="F106" s="6">
        <v>69</v>
      </c>
      <c r="G106" s="5">
        <v>0.15217295019859595</v>
      </c>
      <c r="H106" s="5">
        <v>4.4803914017263143E-2</v>
      </c>
      <c r="I106" s="6">
        <v>0</v>
      </c>
      <c r="J106" s="6">
        <v>1</v>
      </c>
      <c r="K106" s="6">
        <v>64</v>
      </c>
      <c r="L106" s="5">
        <v>4.8743411883558428E-2</v>
      </c>
      <c r="M106" s="5">
        <v>2.8341712220276795E-2</v>
      </c>
      <c r="N106" s="6">
        <v>0</v>
      </c>
      <c r="O106" s="6">
        <v>1</v>
      </c>
      <c r="P106" s="6">
        <v>49</v>
      </c>
      <c r="Q106" s="5">
        <v>0.1779886204779359</v>
      </c>
      <c r="R106" s="5">
        <v>5.4394730227405722E-2</v>
      </c>
      <c r="S106" s="6">
        <v>0</v>
      </c>
      <c r="T106" s="6">
        <v>1</v>
      </c>
      <c r="U106" s="6">
        <v>52</v>
      </c>
      <c r="V106" s="5">
        <v>5.5852991250665049E-2</v>
      </c>
      <c r="W106" s="5">
        <v>2.7592215858175367E-2</v>
      </c>
      <c r="X106" s="6">
        <v>0</v>
      </c>
      <c r="Y106" s="6">
        <v>1</v>
      </c>
      <c r="Z106" s="6">
        <v>77</v>
      </c>
      <c r="AA106" s="16">
        <v>0.1158229293788746</v>
      </c>
      <c r="AB106" s="5">
        <v>2.1672961360019526E-2</v>
      </c>
      <c r="AC106" s="6">
        <v>0</v>
      </c>
      <c r="AD106" s="6">
        <v>1</v>
      </c>
      <c r="AE106" s="6">
        <v>311</v>
      </c>
      <c r="AF106">
        <f>(AA108/AA107)-AA106</f>
        <v>0.42281838953621276</v>
      </c>
    </row>
    <row r="107" spans="1:32" ht="26.25" x14ac:dyDescent="0.45">
      <c r="A107" s="4" t="s">
        <v>16</v>
      </c>
      <c r="B107" s="5">
        <v>2.0116465112707569E-2</v>
      </c>
      <c r="C107" s="5">
        <v>1.6411369979554096E-2</v>
      </c>
      <c r="D107" s="6">
        <v>0</v>
      </c>
      <c r="E107" s="6">
        <v>1</v>
      </c>
      <c r="F107" s="6">
        <v>69</v>
      </c>
      <c r="G107" s="5">
        <v>0</v>
      </c>
      <c r="H107" s="5">
        <v>0</v>
      </c>
      <c r="I107" s="6">
        <v>0</v>
      </c>
      <c r="J107" s="6">
        <v>0</v>
      </c>
      <c r="K107" s="6">
        <v>64</v>
      </c>
      <c r="L107" s="5">
        <v>0</v>
      </c>
      <c r="M107" s="5">
        <v>0</v>
      </c>
      <c r="N107" s="6">
        <v>0</v>
      </c>
      <c r="O107" s="6">
        <v>0</v>
      </c>
      <c r="P107" s="6">
        <v>49</v>
      </c>
      <c r="Q107" s="5">
        <v>3.7239277633767734E-2</v>
      </c>
      <c r="R107" s="5">
        <v>2.6109109911868628E-2</v>
      </c>
      <c r="S107" s="6">
        <v>0</v>
      </c>
      <c r="T107" s="6">
        <v>1</v>
      </c>
      <c r="U107" s="6">
        <v>52</v>
      </c>
      <c r="V107" s="5">
        <v>4.5102864901990225E-2</v>
      </c>
      <c r="W107" s="5">
        <v>2.105195985339256E-2</v>
      </c>
      <c r="X107" s="6">
        <v>0</v>
      </c>
      <c r="Y107" s="6">
        <v>1</v>
      </c>
      <c r="Z107" s="6">
        <v>77</v>
      </c>
      <c r="AA107" s="16">
        <v>1.0517616768506599E-2</v>
      </c>
      <c r="AB107" s="5">
        <v>6.0121864066784306E-3</v>
      </c>
      <c r="AC107" s="6">
        <v>0</v>
      </c>
      <c r="AD107" s="6">
        <v>1</v>
      </c>
      <c r="AE107" s="6">
        <v>311</v>
      </c>
      <c r="AF107">
        <f>(AA108/AA106)-AA107</f>
        <v>3.8395176220004497E-2</v>
      </c>
    </row>
    <row r="108" spans="1:32" s="14" customFormat="1" ht="26.25" x14ac:dyDescent="0.45">
      <c r="A108" s="11" t="s">
        <v>63</v>
      </c>
      <c r="B108" s="12">
        <v>1.5877253894026305E-2</v>
      </c>
      <c r="C108" s="12">
        <v>1.586234654300913E-2</v>
      </c>
      <c r="D108" s="13">
        <v>0</v>
      </c>
      <c r="E108" s="13">
        <v>1</v>
      </c>
      <c r="F108" s="13">
        <v>69</v>
      </c>
      <c r="G108" s="12">
        <v>0</v>
      </c>
      <c r="H108" s="12">
        <v>0</v>
      </c>
      <c r="I108" s="13">
        <v>0</v>
      </c>
      <c r="J108" s="13">
        <v>0</v>
      </c>
      <c r="K108" s="13">
        <v>64</v>
      </c>
      <c r="L108" s="12">
        <v>0</v>
      </c>
      <c r="M108" s="12">
        <v>0</v>
      </c>
      <c r="N108" s="13">
        <v>0</v>
      </c>
      <c r="O108" s="13">
        <v>0</v>
      </c>
      <c r="P108" s="13">
        <v>49</v>
      </c>
      <c r="Q108" s="12">
        <v>1.8619638816883867E-2</v>
      </c>
      <c r="R108" s="12">
        <v>1.8632386074044379E-2</v>
      </c>
      <c r="S108" s="13">
        <v>0</v>
      </c>
      <c r="T108" s="13">
        <v>1</v>
      </c>
      <c r="U108" s="13">
        <v>52</v>
      </c>
      <c r="V108" s="12">
        <v>0</v>
      </c>
      <c r="W108" s="12">
        <v>0</v>
      </c>
      <c r="X108" s="13">
        <v>0</v>
      </c>
      <c r="Y108" s="13">
        <v>0</v>
      </c>
      <c r="Z108" s="13">
        <v>77</v>
      </c>
      <c r="AA108" s="17">
        <v>5.6652229680318337E-3</v>
      </c>
      <c r="AB108" s="12">
        <v>4.3872578772555454E-3</v>
      </c>
      <c r="AC108" s="13">
        <v>0</v>
      </c>
      <c r="AD108" s="13">
        <v>1</v>
      </c>
      <c r="AE108" s="13">
        <v>311</v>
      </c>
    </row>
    <row r="109" spans="1:32" x14ac:dyDescent="0.45">
      <c r="A109" s="4" t="s">
        <v>61</v>
      </c>
      <c r="B109" s="5">
        <v>0.10025307668676077</v>
      </c>
      <c r="C109" s="5">
        <v>4.3158583671950794E-2</v>
      </c>
      <c r="D109" s="6">
        <v>0</v>
      </c>
      <c r="E109" s="6">
        <v>1</v>
      </c>
      <c r="F109" s="6">
        <v>54</v>
      </c>
      <c r="G109" s="5">
        <v>9.0861408002481783E-2</v>
      </c>
      <c r="H109" s="5">
        <v>3.1031494991870325E-2</v>
      </c>
      <c r="I109" s="6">
        <v>0</v>
      </c>
      <c r="J109" s="6">
        <v>1</v>
      </c>
      <c r="K109" s="6">
        <v>84</v>
      </c>
      <c r="L109" s="5">
        <v>0</v>
      </c>
      <c r="M109" s="5">
        <v>0</v>
      </c>
      <c r="N109" s="6">
        <v>0</v>
      </c>
      <c r="O109" s="6">
        <v>0</v>
      </c>
      <c r="P109" s="6">
        <v>33</v>
      </c>
      <c r="Q109" s="5">
        <v>0.1461939416706704</v>
      </c>
      <c r="R109" s="5">
        <v>4.9038017146974429E-2</v>
      </c>
      <c r="S109" s="6">
        <v>0</v>
      </c>
      <c r="T109" s="6">
        <v>1</v>
      </c>
      <c r="U109" s="6">
        <v>51</v>
      </c>
      <c r="V109" s="5">
        <v>0</v>
      </c>
      <c r="W109" s="5">
        <v>0</v>
      </c>
      <c r="X109" s="6" t="s">
        <v>18</v>
      </c>
      <c r="Y109" s="6" t="s">
        <v>18</v>
      </c>
      <c r="Z109" s="6">
        <v>0</v>
      </c>
      <c r="AA109" s="16">
        <v>8.0348397361236404E-2</v>
      </c>
      <c r="AB109" s="5">
        <v>1.817126302221329E-2</v>
      </c>
      <c r="AC109" s="6">
        <v>0</v>
      </c>
      <c r="AD109" s="6">
        <v>1</v>
      </c>
      <c r="AE109" s="6">
        <v>222</v>
      </c>
      <c r="AF109">
        <f>(AA111/AA110)-AA109</f>
        <v>-5.2251257189971187E-2</v>
      </c>
    </row>
    <row r="110" spans="1:32" x14ac:dyDescent="0.45">
      <c r="A110" s="4" t="s">
        <v>19</v>
      </c>
      <c r="B110" s="5">
        <v>0</v>
      </c>
      <c r="C110" s="5">
        <v>0</v>
      </c>
      <c r="D110" s="6">
        <v>0</v>
      </c>
      <c r="E110" s="6">
        <v>0</v>
      </c>
      <c r="F110" s="6">
        <v>54</v>
      </c>
      <c r="G110" s="5">
        <v>0</v>
      </c>
      <c r="H110" s="5">
        <v>0</v>
      </c>
      <c r="I110" s="6">
        <v>0</v>
      </c>
      <c r="J110" s="6">
        <v>0</v>
      </c>
      <c r="K110" s="6">
        <v>84</v>
      </c>
      <c r="L110" s="5">
        <v>0.51294588308387212</v>
      </c>
      <c r="M110" s="5">
        <v>8.8775012583452828E-2</v>
      </c>
      <c r="N110" s="6">
        <v>0</v>
      </c>
      <c r="O110" s="6">
        <v>1</v>
      </c>
      <c r="P110" s="6">
        <v>33</v>
      </c>
      <c r="Q110" s="5">
        <v>0.20115357837551784</v>
      </c>
      <c r="R110" s="5">
        <v>5.7475752421020931E-2</v>
      </c>
      <c r="S110" s="6">
        <v>0</v>
      </c>
      <c r="T110" s="6">
        <v>1</v>
      </c>
      <c r="U110" s="6">
        <v>51</v>
      </c>
      <c r="V110" s="5">
        <v>0</v>
      </c>
      <c r="W110" s="5">
        <v>0</v>
      </c>
      <c r="X110" s="6" t="s">
        <v>18</v>
      </c>
      <c r="Y110" s="6" t="s">
        <v>18</v>
      </c>
      <c r="Z110" s="6">
        <v>0</v>
      </c>
      <c r="AA110" s="16">
        <v>0.18588338138996935</v>
      </c>
      <c r="AB110" s="5">
        <v>3.2400145905225268E-2</v>
      </c>
      <c r="AC110" s="6">
        <v>0</v>
      </c>
      <c r="AD110" s="6">
        <v>1</v>
      </c>
      <c r="AE110" s="6">
        <v>222</v>
      </c>
      <c r="AF110">
        <f>(AA111/AA109)-AA110</f>
        <v>-0.12088156935703356</v>
      </c>
    </row>
    <row r="111" spans="1:32" ht="26.25" x14ac:dyDescent="0.45">
      <c r="A111" s="4" t="s">
        <v>64</v>
      </c>
      <c r="B111" s="5">
        <v>0</v>
      </c>
      <c r="C111" s="5">
        <v>0</v>
      </c>
      <c r="D111" s="6">
        <v>0</v>
      </c>
      <c r="E111" s="6">
        <v>0</v>
      </c>
      <c r="F111" s="6">
        <v>54</v>
      </c>
      <c r="G111" s="5">
        <v>0</v>
      </c>
      <c r="H111" s="5">
        <v>0</v>
      </c>
      <c r="I111" s="6">
        <v>0</v>
      </c>
      <c r="J111" s="6">
        <v>0</v>
      </c>
      <c r="K111" s="6">
        <v>84</v>
      </c>
      <c r="L111" s="5">
        <v>0</v>
      </c>
      <c r="M111" s="5">
        <v>0</v>
      </c>
      <c r="N111" s="6">
        <v>0</v>
      </c>
      <c r="O111" s="6">
        <v>0</v>
      </c>
      <c r="P111" s="6">
        <v>33</v>
      </c>
      <c r="Q111" s="5">
        <v>2.1879065867727577E-2</v>
      </c>
      <c r="R111" s="5">
        <v>2.1831621792289105E-2</v>
      </c>
      <c r="S111" s="6">
        <v>0</v>
      </c>
      <c r="T111" s="6">
        <v>1</v>
      </c>
      <c r="U111" s="6">
        <v>51</v>
      </c>
      <c r="V111" s="5">
        <v>0</v>
      </c>
      <c r="W111" s="5">
        <v>0</v>
      </c>
      <c r="X111" s="6" t="s">
        <v>18</v>
      </c>
      <c r="Y111" s="6" t="s">
        <v>18</v>
      </c>
      <c r="Z111" s="6">
        <v>0</v>
      </c>
      <c r="AA111" s="16">
        <v>5.2227914224227219E-3</v>
      </c>
      <c r="AB111" s="5">
        <v>5.2217722453242917E-3</v>
      </c>
      <c r="AC111" s="6">
        <v>0</v>
      </c>
      <c r="AD111" s="6">
        <v>1</v>
      </c>
      <c r="AE111" s="6">
        <v>222</v>
      </c>
    </row>
    <row r="112" spans="1:32" ht="26.65" thickBot="1" x14ac:dyDescent="0.5">
      <c r="A112" s="7" t="s">
        <v>65</v>
      </c>
      <c r="B112" s="8">
        <v>167</v>
      </c>
      <c r="C112" s="8" t="s">
        <v>18</v>
      </c>
      <c r="D112" s="9" t="s">
        <v>18</v>
      </c>
      <c r="E112" s="9" t="s">
        <v>18</v>
      </c>
      <c r="F112" s="9" t="s">
        <v>18</v>
      </c>
      <c r="G112" s="8">
        <v>217</v>
      </c>
      <c r="H112" s="8" t="s">
        <v>18</v>
      </c>
      <c r="I112" s="9" t="s">
        <v>18</v>
      </c>
      <c r="J112" s="9" t="s">
        <v>18</v>
      </c>
      <c r="K112" s="9" t="s">
        <v>18</v>
      </c>
      <c r="L112" s="8">
        <v>150</v>
      </c>
      <c r="M112" s="8" t="s">
        <v>18</v>
      </c>
      <c r="N112" s="9" t="s">
        <v>18</v>
      </c>
      <c r="O112" s="9" t="s">
        <v>18</v>
      </c>
      <c r="P112" s="9" t="s">
        <v>18</v>
      </c>
      <c r="Q112" s="8">
        <v>155</v>
      </c>
      <c r="R112" s="8" t="s">
        <v>18</v>
      </c>
      <c r="S112" s="9" t="s">
        <v>18</v>
      </c>
      <c r="T112" s="9" t="s">
        <v>18</v>
      </c>
      <c r="U112" s="9" t="s">
        <v>18</v>
      </c>
      <c r="V112" s="8">
        <v>112</v>
      </c>
      <c r="W112" s="8" t="s">
        <v>18</v>
      </c>
      <c r="X112" s="9" t="s">
        <v>18</v>
      </c>
      <c r="Y112" s="9" t="s">
        <v>18</v>
      </c>
      <c r="Z112" s="9" t="s">
        <v>18</v>
      </c>
      <c r="AA112" s="18">
        <v>801</v>
      </c>
      <c r="AB112" s="8" t="s">
        <v>18</v>
      </c>
      <c r="AC112" s="9" t="s">
        <v>18</v>
      </c>
      <c r="AD112" s="9" t="s">
        <v>18</v>
      </c>
      <c r="AE112" s="9" t="s">
        <v>18</v>
      </c>
    </row>
    <row r="113" spans="1:1" ht="14.65" thickTop="1" x14ac:dyDescent="0.45">
      <c r="A113" s="10" t="s">
        <v>66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1" ySplit="3" topLeftCell="S43" activePane="bottomRight" state="frozen"/>
      <selection pane="topRight" activeCell="B1" sqref="B1"/>
      <selection pane="bottomLeft" activeCell="A4" sqref="A4"/>
      <selection pane="bottomRight" activeCell="A42" sqref="A42"/>
    </sheetView>
  </sheetViews>
  <sheetFormatPr defaultRowHeight="14.25" x14ac:dyDescent="0.45"/>
  <cols>
    <col min="1" max="1" width="19.53125" customWidth="1"/>
    <col min="2" max="3" width="9.796875" customWidth="1"/>
    <col min="4" max="5" width="5.33203125" customWidth="1"/>
    <col min="6" max="6" width="7.1328125" customWidth="1"/>
    <col min="7" max="8" width="9.796875" customWidth="1"/>
    <col min="9" max="10" width="5.33203125" customWidth="1"/>
    <col min="11" max="11" width="7.1328125" customWidth="1"/>
    <col min="12" max="13" width="9.796875" customWidth="1"/>
    <col min="14" max="15" width="5.33203125" customWidth="1"/>
    <col min="16" max="16" width="7.1328125" customWidth="1"/>
    <col min="17" max="18" width="9.796875" customWidth="1"/>
    <col min="19" max="20" width="5.33203125" customWidth="1"/>
    <col min="21" max="21" width="7.1328125" customWidth="1"/>
    <col min="22" max="23" width="9.796875" customWidth="1"/>
    <col min="24" max="25" width="5.33203125" customWidth="1"/>
    <col min="26" max="26" width="7.1328125" customWidth="1"/>
    <col min="27" max="28" width="9.796875" customWidth="1"/>
    <col min="29" max="30" width="5.33203125" customWidth="1"/>
    <col min="31" max="31" width="7.1328125" customWidth="1"/>
  </cols>
  <sheetData>
    <row r="1" spans="1:32" ht="12.75" customHeight="1" x14ac:dyDescent="0.45">
      <c r="A1" s="20" t="s">
        <v>67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</row>
    <row r="2" spans="1:32" x14ac:dyDescent="0.45">
      <c r="A2" s="1" t="s">
        <v>1</v>
      </c>
      <c r="B2" s="21" t="s">
        <v>2</v>
      </c>
      <c r="C2" s="21"/>
      <c r="D2" s="21"/>
      <c r="E2" s="21"/>
      <c r="F2" s="21"/>
      <c r="G2" s="21" t="s">
        <v>3</v>
      </c>
      <c r="H2" s="21"/>
      <c r="I2" s="21"/>
      <c r="J2" s="21"/>
      <c r="K2" s="21"/>
      <c r="L2" s="21" t="s">
        <v>4</v>
      </c>
      <c r="M2" s="21"/>
      <c r="N2" s="21"/>
      <c r="O2" s="21"/>
      <c r="P2" s="21"/>
      <c r="Q2" s="21" t="s">
        <v>5</v>
      </c>
      <c r="R2" s="21"/>
      <c r="S2" s="21"/>
      <c r="T2" s="21"/>
      <c r="U2" s="21"/>
      <c r="V2" s="21" t="s">
        <v>6</v>
      </c>
      <c r="W2" s="21"/>
      <c r="X2" s="21"/>
      <c r="Y2" s="21"/>
      <c r="Z2" s="21"/>
      <c r="AA2" s="21" t="s">
        <v>7</v>
      </c>
      <c r="AB2" s="21"/>
      <c r="AC2" s="21"/>
      <c r="AD2" s="21"/>
      <c r="AE2" s="21"/>
    </row>
    <row r="3" spans="1:32" x14ac:dyDescent="0.45">
      <c r="A3" s="1" t="s">
        <v>1</v>
      </c>
      <c r="B3" s="3" t="s">
        <v>8</v>
      </c>
      <c r="C3" s="3" t="s">
        <v>9</v>
      </c>
      <c r="D3" s="2" t="s">
        <v>10</v>
      </c>
      <c r="E3" s="2" t="s">
        <v>11</v>
      </c>
      <c r="F3" s="2" t="s">
        <v>12</v>
      </c>
      <c r="G3" s="3" t="s">
        <v>8</v>
      </c>
      <c r="H3" s="3" t="s">
        <v>9</v>
      </c>
      <c r="I3" s="2" t="s">
        <v>10</v>
      </c>
      <c r="J3" s="2" t="s">
        <v>11</v>
      </c>
      <c r="K3" s="2" t="s">
        <v>12</v>
      </c>
      <c r="L3" s="3" t="s">
        <v>8</v>
      </c>
      <c r="M3" s="3" t="s">
        <v>9</v>
      </c>
      <c r="N3" s="2" t="s">
        <v>10</v>
      </c>
      <c r="O3" s="2" t="s">
        <v>11</v>
      </c>
      <c r="P3" s="2" t="s">
        <v>12</v>
      </c>
      <c r="Q3" s="3" t="s">
        <v>8</v>
      </c>
      <c r="R3" s="3" t="s">
        <v>9</v>
      </c>
      <c r="S3" s="2" t="s">
        <v>10</v>
      </c>
      <c r="T3" s="2" t="s">
        <v>11</v>
      </c>
      <c r="U3" s="2" t="s">
        <v>12</v>
      </c>
      <c r="V3" s="3" t="s">
        <v>8</v>
      </c>
      <c r="W3" s="3" t="s">
        <v>9</v>
      </c>
      <c r="X3" s="2" t="s">
        <v>10</v>
      </c>
      <c r="Y3" s="2" t="s">
        <v>11</v>
      </c>
      <c r="Z3" s="2" t="s">
        <v>12</v>
      </c>
      <c r="AA3" s="3" t="s">
        <v>8</v>
      </c>
      <c r="AB3" s="3" t="s">
        <v>9</v>
      </c>
      <c r="AC3" s="2" t="s">
        <v>10</v>
      </c>
      <c r="AD3" s="2" t="s">
        <v>11</v>
      </c>
      <c r="AE3" s="2" t="s">
        <v>12</v>
      </c>
    </row>
    <row r="4" spans="1:32" x14ac:dyDescent="0.45">
      <c r="A4" s="4" t="s">
        <v>13</v>
      </c>
      <c r="B4" s="5">
        <v>0.95722893601891657</v>
      </c>
      <c r="C4" s="5">
        <v>4.2627088890096428E-2</v>
      </c>
      <c r="D4" s="6">
        <v>0</v>
      </c>
      <c r="E4" s="6">
        <v>1</v>
      </c>
      <c r="F4" s="6">
        <v>26</v>
      </c>
      <c r="G4" s="5">
        <v>1</v>
      </c>
      <c r="H4" s="5">
        <v>0</v>
      </c>
      <c r="I4" s="6">
        <v>1</v>
      </c>
      <c r="J4" s="6">
        <v>1</v>
      </c>
      <c r="K4" s="6">
        <v>33</v>
      </c>
      <c r="L4" s="5">
        <v>0.88885739833803412</v>
      </c>
      <c r="M4" s="5">
        <v>6.2064901222239933E-2</v>
      </c>
      <c r="N4" s="6">
        <v>0</v>
      </c>
      <c r="O4" s="6">
        <v>1</v>
      </c>
      <c r="P4" s="6">
        <v>28</v>
      </c>
      <c r="Q4" s="5">
        <v>0.86357887719355286</v>
      </c>
      <c r="R4" s="5">
        <v>7.5314923452034763E-2</v>
      </c>
      <c r="S4" s="6">
        <v>0</v>
      </c>
      <c r="T4" s="6">
        <v>1</v>
      </c>
      <c r="U4" s="6">
        <v>21</v>
      </c>
      <c r="V4" s="5">
        <v>1</v>
      </c>
      <c r="W4" s="5">
        <v>0</v>
      </c>
      <c r="X4" s="6">
        <v>1</v>
      </c>
      <c r="Y4" s="6">
        <v>1</v>
      </c>
      <c r="Z4" s="6">
        <v>14</v>
      </c>
      <c r="AA4" s="5">
        <v>0.92537676613552244</v>
      </c>
      <c r="AB4" s="5">
        <v>2.9703701479985512E-2</v>
      </c>
      <c r="AC4" s="6">
        <v>0</v>
      </c>
      <c r="AD4" s="6">
        <v>1</v>
      </c>
      <c r="AE4" s="6">
        <v>122</v>
      </c>
      <c r="AF4">
        <f>(AA6/AA5)-AA4</f>
        <v>2.2303280899936495E-2</v>
      </c>
    </row>
    <row r="5" spans="1:32" x14ac:dyDescent="0.45">
      <c r="A5" s="4" t="s">
        <v>14</v>
      </c>
      <c r="B5" s="5">
        <v>0.95593889001302101</v>
      </c>
      <c r="C5" s="5">
        <v>4.3853438100992057E-2</v>
      </c>
      <c r="D5" s="6">
        <v>0</v>
      </c>
      <c r="E5" s="6">
        <v>1</v>
      </c>
      <c r="F5" s="6">
        <v>26</v>
      </c>
      <c r="G5" s="5">
        <v>0.75555020098370718</v>
      </c>
      <c r="H5" s="5">
        <v>7.6639651307882639E-2</v>
      </c>
      <c r="I5" s="6">
        <v>0</v>
      </c>
      <c r="J5" s="6">
        <v>1</v>
      </c>
      <c r="K5" s="6">
        <v>33</v>
      </c>
      <c r="L5" s="5">
        <v>0.71229925102938108</v>
      </c>
      <c r="M5" s="5">
        <v>8.7861758305976312E-2</v>
      </c>
      <c r="N5" s="6">
        <v>0</v>
      </c>
      <c r="O5" s="6">
        <v>1</v>
      </c>
      <c r="P5" s="6">
        <v>28</v>
      </c>
      <c r="Q5" s="5">
        <v>0.90780412100827212</v>
      </c>
      <c r="R5" s="5">
        <v>6.377044877617917E-2</v>
      </c>
      <c r="S5" s="6">
        <v>0</v>
      </c>
      <c r="T5" s="6">
        <v>1</v>
      </c>
      <c r="U5" s="6">
        <v>21</v>
      </c>
      <c r="V5" s="5">
        <v>0.92686327810773295</v>
      </c>
      <c r="W5" s="5">
        <v>7.3261369808220761E-2</v>
      </c>
      <c r="X5" s="6">
        <v>0</v>
      </c>
      <c r="Y5" s="6">
        <v>1</v>
      </c>
      <c r="Z5" s="6">
        <v>14</v>
      </c>
      <c r="AA5" s="5">
        <v>0.78045574053202593</v>
      </c>
      <c r="AB5" s="5">
        <v>4.6037945365929415E-2</v>
      </c>
      <c r="AC5" s="6">
        <v>0</v>
      </c>
      <c r="AD5" s="6">
        <v>1</v>
      </c>
      <c r="AE5" s="6">
        <v>122</v>
      </c>
      <c r="AF5">
        <f>(AA6/AA4)-AA5</f>
        <v>1.881041781905346E-2</v>
      </c>
    </row>
    <row r="6" spans="1:32" ht="26.25" x14ac:dyDescent="0.45">
      <c r="A6" s="4" t="s">
        <v>15</v>
      </c>
      <c r="B6" s="5">
        <v>0.91316782603193736</v>
      </c>
      <c r="C6" s="5">
        <v>5.9657695358029852E-2</v>
      </c>
      <c r="D6" s="6">
        <v>0</v>
      </c>
      <c r="E6" s="6">
        <v>1</v>
      </c>
      <c r="F6" s="6">
        <v>26</v>
      </c>
      <c r="G6" s="5">
        <v>0.75555020098370718</v>
      </c>
      <c r="H6" s="5">
        <v>7.6639651307882639E-2</v>
      </c>
      <c r="I6" s="6">
        <v>0</v>
      </c>
      <c r="J6" s="6">
        <v>1</v>
      </c>
      <c r="K6" s="6">
        <v>33</v>
      </c>
      <c r="L6" s="5">
        <v>0.68172186701764115</v>
      </c>
      <c r="M6" s="5">
        <v>9.0056402543452568E-2</v>
      </c>
      <c r="N6" s="6">
        <v>0</v>
      </c>
      <c r="O6" s="6">
        <v>1</v>
      </c>
      <c r="P6" s="6">
        <v>28</v>
      </c>
      <c r="Q6" s="5">
        <v>0.7713829982018251</v>
      </c>
      <c r="R6" s="5">
        <v>9.2647561722331725E-2</v>
      </c>
      <c r="S6" s="6">
        <v>0</v>
      </c>
      <c r="T6" s="6">
        <v>1</v>
      </c>
      <c r="U6" s="6">
        <v>21</v>
      </c>
      <c r="V6" s="5">
        <v>0.92686327810773295</v>
      </c>
      <c r="W6" s="5">
        <v>7.3261369808220761E-2</v>
      </c>
      <c r="X6" s="6">
        <v>0</v>
      </c>
      <c r="Y6" s="6">
        <v>1</v>
      </c>
      <c r="Z6" s="6">
        <v>14</v>
      </c>
      <c r="AA6" s="5">
        <v>0.73962233289648427</v>
      </c>
      <c r="AB6" s="5">
        <v>4.7959229947708057E-2</v>
      </c>
      <c r="AC6" s="6">
        <v>0</v>
      </c>
      <c r="AD6" s="6">
        <v>1</v>
      </c>
      <c r="AE6" s="6">
        <v>122</v>
      </c>
    </row>
    <row r="7" spans="1:32" x14ac:dyDescent="0.45">
      <c r="A7" s="4" t="s">
        <v>13</v>
      </c>
      <c r="B7" s="5">
        <v>0.94423261650763957</v>
      </c>
      <c r="C7" s="5">
        <v>5.5525898691481723E-2</v>
      </c>
      <c r="D7" s="6">
        <v>0</v>
      </c>
      <c r="E7" s="6">
        <v>1</v>
      </c>
      <c r="F7" s="6">
        <v>20</v>
      </c>
      <c r="G7" s="5">
        <v>1</v>
      </c>
      <c r="H7" s="5">
        <v>0</v>
      </c>
      <c r="I7" s="6">
        <v>1</v>
      </c>
      <c r="J7" s="6">
        <v>1</v>
      </c>
      <c r="K7" s="6">
        <v>18</v>
      </c>
      <c r="L7" s="5">
        <v>0.92792394419509505</v>
      </c>
      <c r="M7" s="5">
        <v>7.1103737592373359E-2</v>
      </c>
      <c r="N7" s="6">
        <v>0</v>
      </c>
      <c r="O7" s="6">
        <v>1</v>
      </c>
      <c r="P7" s="6">
        <v>17</v>
      </c>
      <c r="Q7" s="5">
        <v>1</v>
      </c>
      <c r="R7" s="5">
        <v>0</v>
      </c>
      <c r="S7" s="6">
        <v>1</v>
      </c>
      <c r="T7" s="6">
        <v>1</v>
      </c>
      <c r="U7" s="6">
        <v>18</v>
      </c>
      <c r="V7" s="5">
        <v>0.93939413027151442</v>
      </c>
      <c r="W7" s="5">
        <v>5.9565071059221611E-2</v>
      </c>
      <c r="X7" s="6">
        <v>0</v>
      </c>
      <c r="Y7" s="6">
        <v>1</v>
      </c>
      <c r="Z7" s="6">
        <v>24</v>
      </c>
      <c r="AA7" s="5">
        <v>0.96638880210357203</v>
      </c>
      <c r="AB7" s="5">
        <v>2.8160332401245394E-2</v>
      </c>
      <c r="AC7" s="6">
        <v>0</v>
      </c>
      <c r="AD7" s="6">
        <v>1</v>
      </c>
      <c r="AE7" s="6">
        <v>97</v>
      </c>
      <c r="AF7">
        <f>(AA9/AA8)-AA7</f>
        <v>3.3611197896427969E-2</v>
      </c>
    </row>
    <row r="8" spans="1:32" ht="26.25" x14ac:dyDescent="0.45">
      <c r="A8" s="4" t="s">
        <v>16</v>
      </c>
      <c r="B8" s="5">
        <v>7.1336325400897155E-2</v>
      </c>
      <c r="C8" s="5">
        <v>5.7882821602989527E-2</v>
      </c>
      <c r="D8" s="6">
        <v>0</v>
      </c>
      <c r="E8" s="6">
        <v>1</v>
      </c>
      <c r="F8" s="6">
        <v>20</v>
      </c>
      <c r="G8" s="5">
        <v>0</v>
      </c>
      <c r="H8" s="5">
        <v>0</v>
      </c>
      <c r="I8" s="6">
        <v>0</v>
      </c>
      <c r="J8" s="6">
        <v>0</v>
      </c>
      <c r="K8" s="6">
        <v>18</v>
      </c>
      <c r="L8" s="5">
        <v>0</v>
      </c>
      <c r="M8" s="5">
        <v>0</v>
      </c>
      <c r="N8" s="6">
        <v>0</v>
      </c>
      <c r="O8" s="6">
        <v>0</v>
      </c>
      <c r="P8" s="6">
        <v>17</v>
      </c>
      <c r="Q8" s="5">
        <v>5.3704560725707499E-2</v>
      </c>
      <c r="R8" s="5">
        <v>5.381837036729397E-2</v>
      </c>
      <c r="S8" s="6">
        <v>0</v>
      </c>
      <c r="T8" s="6">
        <v>1</v>
      </c>
      <c r="U8" s="6">
        <v>18</v>
      </c>
      <c r="V8" s="5">
        <v>4.4080581985216215E-2</v>
      </c>
      <c r="W8" s="5">
        <v>3.5713430966659132E-2</v>
      </c>
      <c r="X8" s="6">
        <v>0</v>
      </c>
      <c r="Y8" s="6">
        <v>1</v>
      </c>
      <c r="Z8" s="6">
        <v>24</v>
      </c>
      <c r="AA8" s="5">
        <v>1.9667107846281076E-2</v>
      </c>
      <c r="AB8" s="5">
        <v>1.4036645852359473E-2</v>
      </c>
      <c r="AC8" s="6">
        <v>0</v>
      </c>
      <c r="AD8" s="6">
        <v>1</v>
      </c>
      <c r="AE8" s="6">
        <v>97</v>
      </c>
      <c r="AF8">
        <f>(AA9/AA7)-AA8</f>
        <v>6.8402598667621772E-4</v>
      </c>
    </row>
    <row r="9" spans="1:32" ht="26.25" x14ac:dyDescent="0.45">
      <c r="A9" s="4" t="s">
        <v>17</v>
      </c>
      <c r="B9" s="5">
        <v>7.1336325400897155E-2</v>
      </c>
      <c r="C9" s="5">
        <v>5.7882821602989527E-2</v>
      </c>
      <c r="D9" s="6">
        <v>0</v>
      </c>
      <c r="E9" s="6">
        <v>1</v>
      </c>
      <c r="F9" s="6">
        <v>20</v>
      </c>
      <c r="G9" s="5">
        <v>0</v>
      </c>
      <c r="H9" s="5">
        <v>0</v>
      </c>
      <c r="I9" s="6">
        <v>0</v>
      </c>
      <c r="J9" s="6">
        <v>0</v>
      </c>
      <c r="K9" s="6">
        <v>18</v>
      </c>
      <c r="L9" s="5">
        <v>0</v>
      </c>
      <c r="M9" s="5">
        <v>0</v>
      </c>
      <c r="N9" s="6">
        <v>0</v>
      </c>
      <c r="O9" s="6">
        <v>0</v>
      </c>
      <c r="P9" s="6">
        <v>17</v>
      </c>
      <c r="Q9" s="5">
        <v>5.3704560725707499E-2</v>
      </c>
      <c r="R9" s="5">
        <v>5.381837036729397E-2</v>
      </c>
      <c r="S9" s="6">
        <v>0</v>
      </c>
      <c r="T9" s="6">
        <v>1</v>
      </c>
      <c r="U9" s="6">
        <v>18</v>
      </c>
      <c r="V9" s="5">
        <v>4.4080581985216215E-2</v>
      </c>
      <c r="W9" s="5">
        <v>3.5713430966659132E-2</v>
      </c>
      <c r="X9" s="6">
        <v>0</v>
      </c>
      <c r="Y9" s="6">
        <v>1</v>
      </c>
      <c r="Z9" s="6">
        <v>24</v>
      </c>
      <c r="AA9" s="5">
        <v>1.9667107846281076E-2</v>
      </c>
      <c r="AB9" s="5">
        <v>1.4036645852359473E-2</v>
      </c>
      <c r="AC9" s="6">
        <v>0</v>
      </c>
      <c r="AD9" s="6">
        <v>1</v>
      </c>
      <c r="AE9" s="6">
        <v>97</v>
      </c>
    </row>
    <row r="10" spans="1:32" x14ac:dyDescent="0.45">
      <c r="A10" s="4" t="s">
        <v>13</v>
      </c>
      <c r="B10" s="5">
        <v>1</v>
      </c>
      <c r="C10" s="5">
        <v>0</v>
      </c>
      <c r="D10" s="6">
        <v>1</v>
      </c>
      <c r="E10" s="6">
        <v>1</v>
      </c>
      <c r="F10" s="6">
        <v>17</v>
      </c>
      <c r="G10" s="5">
        <v>1</v>
      </c>
      <c r="H10" s="5">
        <v>0</v>
      </c>
      <c r="I10" s="6">
        <v>1</v>
      </c>
      <c r="J10" s="6">
        <v>1</v>
      </c>
      <c r="K10" s="6">
        <v>24</v>
      </c>
      <c r="L10" s="5">
        <v>0.9274842199154828</v>
      </c>
      <c r="M10" s="5">
        <v>7.2463205647917056E-2</v>
      </c>
      <c r="N10" s="6">
        <v>0</v>
      </c>
      <c r="O10" s="6">
        <v>1</v>
      </c>
      <c r="P10" s="6">
        <v>14</v>
      </c>
      <c r="Q10" s="5">
        <v>0.8254850272057328</v>
      </c>
      <c r="R10" s="5">
        <v>9.7857304244380217E-2</v>
      </c>
      <c r="S10" s="6">
        <v>0</v>
      </c>
      <c r="T10" s="6">
        <v>1</v>
      </c>
      <c r="U10" s="6">
        <v>15</v>
      </c>
      <c r="V10" s="5">
        <v>0</v>
      </c>
      <c r="W10" s="5">
        <v>0</v>
      </c>
      <c r="X10" s="6" t="s">
        <v>18</v>
      </c>
      <c r="Y10" s="6" t="s">
        <v>18</v>
      </c>
      <c r="Z10" s="6">
        <v>0</v>
      </c>
      <c r="AA10" s="5">
        <v>0.9384855321914739</v>
      </c>
      <c r="AB10" s="5">
        <v>3.2200077754443016E-2</v>
      </c>
      <c r="AC10" s="6">
        <v>0</v>
      </c>
      <c r="AD10" s="6">
        <v>1</v>
      </c>
      <c r="AE10" s="6">
        <v>70</v>
      </c>
      <c r="AF10">
        <f>(AA12/AA11)-AA10</f>
        <v>-5.5819920936958312E-2</v>
      </c>
    </row>
    <row r="11" spans="1:32" x14ac:dyDescent="0.45">
      <c r="A11" s="4" t="s">
        <v>19</v>
      </c>
      <c r="B11" s="5">
        <v>0</v>
      </c>
      <c r="C11" s="5">
        <v>0</v>
      </c>
      <c r="D11" s="6">
        <v>0</v>
      </c>
      <c r="E11" s="6">
        <v>0</v>
      </c>
      <c r="F11" s="6">
        <v>17</v>
      </c>
      <c r="G11" s="5">
        <v>0</v>
      </c>
      <c r="H11" s="5">
        <v>0</v>
      </c>
      <c r="I11" s="6">
        <v>0</v>
      </c>
      <c r="J11" s="6">
        <v>0</v>
      </c>
      <c r="K11" s="6">
        <v>24</v>
      </c>
      <c r="L11" s="5">
        <v>0.71055262583859791</v>
      </c>
      <c r="M11" s="5">
        <v>0.12715279466668242</v>
      </c>
      <c r="N11" s="6">
        <v>0</v>
      </c>
      <c r="O11" s="6">
        <v>1</v>
      </c>
      <c r="P11" s="6">
        <v>14</v>
      </c>
      <c r="Q11" s="5">
        <v>0.42574184698500656</v>
      </c>
      <c r="R11" s="5">
        <v>0.13436805480856345</v>
      </c>
      <c r="S11" s="6">
        <v>0</v>
      </c>
      <c r="T11" s="6">
        <v>1</v>
      </c>
      <c r="U11" s="6">
        <v>15</v>
      </c>
      <c r="V11" s="5">
        <v>0</v>
      </c>
      <c r="W11" s="5">
        <v>0</v>
      </c>
      <c r="X11" s="6" t="s">
        <v>18</v>
      </c>
      <c r="Y11" s="6" t="s">
        <v>18</v>
      </c>
      <c r="Z11" s="6">
        <v>0</v>
      </c>
      <c r="AA11" s="5">
        <v>0.33457906090797312</v>
      </c>
      <c r="AB11" s="5">
        <v>6.7173486802417734E-2</v>
      </c>
      <c r="AC11" s="6">
        <v>0</v>
      </c>
      <c r="AD11" s="6">
        <v>1</v>
      </c>
      <c r="AE11" s="6">
        <v>70</v>
      </c>
      <c r="AF11">
        <f>(AA12/AA10)-AA11</f>
        <v>-1.9900335259760205E-2</v>
      </c>
    </row>
    <row r="12" spans="1:32" ht="26.25" x14ac:dyDescent="0.45">
      <c r="A12" s="4" t="s">
        <v>20</v>
      </c>
      <c r="B12" s="5">
        <v>0</v>
      </c>
      <c r="C12" s="5">
        <v>0</v>
      </c>
      <c r="D12" s="6">
        <v>0</v>
      </c>
      <c r="E12" s="6">
        <v>0</v>
      </c>
      <c r="F12" s="6">
        <v>17</v>
      </c>
      <c r="G12" s="5">
        <v>0</v>
      </c>
      <c r="H12" s="5">
        <v>0</v>
      </c>
      <c r="I12" s="6">
        <v>0</v>
      </c>
      <c r="J12" s="6">
        <v>0</v>
      </c>
      <c r="K12" s="6">
        <v>24</v>
      </c>
      <c r="L12" s="5">
        <v>0.63803684575408048</v>
      </c>
      <c r="M12" s="5">
        <v>0.13447693634835348</v>
      </c>
      <c r="N12" s="6">
        <v>0</v>
      </c>
      <c r="O12" s="6">
        <v>1</v>
      </c>
      <c r="P12" s="6">
        <v>14</v>
      </c>
      <c r="Q12" s="5">
        <v>0.35781185430384072</v>
      </c>
      <c r="R12" s="5">
        <v>0.13119890712293863</v>
      </c>
      <c r="S12" s="6">
        <v>0</v>
      </c>
      <c r="T12" s="6">
        <v>1</v>
      </c>
      <c r="U12" s="6">
        <v>15</v>
      </c>
      <c r="V12" s="5">
        <v>0</v>
      </c>
      <c r="W12" s="5">
        <v>0</v>
      </c>
      <c r="X12" s="6" t="s">
        <v>18</v>
      </c>
      <c r="Y12" s="6" t="s">
        <v>18</v>
      </c>
      <c r="Z12" s="6">
        <v>0</v>
      </c>
      <c r="AA12" s="5">
        <v>0.29532143130929789</v>
      </c>
      <c r="AB12" s="5">
        <v>6.5671858945004422E-2</v>
      </c>
      <c r="AC12" s="6">
        <v>0</v>
      </c>
      <c r="AD12" s="6">
        <v>1</v>
      </c>
      <c r="AE12" s="6">
        <v>70</v>
      </c>
    </row>
    <row r="13" spans="1:32" x14ac:dyDescent="0.45">
      <c r="A13" s="4" t="s">
        <v>21</v>
      </c>
      <c r="B13" s="5">
        <v>0.12455808307873489</v>
      </c>
      <c r="C13" s="5">
        <v>6.9873569646359351E-2</v>
      </c>
      <c r="D13" s="6">
        <v>0</v>
      </c>
      <c r="E13" s="6">
        <v>1</v>
      </c>
      <c r="F13" s="6">
        <v>26</v>
      </c>
      <c r="G13" s="5">
        <v>0.17640523344399733</v>
      </c>
      <c r="H13" s="5">
        <v>6.6702303365850993E-2</v>
      </c>
      <c r="I13" s="6">
        <v>0</v>
      </c>
      <c r="J13" s="6">
        <v>1</v>
      </c>
      <c r="K13" s="6">
        <v>33</v>
      </c>
      <c r="L13" s="5">
        <v>0.24288303573344727</v>
      </c>
      <c r="M13" s="5">
        <v>8.3187151304215209E-2</v>
      </c>
      <c r="N13" s="6">
        <v>0</v>
      </c>
      <c r="O13" s="6">
        <v>1</v>
      </c>
      <c r="P13" s="6">
        <v>28</v>
      </c>
      <c r="Q13" s="5">
        <v>0.14634664847612019</v>
      </c>
      <c r="R13" s="5">
        <v>8.0069334136262604E-2</v>
      </c>
      <c r="S13" s="6">
        <v>0</v>
      </c>
      <c r="T13" s="6">
        <v>1</v>
      </c>
      <c r="U13" s="6">
        <v>21</v>
      </c>
      <c r="V13" s="5">
        <v>0.11247509672036499</v>
      </c>
      <c r="W13" s="5">
        <v>0.10780506113700238</v>
      </c>
      <c r="X13" s="6">
        <v>0</v>
      </c>
      <c r="Y13" s="6">
        <v>1</v>
      </c>
      <c r="Z13" s="6">
        <v>14</v>
      </c>
      <c r="AA13" s="5">
        <v>0.19479774500120109</v>
      </c>
      <c r="AB13" s="5">
        <v>4.3403325072947446E-2</v>
      </c>
      <c r="AC13" s="6">
        <v>0</v>
      </c>
      <c r="AD13" s="6">
        <v>1</v>
      </c>
      <c r="AE13" s="6">
        <v>122</v>
      </c>
      <c r="AF13">
        <f>(AA15/AA14)-AA13</f>
        <v>3.6072282734131489E-2</v>
      </c>
    </row>
    <row r="14" spans="1:32" x14ac:dyDescent="0.45">
      <c r="A14" s="4" t="s">
        <v>14</v>
      </c>
      <c r="B14" s="5">
        <v>0.95593889001302101</v>
      </c>
      <c r="C14" s="5">
        <v>4.3853438100992057E-2</v>
      </c>
      <c r="D14" s="6">
        <v>0</v>
      </c>
      <c r="E14" s="6">
        <v>1</v>
      </c>
      <c r="F14" s="6">
        <v>26</v>
      </c>
      <c r="G14" s="5">
        <v>0.75555020098370718</v>
      </c>
      <c r="H14" s="5">
        <v>7.6639651307882639E-2</v>
      </c>
      <c r="I14" s="6">
        <v>0</v>
      </c>
      <c r="J14" s="6">
        <v>1</v>
      </c>
      <c r="K14" s="6">
        <v>33</v>
      </c>
      <c r="L14" s="5">
        <v>0.71229925102938108</v>
      </c>
      <c r="M14" s="5">
        <v>8.7861758305976312E-2</v>
      </c>
      <c r="N14" s="6">
        <v>0</v>
      </c>
      <c r="O14" s="6">
        <v>1</v>
      </c>
      <c r="P14" s="6">
        <v>28</v>
      </c>
      <c r="Q14" s="5">
        <v>0.90780412100827212</v>
      </c>
      <c r="R14" s="5">
        <v>6.377044877617917E-2</v>
      </c>
      <c r="S14" s="6">
        <v>0</v>
      </c>
      <c r="T14" s="6">
        <v>1</v>
      </c>
      <c r="U14" s="6">
        <v>21</v>
      </c>
      <c r="V14" s="5">
        <v>0.92686327810773295</v>
      </c>
      <c r="W14" s="5">
        <v>7.3261369808220761E-2</v>
      </c>
      <c r="X14" s="6">
        <v>0</v>
      </c>
      <c r="Y14" s="6">
        <v>1</v>
      </c>
      <c r="Z14" s="6">
        <v>14</v>
      </c>
      <c r="AA14" s="5">
        <v>0.78045574053202593</v>
      </c>
      <c r="AB14" s="5">
        <v>4.6037945365929415E-2</v>
      </c>
      <c r="AC14" s="6">
        <v>0</v>
      </c>
      <c r="AD14" s="6">
        <v>1</v>
      </c>
      <c r="AE14" s="6">
        <v>122</v>
      </c>
      <c r="AF14">
        <f>(AA15/AA13)-AA14</f>
        <v>0.14452333692966313</v>
      </c>
    </row>
    <row r="15" spans="1:32" ht="26.25" x14ac:dyDescent="0.45">
      <c r="A15" s="4" t="s">
        <v>22</v>
      </c>
      <c r="B15" s="5">
        <v>0.12455808307873489</v>
      </c>
      <c r="C15" s="5">
        <v>6.9873569646359351E-2</v>
      </c>
      <c r="D15" s="6">
        <v>0</v>
      </c>
      <c r="E15" s="6">
        <v>1</v>
      </c>
      <c r="F15" s="6">
        <v>26</v>
      </c>
      <c r="G15" s="5">
        <v>0.17640523344399733</v>
      </c>
      <c r="H15" s="5">
        <v>6.6702303365850993E-2</v>
      </c>
      <c r="I15" s="6">
        <v>0</v>
      </c>
      <c r="J15" s="6">
        <v>1</v>
      </c>
      <c r="K15" s="6">
        <v>33</v>
      </c>
      <c r="L15" s="5">
        <v>0.20803903999913892</v>
      </c>
      <c r="M15" s="5">
        <v>7.8914262920868505E-2</v>
      </c>
      <c r="N15" s="6">
        <v>0</v>
      </c>
      <c r="O15" s="6">
        <v>1</v>
      </c>
      <c r="P15" s="6">
        <v>28</v>
      </c>
      <c r="Q15" s="5">
        <v>0.14634664847612019</v>
      </c>
      <c r="R15" s="5">
        <v>8.0069334136262604E-2</v>
      </c>
      <c r="S15" s="6">
        <v>0</v>
      </c>
      <c r="T15" s="6">
        <v>1</v>
      </c>
      <c r="U15" s="6">
        <v>21</v>
      </c>
      <c r="V15" s="5">
        <v>0.11247509672036499</v>
      </c>
      <c r="W15" s="5">
        <v>0.10780506113700238</v>
      </c>
      <c r="X15" s="6">
        <v>0</v>
      </c>
      <c r="Y15" s="6">
        <v>1</v>
      </c>
      <c r="Z15" s="6">
        <v>14</v>
      </c>
      <c r="AA15" s="5">
        <v>0.18018383846282834</v>
      </c>
      <c r="AB15" s="5">
        <v>4.1863586439116238E-2</v>
      </c>
      <c r="AC15" s="6">
        <v>0</v>
      </c>
      <c r="AD15" s="6">
        <v>1</v>
      </c>
      <c r="AE15" s="6">
        <v>122</v>
      </c>
    </row>
    <row r="16" spans="1:32" x14ac:dyDescent="0.45">
      <c r="A16" s="4" t="s">
        <v>21</v>
      </c>
      <c r="B16" s="5">
        <v>0.16240602266049003</v>
      </c>
      <c r="C16" s="5">
        <v>8.9557566815782003E-2</v>
      </c>
      <c r="D16" s="6">
        <v>0</v>
      </c>
      <c r="E16" s="6">
        <v>1</v>
      </c>
      <c r="F16" s="6">
        <v>20</v>
      </c>
      <c r="G16" s="5">
        <v>0.15974830945943391</v>
      </c>
      <c r="H16" s="5">
        <v>8.7451957815842515E-2</v>
      </c>
      <c r="I16" s="6">
        <v>0</v>
      </c>
      <c r="J16" s="6">
        <v>1</v>
      </c>
      <c r="K16" s="6">
        <v>18</v>
      </c>
      <c r="L16" s="5">
        <v>0.20506454392800286</v>
      </c>
      <c r="M16" s="5">
        <v>9.7302077822255514E-2</v>
      </c>
      <c r="N16" s="6">
        <v>0</v>
      </c>
      <c r="O16" s="6">
        <v>1</v>
      </c>
      <c r="P16" s="6">
        <v>17</v>
      </c>
      <c r="Q16" s="5">
        <v>0.22367093368315843</v>
      </c>
      <c r="R16" s="5">
        <v>0.10168091861397172</v>
      </c>
      <c r="S16" s="6">
        <v>0</v>
      </c>
      <c r="T16" s="6">
        <v>1</v>
      </c>
      <c r="U16" s="6">
        <v>18</v>
      </c>
      <c r="V16" s="5">
        <v>0.22264532971835391</v>
      </c>
      <c r="W16" s="5">
        <v>9.8376581995677476E-2</v>
      </c>
      <c r="X16" s="6">
        <v>0</v>
      </c>
      <c r="Y16" s="6">
        <v>1</v>
      </c>
      <c r="Z16" s="6">
        <v>24</v>
      </c>
      <c r="AA16" s="5">
        <v>0.19368072629894936</v>
      </c>
      <c r="AB16" s="5">
        <v>5.0588015988926746E-2</v>
      </c>
      <c r="AC16" s="6">
        <v>0</v>
      </c>
      <c r="AD16" s="6">
        <v>1</v>
      </c>
      <c r="AE16" s="6">
        <v>97</v>
      </c>
      <c r="AF16">
        <f>(AA18/AA17)-AA16</f>
        <v>-0.19368072629894936</v>
      </c>
    </row>
    <row r="17" spans="1:32" ht="26.25" x14ac:dyDescent="0.45">
      <c r="A17" s="4" t="s">
        <v>16</v>
      </c>
      <c r="B17" s="5">
        <v>7.1336325400897155E-2</v>
      </c>
      <c r="C17" s="5">
        <v>5.7882821602989527E-2</v>
      </c>
      <c r="D17" s="6">
        <v>0</v>
      </c>
      <c r="E17" s="6">
        <v>1</v>
      </c>
      <c r="F17" s="6">
        <v>20</v>
      </c>
      <c r="G17" s="5">
        <v>0</v>
      </c>
      <c r="H17" s="5">
        <v>0</v>
      </c>
      <c r="I17" s="6">
        <v>0</v>
      </c>
      <c r="J17" s="6">
        <v>0</v>
      </c>
      <c r="K17" s="6">
        <v>18</v>
      </c>
      <c r="L17" s="5">
        <v>0</v>
      </c>
      <c r="M17" s="5">
        <v>0</v>
      </c>
      <c r="N17" s="6">
        <v>0</v>
      </c>
      <c r="O17" s="6">
        <v>0</v>
      </c>
      <c r="P17" s="6">
        <v>17</v>
      </c>
      <c r="Q17" s="5">
        <v>5.3704560725707499E-2</v>
      </c>
      <c r="R17" s="5">
        <v>5.381837036729397E-2</v>
      </c>
      <c r="S17" s="6">
        <v>0</v>
      </c>
      <c r="T17" s="6">
        <v>1</v>
      </c>
      <c r="U17" s="6">
        <v>18</v>
      </c>
      <c r="V17" s="5">
        <v>4.4080581985216215E-2</v>
      </c>
      <c r="W17" s="5">
        <v>3.5713430966659132E-2</v>
      </c>
      <c r="X17" s="6">
        <v>0</v>
      </c>
      <c r="Y17" s="6">
        <v>1</v>
      </c>
      <c r="Z17" s="6">
        <v>24</v>
      </c>
      <c r="AA17" s="5">
        <v>1.9667107846281076E-2</v>
      </c>
      <c r="AB17" s="5">
        <v>1.4036645852359473E-2</v>
      </c>
      <c r="AC17" s="6">
        <v>0</v>
      </c>
      <c r="AD17" s="6">
        <v>1</v>
      </c>
      <c r="AE17" s="6">
        <v>97</v>
      </c>
      <c r="AF17">
        <f>(AA18/AA16)-AA17</f>
        <v>-1.9667107846281076E-2</v>
      </c>
    </row>
    <row r="18" spans="1:32" ht="26.25" x14ac:dyDescent="0.45">
      <c r="A18" s="4" t="s">
        <v>23</v>
      </c>
      <c r="B18" s="5">
        <v>0</v>
      </c>
      <c r="C18" s="5">
        <v>0</v>
      </c>
      <c r="D18" s="6">
        <v>0</v>
      </c>
      <c r="E18" s="6">
        <v>0</v>
      </c>
      <c r="F18" s="6">
        <v>20</v>
      </c>
      <c r="G18" s="5">
        <v>0</v>
      </c>
      <c r="H18" s="5">
        <v>0</v>
      </c>
      <c r="I18" s="6">
        <v>0</v>
      </c>
      <c r="J18" s="6">
        <v>0</v>
      </c>
      <c r="K18" s="6">
        <v>18</v>
      </c>
      <c r="L18" s="5">
        <v>0</v>
      </c>
      <c r="M18" s="5">
        <v>0</v>
      </c>
      <c r="N18" s="6">
        <v>0</v>
      </c>
      <c r="O18" s="6">
        <v>0</v>
      </c>
      <c r="P18" s="6">
        <v>17</v>
      </c>
      <c r="Q18" s="5">
        <v>0</v>
      </c>
      <c r="R18" s="5">
        <v>0</v>
      </c>
      <c r="S18" s="6">
        <v>0</v>
      </c>
      <c r="T18" s="6">
        <v>0</v>
      </c>
      <c r="U18" s="6">
        <v>18</v>
      </c>
      <c r="V18" s="5">
        <v>0</v>
      </c>
      <c r="W18" s="5">
        <v>0</v>
      </c>
      <c r="X18" s="6">
        <v>0</v>
      </c>
      <c r="Y18" s="6">
        <v>0</v>
      </c>
      <c r="Z18" s="6">
        <v>24</v>
      </c>
      <c r="AA18" s="5">
        <v>0</v>
      </c>
      <c r="AB18" s="5">
        <v>0</v>
      </c>
      <c r="AC18" s="6">
        <v>0</v>
      </c>
      <c r="AD18" s="6">
        <v>0</v>
      </c>
      <c r="AE18" s="6">
        <v>97</v>
      </c>
    </row>
    <row r="19" spans="1:32" x14ac:dyDescent="0.45">
      <c r="A19" s="4" t="s">
        <v>21</v>
      </c>
      <c r="B19" s="5">
        <v>0.16857904031976448</v>
      </c>
      <c r="C19" s="5">
        <v>9.257947252649408E-2</v>
      </c>
      <c r="D19" s="6">
        <v>0</v>
      </c>
      <c r="E19" s="6">
        <v>1</v>
      </c>
      <c r="F19" s="6">
        <v>17</v>
      </c>
      <c r="G19" s="5">
        <v>0.2014196681431385</v>
      </c>
      <c r="H19" s="5">
        <v>8.2816380090665109E-2</v>
      </c>
      <c r="I19" s="6">
        <v>0</v>
      </c>
      <c r="J19" s="6">
        <v>1</v>
      </c>
      <c r="K19" s="6">
        <v>24</v>
      </c>
      <c r="L19" s="5">
        <v>0.14020306802633531</v>
      </c>
      <c r="M19" s="5">
        <v>9.5637651876063795E-2</v>
      </c>
      <c r="N19" s="6">
        <v>0</v>
      </c>
      <c r="O19" s="6">
        <v>1</v>
      </c>
      <c r="P19" s="6">
        <v>14</v>
      </c>
      <c r="Q19" s="5">
        <v>0.3417413822198011</v>
      </c>
      <c r="R19" s="5">
        <v>0.12875249670364311</v>
      </c>
      <c r="S19" s="6">
        <v>0</v>
      </c>
      <c r="T19" s="6">
        <v>1</v>
      </c>
      <c r="U19" s="6">
        <v>15</v>
      </c>
      <c r="V19" s="5">
        <v>0</v>
      </c>
      <c r="W19" s="5">
        <v>0</v>
      </c>
      <c r="X19" s="6" t="s">
        <v>18</v>
      </c>
      <c r="Y19" s="6" t="s">
        <v>18</v>
      </c>
      <c r="Z19" s="6">
        <v>0</v>
      </c>
      <c r="AA19" s="5">
        <v>0.20718300575927862</v>
      </c>
      <c r="AB19" s="5">
        <v>5.2846970545714786E-2</v>
      </c>
      <c r="AC19" s="6">
        <v>0</v>
      </c>
      <c r="AD19" s="6">
        <v>1</v>
      </c>
      <c r="AE19" s="6">
        <v>70</v>
      </c>
      <c r="AF19">
        <f>(AA21/AA20)-AA19</f>
        <v>-4.2429796553957289E-2</v>
      </c>
    </row>
    <row r="20" spans="1:32" x14ac:dyDescent="0.45">
      <c r="A20" s="4" t="s">
        <v>19</v>
      </c>
      <c r="B20" s="5">
        <v>0</v>
      </c>
      <c r="C20" s="5">
        <v>0</v>
      </c>
      <c r="D20" s="6">
        <v>0</v>
      </c>
      <c r="E20" s="6">
        <v>0</v>
      </c>
      <c r="F20" s="6">
        <v>17</v>
      </c>
      <c r="G20" s="5">
        <v>0</v>
      </c>
      <c r="H20" s="5">
        <v>0</v>
      </c>
      <c r="I20" s="6">
        <v>0</v>
      </c>
      <c r="J20" s="6">
        <v>0</v>
      </c>
      <c r="K20" s="6">
        <v>24</v>
      </c>
      <c r="L20" s="5">
        <v>0.71055262583859791</v>
      </c>
      <c r="M20" s="5">
        <v>0.12715279466668242</v>
      </c>
      <c r="N20" s="6">
        <v>0</v>
      </c>
      <c r="O20" s="6">
        <v>1</v>
      </c>
      <c r="P20" s="6">
        <v>14</v>
      </c>
      <c r="Q20" s="5">
        <v>0.42574184698500656</v>
      </c>
      <c r="R20" s="5">
        <v>0.13436805480856345</v>
      </c>
      <c r="S20" s="6">
        <v>0</v>
      </c>
      <c r="T20" s="6">
        <v>1</v>
      </c>
      <c r="U20" s="6">
        <v>15</v>
      </c>
      <c r="V20" s="5">
        <v>0</v>
      </c>
      <c r="W20" s="5">
        <v>0</v>
      </c>
      <c r="X20" s="6" t="s">
        <v>18</v>
      </c>
      <c r="Y20" s="6" t="s">
        <v>18</v>
      </c>
      <c r="Z20" s="6">
        <v>0</v>
      </c>
      <c r="AA20" s="5">
        <v>0.33457906090797312</v>
      </c>
      <c r="AB20" s="5">
        <v>6.7173486802417734E-2</v>
      </c>
      <c r="AC20" s="6">
        <v>0</v>
      </c>
      <c r="AD20" s="6">
        <v>1</v>
      </c>
      <c r="AE20" s="6">
        <v>70</v>
      </c>
      <c r="AF20">
        <f>(AA21/AA19)-AA20</f>
        <v>-6.8519719720803507E-2</v>
      </c>
    </row>
    <row r="21" spans="1:32" ht="26.25" x14ac:dyDescent="0.45">
      <c r="A21" s="4" t="s">
        <v>24</v>
      </c>
      <c r="B21" s="5">
        <v>0</v>
      </c>
      <c r="C21" s="5">
        <v>0</v>
      </c>
      <c r="D21" s="6">
        <v>0</v>
      </c>
      <c r="E21" s="6">
        <v>0</v>
      </c>
      <c r="F21" s="6">
        <v>17</v>
      </c>
      <c r="G21" s="5">
        <v>0</v>
      </c>
      <c r="H21" s="5">
        <v>0</v>
      </c>
      <c r="I21" s="6">
        <v>0</v>
      </c>
      <c r="J21" s="6">
        <v>0</v>
      </c>
      <c r="K21" s="6">
        <v>24</v>
      </c>
      <c r="L21" s="5">
        <v>7.062406408231249E-2</v>
      </c>
      <c r="M21" s="5">
        <v>7.0716696611209925E-2</v>
      </c>
      <c r="N21" s="6">
        <v>0</v>
      </c>
      <c r="O21" s="6">
        <v>1</v>
      </c>
      <c r="P21" s="6">
        <v>14</v>
      </c>
      <c r="Q21" s="5">
        <v>0.14703922282590456</v>
      </c>
      <c r="R21" s="5">
        <v>9.9495954049083096E-2</v>
      </c>
      <c r="S21" s="6">
        <v>0</v>
      </c>
      <c r="T21" s="6">
        <v>1</v>
      </c>
      <c r="U21" s="6">
        <v>15</v>
      </c>
      <c r="V21" s="5">
        <v>0</v>
      </c>
      <c r="W21" s="5">
        <v>0</v>
      </c>
      <c r="X21" s="6" t="s">
        <v>18</v>
      </c>
      <c r="Y21" s="6" t="s">
        <v>18</v>
      </c>
      <c r="Z21" s="6">
        <v>0</v>
      </c>
      <c r="AA21" s="5">
        <v>5.5122974017491243E-2</v>
      </c>
      <c r="AB21" s="5">
        <v>3.2035595032199486E-2</v>
      </c>
      <c r="AC21" s="6">
        <v>0</v>
      </c>
      <c r="AD21" s="6">
        <v>1</v>
      </c>
      <c r="AE21" s="6">
        <v>70</v>
      </c>
    </row>
    <row r="22" spans="1:32" x14ac:dyDescent="0.45">
      <c r="A22" s="4" t="s">
        <v>25</v>
      </c>
      <c r="B22" s="5">
        <v>0.22199629761077047</v>
      </c>
      <c r="C22" s="5">
        <v>8.3227840436511852E-2</v>
      </c>
      <c r="D22" s="6">
        <v>0</v>
      </c>
      <c r="E22" s="6">
        <v>1</v>
      </c>
      <c r="F22" s="6">
        <v>26</v>
      </c>
      <c r="G22" s="5">
        <v>0.51699156759129139</v>
      </c>
      <c r="H22" s="5">
        <v>8.8795287101403497E-2</v>
      </c>
      <c r="I22" s="6">
        <v>0</v>
      </c>
      <c r="J22" s="6">
        <v>1</v>
      </c>
      <c r="K22" s="6">
        <v>33</v>
      </c>
      <c r="L22" s="5">
        <v>0.37325884934449272</v>
      </c>
      <c r="M22" s="5">
        <v>9.4742303768678537E-2</v>
      </c>
      <c r="N22" s="6">
        <v>0</v>
      </c>
      <c r="O22" s="6">
        <v>1</v>
      </c>
      <c r="P22" s="6">
        <v>28</v>
      </c>
      <c r="Q22" s="5">
        <v>0.58043955084508159</v>
      </c>
      <c r="R22" s="5">
        <v>0.11023857894989202</v>
      </c>
      <c r="S22" s="6">
        <v>0</v>
      </c>
      <c r="T22" s="6">
        <v>1</v>
      </c>
      <c r="U22" s="6">
        <v>21</v>
      </c>
      <c r="V22" s="5">
        <v>0.43849856728677705</v>
      </c>
      <c r="W22" s="5">
        <v>0.14342905143568394</v>
      </c>
      <c r="X22" s="6">
        <v>0</v>
      </c>
      <c r="Y22" s="6">
        <v>1</v>
      </c>
      <c r="Z22" s="6">
        <v>14</v>
      </c>
      <c r="AA22" s="5">
        <v>0.44613483807633969</v>
      </c>
      <c r="AB22" s="5">
        <v>5.3294392016297425E-2</v>
      </c>
      <c r="AC22" s="6">
        <v>0</v>
      </c>
      <c r="AD22" s="6">
        <v>1</v>
      </c>
      <c r="AE22" s="6">
        <v>122</v>
      </c>
      <c r="AF22">
        <f>(AA24/AA23)-AA22</f>
        <v>6.1225035367105773E-2</v>
      </c>
    </row>
    <row r="23" spans="1:32" x14ac:dyDescent="0.45">
      <c r="A23" s="4" t="s">
        <v>14</v>
      </c>
      <c r="B23" s="5">
        <v>0.95593889001302101</v>
      </c>
      <c r="C23" s="5">
        <v>4.3853438100992057E-2</v>
      </c>
      <c r="D23" s="6">
        <v>0</v>
      </c>
      <c r="E23" s="6">
        <v>1</v>
      </c>
      <c r="F23" s="6">
        <v>26</v>
      </c>
      <c r="G23" s="5">
        <v>0.75555020098370718</v>
      </c>
      <c r="H23" s="5">
        <v>7.6639651307882639E-2</v>
      </c>
      <c r="I23" s="6">
        <v>0</v>
      </c>
      <c r="J23" s="6">
        <v>1</v>
      </c>
      <c r="K23" s="6">
        <v>33</v>
      </c>
      <c r="L23" s="5">
        <v>0.71229925102938108</v>
      </c>
      <c r="M23" s="5">
        <v>8.7861758305976312E-2</v>
      </c>
      <c r="N23" s="6">
        <v>0</v>
      </c>
      <c r="O23" s="6">
        <v>1</v>
      </c>
      <c r="P23" s="6">
        <v>28</v>
      </c>
      <c r="Q23" s="5">
        <v>0.90780412100827212</v>
      </c>
      <c r="R23" s="5">
        <v>6.377044877617917E-2</v>
      </c>
      <c r="S23" s="6">
        <v>0</v>
      </c>
      <c r="T23" s="6">
        <v>1</v>
      </c>
      <c r="U23" s="6">
        <v>21</v>
      </c>
      <c r="V23" s="5">
        <v>0.92686327810773295</v>
      </c>
      <c r="W23" s="5">
        <v>7.3261369808220761E-2</v>
      </c>
      <c r="X23" s="6">
        <v>0</v>
      </c>
      <c r="Y23" s="6">
        <v>1</v>
      </c>
      <c r="Z23" s="6">
        <v>14</v>
      </c>
      <c r="AA23" s="5">
        <v>0.78045574053202593</v>
      </c>
      <c r="AB23" s="5">
        <v>4.6037945365929415E-2</v>
      </c>
      <c r="AC23" s="6">
        <v>0</v>
      </c>
      <c r="AD23" s="6">
        <v>1</v>
      </c>
      <c r="AE23" s="6">
        <v>122</v>
      </c>
      <c r="AF23">
        <f>(AA24/AA22)-AA23</f>
        <v>0.10710535523871745</v>
      </c>
    </row>
    <row r="24" spans="1:32" ht="26.25" x14ac:dyDescent="0.45">
      <c r="A24" s="4" t="s">
        <v>26</v>
      </c>
      <c r="B24" s="5">
        <v>0.22199629761077047</v>
      </c>
      <c r="C24" s="5">
        <v>8.3227840436511852E-2</v>
      </c>
      <c r="D24" s="6">
        <v>0</v>
      </c>
      <c r="E24" s="6">
        <v>1</v>
      </c>
      <c r="F24" s="6">
        <v>26</v>
      </c>
      <c r="G24" s="5">
        <v>0.48682481527623994</v>
      </c>
      <c r="H24" s="5">
        <v>8.8847017674586984E-2</v>
      </c>
      <c r="I24" s="6">
        <v>0</v>
      </c>
      <c r="J24" s="6">
        <v>1</v>
      </c>
      <c r="K24" s="6">
        <v>33</v>
      </c>
      <c r="L24" s="5">
        <v>0.29686461246443258</v>
      </c>
      <c r="M24" s="5">
        <v>8.9616869018981277E-2</v>
      </c>
      <c r="N24" s="6">
        <v>0</v>
      </c>
      <c r="O24" s="6">
        <v>1</v>
      </c>
      <c r="P24" s="6">
        <v>28</v>
      </c>
      <c r="Q24" s="5">
        <v>0.53418947293503993</v>
      </c>
      <c r="R24" s="5">
        <v>0.11162118875726222</v>
      </c>
      <c r="S24" s="6">
        <v>0</v>
      </c>
      <c r="T24" s="6">
        <v>1</v>
      </c>
      <c r="U24" s="6">
        <v>21</v>
      </c>
      <c r="V24" s="5">
        <v>0.43849856728677705</v>
      </c>
      <c r="W24" s="5">
        <v>0.14342905143568394</v>
      </c>
      <c r="X24" s="6">
        <v>0</v>
      </c>
      <c r="Y24" s="6">
        <v>1</v>
      </c>
      <c r="Z24" s="6">
        <v>14</v>
      </c>
      <c r="AA24" s="5">
        <v>0.39597192574453921</v>
      </c>
      <c r="AB24" s="5">
        <v>5.2236389920690178E-2</v>
      </c>
      <c r="AC24" s="6">
        <v>0</v>
      </c>
      <c r="AD24" s="6">
        <v>1</v>
      </c>
      <c r="AE24" s="6">
        <v>122</v>
      </c>
    </row>
    <row r="25" spans="1:32" x14ac:dyDescent="0.45">
      <c r="A25" s="4" t="s">
        <v>25</v>
      </c>
      <c r="B25" s="5">
        <v>0.24507785719844286</v>
      </c>
      <c r="C25" s="5">
        <v>9.9796717238230775E-2</v>
      </c>
      <c r="D25" s="6">
        <v>0</v>
      </c>
      <c r="E25" s="6">
        <v>1</v>
      </c>
      <c r="F25" s="6">
        <v>20</v>
      </c>
      <c r="G25" s="5">
        <v>0.51627791568035053</v>
      </c>
      <c r="H25" s="5">
        <v>0.121671886526709</v>
      </c>
      <c r="I25" s="6">
        <v>0</v>
      </c>
      <c r="J25" s="6">
        <v>1</v>
      </c>
      <c r="K25" s="6">
        <v>18</v>
      </c>
      <c r="L25" s="5">
        <v>0.51009664485944672</v>
      </c>
      <c r="M25" s="5">
        <v>0.12613267518658106</v>
      </c>
      <c r="N25" s="6">
        <v>0</v>
      </c>
      <c r="O25" s="6">
        <v>1</v>
      </c>
      <c r="P25" s="6">
        <v>17</v>
      </c>
      <c r="Q25" s="5">
        <v>0.72566385360710162</v>
      </c>
      <c r="R25" s="5">
        <v>0.10800433783442347</v>
      </c>
      <c r="S25" s="6">
        <v>0</v>
      </c>
      <c r="T25" s="6">
        <v>1</v>
      </c>
      <c r="U25" s="6">
        <v>18</v>
      </c>
      <c r="V25" s="5">
        <v>0.3554853467402172</v>
      </c>
      <c r="W25" s="5">
        <v>0.10599981385981368</v>
      </c>
      <c r="X25" s="6">
        <v>0</v>
      </c>
      <c r="Y25" s="6">
        <v>1</v>
      </c>
      <c r="Z25" s="6">
        <v>24</v>
      </c>
      <c r="AA25" s="5">
        <v>0.53935270352531739</v>
      </c>
      <c r="AB25" s="5">
        <v>6.500061446548562E-2</v>
      </c>
      <c r="AC25" s="6">
        <v>0</v>
      </c>
      <c r="AD25" s="6">
        <v>1</v>
      </c>
      <c r="AE25" s="6">
        <v>97</v>
      </c>
      <c r="AF25">
        <f>(AA27/AA26)-AA25</f>
        <v>-0.28547543443272888</v>
      </c>
    </row>
    <row r="26" spans="1:32" ht="26.25" x14ac:dyDescent="0.45">
      <c r="A26" s="4" t="s">
        <v>16</v>
      </c>
      <c r="B26" s="5">
        <v>7.1336325400897155E-2</v>
      </c>
      <c r="C26" s="5">
        <v>5.7882821602989527E-2</v>
      </c>
      <c r="D26" s="6">
        <v>0</v>
      </c>
      <c r="E26" s="6">
        <v>1</v>
      </c>
      <c r="F26" s="6">
        <v>20</v>
      </c>
      <c r="G26" s="5">
        <v>0</v>
      </c>
      <c r="H26" s="5">
        <v>0</v>
      </c>
      <c r="I26" s="6">
        <v>0</v>
      </c>
      <c r="J26" s="6">
        <v>0</v>
      </c>
      <c r="K26" s="6">
        <v>18</v>
      </c>
      <c r="L26" s="5">
        <v>0</v>
      </c>
      <c r="M26" s="5">
        <v>0</v>
      </c>
      <c r="N26" s="6">
        <v>0</v>
      </c>
      <c r="O26" s="6">
        <v>0</v>
      </c>
      <c r="P26" s="6">
        <v>17</v>
      </c>
      <c r="Q26" s="5">
        <v>5.3704560725707499E-2</v>
      </c>
      <c r="R26" s="5">
        <v>5.381837036729397E-2</v>
      </c>
      <c r="S26" s="6">
        <v>0</v>
      </c>
      <c r="T26" s="6">
        <v>1</v>
      </c>
      <c r="U26" s="6">
        <v>18</v>
      </c>
      <c r="V26" s="5">
        <v>4.4080581985216215E-2</v>
      </c>
      <c r="W26" s="5">
        <v>3.5713430966659132E-2</v>
      </c>
      <c r="X26" s="6">
        <v>0</v>
      </c>
      <c r="Y26" s="6">
        <v>1</v>
      </c>
      <c r="Z26" s="6">
        <v>24</v>
      </c>
      <c r="AA26" s="5">
        <v>1.9667107846281076E-2</v>
      </c>
      <c r="AB26" s="5">
        <v>1.4036645852359473E-2</v>
      </c>
      <c r="AC26" s="6">
        <v>0</v>
      </c>
      <c r="AD26" s="6">
        <v>1</v>
      </c>
      <c r="AE26" s="6">
        <v>97</v>
      </c>
      <c r="AF26">
        <f>(AA27/AA25)-AA26</f>
        <v>-1.0409656092859236E-2</v>
      </c>
    </row>
    <row r="27" spans="1:32" ht="26.25" x14ac:dyDescent="0.45">
      <c r="A27" s="4" t="s">
        <v>27</v>
      </c>
      <c r="B27" s="5">
        <v>5.6303378546434732E-2</v>
      </c>
      <c r="C27" s="5">
        <v>5.6027658866812949E-2</v>
      </c>
      <c r="D27" s="6">
        <v>0</v>
      </c>
      <c r="E27" s="6">
        <v>1</v>
      </c>
      <c r="F27" s="6">
        <v>20</v>
      </c>
      <c r="G27" s="5">
        <v>0</v>
      </c>
      <c r="H27" s="5">
        <v>0</v>
      </c>
      <c r="I27" s="6">
        <v>0</v>
      </c>
      <c r="J27" s="6">
        <v>0</v>
      </c>
      <c r="K27" s="6">
        <v>18</v>
      </c>
      <c r="L27" s="5">
        <v>0</v>
      </c>
      <c r="M27" s="5">
        <v>0</v>
      </c>
      <c r="N27" s="6">
        <v>0</v>
      </c>
      <c r="O27" s="6">
        <v>0</v>
      </c>
      <c r="P27" s="6">
        <v>17</v>
      </c>
      <c r="Q27" s="5">
        <v>0</v>
      </c>
      <c r="R27" s="5">
        <v>0</v>
      </c>
      <c r="S27" s="6">
        <v>0</v>
      </c>
      <c r="T27" s="6">
        <v>0</v>
      </c>
      <c r="U27" s="6">
        <v>18</v>
      </c>
      <c r="V27" s="5">
        <v>0</v>
      </c>
      <c r="W27" s="5">
        <v>0</v>
      </c>
      <c r="X27" s="6">
        <v>0</v>
      </c>
      <c r="Y27" s="6">
        <v>0</v>
      </c>
      <c r="Z27" s="6">
        <v>24</v>
      </c>
      <c r="AA27" s="5">
        <v>4.9930316309632593E-3</v>
      </c>
      <c r="AB27" s="5">
        <v>5.0365583889617795E-3</v>
      </c>
      <c r="AC27" s="6">
        <v>0</v>
      </c>
      <c r="AD27" s="6">
        <v>1</v>
      </c>
      <c r="AE27" s="6">
        <v>97</v>
      </c>
    </row>
    <row r="28" spans="1:32" x14ac:dyDescent="0.45">
      <c r="A28" s="4" t="s">
        <v>25</v>
      </c>
      <c r="B28" s="5">
        <v>0.38244721436348345</v>
      </c>
      <c r="C28" s="5">
        <v>0.12447413363901658</v>
      </c>
      <c r="D28" s="6">
        <v>0</v>
      </c>
      <c r="E28" s="6">
        <v>1</v>
      </c>
      <c r="F28" s="6">
        <v>17</v>
      </c>
      <c r="G28" s="5">
        <v>0.70782710464098897</v>
      </c>
      <c r="H28" s="5">
        <v>9.5473949368399022E-2</v>
      </c>
      <c r="I28" s="6">
        <v>0</v>
      </c>
      <c r="J28" s="6">
        <v>1</v>
      </c>
      <c r="K28" s="6">
        <v>24</v>
      </c>
      <c r="L28" s="5">
        <v>0.44991207166931085</v>
      </c>
      <c r="M28" s="5">
        <v>0.13944466334763617</v>
      </c>
      <c r="N28" s="6">
        <v>0</v>
      </c>
      <c r="O28" s="6">
        <v>1</v>
      </c>
      <c r="P28" s="6">
        <v>14</v>
      </c>
      <c r="Q28" s="5">
        <v>0.80767741901030377</v>
      </c>
      <c r="R28" s="5">
        <v>0.104033054216221</v>
      </c>
      <c r="S28" s="6">
        <v>0</v>
      </c>
      <c r="T28" s="6">
        <v>1</v>
      </c>
      <c r="U28" s="6">
        <v>15</v>
      </c>
      <c r="V28" s="5">
        <v>0</v>
      </c>
      <c r="W28" s="5">
        <v>0</v>
      </c>
      <c r="X28" s="6" t="s">
        <v>18</v>
      </c>
      <c r="Y28" s="6" t="s">
        <v>18</v>
      </c>
      <c r="Z28" s="6">
        <v>0</v>
      </c>
      <c r="AA28" s="5">
        <v>0.61599673168706692</v>
      </c>
      <c r="AB28" s="5">
        <v>6.5622867496038836E-2</v>
      </c>
      <c r="AC28" s="6">
        <v>0</v>
      </c>
      <c r="AD28" s="6">
        <v>1</v>
      </c>
      <c r="AE28" s="6">
        <v>70</v>
      </c>
      <c r="AF28">
        <f>(AA30/AA29)-AA28</f>
        <v>-5.5580044618343427E-2</v>
      </c>
    </row>
    <row r="29" spans="1:32" x14ac:dyDescent="0.45">
      <c r="A29" s="4" t="s">
        <v>19</v>
      </c>
      <c r="B29" s="5">
        <v>0</v>
      </c>
      <c r="C29" s="5">
        <v>0</v>
      </c>
      <c r="D29" s="6">
        <v>0</v>
      </c>
      <c r="E29" s="6">
        <v>0</v>
      </c>
      <c r="F29" s="6">
        <v>17</v>
      </c>
      <c r="G29" s="5">
        <v>0</v>
      </c>
      <c r="H29" s="5">
        <v>0</v>
      </c>
      <c r="I29" s="6">
        <v>0</v>
      </c>
      <c r="J29" s="6">
        <v>0</v>
      </c>
      <c r="K29" s="6">
        <v>24</v>
      </c>
      <c r="L29" s="5">
        <v>0.71055262583859791</v>
      </c>
      <c r="M29" s="5">
        <v>0.12715279466668242</v>
      </c>
      <c r="N29" s="6">
        <v>0</v>
      </c>
      <c r="O29" s="6">
        <v>1</v>
      </c>
      <c r="P29" s="6">
        <v>14</v>
      </c>
      <c r="Q29" s="5">
        <v>0.42574184698500656</v>
      </c>
      <c r="R29" s="5">
        <v>0.13436805480856345</v>
      </c>
      <c r="S29" s="6">
        <v>0</v>
      </c>
      <c r="T29" s="6">
        <v>1</v>
      </c>
      <c r="U29" s="6">
        <v>15</v>
      </c>
      <c r="V29" s="5">
        <v>0</v>
      </c>
      <c r="W29" s="5">
        <v>0</v>
      </c>
      <c r="X29" s="6" t="s">
        <v>18</v>
      </c>
      <c r="Y29" s="6" t="s">
        <v>18</v>
      </c>
      <c r="Z29" s="6">
        <v>0</v>
      </c>
      <c r="AA29" s="5">
        <v>0.33457906090797312</v>
      </c>
      <c r="AB29" s="5">
        <v>6.7173486802417734E-2</v>
      </c>
      <c r="AC29" s="6">
        <v>0</v>
      </c>
      <c r="AD29" s="6">
        <v>1</v>
      </c>
      <c r="AE29" s="6">
        <v>70</v>
      </c>
      <c r="AF29">
        <f>(AA30/AA28)-AA29</f>
        <v>-3.0188340582098294E-2</v>
      </c>
    </row>
    <row r="30" spans="1:32" ht="26.25" x14ac:dyDescent="0.45">
      <c r="A30" s="4" t="s">
        <v>28</v>
      </c>
      <c r="B30" s="5">
        <v>0</v>
      </c>
      <c r="C30" s="5">
        <v>0</v>
      </c>
      <c r="D30" s="6">
        <v>0</v>
      </c>
      <c r="E30" s="6">
        <v>0</v>
      </c>
      <c r="F30" s="6">
        <v>17</v>
      </c>
      <c r="G30" s="5">
        <v>0</v>
      </c>
      <c r="H30" s="5">
        <v>0</v>
      </c>
      <c r="I30" s="6">
        <v>0</v>
      </c>
      <c r="J30" s="6">
        <v>0</v>
      </c>
      <c r="K30" s="6">
        <v>24</v>
      </c>
      <c r="L30" s="5">
        <v>0.36232438435154091</v>
      </c>
      <c r="M30" s="5">
        <v>0.13450852823128104</v>
      </c>
      <c r="N30" s="6">
        <v>0</v>
      </c>
      <c r="O30" s="6">
        <v>1</v>
      </c>
      <c r="P30" s="6">
        <v>14</v>
      </c>
      <c r="Q30" s="5">
        <v>0.29800380002784249</v>
      </c>
      <c r="R30" s="5">
        <v>0.12704700893003845</v>
      </c>
      <c r="S30" s="6">
        <v>0</v>
      </c>
      <c r="T30" s="6">
        <v>1</v>
      </c>
      <c r="U30" s="6">
        <v>15</v>
      </c>
      <c r="V30" s="5">
        <v>0</v>
      </c>
      <c r="W30" s="5">
        <v>0</v>
      </c>
      <c r="X30" s="6" t="s">
        <v>18</v>
      </c>
      <c r="Y30" s="6" t="s">
        <v>18</v>
      </c>
      <c r="Z30" s="6">
        <v>0</v>
      </c>
      <c r="AA30" s="5">
        <v>0.18750368887661095</v>
      </c>
      <c r="AB30" s="5">
        <v>5.7147662247709508E-2</v>
      </c>
      <c r="AC30" s="6">
        <v>0</v>
      </c>
      <c r="AD30" s="6">
        <v>1</v>
      </c>
      <c r="AE30" s="6">
        <v>70</v>
      </c>
    </row>
    <row r="31" spans="1:32" x14ac:dyDescent="0.45">
      <c r="A31" s="4" t="s">
        <v>29</v>
      </c>
      <c r="B31" s="5">
        <v>0.12954173712755854</v>
      </c>
      <c r="C31" s="5">
        <v>6.3910267101769724E-2</v>
      </c>
      <c r="D31" s="6">
        <v>0</v>
      </c>
      <c r="E31" s="6">
        <v>1</v>
      </c>
      <c r="F31" s="6">
        <v>26</v>
      </c>
      <c r="G31" s="5">
        <v>0.2059046923364751</v>
      </c>
      <c r="H31" s="5">
        <v>7.1069928295770399E-2</v>
      </c>
      <c r="I31" s="6">
        <v>0</v>
      </c>
      <c r="J31" s="6">
        <v>1</v>
      </c>
      <c r="K31" s="6">
        <v>33</v>
      </c>
      <c r="L31" s="5">
        <v>0.44857976513369924</v>
      </c>
      <c r="M31" s="5">
        <v>9.6339848856038829E-2</v>
      </c>
      <c r="N31" s="6">
        <v>0</v>
      </c>
      <c r="O31" s="6">
        <v>1</v>
      </c>
      <c r="P31" s="6">
        <v>28</v>
      </c>
      <c r="Q31" s="5">
        <v>0.80939200385435794</v>
      </c>
      <c r="R31" s="5">
        <v>8.8034169389183153E-2</v>
      </c>
      <c r="S31" s="6">
        <v>0</v>
      </c>
      <c r="T31" s="6">
        <v>1</v>
      </c>
      <c r="U31" s="6">
        <v>21</v>
      </c>
      <c r="V31" s="5">
        <v>0.59013317859712655</v>
      </c>
      <c r="W31" s="5">
        <v>0.1422887170609832</v>
      </c>
      <c r="X31" s="6">
        <v>0</v>
      </c>
      <c r="Y31" s="6">
        <v>1</v>
      </c>
      <c r="Z31" s="6">
        <v>14</v>
      </c>
      <c r="AA31" s="5">
        <v>0.41284878808353792</v>
      </c>
      <c r="AB31" s="5">
        <v>5.2774820977984756E-2</v>
      </c>
      <c r="AC31" s="6">
        <v>0</v>
      </c>
      <c r="AD31" s="6">
        <v>1</v>
      </c>
      <c r="AE31" s="6">
        <v>122</v>
      </c>
      <c r="AF31">
        <f>(AA33/AA32)-AA31</f>
        <v>-3.2518204954772534E-2</v>
      </c>
    </row>
    <row r="32" spans="1:32" x14ac:dyDescent="0.45">
      <c r="A32" s="4" t="s">
        <v>14</v>
      </c>
      <c r="B32" s="5">
        <v>0.95593889001302101</v>
      </c>
      <c r="C32" s="5">
        <v>4.3853438100992057E-2</v>
      </c>
      <c r="D32" s="6">
        <v>0</v>
      </c>
      <c r="E32" s="6">
        <v>1</v>
      </c>
      <c r="F32" s="6">
        <v>26</v>
      </c>
      <c r="G32" s="5">
        <v>0.75555020098370718</v>
      </c>
      <c r="H32" s="5">
        <v>7.6639651307882639E-2</v>
      </c>
      <c r="I32" s="6">
        <v>0</v>
      </c>
      <c r="J32" s="6">
        <v>1</v>
      </c>
      <c r="K32" s="6">
        <v>33</v>
      </c>
      <c r="L32" s="5">
        <v>0.71229925102938108</v>
      </c>
      <c r="M32" s="5">
        <v>8.7861758305976312E-2</v>
      </c>
      <c r="N32" s="6">
        <v>0</v>
      </c>
      <c r="O32" s="6">
        <v>1</v>
      </c>
      <c r="P32" s="6">
        <v>28</v>
      </c>
      <c r="Q32" s="5">
        <v>0.90780412100827212</v>
      </c>
      <c r="R32" s="5">
        <v>6.377044877617917E-2</v>
      </c>
      <c r="S32" s="6">
        <v>0</v>
      </c>
      <c r="T32" s="6">
        <v>1</v>
      </c>
      <c r="U32" s="6">
        <v>21</v>
      </c>
      <c r="V32" s="5">
        <v>0.92686327810773295</v>
      </c>
      <c r="W32" s="5">
        <v>7.3261369808220761E-2</v>
      </c>
      <c r="X32" s="6">
        <v>0</v>
      </c>
      <c r="Y32" s="6">
        <v>1</v>
      </c>
      <c r="Z32" s="6">
        <v>14</v>
      </c>
      <c r="AA32" s="5">
        <v>0.78045574053202593</v>
      </c>
      <c r="AB32" s="5">
        <v>4.6037945365929415E-2</v>
      </c>
      <c r="AC32" s="6">
        <v>0</v>
      </c>
      <c r="AD32" s="6">
        <v>1</v>
      </c>
      <c r="AE32" s="6">
        <v>122</v>
      </c>
      <c r="AF32">
        <f>(AA33/AA31)-AA32</f>
        <v>-6.1472918078698258E-2</v>
      </c>
    </row>
    <row r="33" spans="1:32" ht="26.25" x14ac:dyDescent="0.45">
      <c r="A33" s="4" t="s">
        <v>30</v>
      </c>
      <c r="B33" s="5">
        <v>0.12954173712755854</v>
      </c>
      <c r="C33" s="5">
        <v>6.3910267101769724E-2</v>
      </c>
      <c r="D33" s="6">
        <v>0</v>
      </c>
      <c r="E33" s="6">
        <v>1</v>
      </c>
      <c r="F33" s="6">
        <v>26</v>
      </c>
      <c r="G33" s="5">
        <v>9.0613131974330463E-2</v>
      </c>
      <c r="H33" s="5">
        <v>5.0896048251295282E-2</v>
      </c>
      <c r="I33" s="6">
        <v>0</v>
      </c>
      <c r="J33" s="6">
        <v>1</v>
      </c>
      <c r="K33" s="6">
        <v>33</v>
      </c>
      <c r="L33" s="5">
        <v>0.30084854761456425</v>
      </c>
      <c r="M33" s="5">
        <v>8.7502890493420679E-2</v>
      </c>
      <c r="N33" s="6">
        <v>0</v>
      </c>
      <c r="O33" s="6">
        <v>1</v>
      </c>
      <c r="P33" s="6">
        <v>28</v>
      </c>
      <c r="Q33" s="5">
        <v>0.71719612486263018</v>
      </c>
      <c r="R33" s="5">
        <v>0.10057428095994984</v>
      </c>
      <c r="S33" s="6">
        <v>0</v>
      </c>
      <c r="T33" s="6">
        <v>1</v>
      </c>
      <c r="U33" s="6">
        <v>21</v>
      </c>
      <c r="V33" s="5">
        <v>0.5169964567048595</v>
      </c>
      <c r="W33" s="5">
        <v>0.14474802935886616</v>
      </c>
      <c r="X33" s="6">
        <v>0</v>
      </c>
      <c r="Y33" s="6">
        <v>1</v>
      </c>
      <c r="Z33" s="6">
        <v>14</v>
      </c>
      <c r="AA33" s="5">
        <v>0.29683118690273785</v>
      </c>
      <c r="AB33" s="5">
        <v>4.8433747776638343E-2</v>
      </c>
      <c r="AC33" s="6">
        <v>0</v>
      </c>
      <c r="AD33" s="6">
        <v>1</v>
      </c>
      <c r="AE33" s="6">
        <v>122</v>
      </c>
    </row>
    <row r="34" spans="1:32" x14ac:dyDescent="0.45">
      <c r="A34" s="4" t="s">
        <v>29</v>
      </c>
      <c r="B34" s="5">
        <v>0.10823214766429314</v>
      </c>
      <c r="C34" s="5">
        <v>6.228777998684884E-2</v>
      </c>
      <c r="D34" s="6">
        <v>0</v>
      </c>
      <c r="E34" s="6">
        <v>1</v>
      </c>
      <c r="F34" s="6">
        <v>20</v>
      </c>
      <c r="G34" s="5">
        <v>0.26950607480504801</v>
      </c>
      <c r="H34" s="5">
        <v>0.10719992048157802</v>
      </c>
      <c r="I34" s="6">
        <v>0</v>
      </c>
      <c r="J34" s="6">
        <v>1</v>
      </c>
      <c r="K34" s="6">
        <v>18</v>
      </c>
      <c r="L34" s="5">
        <v>0.52500209638464834</v>
      </c>
      <c r="M34" s="5">
        <v>0.12623267055147758</v>
      </c>
      <c r="N34" s="6">
        <v>0</v>
      </c>
      <c r="O34" s="6">
        <v>1</v>
      </c>
      <c r="P34" s="6">
        <v>17</v>
      </c>
      <c r="Q34" s="5">
        <v>0.88449257177248619</v>
      </c>
      <c r="R34" s="5">
        <v>7.9040979559274388E-2</v>
      </c>
      <c r="S34" s="6">
        <v>0</v>
      </c>
      <c r="T34" s="6">
        <v>1</v>
      </c>
      <c r="U34" s="6">
        <v>18</v>
      </c>
      <c r="V34" s="5">
        <v>0.68879049537348902</v>
      </c>
      <c r="W34" s="5">
        <v>0.10367275111867534</v>
      </c>
      <c r="X34" s="6">
        <v>0</v>
      </c>
      <c r="Y34" s="6">
        <v>1</v>
      </c>
      <c r="Z34" s="6">
        <v>24</v>
      </c>
      <c r="AA34" s="5">
        <v>0.50736014216718484</v>
      </c>
      <c r="AB34" s="5">
        <v>6.5517891664518504E-2</v>
      </c>
      <c r="AC34" s="6">
        <v>0</v>
      </c>
      <c r="AD34" s="6">
        <v>1</v>
      </c>
      <c r="AE34" s="6">
        <v>97</v>
      </c>
      <c r="AF34">
        <f>(AA36/AA35)-AA34</f>
        <v>0.16703559392333522</v>
      </c>
    </row>
    <row r="35" spans="1:32" ht="26.25" x14ac:dyDescent="0.45">
      <c r="A35" s="4" t="s">
        <v>16</v>
      </c>
      <c r="B35" s="5">
        <v>7.1336325400897155E-2</v>
      </c>
      <c r="C35" s="5">
        <v>5.7882821602989527E-2</v>
      </c>
      <c r="D35" s="6">
        <v>0</v>
      </c>
      <c r="E35" s="6">
        <v>1</v>
      </c>
      <c r="F35" s="6">
        <v>20</v>
      </c>
      <c r="G35" s="5">
        <v>0</v>
      </c>
      <c r="H35" s="5">
        <v>0</v>
      </c>
      <c r="I35" s="6">
        <v>0</v>
      </c>
      <c r="J35" s="6">
        <v>0</v>
      </c>
      <c r="K35" s="6">
        <v>18</v>
      </c>
      <c r="L35" s="5">
        <v>0</v>
      </c>
      <c r="M35" s="5">
        <v>0</v>
      </c>
      <c r="N35" s="6">
        <v>0</v>
      </c>
      <c r="O35" s="6">
        <v>0</v>
      </c>
      <c r="P35" s="6">
        <v>17</v>
      </c>
      <c r="Q35" s="5">
        <v>5.3704560725707499E-2</v>
      </c>
      <c r="R35" s="5">
        <v>5.381837036729397E-2</v>
      </c>
      <c r="S35" s="6">
        <v>0</v>
      </c>
      <c r="T35" s="6">
        <v>1</v>
      </c>
      <c r="U35" s="6">
        <v>18</v>
      </c>
      <c r="V35" s="5">
        <v>4.4080581985216215E-2</v>
      </c>
      <c r="W35" s="5">
        <v>3.5713430966659132E-2</v>
      </c>
      <c r="X35" s="6">
        <v>0</v>
      </c>
      <c r="Y35" s="6">
        <v>1</v>
      </c>
      <c r="Z35" s="6">
        <v>24</v>
      </c>
      <c r="AA35" s="5">
        <v>1.9667107846281076E-2</v>
      </c>
      <c r="AB35" s="5">
        <v>1.4036645852359473E-2</v>
      </c>
      <c r="AC35" s="6">
        <v>0</v>
      </c>
      <c r="AD35" s="6">
        <v>1</v>
      </c>
      <c r="AE35" s="6">
        <v>97</v>
      </c>
      <c r="AF35">
        <f>(AA36/AA34)-AA35</f>
        <v>6.4749016858627016E-3</v>
      </c>
    </row>
    <row r="36" spans="1:32" ht="26.25" x14ac:dyDescent="0.45">
      <c r="A36" s="4" t="s">
        <v>31</v>
      </c>
      <c r="B36" s="5">
        <v>0</v>
      </c>
      <c r="C36" s="5">
        <v>0</v>
      </c>
      <c r="D36" s="6">
        <v>0</v>
      </c>
      <c r="E36" s="6">
        <v>0</v>
      </c>
      <c r="F36" s="6">
        <v>20</v>
      </c>
      <c r="G36" s="5">
        <v>0</v>
      </c>
      <c r="H36" s="5">
        <v>0</v>
      </c>
      <c r="I36" s="6">
        <v>0</v>
      </c>
      <c r="J36" s="6">
        <v>0</v>
      </c>
      <c r="K36" s="6">
        <v>18</v>
      </c>
      <c r="L36" s="5">
        <v>0</v>
      </c>
      <c r="M36" s="5">
        <v>0</v>
      </c>
      <c r="N36" s="6">
        <v>0</v>
      </c>
      <c r="O36" s="6">
        <v>0</v>
      </c>
      <c r="P36" s="6">
        <v>17</v>
      </c>
      <c r="Q36" s="5">
        <v>5.3704560725707499E-2</v>
      </c>
      <c r="R36" s="5">
        <v>5.381837036729397E-2</v>
      </c>
      <c r="S36" s="6">
        <v>0</v>
      </c>
      <c r="T36" s="6">
        <v>1</v>
      </c>
      <c r="U36" s="6">
        <v>18</v>
      </c>
      <c r="V36" s="5">
        <v>3.3636984564971134E-2</v>
      </c>
      <c r="W36" s="5">
        <v>3.4008827013685655E-2</v>
      </c>
      <c r="X36" s="6">
        <v>0</v>
      </c>
      <c r="Y36" s="6">
        <v>1</v>
      </c>
      <c r="Z36" s="6">
        <v>24</v>
      </c>
      <c r="AA36" s="5">
        <v>1.3263413672764368E-2</v>
      </c>
      <c r="AB36" s="5">
        <v>1.3025584859409514E-2</v>
      </c>
      <c r="AC36" s="6">
        <v>0</v>
      </c>
      <c r="AD36" s="6">
        <v>1</v>
      </c>
      <c r="AE36" s="6">
        <v>97</v>
      </c>
    </row>
    <row r="37" spans="1:32" x14ac:dyDescent="0.45">
      <c r="A37" s="4" t="s">
        <v>29</v>
      </c>
      <c r="B37" s="5">
        <v>0.17119283836726606</v>
      </c>
      <c r="C37" s="5">
        <v>9.4592199968744281E-2</v>
      </c>
      <c r="D37" s="6">
        <v>0</v>
      </c>
      <c r="E37" s="6">
        <v>1</v>
      </c>
      <c r="F37" s="6">
        <v>17</v>
      </c>
      <c r="G37" s="5">
        <v>0</v>
      </c>
      <c r="H37" s="5">
        <v>0</v>
      </c>
      <c r="I37" s="6">
        <v>0</v>
      </c>
      <c r="J37" s="6">
        <v>0</v>
      </c>
      <c r="K37" s="6">
        <v>24</v>
      </c>
      <c r="L37" s="5">
        <v>0.13587914573558146</v>
      </c>
      <c r="M37" s="5">
        <v>9.3171266494545935E-2</v>
      </c>
      <c r="N37" s="6">
        <v>0</v>
      </c>
      <c r="O37" s="6">
        <v>1</v>
      </c>
      <c r="P37" s="6">
        <v>14</v>
      </c>
      <c r="Q37" s="5">
        <v>0.43956190287041169</v>
      </c>
      <c r="R37" s="5">
        <v>0.13322611039575386</v>
      </c>
      <c r="S37" s="6">
        <v>0</v>
      </c>
      <c r="T37" s="6">
        <v>1</v>
      </c>
      <c r="U37" s="6">
        <v>15</v>
      </c>
      <c r="V37" s="5">
        <v>0</v>
      </c>
      <c r="W37" s="5">
        <v>0</v>
      </c>
      <c r="X37" s="6" t="s">
        <v>18</v>
      </c>
      <c r="Y37" s="6" t="s">
        <v>18</v>
      </c>
      <c r="Z37" s="6">
        <v>0</v>
      </c>
      <c r="AA37" s="5">
        <v>0.15113622217586173</v>
      </c>
      <c r="AB37" s="5">
        <v>4.5910450780351005E-2</v>
      </c>
      <c r="AC37" s="6">
        <v>0</v>
      </c>
      <c r="AD37" s="6">
        <v>1</v>
      </c>
      <c r="AE37" s="6">
        <v>70</v>
      </c>
      <c r="AF37">
        <f>(AA39/AA38)-AA37</f>
        <v>5.1876691268390729E-3</v>
      </c>
    </row>
    <row r="38" spans="1:32" x14ac:dyDescent="0.45">
      <c r="A38" s="4" t="s">
        <v>19</v>
      </c>
      <c r="B38" s="5">
        <v>0</v>
      </c>
      <c r="C38" s="5">
        <v>0</v>
      </c>
      <c r="D38" s="6">
        <v>0</v>
      </c>
      <c r="E38" s="6">
        <v>0</v>
      </c>
      <c r="F38" s="6">
        <v>17</v>
      </c>
      <c r="G38" s="5">
        <v>0</v>
      </c>
      <c r="H38" s="5">
        <v>0</v>
      </c>
      <c r="I38" s="6">
        <v>0</v>
      </c>
      <c r="J38" s="6">
        <v>0</v>
      </c>
      <c r="K38" s="6">
        <v>24</v>
      </c>
      <c r="L38" s="5">
        <v>0.71055262583859791</v>
      </c>
      <c r="M38" s="5">
        <v>0.12715279466668242</v>
      </c>
      <c r="N38" s="6">
        <v>0</v>
      </c>
      <c r="O38" s="6">
        <v>1</v>
      </c>
      <c r="P38" s="6">
        <v>14</v>
      </c>
      <c r="Q38" s="5">
        <v>0.42574184698500656</v>
      </c>
      <c r="R38" s="5">
        <v>0.13436805480856345</v>
      </c>
      <c r="S38" s="6">
        <v>0</v>
      </c>
      <c r="T38" s="6">
        <v>1</v>
      </c>
      <c r="U38" s="6">
        <v>15</v>
      </c>
      <c r="V38" s="5">
        <v>0</v>
      </c>
      <c r="W38" s="5">
        <v>0</v>
      </c>
      <c r="X38" s="6" t="s">
        <v>18</v>
      </c>
      <c r="Y38" s="6" t="s">
        <v>18</v>
      </c>
      <c r="Z38" s="6">
        <v>0</v>
      </c>
      <c r="AA38" s="5">
        <v>0.33457906090797312</v>
      </c>
      <c r="AB38" s="5">
        <v>6.7173486802417734E-2</v>
      </c>
      <c r="AC38" s="6">
        <v>0</v>
      </c>
      <c r="AD38" s="6">
        <v>1</v>
      </c>
      <c r="AE38" s="6">
        <v>70</v>
      </c>
      <c r="AF38">
        <f>(AA39/AA37)-AA38</f>
        <v>1.14842454030607E-2</v>
      </c>
    </row>
    <row r="39" spans="1:32" ht="26.25" x14ac:dyDescent="0.45">
      <c r="A39" s="4" t="s">
        <v>32</v>
      </c>
      <c r="B39" s="5">
        <v>0</v>
      </c>
      <c r="C39" s="5">
        <v>0</v>
      </c>
      <c r="D39" s="6">
        <v>0</v>
      </c>
      <c r="E39" s="6">
        <v>0</v>
      </c>
      <c r="F39" s="6">
        <v>17</v>
      </c>
      <c r="G39" s="5">
        <v>0</v>
      </c>
      <c r="H39" s="5">
        <v>0</v>
      </c>
      <c r="I39" s="6">
        <v>0</v>
      </c>
      <c r="J39" s="6">
        <v>0</v>
      </c>
      <c r="K39" s="6">
        <v>24</v>
      </c>
      <c r="L39" s="5">
        <v>6.6300141791558645E-2</v>
      </c>
      <c r="M39" s="5">
        <v>6.6694714570602331E-2</v>
      </c>
      <c r="N39" s="6">
        <v>0</v>
      </c>
      <c r="O39" s="6">
        <v>1</v>
      </c>
      <c r="P39" s="6">
        <v>14</v>
      </c>
      <c r="Q39" s="5">
        <v>0.14069273851654324</v>
      </c>
      <c r="R39" s="5">
        <v>9.5505991707790852E-2</v>
      </c>
      <c r="S39" s="6">
        <v>0</v>
      </c>
      <c r="T39" s="6">
        <v>1</v>
      </c>
      <c r="U39" s="6">
        <v>15</v>
      </c>
      <c r="V39" s="5">
        <v>0</v>
      </c>
      <c r="W39" s="5">
        <v>0</v>
      </c>
      <c r="X39" s="6" t="s">
        <v>18</v>
      </c>
      <c r="Y39" s="6" t="s">
        <v>18</v>
      </c>
      <c r="Z39" s="6">
        <v>0</v>
      </c>
      <c r="AA39" s="5">
        <v>5.2302700749537703E-2</v>
      </c>
      <c r="AB39" s="5">
        <v>3.036103887053326E-2</v>
      </c>
      <c r="AC39" s="6">
        <v>0</v>
      </c>
      <c r="AD39" s="6">
        <v>1</v>
      </c>
      <c r="AE39" s="6">
        <v>70</v>
      </c>
    </row>
    <row r="40" spans="1:32" x14ac:dyDescent="0.45">
      <c r="A40" s="4" t="s">
        <v>33</v>
      </c>
      <c r="B40" s="5">
        <v>4.7822385344560688E-2</v>
      </c>
      <c r="C40" s="5">
        <v>3.821607833765827E-2</v>
      </c>
      <c r="D40" s="6">
        <v>0</v>
      </c>
      <c r="E40" s="6">
        <v>1</v>
      </c>
      <c r="F40" s="6">
        <v>26</v>
      </c>
      <c r="G40" s="5">
        <v>0.21393051697954379</v>
      </c>
      <c r="H40" s="5">
        <v>7.3441182883204614E-2</v>
      </c>
      <c r="I40" s="6">
        <v>0</v>
      </c>
      <c r="J40" s="6">
        <v>1</v>
      </c>
      <c r="K40" s="6">
        <v>33</v>
      </c>
      <c r="L40" s="5">
        <v>0.1771232011752551</v>
      </c>
      <c r="M40" s="5">
        <v>7.3483011840541318E-2</v>
      </c>
      <c r="N40" s="6">
        <v>0</v>
      </c>
      <c r="O40" s="6">
        <v>1</v>
      </c>
      <c r="P40" s="6">
        <v>28</v>
      </c>
      <c r="Q40" s="5">
        <v>0.19267067745823926</v>
      </c>
      <c r="R40" s="5">
        <v>8.8802143332452649E-2</v>
      </c>
      <c r="S40" s="6">
        <v>0</v>
      </c>
      <c r="T40" s="6">
        <v>1</v>
      </c>
      <c r="U40" s="6">
        <v>21</v>
      </c>
      <c r="V40" s="5">
        <v>0.18335858072001424</v>
      </c>
      <c r="W40" s="5">
        <v>0.10258030989642833</v>
      </c>
      <c r="X40" s="6">
        <v>0</v>
      </c>
      <c r="Y40" s="6">
        <v>1</v>
      </c>
      <c r="Z40" s="6">
        <v>14</v>
      </c>
      <c r="AA40" s="5">
        <v>0.18220191122442286</v>
      </c>
      <c r="AB40" s="5">
        <v>4.168445256058198E-2</v>
      </c>
      <c r="AC40" s="6">
        <v>0</v>
      </c>
      <c r="AD40" s="6">
        <v>1</v>
      </c>
      <c r="AE40" s="6">
        <v>122</v>
      </c>
      <c r="AF40">
        <f>(AA42/AA41)-AA40</f>
        <v>-4.4154486659174763E-3</v>
      </c>
    </row>
    <row r="41" spans="1:32" x14ac:dyDescent="0.45">
      <c r="A41" s="4" t="s">
        <v>14</v>
      </c>
      <c r="B41" s="5">
        <v>0.95593889001302101</v>
      </c>
      <c r="C41" s="5">
        <v>4.3853438100992057E-2</v>
      </c>
      <c r="D41" s="6">
        <v>0</v>
      </c>
      <c r="E41" s="6">
        <v>1</v>
      </c>
      <c r="F41" s="6">
        <v>26</v>
      </c>
      <c r="G41" s="5">
        <v>0.75555020098370718</v>
      </c>
      <c r="H41" s="5">
        <v>7.6639651307882639E-2</v>
      </c>
      <c r="I41" s="6">
        <v>0</v>
      </c>
      <c r="J41" s="6">
        <v>1</v>
      </c>
      <c r="K41" s="6">
        <v>33</v>
      </c>
      <c r="L41" s="5">
        <v>0.71229925102938108</v>
      </c>
      <c r="M41" s="5">
        <v>8.7861758305976312E-2</v>
      </c>
      <c r="N41" s="6">
        <v>0</v>
      </c>
      <c r="O41" s="6">
        <v>1</v>
      </c>
      <c r="P41" s="6">
        <v>28</v>
      </c>
      <c r="Q41" s="5">
        <v>0.90780412100827212</v>
      </c>
      <c r="R41" s="5">
        <v>6.377044877617917E-2</v>
      </c>
      <c r="S41" s="6">
        <v>0</v>
      </c>
      <c r="T41" s="6">
        <v>1</v>
      </c>
      <c r="U41" s="6">
        <v>21</v>
      </c>
      <c r="V41" s="5">
        <v>0.92686327810773295</v>
      </c>
      <c r="W41" s="5">
        <v>7.3261369808220761E-2</v>
      </c>
      <c r="X41" s="6">
        <v>0</v>
      </c>
      <c r="Y41" s="6">
        <v>1</v>
      </c>
      <c r="Z41" s="6">
        <v>14</v>
      </c>
      <c r="AA41" s="5">
        <v>0.78045574053202593</v>
      </c>
      <c r="AB41" s="5">
        <v>4.6037945365929415E-2</v>
      </c>
      <c r="AC41" s="6">
        <v>0</v>
      </c>
      <c r="AD41" s="6">
        <v>1</v>
      </c>
      <c r="AE41" s="6">
        <v>122</v>
      </c>
      <c r="AF41">
        <f>(AA42/AA40)-AA41</f>
        <v>-1.8913425414594842E-2</v>
      </c>
    </row>
    <row r="42" spans="1:32" ht="26.25" x14ac:dyDescent="0.45">
      <c r="A42" s="4" t="s">
        <v>34</v>
      </c>
      <c r="B42" s="5">
        <v>4.7822385344560688E-2</v>
      </c>
      <c r="C42" s="5">
        <v>3.821607833765827E-2</v>
      </c>
      <c r="D42" s="6">
        <v>0</v>
      </c>
      <c r="E42" s="6">
        <v>1</v>
      </c>
      <c r="F42" s="6">
        <v>26</v>
      </c>
      <c r="G42" s="5">
        <v>0.15268286833989389</v>
      </c>
      <c r="H42" s="5">
        <v>6.4697228096150333E-2</v>
      </c>
      <c r="I42" s="6">
        <v>0</v>
      </c>
      <c r="J42" s="6">
        <v>1</v>
      </c>
      <c r="K42" s="6">
        <v>33</v>
      </c>
      <c r="L42" s="5">
        <v>0.14057949833195615</v>
      </c>
      <c r="M42" s="5">
        <v>6.6654723317525782E-2</v>
      </c>
      <c r="N42" s="6">
        <v>0</v>
      </c>
      <c r="O42" s="6">
        <v>1</v>
      </c>
      <c r="P42" s="6">
        <v>28</v>
      </c>
      <c r="Q42" s="5">
        <v>0.14642059954819758</v>
      </c>
      <c r="R42" s="5">
        <v>8.0099530186742152E-2</v>
      </c>
      <c r="S42" s="6">
        <v>0</v>
      </c>
      <c r="T42" s="6">
        <v>1</v>
      </c>
      <c r="U42" s="6">
        <v>21</v>
      </c>
      <c r="V42" s="5">
        <v>0.18335858072001424</v>
      </c>
      <c r="W42" s="5">
        <v>0.10258030989642833</v>
      </c>
      <c r="X42" s="6">
        <v>0</v>
      </c>
      <c r="Y42" s="6">
        <v>1</v>
      </c>
      <c r="Z42" s="6">
        <v>14</v>
      </c>
      <c r="AA42" s="5">
        <v>0.13875446529266763</v>
      </c>
      <c r="AB42" s="5">
        <v>3.7400715334761976E-2</v>
      </c>
      <c r="AC42" s="6">
        <v>0</v>
      </c>
      <c r="AD42" s="6">
        <v>1</v>
      </c>
      <c r="AE42" s="6">
        <v>122</v>
      </c>
    </row>
    <row r="43" spans="1:32" x14ac:dyDescent="0.45">
      <c r="A43" s="4" t="s">
        <v>33</v>
      </c>
      <c r="B43" s="5">
        <v>9.9563020424672535E-2</v>
      </c>
      <c r="C43" s="5">
        <v>6.1659383326809557E-2</v>
      </c>
      <c r="D43" s="6">
        <v>0</v>
      </c>
      <c r="E43" s="6">
        <v>1</v>
      </c>
      <c r="F43" s="6">
        <v>20</v>
      </c>
      <c r="G43" s="5">
        <v>0.23991721632872728</v>
      </c>
      <c r="H43" s="5">
        <v>0.10696225865495013</v>
      </c>
      <c r="I43" s="6">
        <v>0</v>
      </c>
      <c r="J43" s="6">
        <v>1</v>
      </c>
      <c r="K43" s="6">
        <v>18</v>
      </c>
      <c r="L43" s="5">
        <v>0.17985476293807459</v>
      </c>
      <c r="M43" s="5">
        <v>9.7058718444181902E-2</v>
      </c>
      <c r="N43" s="6">
        <v>0</v>
      </c>
      <c r="O43" s="6">
        <v>1</v>
      </c>
      <c r="P43" s="6">
        <v>17</v>
      </c>
      <c r="Q43" s="5">
        <v>0.21378523190229029</v>
      </c>
      <c r="R43" s="5">
        <v>9.8177918164501055E-2</v>
      </c>
      <c r="S43" s="6">
        <v>0</v>
      </c>
      <c r="T43" s="6">
        <v>1</v>
      </c>
      <c r="U43" s="6">
        <v>18</v>
      </c>
      <c r="V43" s="5">
        <v>0.15547080476605643</v>
      </c>
      <c r="W43" s="5">
        <v>7.6353115994813606E-2</v>
      </c>
      <c r="X43" s="6">
        <v>0</v>
      </c>
      <c r="Y43" s="6">
        <v>1</v>
      </c>
      <c r="Z43" s="6">
        <v>24</v>
      </c>
      <c r="AA43" s="5">
        <v>0.19699848973989662</v>
      </c>
      <c r="AB43" s="5">
        <v>5.2555737985948661E-2</v>
      </c>
      <c r="AC43" s="6">
        <v>0</v>
      </c>
      <c r="AD43" s="6">
        <v>1</v>
      </c>
      <c r="AE43" s="6">
        <v>97</v>
      </c>
      <c r="AF43">
        <f>(AA45/AA44)-AA43</f>
        <v>-0.12921350787282515</v>
      </c>
    </row>
    <row r="44" spans="1:32" ht="26.25" x14ac:dyDescent="0.45">
      <c r="A44" s="4" t="s">
        <v>16</v>
      </c>
      <c r="B44" s="5">
        <v>7.1336325400897155E-2</v>
      </c>
      <c r="C44" s="5">
        <v>5.7882821602989527E-2</v>
      </c>
      <c r="D44" s="6">
        <v>0</v>
      </c>
      <c r="E44" s="6">
        <v>1</v>
      </c>
      <c r="F44" s="6">
        <v>20</v>
      </c>
      <c r="G44" s="5">
        <v>0</v>
      </c>
      <c r="H44" s="5">
        <v>0</v>
      </c>
      <c r="I44" s="6">
        <v>0</v>
      </c>
      <c r="J44" s="6">
        <v>0</v>
      </c>
      <c r="K44" s="6">
        <v>18</v>
      </c>
      <c r="L44" s="5">
        <v>0</v>
      </c>
      <c r="M44" s="5">
        <v>0</v>
      </c>
      <c r="N44" s="6">
        <v>0</v>
      </c>
      <c r="O44" s="6">
        <v>0</v>
      </c>
      <c r="P44" s="6">
        <v>17</v>
      </c>
      <c r="Q44" s="5">
        <v>5.3704560725707499E-2</v>
      </c>
      <c r="R44" s="5">
        <v>5.381837036729397E-2</v>
      </c>
      <c r="S44" s="6">
        <v>0</v>
      </c>
      <c r="T44" s="6">
        <v>1</v>
      </c>
      <c r="U44" s="6">
        <v>18</v>
      </c>
      <c r="V44" s="5">
        <v>4.4080581985216215E-2</v>
      </c>
      <c r="W44" s="5">
        <v>3.5713430966659132E-2</v>
      </c>
      <c r="X44" s="6">
        <v>0</v>
      </c>
      <c r="Y44" s="6">
        <v>1</v>
      </c>
      <c r="Z44" s="6">
        <v>24</v>
      </c>
      <c r="AA44" s="5">
        <v>1.9667107846281076E-2</v>
      </c>
      <c r="AB44" s="5">
        <v>1.4036645852359473E-2</v>
      </c>
      <c r="AC44" s="6">
        <v>0</v>
      </c>
      <c r="AD44" s="6">
        <v>1</v>
      </c>
      <c r="AE44" s="6">
        <v>97</v>
      </c>
      <c r="AF44">
        <f>(AA45/AA43)-AA44</f>
        <v>-1.2899875516235898E-2</v>
      </c>
    </row>
    <row r="45" spans="1:32" ht="39.4" x14ac:dyDescent="0.45">
      <c r="A45" s="4" t="s">
        <v>35</v>
      </c>
      <c r="B45" s="5">
        <v>1.5032946854462425E-2</v>
      </c>
      <c r="C45" s="5">
        <v>1.5601816467078549E-2</v>
      </c>
      <c r="D45" s="6">
        <v>0</v>
      </c>
      <c r="E45" s="6">
        <v>1</v>
      </c>
      <c r="F45" s="6">
        <v>20</v>
      </c>
      <c r="G45" s="5">
        <v>0</v>
      </c>
      <c r="H45" s="5">
        <v>0</v>
      </c>
      <c r="I45" s="6">
        <v>0</v>
      </c>
      <c r="J45" s="6">
        <v>0</v>
      </c>
      <c r="K45" s="6">
        <v>18</v>
      </c>
      <c r="L45" s="5">
        <v>0</v>
      </c>
      <c r="M45" s="5">
        <v>0</v>
      </c>
      <c r="N45" s="6">
        <v>0</v>
      </c>
      <c r="O45" s="6">
        <v>0</v>
      </c>
      <c r="P45" s="6">
        <v>17</v>
      </c>
      <c r="Q45" s="5">
        <v>0</v>
      </c>
      <c r="R45" s="5">
        <v>0</v>
      </c>
      <c r="S45" s="6">
        <v>0</v>
      </c>
      <c r="T45" s="6">
        <v>0</v>
      </c>
      <c r="U45" s="6">
        <v>18</v>
      </c>
      <c r="V45" s="5">
        <v>0</v>
      </c>
      <c r="W45" s="5">
        <v>0</v>
      </c>
      <c r="X45" s="6">
        <v>0</v>
      </c>
      <c r="Y45" s="6">
        <v>0</v>
      </c>
      <c r="Z45" s="6">
        <v>24</v>
      </c>
      <c r="AA45" s="5">
        <v>1.3331345487379018E-3</v>
      </c>
      <c r="AB45" s="5">
        <v>1.3496346553757005E-3</v>
      </c>
      <c r="AC45" s="6">
        <v>0</v>
      </c>
      <c r="AD45" s="6">
        <v>1</v>
      </c>
      <c r="AE45" s="6">
        <v>97</v>
      </c>
    </row>
    <row r="46" spans="1:32" x14ac:dyDescent="0.45">
      <c r="A46" s="4" t="s">
        <v>33</v>
      </c>
      <c r="B46" s="5">
        <v>0.12178514240736688</v>
      </c>
      <c r="C46" s="5">
        <v>8.3137511753758359E-2</v>
      </c>
      <c r="D46" s="6">
        <v>0</v>
      </c>
      <c r="E46" s="6">
        <v>1</v>
      </c>
      <c r="F46" s="6">
        <v>17</v>
      </c>
      <c r="G46" s="5">
        <v>0.1623055203568739</v>
      </c>
      <c r="H46" s="5">
        <v>7.7423365616118733E-2</v>
      </c>
      <c r="I46" s="6">
        <v>0</v>
      </c>
      <c r="J46" s="6">
        <v>1</v>
      </c>
      <c r="K46" s="6">
        <v>24</v>
      </c>
      <c r="L46" s="5">
        <v>0.19076399896594748</v>
      </c>
      <c r="M46" s="5">
        <v>0.10451238779146127</v>
      </c>
      <c r="N46" s="6">
        <v>0</v>
      </c>
      <c r="O46" s="6">
        <v>1</v>
      </c>
      <c r="P46" s="6">
        <v>14</v>
      </c>
      <c r="Q46" s="5">
        <v>7.4962435223427853E-2</v>
      </c>
      <c r="R46" s="5">
        <v>7.4346031970818197E-2</v>
      </c>
      <c r="S46" s="6">
        <v>0</v>
      </c>
      <c r="T46" s="6">
        <v>1</v>
      </c>
      <c r="U46" s="6">
        <v>15</v>
      </c>
      <c r="V46" s="5">
        <v>0</v>
      </c>
      <c r="W46" s="5">
        <v>0</v>
      </c>
      <c r="X46" s="6" t="s">
        <v>18</v>
      </c>
      <c r="Y46" s="6" t="s">
        <v>18</v>
      </c>
      <c r="Z46" s="6">
        <v>0</v>
      </c>
      <c r="AA46" s="5">
        <v>0.15097915137199625</v>
      </c>
      <c r="AB46" s="5">
        <v>4.813912173234354E-2</v>
      </c>
      <c r="AC46" s="6">
        <v>0</v>
      </c>
      <c r="AD46" s="6">
        <v>1</v>
      </c>
      <c r="AE46" s="6">
        <v>70</v>
      </c>
      <c r="AF46">
        <f>(AA48/AA47)-AA46</f>
        <v>-1.9481370150199573E-2</v>
      </c>
    </row>
    <row r="47" spans="1:32" x14ac:dyDescent="0.45">
      <c r="A47" s="4" t="s">
        <v>19</v>
      </c>
      <c r="B47" s="5">
        <v>0</v>
      </c>
      <c r="C47" s="5">
        <v>0</v>
      </c>
      <c r="D47" s="6">
        <v>0</v>
      </c>
      <c r="E47" s="6">
        <v>0</v>
      </c>
      <c r="F47" s="6">
        <v>17</v>
      </c>
      <c r="G47" s="5">
        <v>0</v>
      </c>
      <c r="H47" s="5">
        <v>0</v>
      </c>
      <c r="I47" s="6">
        <v>0</v>
      </c>
      <c r="J47" s="6">
        <v>0</v>
      </c>
      <c r="K47" s="6">
        <v>24</v>
      </c>
      <c r="L47" s="5">
        <v>0.71055262583859791</v>
      </c>
      <c r="M47" s="5">
        <v>0.12715279466668242</v>
      </c>
      <c r="N47" s="6">
        <v>0</v>
      </c>
      <c r="O47" s="6">
        <v>1</v>
      </c>
      <c r="P47" s="6">
        <v>14</v>
      </c>
      <c r="Q47" s="5">
        <v>0.42574184698500656</v>
      </c>
      <c r="R47" s="5">
        <v>0.13436805480856345</v>
      </c>
      <c r="S47" s="6">
        <v>0</v>
      </c>
      <c r="T47" s="6">
        <v>1</v>
      </c>
      <c r="U47" s="6">
        <v>15</v>
      </c>
      <c r="V47" s="5">
        <v>0</v>
      </c>
      <c r="W47" s="5">
        <v>0</v>
      </c>
      <c r="X47" s="6" t="s">
        <v>18</v>
      </c>
      <c r="Y47" s="6" t="s">
        <v>18</v>
      </c>
      <c r="Z47" s="6">
        <v>0</v>
      </c>
      <c r="AA47" s="5">
        <v>0.33457906090797312</v>
      </c>
      <c r="AB47" s="5">
        <v>6.7173486802417734E-2</v>
      </c>
      <c r="AC47" s="6">
        <v>0</v>
      </c>
      <c r="AD47" s="6">
        <v>1</v>
      </c>
      <c r="AE47" s="6">
        <v>70</v>
      </c>
      <c r="AF47">
        <f>(AA48/AA46)-AA47</f>
        <v>-4.317191129253739E-2</v>
      </c>
    </row>
    <row r="48" spans="1:32" ht="26.25" x14ac:dyDescent="0.45">
      <c r="A48" s="4" t="s">
        <v>36</v>
      </c>
      <c r="B48" s="5">
        <v>0</v>
      </c>
      <c r="C48" s="5">
        <v>0</v>
      </c>
      <c r="D48" s="6">
        <v>0</v>
      </c>
      <c r="E48" s="6">
        <v>0</v>
      </c>
      <c r="F48" s="6">
        <v>17</v>
      </c>
      <c r="G48" s="5">
        <v>0</v>
      </c>
      <c r="H48" s="5">
        <v>0</v>
      </c>
      <c r="I48" s="6">
        <v>0</v>
      </c>
      <c r="J48" s="6">
        <v>0</v>
      </c>
      <c r="K48" s="6">
        <v>24</v>
      </c>
      <c r="L48" s="5">
        <v>0.12724761312781641</v>
      </c>
      <c r="M48" s="5">
        <v>8.8170134072134823E-2</v>
      </c>
      <c r="N48" s="6">
        <v>0</v>
      </c>
      <c r="O48" s="6">
        <v>1</v>
      </c>
      <c r="P48" s="6">
        <v>14</v>
      </c>
      <c r="Q48" s="5">
        <v>0</v>
      </c>
      <c r="R48" s="5">
        <v>0</v>
      </c>
      <c r="S48" s="6">
        <v>0</v>
      </c>
      <c r="T48" s="6">
        <v>0</v>
      </c>
      <c r="U48" s="6">
        <v>15</v>
      </c>
      <c r="V48" s="5">
        <v>0</v>
      </c>
      <c r="W48" s="5">
        <v>0</v>
      </c>
      <c r="X48" s="6" t="s">
        <v>18</v>
      </c>
      <c r="Y48" s="6" t="s">
        <v>18</v>
      </c>
      <c r="Z48" s="6">
        <v>0</v>
      </c>
      <c r="AA48" s="5">
        <v>4.399640415267083E-2</v>
      </c>
      <c r="AB48" s="5">
        <v>3.0534408128580631E-2</v>
      </c>
      <c r="AC48" s="6">
        <v>0</v>
      </c>
      <c r="AD48" s="6">
        <v>1</v>
      </c>
      <c r="AE48" s="6">
        <v>70</v>
      </c>
    </row>
    <row r="49" spans="1:32" x14ac:dyDescent="0.45">
      <c r="A49" s="4" t="s">
        <v>37</v>
      </c>
      <c r="B49" s="5">
        <v>0.90828237395210276</v>
      </c>
      <c r="C49" s="5">
        <v>6.3061734174344145E-2</v>
      </c>
      <c r="D49" s="6">
        <v>0</v>
      </c>
      <c r="E49" s="6">
        <v>1</v>
      </c>
      <c r="F49" s="6">
        <v>26</v>
      </c>
      <c r="G49" s="5">
        <v>0.66558761724741677</v>
      </c>
      <c r="H49" s="5">
        <v>8.3843206714237797E-2</v>
      </c>
      <c r="I49" s="6">
        <v>0</v>
      </c>
      <c r="J49" s="6">
        <v>1</v>
      </c>
      <c r="K49" s="6">
        <v>33</v>
      </c>
      <c r="L49" s="5">
        <v>0.45080162383581796</v>
      </c>
      <c r="M49" s="5">
        <v>9.6518492577404566E-2</v>
      </c>
      <c r="N49" s="6">
        <v>0</v>
      </c>
      <c r="O49" s="6">
        <v>1</v>
      </c>
      <c r="P49" s="6">
        <v>28</v>
      </c>
      <c r="Q49" s="5">
        <v>0.61840833579191479</v>
      </c>
      <c r="R49" s="5">
        <v>0.10893072650643497</v>
      </c>
      <c r="S49" s="6">
        <v>0</v>
      </c>
      <c r="T49" s="6">
        <v>1</v>
      </c>
      <c r="U49" s="6">
        <v>21</v>
      </c>
      <c r="V49" s="5">
        <v>0.38361497470415723</v>
      </c>
      <c r="W49" s="5">
        <v>0.14060634781306883</v>
      </c>
      <c r="X49" s="6">
        <v>0</v>
      </c>
      <c r="Y49" s="6">
        <v>1</v>
      </c>
      <c r="Z49" s="6">
        <v>14</v>
      </c>
      <c r="AA49" s="5">
        <v>0.58422120805093025</v>
      </c>
      <c r="AB49" s="5">
        <v>5.3653628315184616E-2</v>
      </c>
      <c r="AC49" s="6">
        <v>0</v>
      </c>
      <c r="AD49" s="6">
        <v>1</v>
      </c>
      <c r="AE49" s="6">
        <v>122</v>
      </c>
      <c r="AF49">
        <f>(AA51/AA50)-AA49</f>
        <v>2.6236296885465471E-2</v>
      </c>
    </row>
    <row r="50" spans="1:32" x14ac:dyDescent="0.45">
      <c r="A50" s="4" t="s">
        <v>14</v>
      </c>
      <c r="B50" s="5">
        <v>0.95593889001302101</v>
      </c>
      <c r="C50" s="5">
        <v>4.3853438100992057E-2</v>
      </c>
      <c r="D50" s="6">
        <v>0</v>
      </c>
      <c r="E50" s="6">
        <v>1</v>
      </c>
      <c r="F50" s="6">
        <v>26</v>
      </c>
      <c r="G50" s="5">
        <v>0.75555020098370718</v>
      </c>
      <c r="H50" s="5">
        <v>7.6639651307882639E-2</v>
      </c>
      <c r="I50" s="6">
        <v>0</v>
      </c>
      <c r="J50" s="6">
        <v>1</v>
      </c>
      <c r="K50" s="6">
        <v>33</v>
      </c>
      <c r="L50" s="5">
        <v>0.71229925102938108</v>
      </c>
      <c r="M50" s="5">
        <v>8.7861758305976312E-2</v>
      </c>
      <c r="N50" s="6">
        <v>0</v>
      </c>
      <c r="O50" s="6">
        <v>1</v>
      </c>
      <c r="P50" s="6">
        <v>28</v>
      </c>
      <c r="Q50" s="5">
        <v>0.90780412100827212</v>
      </c>
      <c r="R50" s="5">
        <v>6.377044877617917E-2</v>
      </c>
      <c r="S50" s="6">
        <v>0</v>
      </c>
      <c r="T50" s="6">
        <v>1</v>
      </c>
      <c r="U50" s="6">
        <v>21</v>
      </c>
      <c r="V50" s="5">
        <v>0.92686327810773295</v>
      </c>
      <c r="W50" s="5">
        <v>7.3261369808220761E-2</v>
      </c>
      <c r="X50" s="6">
        <v>0</v>
      </c>
      <c r="Y50" s="6">
        <v>1</v>
      </c>
      <c r="Z50" s="6">
        <v>14</v>
      </c>
      <c r="AA50" s="5">
        <v>0.78045574053202593</v>
      </c>
      <c r="AB50" s="5">
        <v>4.6037945365929415E-2</v>
      </c>
      <c r="AC50" s="6">
        <v>0</v>
      </c>
      <c r="AD50" s="6">
        <v>1</v>
      </c>
      <c r="AE50" s="6">
        <v>122</v>
      </c>
      <c r="AF50">
        <f>(AA51/AA49)-AA50</f>
        <v>3.5048827793973225E-2</v>
      </c>
    </row>
    <row r="51" spans="1:32" ht="26.25" x14ac:dyDescent="0.45">
      <c r="A51" s="4" t="s">
        <v>38</v>
      </c>
      <c r="B51" s="5">
        <v>0.86422126396512378</v>
      </c>
      <c r="C51" s="5">
        <v>7.4028014181317381E-2</v>
      </c>
      <c r="D51" s="6">
        <v>0</v>
      </c>
      <c r="E51" s="6">
        <v>1</v>
      </c>
      <c r="F51" s="6">
        <v>26</v>
      </c>
      <c r="G51" s="5">
        <v>0.50764961245946461</v>
      </c>
      <c r="H51" s="5">
        <v>8.8870177880994522E-2</v>
      </c>
      <c r="I51" s="6">
        <v>0</v>
      </c>
      <c r="J51" s="6">
        <v>1</v>
      </c>
      <c r="K51" s="6">
        <v>33</v>
      </c>
      <c r="L51" s="5">
        <v>0.34282177073782044</v>
      </c>
      <c r="M51" s="5">
        <v>9.1728740878576243E-2</v>
      </c>
      <c r="N51" s="6">
        <v>0</v>
      </c>
      <c r="O51" s="6">
        <v>1</v>
      </c>
      <c r="P51" s="6">
        <v>28</v>
      </c>
      <c r="Q51" s="5">
        <v>0.57215825788187313</v>
      </c>
      <c r="R51" s="5">
        <v>0.11087101478549277</v>
      </c>
      <c r="S51" s="6">
        <v>0</v>
      </c>
      <c r="T51" s="6">
        <v>1</v>
      </c>
      <c r="U51" s="6">
        <v>21</v>
      </c>
      <c r="V51" s="5">
        <v>0.38361497470415723</v>
      </c>
      <c r="W51" s="5">
        <v>0.14060634781306883</v>
      </c>
      <c r="X51" s="6">
        <v>0</v>
      </c>
      <c r="Y51" s="6">
        <v>1</v>
      </c>
      <c r="Z51" s="6">
        <v>14</v>
      </c>
      <c r="AA51" s="5">
        <v>0.47643506407846764</v>
      </c>
      <c r="AB51" s="5">
        <v>5.3246278714318265E-2</v>
      </c>
      <c r="AC51" s="6">
        <v>0</v>
      </c>
      <c r="AD51" s="6">
        <v>1</v>
      </c>
      <c r="AE51" s="6">
        <v>122</v>
      </c>
    </row>
    <row r="52" spans="1:32" x14ac:dyDescent="0.45">
      <c r="A52" s="4" t="s">
        <v>37</v>
      </c>
      <c r="B52" s="5">
        <v>0.88041326194073255</v>
      </c>
      <c r="C52" s="5">
        <v>8.1294291577437644E-2</v>
      </c>
      <c r="D52" s="6">
        <v>0</v>
      </c>
      <c r="E52" s="6">
        <v>1</v>
      </c>
      <c r="F52" s="6">
        <v>20</v>
      </c>
      <c r="G52" s="5">
        <v>0.61242578091770905</v>
      </c>
      <c r="H52" s="5">
        <v>0.11869681038471887</v>
      </c>
      <c r="I52" s="6">
        <v>0</v>
      </c>
      <c r="J52" s="6">
        <v>1</v>
      </c>
      <c r="K52" s="6">
        <v>18</v>
      </c>
      <c r="L52" s="5">
        <v>0.31812253037907201</v>
      </c>
      <c r="M52" s="5">
        <v>0.11464243827560622</v>
      </c>
      <c r="N52" s="6">
        <v>0</v>
      </c>
      <c r="O52" s="6">
        <v>1</v>
      </c>
      <c r="P52" s="6">
        <v>17</v>
      </c>
      <c r="Q52" s="5">
        <v>0.65934264028440204</v>
      </c>
      <c r="R52" s="5">
        <v>0.1158875070198967</v>
      </c>
      <c r="S52" s="6">
        <v>0</v>
      </c>
      <c r="T52" s="6">
        <v>1</v>
      </c>
      <c r="U52" s="6">
        <v>18</v>
      </c>
      <c r="V52" s="5">
        <v>0.49590929695267305</v>
      </c>
      <c r="W52" s="5">
        <v>0.11068669944256444</v>
      </c>
      <c r="X52" s="6">
        <v>0</v>
      </c>
      <c r="Y52" s="6">
        <v>1</v>
      </c>
      <c r="Z52" s="6">
        <v>24</v>
      </c>
      <c r="AA52" s="5">
        <v>0.5314834714722898</v>
      </c>
      <c r="AB52" s="5">
        <v>6.6081236521776596E-2</v>
      </c>
      <c r="AC52" s="6">
        <v>0</v>
      </c>
      <c r="AD52" s="6">
        <v>1</v>
      </c>
      <c r="AE52" s="6">
        <v>97</v>
      </c>
      <c r="AF52">
        <f>(AA54/AA53)-AA52</f>
        <v>-0.20587920756280981</v>
      </c>
    </row>
    <row r="53" spans="1:32" ht="26.25" x14ac:dyDescent="0.45">
      <c r="A53" s="4" t="s">
        <v>16</v>
      </c>
      <c r="B53" s="5">
        <v>7.1336325400897155E-2</v>
      </c>
      <c r="C53" s="5">
        <v>5.7882821602989527E-2</v>
      </c>
      <c r="D53" s="6">
        <v>0</v>
      </c>
      <c r="E53" s="6">
        <v>1</v>
      </c>
      <c r="F53" s="6">
        <v>20</v>
      </c>
      <c r="G53" s="5">
        <v>0</v>
      </c>
      <c r="H53" s="5">
        <v>0</v>
      </c>
      <c r="I53" s="6">
        <v>0</v>
      </c>
      <c r="J53" s="6">
        <v>0</v>
      </c>
      <c r="K53" s="6">
        <v>18</v>
      </c>
      <c r="L53" s="5">
        <v>0</v>
      </c>
      <c r="M53" s="5">
        <v>0</v>
      </c>
      <c r="N53" s="6">
        <v>0</v>
      </c>
      <c r="O53" s="6">
        <v>0</v>
      </c>
      <c r="P53" s="6">
        <v>17</v>
      </c>
      <c r="Q53" s="5">
        <v>5.3704560725707499E-2</v>
      </c>
      <c r="R53" s="5">
        <v>5.381837036729397E-2</v>
      </c>
      <c r="S53" s="6">
        <v>0</v>
      </c>
      <c r="T53" s="6">
        <v>1</v>
      </c>
      <c r="U53" s="6">
        <v>18</v>
      </c>
      <c r="V53" s="5">
        <v>4.4080581985216215E-2</v>
      </c>
      <c r="W53" s="5">
        <v>3.5713430966659132E-2</v>
      </c>
      <c r="X53" s="6">
        <v>0</v>
      </c>
      <c r="Y53" s="6">
        <v>1</v>
      </c>
      <c r="Z53" s="6">
        <v>24</v>
      </c>
      <c r="AA53" s="5">
        <v>1.9667107846281076E-2</v>
      </c>
      <c r="AB53" s="5">
        <v>1.4036645852359473E-2</v>
      </c>
      <c r="AC53" s="6">
        <v>0</v>
      </c>
      <c r="AD53" s="6">
        <v>1</v>
      </c>
      <c r="AE53" s="6">
        <v>97</v>
      </c>
      <c r="AF53">
        <f>(AA54/AA52)-AA53</f>
        <v>-7.6183904030508957E-3</v>
      </c>
    </row>
    <row r="54" spans="1:32" ht="26.25" x14ac:dyDescent="0.45">
      <c r="A54" s="4" t="s">
        <v>39</v>
      </c>
      <c r="B54" s="5">
        <v>7.1336325400897155E-2</v>
      </c>
      <c r="C54" s="5">
        <v>5.7882821602989527E-2</v>
      </c>
      <c r="D54" s="6">
        <v>0</v>
      </c>
      <c r="E54" s="6">
        <v>1</v>
      </c>
      <c r="F54" s="6">
        <v>20</v>
      </c>
      <c r="G54" s="5">
        <v>0</v>
      </c>
      <c r="H54" s="5">
        <v>0</v>
      </c>
      <c r="I54" s="6">
        <v>0</v>
      </c>
      <c r="J54" s="6">
        <v>0</v>
      </c>
      <c r="K54" s="6">
        <v>18</v>
      </c>
      <c r="L54" s="5">
        <v>0</v>
      </c>
      <c r="M54" s="5">
        <v>0</v>
      </c>
      <c r="N54" s="6">
        <v>0</v>
      </c>
      <c r="O54" s="6">
        <v>0</v>
      </c>
      <c r="P54" s="6">
        <v>17</v>
      </c>
      <c r="Q54" s="5">
        <v>0</v>
      </c>
      <c r="R54" s="5">
        <v>0</v>
      </c>
      <c r="S54" s="6">
        <v>0</v>
      </c>
      <c r="T54" s="6">
        <v>0</v>
      </c>
      <c r="U54" s="6">
        <v>18</v>
      </c>
      <c r="V54" s="5">
        <v>1.0443597420245079E-2</v>
      </c>
      <c r="W54" s="5">
        <v>1.0806145924418468E-2</v>
      </c>
      <c r="X54" s="6">
        <v>0</v>
      </c>
      <c r="Y54" s="6">
        <v>1</v>
      </c>
      <c r="Z54" s="6">
        <v>24</v>
      </c>
      <c r="AA54" s="5">
        <v>6.4036941735167085E-3</v>
      </c>
      <c r="AB54" s="5">
        <v>5.2298069667858537E-3</v>
      </c>
      <c r="AC54" s="6">
        <v>0</v>
      </c>
      <c r="AD54" s="6">
        <v>1</v>
      </c>
      <c r="AE54" s="6">
        <v>97</v>
      </c>
    </row>
    <row r="55" spans="1:32" x14ac:dyDescent="0.45">
      <c r="A55" s="4" t="s">
        <v>37</v>
      </c>
      <c r="B55" s="5">
        <v>0.93799048726253609</v>
      </c>
      <c r="C55" s="5">
        <v>6.1846903689971811E-2</v>
      </c>
      <c r="D55" s="6">
        <v>0</v>
      </c>
      <c r="E55" s="6">
        <v>1</v>
      </c>
      <c r="F55" s="6">
        <v>17</v>
      </c>
      <c r="G55" s="5">
        <v>0.62791194372909409</v>
      </c>
      <c r="H55" s="5">
        <v>0.10107528895932417</v>
      </c>
      <c r="I55" s="6">
        <v>0</v>
      </c>
      <c r="J55" s="6">
        <v>1</v>
      </c>
      <c r="K55" s="6">
        <v>24</v>
      </c>
      <c r="L55" s="5">
        <v>0.54950434128888359</v>
      </c>
      <c r="M55" s="5">
        <v>0.13940435423381317</v>
      </c>
      <c r="N55" s="6">
        <v>0</v>
      </c>
      <c r="O55" s="6">
        <v>1</v>
      </c>
      <c r="P55" s="6">
        <v>14</v>
      </c>
      <c r="Q55" s="5">
        <v>0.6319964123091979</v>
      </c>
      <c r="R55" s="5">
        <v>0.13259907103390831</v>
      </c>
      <c r="S55" s="6">
        <v>0</v>
      </c>
      <c r="T55" s="6">
        <v>1</v>
      </c>
      <c r="U55" s="6">
        <v>15</v>
      </c>
      <c r="V55" s="5">
        <v>0</v>
      </c>
      <c r="W55" s="5">
        <v>0</v>
      </c>
      <c r="X55" s="6" t="s">
        <v>18</v>
      </c>
      <c r="Y55" s="6" t="s">
        <v>18</v>
      </c>
      <c r="Z55" s="6">
        <v>0</v>
      </c>
      <c r="AA55" s="5">
        <v>0.62405538306501962</v>
      </c>
      <c r="AB55" s="5">
        <v>6.6516493974132104E-2</v>
      </c>
      <c r="AC55" s="6">
        <v>0</v>
      </c>
      <c r="AD55" s="6">
        <v>1</v>
      </c>
      <c r="AE55" s="6">
        <v>70</v>
      </c>
      <c r="AF55">
        <f>(AA57/AA56)-AA55</f>
        <v>-7.0775627406958197E-2</v>
      </c>
    </row>
    <row r="56" spans="1:32" x14ac:dyDescent="0.45">
      <c r="A56" s="4" t="s">
        <v>19</v>
      </c>
      <c r="B56" s="5">
        <v>0</v>
      </c>
      <c r="C56" s="5">
        <v>0</v>
      </c>
      <c r="D56" s="6">
        <v>0</v>
      </c>
      <c r="E56" s="6">
        <v>0</v>
      </c>
      <c r="F56" s="6">
        <v>17</v>
      </c>
      <c r="G56" s="5">
        <v>0</v>
      </c>
      <c r="H56" s="5">
        <v>0</v>
      </c>
      <c r="I56" s="6">
        <v>0</v>
      </c>
      <c r="J56" s="6">
        <v>0</v>
      </c>
      <c r="K56" s="6">
        <v>24</v>
      </c>
      <c r="L56" s="5">
        <v>0.71055262583859791</v>
      </c>
      <c r="M56" s="5">
        <v>0.12715279466668242</v>
      </c>
      <c r="N56" s="6">
        <v>0</v>
      </c>
      <c r="O56" s="6">
        <v>1</v>
      </c>
      <c r="P56" s="6">
        <v>14</v>
      </c>
      <c r="Q56" s="5">
        <v>0.42574184698500656</v>
      </c>
      <c r="R56" s="5">
        <v>0.13436805480856345</v>
      </c>
      <c r="S56" s="6">
        <v>0</v>
      </c>
      <c r="T56" s="6">
        <v>1</v>
      </c>
      <c r="U56" s="6">
        <v>15</v>
      </c>
      <c r="V56" s="5">
        <v>0</v>
      </c>
      <c r="W56" s="5">
        <v>0</v>
      </c>
      <c r="X56" s="6" t="s">
        <v>18</v>
      </c>
      <c r="Y56" s="6" t="s">
        <v>18</v>
      </c>
      <c r="Z56" s="6">
        <v>0</v>
      </c>
      <c r="AA56" s="5">
        <v>0.33457906090797312</v>
      </c>
      <c r="AB56" s="5">
        <v>6.7173486802417734E-2</v>
      </c>
      <c r="AC56" s="6">
        <v>0</v>
      </c>
      <c r="AD56" s="6">
        <v>1</v>
      </c>
      <c r="AE56" s="6">
        <v>70</v>
      </c>
      <c r="AF56">
        <f>(AA57/AA55)-AA56</f>
        <v>-3.7945418941327358E-2</v>
      </c>
    </row>
    <row r="57" spans="1:32" ht="26.25" x14ac:dyDescent="0.45">
      <c r="A57" s="4" t="s">
        <v>40</v>
      </c>
      <c r="B57" s="5">
        <v>0</v>
      </c>
      <c r="C57" s="5">
        <v>0</v>
      </c>
      <c r="D57" s="6">
        <v>0</v>
      </c>
      <c r="E57" s="6">
        <v>0</v>
      </c>
      <c r="F57" s="6">
        <v>17</v>
      </c>
      <c r="G57" s="5">
        <v>0</v>
      </c>
      <c r="H57" s="5">
        <v>0</v>
      </c>
      <c r="I57" s="6">
        <v>0</v>
      </c>
      <c r="J57" s="6">
        <v>0</v>
      </c>
      <c r="K57" s="6">
        <v>24</v>
      </c>
      <c r="L57" s="5">
        <v>0.41722365838927417</v>
      </c>
      <c r="M57" s="5">
        <v>0.13703069878602342</v>
      </c>
      <c r="N57" s="6">
        <v>0</v>
      </c>
      <c r="O57" s="6">
        <v>1</v>
      </c>
      <c r="P57" s="6">
        <v>14</v>
      </c>
      <c r="Q57" s="5">
        <v>0.19566803963832982</v>
      </c>
      <c r="R57" s="5">
        <v>0.10544251528787354</v>
      </c>
      <c r="S57" s="6">
        <v>0</v>
      </c>
      <c r="T57" s="6">
        <v>1</v>
      </c>
      <c r="U57" s="6">
        <v>15</v>
      </c>
      <c r="V57" s="5">
        <v>0</v>
      </c>
      <c r="W57" s="5">
        <v>0</v>
      </c>
      <c r="X57" s="6" t="s">
        <v>18</v>
      </c>
      <c r="Y57" s="6" t="s">
        <v>18</v>
      </c>
      <c r="Z57" s="6">
        <v>0</v>
      </c>
      <c r="AA57" s="5">
        <v>0.18511582106746702</v>
      </c>
      <c r="AB57" s="5">
        <v>5.6705320192138427E-2</v>
      </c>
      <c r="AC57" s="6">
        <v>0</v>
      </c>
      <c r="AD57" s="6">
        <v>1</v>
      </c>
      <c r="AE57" s="6">
        <v>70</v>
      </c>
    </row>
    <row r="58" spans="1:32" x14ac:dyDescent="0.45">
      <c r="A58" s="4" t="s">
        <v>41</v>
      </c>
      <c r="B58" s="5">
        <v>0.23462186114493619</v>
      </c>
      <c r="C58" s="5">
        <v>8.4305331409857687E-2</v>
      </c>
      <c r="D58" s="6">
        <v>0</v>
      </c>
      <c r="E58" s="6">
        <v>1</v>
      </c>
      <c r="F58" s="6">
        <v>26</v>
      </c>
      <c r="G58" s="5">
        <v>0.27805495099976574</v>
      </c>
      <c r="H58" s="5">
        <v>7.989283449567372E-2</v>
      </c>
      <c r="I58" s="6">
        <v>0</v>
      </c>
      <c r="J58" s="6">
        <v>1</v>
      </c>
      <c r="K58" s="6">
        <v>33</v>
      </c>
      <c r="L58" s="5">
        <v>9.823357687169279E-2</v>
      </c>
      <c r="M58" s="5">
        <v>5.5214329634922947E-2</v>
      </c>
      <c r="N58" s="6">
        <v>0</v>
      </c>
      <c r="O58" s="6">
        <v>1</v>
      </c>
      <c r="P58" s="6">
        <v>28</v>
      </c>
      <c r="Q58" s="5">
        <v>0.27506099874579759</v>
      </c>
      <c r="R58" s="5">
        <v>9.8835523047267754E-2</v>
      </c>
      <c r="S58" s="6">
        <v>0</v>
      </c>
      <c r="T58" s="6">
        <v>1</v>
      </c>
      <c r="U58" s="6">
        <v>21</v>
      </c>
      <c r="V58" s="5">
        <v>0.22107605049801421</v>
      </c>
      <c r="W58" s="5">
        <v>0.11291991991782178</v>
      </c>
      <c r="X58" s="6">
        <v>0</v>
      </c>
      <c r="Y58" s="6">
        <v>1</v>
      </c>
      <c r="Z58" s="6">
        <v>14</v>
      </c>
      <c r="AA58" s="5">
        <v>0.19871660227161358</v>
      </c>
      <c r="AB58" s="5">
        <v>4.0276355676489677E-2</v>
      </c>
      <c r="AC58" s="6">
        <v>0</v>
      </c>
      <c r="AD58" s="6">
        <v>1</v>
      </c>
      <c r="AE58" s="6">
        <v>122</v>
      </c>
      <c r="AF58">
        <f>(AA60/AA59)-AA58</f>
        <v>3.0308536952243448E-2</v>
      </c>
    </row>
    <row r="59" spans="1:32" x14ac:dyDescent="0.45">
      <c r="A59" s="4" t="s">
        <v>14</v>
      </c>
      <c r="B59" s="5">
        <v>0.95593889001302101</v>
      </c>
      <c r="C59" s="5">
        <v>4.3853438100992057E-2</v>
      </c>
      <c r="D59" s="6">
        <v>0</v>
      </c>
      <c r="E59" s="6">
        <v>1</v>
      </c>
      <c r="F59" s="6">
        <v>26</v>
      </c>
      <c r="G59" s="5">
        <v>0.75555020098370718</v>
      </c>
      <c r="H59" s="5">
        <v>7.6639651307882639E-2</v>
      </c>
      <c r="I59" s="6">
        <v>0</v>
      </c>
      <c r="J59" s="6">
        <v>1</v>
      </c>
      <c r="K59" s="6">
        <v>33</v>
      </c>
      <c r="L59" s="5">
        <v>0.71229925102938108</v>
      </c>
      <c r="M59" s="5">
        <v>8.7861758305976312E-2</v>
      </c>
      <c r="N59" s="6">
        <v>0</v>
      </c>
      <c r="O59" s="6">
        <v>1</v>
      </c>
      <c r="P59" s="6">
        <v>28</v>
      </c>
      <c r="Q59" s="5">
        <v>0.90780412100827212</v>
      </c>
      <c r="R59" s="5">
        <v>6.377044877617917E-2</v>
      </c>
      <c r="S59" s="6">
        <v>0</v>
      </c>
      <c r="T59" s="6">
        <v>1</v>
      </c>
      <c r="U59" s="6">
        <v>21</v>
      </c>
      <c r="V59" s="5">
        <v>0.92686327810773295</v>
      </c>
      <c r="W59" s="5">
        <v>7.3261369808220761E-2</v>
      </c>
      <c r="X59" s="6">
        <v>0</v>
      </c>
      <c r="Y59" s="6">
        <v>1</v>
      </c>
      <c r="Z59" s="6">
        <v>14</v>
      </c>
      <c r="AA59" s="5">
        <v>0.78045574053202593</v>
      </c>
      <c r="AB59" s="5">
        <v>4.6037945365929415E-2</v>
      </c>
      <c r="AC59" s="6">
        <v>0</v>
      </c>
      <c r="AD59" s="6">
        <v>1</v>
      </c>
      <c r="AE59" s="6">
        <v>122</v>
      </c>
      <c r="AF59">
        <f>(AA60/AA58)-AA59</f>
        <v>0.11903621227970462</v>
      </c>
    </row>
    <row r="60" spans="1:32" ht="26.25" x14ac:dyDescent="0.45">
      <c r="A60" s="4" t="s">
        <v>42</v>
      </c>
      <c r="B60" s="5">
        <v>0.23462186114493619</v>
      </c>
      <c r="C60" s="5">
        <v>8.4305331409857687E-2</v>
      </c>
      <c r="D60" s="6">
        <v>0</v>
      </c>
      <c r="E60" s="6">
        <v>1</v>
      </c>
      <c r="F60" s="6">
        <v>26</v>
      </c>
      <c r="G60" s="5">
        <v>0.21596727813512676</v>
      </c>
      <c r="H60" s="5">
        <v>7.3392061929908464E-2</v>
      </c>
      <c r="I60" s="6">
        <v>0</v>
      </c>
      <c r="J60" s="6">
        <v>1</v>
      </c>
      <c r="K60" s="6">
        <v>33</v>
      </c>
      <c r="L60" s="5">
        <v>9.823357687169279E-2</v>
      </c>
      <c r="M60" s="5">
        <v>5.5214329634922947E-2</v>
      </c>
      <c r="N60" s="6">
        <v>0</v>
      </c>
      <c r="O60" s="6">
        <v>1</v>
      </c>
      <c r="P60" s="6">
        <v>28</v>
      </c>
      <c r="Q60" s="5">
        <v>0.27506099874579759</v>
      </c>
      <c r="R60" s="5">
        <v>9.8835523047267754E-2</v>
      </c>
      <c r="S60" s="6">
        <v>0</v>
      </c>
      <c r="T60" s="6">
        <v>1</v>
      </c>
      <c r="U60" s="6">
        <v>21</v>
      </c>
      <c r="V60" s="5">
        <v>0.22107605049801421</v>
      </c>
      <c r="W60" s="5">
        <v>0.11291991991782178</v>
      </c>
      <c r="X60" s="6">
        <v>0</v>
      </c>
      <c r="Y60" s="6">
        <v>1</v>
      </c>
      <c r="Z60" s="6">
        <v>14</v>
      </c>
      <c r="AA60" s="5">
        <v>0.17874398463340568</v>
      </c>
      <c r="AB60" s="5">
        <v>3.8520431439723071E-2</v>
      </c>
      <c r="AC60" s="6">
        <v>0</v>
      </c>
      <c r="AD60" s="6">
        <v>1</v>
      </c>
      <c r="AE60" s="6">
        <v>122</v>
      </c>
    </row>
    <row r="61" spans="1:32" x14ac:dyDescent="0.45">
      <c r="A61" s="4" t="s">
        <v>41</v>
      </c>
      <c r="B61" s="5">
        <v>0.19394692016297665</v>
      </c>
      <c r="C61" s="5">
        <v>8.7186460817989836E-2</v>
      </c>
      <c r="D61" s="6">
        <v>0</v>
      </c>
      <c r="E61" s="6">
        <v>1</v>
      </c>
      <c r="F61" s="6">
        <v>20</v>
      </c>
      <c r="G61" s="5">
        <v>0.10902617550866356</v>
      </c>
      <c r="H61" s="5">
        <v>7.5034905646669717E-2</v>
      </c>
      <c r="I61" s="6">
        <v>0</v>
      </c>
      <c r="J61" s="6">
        <v>1</v>
      </c>
      <c r="K61" s="6">
        <v>18</v>
      </c>
      <c r="L61" s="5">
        <v>0.1092565665916372</v>
      </c>
      <c r="M61" s="5">
        <v>7.5688528146506839E-2</v>
      </c>
      <c r="N61" s="6">
        <v>0</v>
      </c>
      <c r="O61" s="6">
        <v>1</v>
      </c>
      <c r="P61" s="6">
        <v>17</v>
      </c>
      <c r="Q61" s="5">
        <v>0.43924682592705361</v>
      </c>
      <c r="R61" s="5">
        <v>0.12054466745251949</v>
      </c>
      <c r="S61" s="6">
        <v>0</v>
      </c>
      <c r="T61" s="6">
        <v>1</v>
      </c>
      <c r="U61" s="6">
        <v>18</v>
      </c>
      <c r="V61" s="5">
        <v>0.12738579830762806</v>
      </c>
      <c r="W61" s="5">
        <v>6.8241128521858971E-2</v>
      </c>
      <c r="X61" s="6">
        <v>0</v>
      </c>
      <c r="Y61" s="6">
        <v>1</v>
      </c>
      <c r="Z61" s="6">
        <v>24</v>
      </c>
      <c r="AA61" s="5">
        <v>0.19680269814819773</v>
      </c>
      <c r="AB61" s="5">
        <v>4.9057238922259057E-2</v>
      </c>
      <c r="AC61" s="6">
        <v>0</v>
      </c>
      <c r="AD61" s="6">
        <v>1</v>
      </c>
      <c r="AE61" s="6">
        <v>97</v>
      </c>
      <c r="AF61">
        <f>(AA63/AA62)-AA61</f>
        <v>-0.12507570333130624</v>
      </c>
    </row>
    <row r="62" spans="1:32" ht="26.25" x14ac:dyDescent="0.45">
      <c r="A62" s="4" t="s">
        <v>16</v>
      </c>
      <c r="B62" s="5">
        <v>7.1336325400897155E-2</v>
      </c>
      <c r="C62" s="5">
        <v>5.7882821602989527E-2</v>
      </c>
      <c r="D62" s="6">
        <v>0</v>
      </c>
      <c r="E62" s="6">
        <v>1</v>
      </c>
      <c r="F62" s="6">
        <v>20</v>
      </c>
      <c r="G62" s="5">
        <v>0</v>
      </c>
      <c r="H62" s="5">
        <v>0</v>
      </c>
      <c r="I62" s="6">
        <v>0</v>
      </c>
      <c r="J62" s="6">
        <v>0</v>
      </c>
      <c r="K62" s="6">
        <v>18</v>
      </c>
      <c r="L62" s="5">
        <v>0</v>
      </c>
      <c r="M62" s="5">
        <v>0</v>
      </c>
      <c r="N62" s="6">
        <v>0</v>
      </c>
      <c r="O62" s="6">
        <v>0</v>
      </c>
      <c r="P62" s="6">
        <v>17</v>
      </c>
      <c r="Q62" s="5">
        <v>5.3704560725707499E-2</v>
      </c>
      <c r="R62" s="5">
        <v>5.381837036729397E-2</v>
      </c>
      <c r="S62" s="6">
        <v>0</v>
      </c>
      <c r="T62" s="6">
        <v>1</v>
      </c>
      <c r="U62" s="6">
        <v>18</v>
      </c>
      <c r="V62" s="5">
        <v>4.4080581985216215E-2</v>
      </c>
      <c r="W62" s="5">
        <v>3.5713430966659132E-2</v>
      </c>
      <c r="X62" s="6">
        <v>0</v>
      </c>
      <c r="Y62" s="6">
        <v>1</v>
      </c>
      <c r="Z62" s="6">
        <v>24</v>
      </c>
      <c r="AA62" s="5">
        <v>1.9667107846281076E-2</v>
      </c>
      <c r="AB62" s="5">
        <v>1.4036645852359473E-2</v>
      </c>
      <c r="AC62" s="6">
        <v>0</v>
      </c>
      <c r="AD62" s="6">
        <v>1</v>
      </c>
      <c r="AE62" s="6">
        <v>97</v>
      </c>
      <c r="AF62">
        <f>(AA63/AA61)-AA62</f>
        <v>-1.2499205394602381E-2</v>
      </c>
    </row>
    <row r="63" spans="1:32" ht="39.4" x14ac:dyDescent="0.45">
      <c r="A63" s="4" t="s">
        <v>43</v>
      </c>
      <c r="B63" s="5">
        <v>1.5032946854462425E-2</v>
      </c>
      <c r="C63" s="5">
        <v>1.5601816467078549E-2</v>
      </c>
      <c r="D63" s="6">
        <v>0</v>
      </c>
      <c r="E63" s="6">
        <v>1</v>
      </c>
      <c r="F63" s="6">
        <v>20</v>
      </c>
      <c r="G63" s="5">
        <v>0</v>
      </c>
      <c r="H63" s="5">
        <v>0</v>
      </c>
      <c r="I63" s="6">
        <v>0</v>
      </c>
      <c r="J63" s="6">
        <v>0</v>
      </c>
      <c r="K63" s="6">
        <v>18</v>
      </c>
      <c r="L63" s="5">
        <v>0</v>
      </c>
      <c r="M63" s="5">
        <v>0</v>
      </c>
      <c r="N63" s="6">
        <v>0</v>
      </c>
      <c r="O63" s="6">
        <v>0</v>
      </c>
      <c r="P63" s="6">
        <v>17</v>
      </c>
      <c r="Q63" s="5">
        <v>0</v>
      </c>
      <c r="R63" s="5">
        <v>0</v>
      </c>
      <c r="S63" s="6">
        <v>0</v>
      </c>
      <c r="T63" s="6">
        <v>0</v>
      </c>
      <c r="U63" s="6">
        <v>18</v>
      </c>
      <c r="V63" s="5">
        <v>1.0443597420245079E-2</v>
      </c>
      <c r="W63" s="5">
        <v>1.0806145924418468E-2</v>
      </c>
      <c r="X63" s="6">
        <v>0</v>
      </c>
      <c r="Y63" s="6">
        <v>1</v>
      </c>
      <c r="Z63" s="6">
        <v>24</v>
      </c>
      <c r="AA63" s="5">
        <v>1.4106625425534486E-3</v>
      </c>
      <c r="AB63" s="5">
        <v>1.3531248325815101E-3</v>
      </c>
      <c r="AC63" s="6">
        <v>0</v>
      </c>
      <c r="AD63" s="6">
        <v>1</v>
      </c>
      <c r="AE63" s="6">
        <v>97</v>
      </c>
    </row>
    <row r="64" spans="1:32" x14ac:dyDescent="0.45">
      <c r="A64" s="4" t="s">
        <v>41</v>
      </c>
      <c r="B64" s="5">
        <v>0.25657348642255778</v>
      </c>
      <c r="C64" s="5">
        <v>0.11350356745685936</v>
      </c>
      <c r="D64" s="6">
        <v>0</v>
      </c>
      <c r="E64" s="6">
        <v>1</v>
      </c>
      <c r="F64" s="6">
        <v>17</v>
      </c>
      <c r="G64" s="5">
        <v>0.21418177959697485</v>
      </c>
      <c r="H64" s="5">
        <v>8.6606726458951289E-2</v>
      </c>
      <c r="I64" s="6">
        <v>0</v>
      </c>
      <c r="J64" s="6">
        <v>1</v>
      </c>
      <c r="K64" s="6">
        <v>24</v>
      </c>
      <c r="L64" s="5">
        <v>0.39919385460028639</v>
      </c>
      <c r="M64" s="5">
        <v>0.1349753860625241</v>
      </c>
      <c r="N64" s="6">
        <v>0</v>
      </c>
      <c r="O64" s="6">
        <v>1</v>
      </c>
      <c r="P64" s="6">
        <v>14</v>
      </c>
      <c r="Q64" s="5">
        <v>0.35544505539843912</v>
      </c>
      <c r="R64" s="5">
        <v>0.12589747299809995</v>
      </c>
      <c r="S64" s="6">
        <v>0</v>
      </c>
      <c r="T64" s="6">
        <v>1</v>
      </c>
      <c r="U64" s="6">
        <v>15</v>
      </c>
      <c r="V64" s="5">
        <v>0</v>
      </c>
      <c r="W64" s="5">
        <v>0</v>
      </c>
      <c r="X64" s="6" t="s">
        <v>18</v>
      </c>
      <c r="Y64" s="6" t="s">
        <v>18</v>
      </c>
      <c r="Z64" s="6">
        <v>0</v>
      </c>
      <c r="AA64" s="5">
        <v>0.31071118187122559</v>
      </c>
      <c r="AB64" s="5">
        <v>6.2106724596791667E-2</v>
      </c>
      <c r="AC64" s="6">
        <v>0</v>
      </c>
      <c r="AD64" s="6">
        <v>1</v>
      </c>
      <c r="AE64" s="6">
        <v>70</v>
      </c>
      <c r="AF64">
        <f>(AA66/AA65)-AA64</f>
        <v>4.7212909050458052E-2</v>
      </c>
    </row>
    <row r="65" spans="1:32" x14ac:dyDescent="0.45">
      <c r="A65" s="4" t="s">
        <v>19</v>
      </c>
      <c r="B65" s="5">
        <v>0</v>
      </c>
      <c r="C65" s="5">
        <v>0</v>
      </c>
      <c r="D65" s="6">
        <v>0</v>
      </c>
      <c r="E65" s="6">
        <v>0</v>
      </c>
      <c r="F65" s="6">
        <v>17</v>
      </c>
      <c r="G65" s="5">
        <v>0</v>
      </c>
      <c r="H65" s="5">
        <v>0</v>
      </c>
      <c r="I65" s="6">
        <v>0</v>
      </c>
      <c r="J65" s="6">
        <v>0</v>
      </c>
      <c r="K65" s="6">
        <v>24</v>
      </c>
      <c r="L65" s="5">
        <v>0.71055262583859791</v>
      </c>
      <c r="M65" s="5">
        <v>0.12715279466668242</v>
      </c>
      <c r="N65" s="6">
        <v>0</v>
      </c>
      <c r="O65" s="6">
        <v>1</v>
      </c>
      <c r="P65" s="6">
        <v>14</v>
      </c>
      <c r="Q65" s="5">
        <v>0.42574184698500656</v>
      </c>
      <c r="R65" s="5">
        <v>0.13436805480856345</v>
      </c>
      <c r="S65" s="6">
        <v>0</v>
      </c>
      <c r="T65" s="6">
        <v>1</v>
      </c>
      <c r="U65" s="6">
        <v>15</v>
      </c>
      <c r="V65" s="5">
        <v>0</v>
      </c>
      <c r="W65" s="5">
        <v>0</v>
      </c>
      <c r="X65" s="6" t="s">
        <v>18</v>
      </c>
      <c r="Y65" s="6" t="s">
        <v>18</v>
      </c>
      <c r="Z65" s="6">
        <v>0</v>
      </c>
      <c r="AA65" s="5">
        <v>0.33457906090797312</v>
      </c>
      <c r="AB65" s="5">
        <v>6.7173486802417734E-2</v>
      </c>
      <c r="AC65" s="6">
        <v>0</v>
      </c>
      <c r="AD65" s="6">
        <v>1</v>
      </c>
      <c r="AE65" s="6">
        <v>70</v>
      </c>
      <c r="AF65">
        <f>(AA66/AA64)-AA65</f>
        <v>5.0839659769253642E-2</v>
      </c>
    </row>
    <row r="66" spans="1:32" ht="26.25" x14ac:dyDescent="0.45">
      <c r="A66" s="4" t="s">
        <v>44</v>
      </c>
      <c r="B66" s="5">
        <v>0</v>
      </c>
      <c r="C66" s="5">
        <v>0</v>
      </c>
      <c r="D66" s="6">
        <v>0</v>
      </c>
      <c r="E66" s="6">
        <v>0</v>
      </c>
      <c r="F66" s="6">
        <v>17</v>
      </c>
      <c r="G66" s="5">
        <v>0</v>
      </c>
      <c r="H66" s="5">
        <v>0</v>
      </c>
      <c r="I66" s="6">
        <v>0</v>
      </c>
      <c r="J66" s="6">
        <v>0</v>
      </c>
      <c r="K66" s="6">
        <v>24</v>
      </c>
      <c r="L66" s="5">
        <v>0.26691317170067702</v>
      </c>
      <c r="M66" s="5">
        <v>0.12081874424354798</v>
      </c>
      <c r="N66" s="6">
        <v>0</v>
      </c>
      <c r="O66" s="6">
        <v>1</v>
      </c>
      <c r="P66" s="6">
        <v>14</v>
      </c>
      <c r="Q66" s="5">
        <v>0.1315383262679985</v>
      </c>
      <c r="R66" s="5">
        <v>8.9989298190785688E-2</v>
      </c>
      <c r="S66" s="6">
        <v>0</v>
      </c>
      <c r="T66" s="6">
        <v>1</v>
      </c>
      <c r="U66" s="6">
        <v>15</v>
      </c>
      <c r="V66" s="5">
        <v>0</v>
      </c>
      <c r="W66" s="5">
        <v>0</v>
      </c>
      <c r="X66" s="6" t="s">
        <v>18</v>
      </c>
      <c r="Y66" s="6" t="s">
        <v>18</v>
      </c>
      <c r="Z66" s="6">
        <v>0</v>
      </c>
      <c r="AA66" s="5">
        <v>0.11975390621691691</v>
      </c>
      <c r="AB66" s="5">
        <v>4.704696606908821E-2</v>
      </c>
      <c r="AC66" s="6">
        <v>0</v>
      </c>
      <c r="AD66" s="6">
        <v>1</v>
      </c>
      <c r="AE66" s="6">
        <v>70</v>
      </c>
    </row>
    <row r="67" spans="1:32" x14ac:dyDescent="0.45">
      <c r="A67" s="4" t="s">
        <v>45</v>
      </c>
      <c r="B67" s="5">
        <v>0.69519585903534586</v>
      </c>
      <c r="C67" s="5">
        <v>9.2703365755506778E-2</v>
      </c>
      <c r="D67" s="6">
        <v>0</v>
      </c>
      <c r="E67" s="6">
        <v>1</v>
      </c>
      <c r="F67" s="6">
        <v>26</v>
      </c>
      <c r="G67" s="5">
        <v>0.40787610994735779</v>
      </c>
      <c r="H67" s="5">
        <v>8.7776737030972524E-2</v>
      </c>
      <c r="I67" s="6">
        <v>0</v>
      </c>
      <c r="J67" s="6">
        <v>1</v>
      </c>
      <c r="K67" s="6">
        <v>33</v>
      </c>
      <c r="L67" s="5">
        <v>0.2594849333919883</v>
      </c>
      <c r="M67" s="5">
        <v>8.7362689082426781E-2</v>
      </c>
      <c r="N67" s="6">
        <v>0</v>
      </c>
      <c r="O67" s="6">
        <v>1</v>
      </c>
      <c r="P67" s="6">
        <v>26</v>
      </c>
      <c r="Q67" s="5">
        <v>0.39151865031621769</v>
      </c>
      <c r="R67" s="5">
        <v>0.10991760886362117</v>
      </c>
      <c r="S67" s="6">
        <v>0</v>
      </c>
      <c r="T67" s="6">
        <v>1</v>
      </c>
      <c r="U67" s="6">
        <v>21</v>
      </c>
      <c r="V67" s="5">
        <v>0.40183723233810315</v>
      </c>
      <c r="W67" s="5">
        <v>0.14456281527357528</v>
      </c>
      <c r="X67" s="6">
        <v>0</v>
      </c>
      <c r="Y67" s="6">
        <v>1</v>
      </c>
      <c r="Z67" s="6">
        <v>14</v>
      </c>
      <c r="AA67" s="5">
        <v>0.36701273192327799</v>
      </c>
      <c r="AB67" s="5">
        <v>5.1090609913597637E-2</v>
      </c>
      <c r="AC67" s="6">
        <v>0</v>
      </c>
      <c r="AD67" s="6">
        <v>1</v>
      </c>
      <c r="AE67" s="6">
        <v>120</v>
      </c>
      <c r="AF67">
        <f>(AA69/AA68)-AA67</f>
        <v>4.6646835848712764E-2</v>
      </c>
    </row>
    <row r="68" spans="1:32" x14ac:dyDescent="0.45">
      <c r="A68" s="4" t="s">
        <v>14</v>
      </c>
      <c r="B68" s="5">
        <v>0.95593889001302101</v>
      </c>
      <c r="C68" s="5">
        <v>4.3853438100992057E-2</v>
      </c>
      <c r="D68" s="6">
        <v>0</v>
      </c>
      <c r="E68" s="6">
        <v>1</v>
      </c>
      <c r="F68" s="6">
        <v>26</v>
      </c>
      <c r="G68" s="5">
        <v>0.75555020098370718</v>
      </c>
      <c r="H68" s="5">
        <v>7.6639651307882639E-2</v>
      </c>
      <c r="I68" s="6">
        <v>0</v>
      </c>
      <c r="J68" s="6">
        <v>1</v>
      </c>
      <c r="K68" s="6">
        <v>33</v>
      </c>
      <c r="L68" s="5">
        <v>0.71229925102938108</v>
      </c>
      <c r="M68" s="5">
        <v>8.7861758305976312E-2</v>
      </c>
      <c r="N68" s="6">
        <v>0</v>
      </c>
      <c r="O68" s="6">
        <v>1</v>
      </c>
      <c r="P68" s="6">
        <v>28</v>
      </c>
      <c r="Q68" s="5">
        <v>0.90780412100827212</v>
      </c>
      <c r="R68" s="5">
        <v>6.377044877617917E-2</v>
      </c>
      <c r="S68" s="6">
        <v>0</v>
      </c>
      <c r="T68" s="6">
        <v>1</v>
      </c>
      <c r="U68" s="6">
        <v>21</v>
      </c>
      <c r="V68" s="5">
        <v>0.92686327810773295</v>
      </c>
      <c r="W68" s="5">
        <v>7.3261369808220761E-2</v>
      </c>
      <c r="X68" s="6">
        <v>0</v>
      </c>
      <c r="Y68" s="6">
        <v>1</v>
      </c>
      <c r="Z68" s="6">
        <v>14</v>
      </c>
      <c r="AA68" s="5">
        <v>0.78045574053202593</v>
      </c>
      <c r="AB68" s="5">
        <v>4.6037945365929415E-2</v>
      </c>
      <c r="AC68" s="6">
        <v>0</v>
      </c>
      <c r="AD68" s="6">
        <v>1</v>
      </c>
      <c r="AE68" s="6">
        <v>122</v>
      </c>
      <c r="AF68">
        <f>(AA69/AA67)-AA68</f>
        <v>9.9194898839077394E-2</v>
      </c>
    </row>
    <row r="69" spans="1:32" ht="26.25" x14ac:dyDescent="0.45">
      <c r="A69" s="4" t="s">
        <v>46</v>
      </c>
      <c r="B69" s="5">
        <v>0.65113474904836688</v>
      </c>
      <c r="C69" s="5">
        <v>9.6782553930732762E-2</v>
      </c>
      <c r="D69" s="6">
        <v>0</v>
      </c>
      <c r="E69" s="6">
        <v>1</v>
      </c>
      <c r="F69" s="6">
        <v>26</v>
      </c>
      <c r="G69" s="5">
        <v>0.40787610994735779</v>
      </c>
      <c r="H69" s="5">
        <v>8.7776737030972524E-2</v>
      </c>
      <c r="I69" s="6">
        <v>0</v>
      </c>
      <c r="J69" s="6">
        <v>1</v>
      </c>
      <c r="K69" s="6">
        <v>33</v>
      </c>
      <c r="L69" s="5">
        <v>0.17966349620444311</v>
      </c>
      <c r="M69" s="5">
        <v>7.5130611401043962E-2</v>
      </c>
      <c r="N69" s="6">
        <v>0</v>
      </c>
      <c r="O69" s="6">
        <v>1</v>
      </c>
      <c r="P69" s="6">
        <v>26</v>
      </c>
      <c r="Q69" s="5">
        <v>0.34526857240617598</v>
      </c>
      <c r="R69" s="5">
        <v>0.10744150851178462</v>
      </c>
      <c r="S69" s="6">
        <v>0</v>
      </c>
      <c r="T69" s="6">
        <v>1</v>
      </c>
      <c r="U69" s="6">
        <v>21</v>
      </c>
      <c r="V69" s="5">
        <v>0.40183723233810315</v>
      </c>
      <c r="W69" s="5">
        <v>0.14456281527357528</v>
      </c>
      <c r="X69" s="6">
        <v>0</v>
      </c>
      <c r="Y69" s="6">
        <v>1</v>
      </c>
      <c r="Z69" s="6">
        <v>14</v>
      </c>
      <c r="AA69" s="5">
        <v>0.32284298429364683</v>
      </c>
      <c r="AB69" s="5">
        <v>4.8730856942798259E-2</v>
      </c>
      <c r="AC69" s="6">
        <v>0</v>
      </c>
      <c r="AD69" s="6">
        <v>1</v>
      </c>
      <c r="AE69" s="6">
        <v>120</v>
      </c>
    </row>
    <row r="70" spans="1:32" x14ac:dyDescent="0.45">
      <c r="A70" s="4" t="s">
        <v>45</v>
      </c>
      <c r="B70" s="5">
        <v>0.67620814366168502</v>
      </c>
      <c r="C70" s="5">
        <v>0.1100951037610939</v>
      </c>
      <c r="D70" s="6">
        <v>0</v>
      </c>
      <c r="E70" s="6">
        <v>1</v>
      </c>
      <c r="F70" s="6">
        <v>20</v>
      </c>
      <c r="G70" s="5">
        <v>0.51918581322888291</v>
      </c>
      <c r="H70" s="5">
        <v>0.1215966722882894</v>
      </c>
      <c r="I70" s="6">
        <v>0</v>
      </c>
      <c r="J70" s="6">
        <v>1</v>
      </c>
      <c r="K70" s="6">
        <v>18</v>
      </c>
      <c r="L70" s="5">
        <v>0.37260126714942032</v>
      </c>
      <c r="M70" s="5">
        <v>0.1258592461155614</v>
      </c>
      <c r="N70" s="6">
        <v>0</v>
      </c>
      <c r="O70" s="6">
        <v>1</v>
      </c>
      <c r="P70" s="6">
        <v>16</v>
      </c>
      <c r="Q70" s="5">
        <v>0.27913216223503201</v>
      </c>
      <c r="R70" s="5">
        <v>0.10920215568536983</v>
      </c>
      <c r="S70" s="6">
        <v>0</v>
      </c>
      <c r="T70" s="6">
        <v>1</v>
      </c>
      <c r="U70" s="6">
        <v>18</v>
      </c>
      <c r="V70" s="5">
        <v>0.52469937210113293</v>
      </c>
      <c r="W70" s="5">
        <v>0.1099793752468259</v>
      </c>
      <c r="X70" s="6">
        <v>0</v>
      </c>
      <c r="Y70" s="6">
        <v>1</v>
      </c>
      <c r="Z70" s="6">
        <v>24</v>
      </c>
      <c r="AA70" s="5">
        <v>0.41855943853229916</v>
      </c>
      <c r="AB70" s="5">
        <v>6.4806246694995073E-2</v>
      </c>
      <c r="AC70" s="6">
        <v>0</v>
      </c>
      <c r="AD70" s="6">
        <v>1</v>
      </c>
      <c r="AE70" s="6">
        <v>96</v>
      </c>
      <c r="AF70">
        <f>(AA72/AA71)-AA70</f>
        <v>-0.15925709805691396</v>
      </c>
    </row>
    <row r="71" spans="1:32" ht="26.25" x14ac:dyDescent="0.45">
      <c r="A71" s="4" t="s">
        <v>16</v>
      </c>
      <c r="B71" s="5">
        <v>7.1336325400897155E-2</v>
      </c>
      <c r="C71" s="5">
        <v>5.7882821602989527E-2</v>
      </c>
      <c r="D71" s="6">
        <v>0</v>
      </c>
      <c r="E71" s="6">
        <v>1</v>
      </c>
      <c r="F71" s="6">
        <v>20</v>
      </c>
      <c r="G71" s="5">
        <v>0</v>
      </c>
      <c r="H71" s="5">
        <v>0</v>
      </c>
      <c r="I71" s="6">
        <v>0</v>
      </c>
      <c r="J71" s="6">
        <v>0</v>
      </c>
      <c r="K71" s="6">
        <v>18</v>
      </c>
      <c r="L71" s="5">
        <v>0</v>
      </c>
      <c r="M71" s="5">
        <v>0</v>
      </c>
      <c r="N71" s="6">
        <v>0</v>
      </c>
      <c r="O71" s="6">
        <v>0</v>
      </c>
      <c r="P71" s="6">
        <v>17</v>
      </c>
      <c r="Q71" s="5">
        <v>5.3704560725707499E-2</v>
      </c>
      <c r="R71" s="5">
        <v>5.381837036729397E-2</v>
      </c>
      <c r="S71" s="6">
        <v>0</v>
      </c>
      <c r="T71" s="6">
        <v>1</v>
      </c>
      <c r="U71" s="6">
        <v>18</v>
      </c>
      <c r="V71" s="5">
        <v>4.4080581985216215E-2</v>
      </c>
      <c r="W71" s="5">
        <v>3.5713430966659132E-2</v>
      </c>
      <c r="X71" s="6">
        <v>0</v>
      </c>
      <c r="Y71" s="6">
        <v>1</v>
      </c>
      <c r="Z71" s="6">
        <v>24</v>
      </c>
      <c r="AA71" s="5">
        <v>1.9667107846281076E-2</v>
      </c>
      <c r="AB71" s="5">
        <v>1.4036645852359473E-2</v>
      </c>
      <c r="AC71" s="6">
        <v>0</v>
      </c>
      <c r="AD71" s="6">
        <v>1</v>
      </c>
      <c r="AE71" s="6">
        <v>97</v>
      </c>
      <c r="AF71">
        <f>(AA72/AA70)-AA71</f>
        <v>-7.4831104842697001E-3</v>
      </c>
    </row>
    <row r="72" spans="1:32" ht="26.25" x14ac:dyDescent="0.45">
      <c r="A72" s="4" t="s">
        <v>47</v>
      </c>
      <c r="B72" s="5">
        <v>5.6303378546434732E-2</v>
      </c>
      <c r="C72" s="5">
        <v>5.6027658866812949E-2</v>
      </c>
      <c r="D72" s="6">
        <v>0</v>
      </c>
      <c r="E72" s="6">
        <v>1</v>
      </c>
      <c r="F72" s="6">
        <v>20</v>
      </c>
      <c r="G72" s="5">
        <v>0</v>
      </c>
      <c r="H72" s="5">
        <v>0</v>
      </c>
      <c r="I72" s="6">
        <v>0</v>
      </c>
      <c r="J72" s="6">
        <v>0</v>
      </c>
      <c r="K72" s="6">
        <v>18</v>
      </c>
      <c r="L72" s="5">
        <v>0</v>
      </c>
      <c r="M72" s="5">
        <v>0</v>
      </c>
      <c r="N72" s="6">
        <v>0</v>
      </c>
      <c r="O72" s="6">
        <v>0</v>
      </c>
      <c r="P72" s="6">
        <v>16</v>
      </c>
      <c r="Q72" s="5">
        <v>0</v>
      </c>
      <c r="R72" s="5">
        <v>0</v>
      </c>
      <c r="S72" s="6">
        <v>0</v>
      </c>
      <c r="T72" s="6">
        <v>0</v>
      </c>
      <c r="U72" s="6">
        <v>18</v>
      </c>
      <c r="V72" s="5">
        <v>0</v>
      </c>
      <c r="W72" s="5">
        <v>0</v>
      </c>
      <c r="X72" s="6">
        <v>0</v>
      </c>
      <c r="Y72" s="6">
        <v>0</v>
      </c>
      <c r="Z72" s="6">
        <v>24</v>
      </c>
      <c r="AA72" s="5">
        <v>5.0997270949224953E-3</v>
      </c>
      <c r="AB72" s="5">
        <v>5.1446280834329446E-3</v>
      </c>
      <c r="AC72" s="6">
        <v>0</v>
      </c>
      <c r="AD72" s="6">
        <v>1</v>
      </c>
      <c r="AE72" s="6">
        <v>96</v>
      </c>
    </row>
    <row r="73" spans="1:32" x14ac:dyDescent="0.45">
      <c r="A73" s="4" t="s">
        <v>45</v>
      </c>
      <c r="B73" s="5">
        <v>0.88042007272135181</v>
      </c>
      <c r="C73" s="5">
        <v>8.2510170462215149E-2</v>
      </c>
      <c r="D73" s="6">
        <v>0</v>
      </c>
      <c r="E73" s="6">
        <v>1</v>
      </c>
      <c r="F73" s="6">
        <v>17</v>
      </c>
      <c r="G73" s="5">
        <v>0.55261270861182354</v>
      </c>
      <c r="H73" s="5">
        <v>0.10410587336136026</v>
      </c>
      <c r="I73" s="6">
        <v>0</v>
      </c>
      <c r="J73" s="6">
        <v>1</v>
      </c>
      <c r="K73" s="6">
        <v>24</v>
      </c>
      <c r="L73" s="5">
        <v>0.20512293911891738</v>
      </c>
      <c r="M73" s="5">
        <v>0.11066433369768329</v>
      </c>
      <c r="N73" s="6">
        <v>0</v>
      </c>
      <c r="O73" s="6">
        <v>1</v>
      </c>
      <c r="P73" s="6">
        <v>14</v>
      </c>
      <c r="Q73" s="5">
        <v>0.2834135058751277</v>
      </c>
      <c r="R73" s="5">
        <v>0.12337542484273473</v>
      </c>
      <c r="S73" s="6">
        <v>0</v>
      </c>
      <c r="T73" s="6">
        <v>1</v>
      </c>
      <c r="U73" s="6">
        <v>15</v>
      </c>
      <c r="V73" s="5">
        <v>0</v>
      </c>
      <c r="W73" s="5">
        <v>0</v>
      </c>
      <c r="X73" s="6" t="s">
        <v>18</v>
      </c>
      <c r="Y73" s="6" t="s">
        <v>18</v>
      </c>
      <c r="Z73" s="6">
        <v>0</v>
      </c>
      <c r="AA73" s="5">
        <v>0.39993409750087633</v>
      </c>
      <c r="AB73" s="5">
        <v>6.4293139616456399E-2</v>
      </c>
      <c r="AC73" s="6">
        <v>0</v>
      </c>
      <c r="AD73" s="6">
        <v>1</v>
      </c>
      <c r="AE73" s="6">
        <v>70</v>
      </c>
      <c r="AF73">
        <f>(AA75/AA74)-AA73</f>
        <v>-0.25986289069822865</v>
      </c>
    </row>
    <row r="74" spans="1:32" x14ac:dyDescent="0.45">
      <c r="A74" s="4" t="s">
        <v>19</v>
      </c>
      <c r="B74" s="5">
        <v>0</v>
      </c>
      <c r="C74" s="5">
        <v>0</v>
      </c>
      <c r="D74" s="6">
        <v>0</v>
      </c>
      <c r="E74" s="6">
        <v>0</v>
      </c>
      <c r="F74" s="6">
        <v>17</v>
      </c>
      <c r="G74" s="5">
        <v>0</v>
      </c>
      <c r="H74" s="5">
        <v>0</v>
      </c>
      <c r="I74" s="6">
        <v>0</v>
      </c>
      <c r="J74" s="6">
        <v>0</v>
      </c>
      <c r="K74" s="6">
        <v>24</v>
      </c>
      <c r="L74" s="5">
        <v>0.71055262583859791</v>
      </c>
      <c r="M74" s="5">
        <v>0.12715279466668242</v>
      </c>
      <c r="N74" s="6">
        <v>0</v>
      </c>
      <c r="O74" s="6">
        <v>1</v>
      </c>
      <c r="P74" s="6">
        <v>14</v>
      </c>
      <c r="Q74" s="5">
        <v>0.42574184698500656</v>
      </c>
      <c r="R74" s="5">
        <v>0.13436805480856345</v>
      </c>
      <c r="S74" s="6">
        <v>0</v>
      </c>
      <c r="T74" s="6">
        <v>1</v>
      </c>
      <c r="U74" s="6">
        <v>15</v>
      </c>
      <c r="V74" s="5">
        <v>0</v>
      </c>
      <c r="W74" s="5">
        <v>0</v>
      </c>
      <c r="X74" s="6" t="s">
        <v>18</v>
      </c>
      <c r="Y74" s="6" t="s">
        <v>18</v>
      </c>
      <c r="Z74" s="6">
        <v>0</v>
      </c>
      <c r="AA74" s="5">
        <v>0.33457906090797312</v>
      </c>
      <c r="AB74" s="5">
        <v>6.7173486802417734E-2</v>
      </c>
      <c r="AC74" s="6">
        <v>0</v>
      </c>
      <c r="AD74" s="6">
        <v>1</v>
      </c>
      <c r="AE74" s="6">
        <v>70</v>
      </c>
      <c r="AF74">
        <f>(AA75/AA73)-AA74</f>
        <v>-0.21739752243669122</v>
      </c>
    </row>
    <row r="75" spans="1:32" ht="26.25" x14ac:dyDescent="0.45">
      <c r="A75" s="4" t="s">
        <v>48</v>
      </c>
      <c r="B75" s="5">
        <v>0</v>
      </c>
      <c r="C75" s="5">
        <v>0</v>
      </c>
      <c r="D75" s="6">
        <v>0</v>
      </c>
      <c r="E75" s="6">
        <v>0</v>
      </c>
      <c r="F75" s="6">
        <v>17</v>
      </c>
      <c r="G75" s="5">
        <v>0</v>
      </c>
      <c r="H75" s="5">
        <v>0</v>
      </c>
      <c r="I75" s="6">
        <v>0</v>
      </c>
      <c r="J75" s="6">
        <v>0</v>
      </c>
      <c r="K75" s="6">
        <v>24</v>
      </c>
      <c r="L75" s="5">
        <v>0.13554393517489455</v>
      </c>
      <c r="M75" s="5">
        <v>9.337545118661221E-2</v>
      </c>
      <c r="N75" s="6">
        <v>0</v>
      </c>
      <c r="O75" s="6">
        <v>1</v>
      </c>
      <c r="P75" s="6">
        <v>14</v>
      </c>
      <c r="Q75" s="5">
        <v>0</v>
      </c>
      <c r="R75" s="5">
        <v>0</v>
      </c>
      <c r="S75" s="6">
        <v>0</v>
      </c>
      <c r="T75" s="6">
        <v>0</v>
      </c>
      <c r="U75" s="6">
        <v>15</v>
      </c>
      <c r="V75" s="5">
        <v>0</v>
      </c>
      <c r="W75" s="5">
        <v>0</v>
      </c>
      <c r="X75" s="6" t="s">
        <v>18</v>
      </c>
      <c r="Y75" s="6" t="s">
        <v>18</v>
      </c>
      <c r="Z75" s="6">
        <v>0</v>
      </c>
      <c r="AA75" s="5">
        <v>4.686489283227635E-2</v>
      </c>
      <c r="AB75" s="5">
        <v>3.2561799340909012E-2</v>
      </c>
      <c r="AC75" s="6">
        <v>0</v>
      </c>
      <c r="AD75" s="6">
        <v>1</v>
      </c>
      <c r="AE75" s="6">
        <v>70</v>
      </c>
    </row>
    <row r="76" spans="1:32" ht="26.25" x14ac:dyDescent="0.45">
      <c r="A76" s="4" t="s">
        <v>49</v>
      </c>
      <c r="B76" s="5">
        <v>0.86796810407416713</v>
      </c>
      <c r="C76" s="5">
        <v>6.9029031051668382E-2</v>
      </c>
      <c r="D76" s="6">
        <v>0</v>
      </c>
      <c r="E76" s="6">
        <v>1</v>
      </c>
      <c r="F76" s="6">
        <v>26</v>
      </c>
      <c r="G76" s="5">
        <v>0.87758536325392078</v>
      </c>
      <c r="H76" s="5">
        <v>5.8829506685055544E-2</v>
      </c>
      <c r="I76" s="6">
        <v>0</v>
      </c>
      <c r="J76" s="6">
        <v>1</v>
      </c>
      <c r="K76" s="6">
        <v>33</v>
      </c>
      <c r="L76" s="5">
        <v>0.75336777838953717</v>
      </c>
      <c r="M76" s="5">
        <v>8.3075435280680732E-2</v>
      </c>
      <c r="N76" s="6">
        <v>0</v>
      </c>
      <c r="O76" s="6">
        <v>1</v>
      </c>
      <c r="P76" s="6">
        <v>28</v>
      </c>
      <c r="Q76" s="5">
        <v>0.71699472840760436</v>
      </c>
      <c r="R76" s="5">
        <v>0.10060182921190944</v>
      </c>
      <c r="S76" s="6">
        <v>0</v>
      </c>
      <c r="T76" s="6">
        <v>1</v>
      </c>
      <c r="U76" s="6">
        <v>21</v>
      </c>
      <c r="V76" s="5">
        <v>0.60341186919640444</v>
      </c>
      <c r="W76" s="5">
        <v>0.1408602113188531</v>
      </c>
      <c r="X76" s="6">
        <v>0</v>
      </c>
      <c r="Y76" s="6">
        <v>1</v>
      </c>
      <c r="Z76" s="6">
        <v>14</v>
      </c>
      <c r="AA76" s="5">
        <v>0.79483373505514532</v>
      </c>
      <c r="AB76" s="5">
        <v>4.3778137271584312E-2</v>
      </c>
      <c r="AC76" s="6">
        <v>0</v>
      </c>
      <c r="AD76" s="6">
        <v>1</v>
      </c>
      <c r="AE76" s="6">
        <v>122</v>
      </c>
      <c r="AF76">
        <f>(AA78/AA77)-AA76</f>
        <v>4.1285491574641453E-2</v>
      </c>
    </row>
    <row r="77" spans="1:32" x14ac:dyDescent="0.45">
      <c r="A77" s="4" t="s">
        <v>14</v>
      </c>
      <c r="B77" s="5">
        <v>0.95593889001302101</v>
      </c>
      <c r="C77" s="5">
        <v>4.3853438100992057E-2</v>
      </c>
      <c r="D77" s="6">
        <v>0</v>
      </c>
      <c r="E77" s="6">
        <v>1</v>
      </c>
      <c r="F77" s="6">
        <v>26</v>
      </c>
      <c r="G77" s="5">
        <v>0.75555020098370718</v>
      </c>
      <c r="H77" s="5">
        <v>7.6639651307882639E-2</v>
      </c>
      <c r="I77" s="6">
        <v>0</v>
      </c>
      <c r="J77" s="6">
        <v>1</v>
      </c>
      <c r="K77" s="6">
        <v>33</v>
      </c>
      <c r="L77" s="5">
        <v>0.71229925102938108</v>
      </c>
      <c r="M77" s="5">
        <v>8.7861758305976312E-2</v>
      </c>
      <c r="N77" s="6">
        <v>0</v>
      </c>
      <c r="O77" s="6">
        <v>1</v>
      </c>
      <c r="P77" s="6">
        <v>28</v>
      </c>
      <c r="Q77" s="5">
        <v>0.90780412100827212</v>
      </c>
      <c r="R77" s="5">
        <v>6.377044877617917E-2</v>
      </c>
      <c r="S77" s="6">
        <v>0</v>
      </c>
      <c r="T77" s="6">
        <v>1</v>
      </c>
      <c r="U77" s="6">
        <v>21</v>
      </c>
      <c r="V77" s="5">
        <v>0.92686327810773295</v>
      </c>
      <c r="W77" s="5">
        <v>7.3261369808220761E-2</v>
      </c>
      <c r="X77" s="6">
        <v>0</v>
      </c>
      <c r="Y77" s="6">
        <v>1</v>
      </c>
      <c r="Z77" s="6">
        <v>14</v>
      </c>
      <c r="AA77" s="5">
        <v>0.78045574053202593</v>
      </c>
      <c r="AB77" s="5">
        <v>4.6037945365929415E-2</v>
      </c>
      <c r="AC77" s="6">
        <v>0</v>
      </c>
      <c r="AD77" s="6">
        <v>1</v>
      </c>
      <c r="AE77" s="6">
        <v>122</v>
      </c>
      <c r="AF77">
        <f>(AA78/AA76)-AA77</f>
        <v>4.0538665483140335E-2</v>
      </c>
    </row>
    <row r="78" spans="1:32" ht="39.4" x14ac:dyDescent="0.45">
      <c r="A78" s="4" t="s">
        <v>50</v>
      </c>
      <c r="B78" s="5">
        <v>0.82390699408718793</v>
      </c>
      <c r="C78" s="5">
        <v>7.8511631652946071E-2</v>
      </c>
      <c r="D78" s="6">
        <v>0</v>
      </c>
      <c r="E78" s="6">
        <v>1</v>
      </c>
      <c r="F78" s="6">
        <v>26</v>
      </c>
      <c r="G78" s="5">
        <v>0.69478264140628998</v>
      </c>
      <c r="H78" s="5">
        <v>8.2005783356172146E-2</v>
      </c>
      <c r="I78" s="6">
        <v>0</v>
      </c>
      <c r="J78" s="6">
        <v>1</v>
      </c>
      <c r="K78" s="6">
        <v>33</v>
      </c>
      <c r="L78" s="5">
        <v>0.60215556021378669</v>
      </c>
      <c r="M78" s="5">
        <v>9.5151793942598789E-2</v>
      </c>
      <c r="N78" s="6">
        <v>0</v>
      </c>
      <c r="O78" s="6">
        <v>1</v>
      </c>
      <c r="P78" s="6">
        <v>28</v>
      </c>
      <c r="Q78" s="5">
        <v>0.6247988494158766</v>
      </c>
      <c r="R78" s="5">
        <v>0.10812862932974862</v>
      </c>
      <c r="S78" s="6">
        <v>0</v>
      </c>
      <c r="T78" s="6">
        <v>1</v>
      </c>
      <c r="U78" s="6">
        <v>21</v>
      </c>
      <c r="V78" s="5">
        <v>0.60341186919640444</v>
      </c>
      <c r="W78" s="5">
        <v>0.1408602113188531</v>
      </c>
      <c r="X78" s="6">
        <v>0</v>
      </c>
      <c r="Y78" s="6">
        <v>1</v>
      </c>
      <c r="Z78" s="6">
        <v>14</v>
      </c>
      <c r="AA78" s="5">
        <v>0.65255405019241508</v>
      </c>
      <c r="AB78" s="5">
        <v>5.1606057758141338E-2</v>
      </c>
      <c r="AC78" s="6">
        <v>0</v>
      </c>
      <c r="AD78" s="6">
        <v>1</v>
      </c>
      <c r="AE78" s="6">
        <v>122</v>
      </c>
    </row>
    <row r="79" spans="1:32" ht="26.25" x14ac:dyDescent="0.45">
      <c r="A79" s="4" t="s">
        <v>49</v>
      </c>
      <c r="B79" s="5">
        <v>0.79063975609810044</v>
      </c>
      <c r="C79" s="5">
        <v>9.3716403388689432E-2</v>
      </c>
      <c r="D79" s="6">
        <v>0</v>
      </c>
      <c r="E79" s="6">
        <v>1</v>
      </c>
      <c r="F79" s="6">
        <v>20</v>
      </c>
      <c r="G79" s="5">
        <v>0.84225174857780161</v>
      </c>
      <c r="H79" s="5">
        <v>8.6980090992206452E-2</v>
      </c>
      <c r="I79" s="6">
        <v>0</v>
      </c>
      <c r="J79" s="6">
        <v>1</v>
      </c>
      <c r="K79" s="6">
        <v>18</v>
      </c>
      <c r="L79" s="5">
        <v>0.70503175440253851</v>
      </c>
      <c r="M79" s="5">
        <v>0.11497093775992601</v>
      </c>
      <c r="N79" s="6">
        <v>0</v>
      </c>
      <c r="O79" s="6">
        <v>1</v>
      </c>
      <c r="P79" s="6">
        <v>17</v>
      </c>
      <c r="Q79" s="5">
        <v>0.77799069058032899</v>
      </c>
      <c r="R79" s="5">
        <v>0.10093929225774757</v>
      </c>
      <c r="S79" s="6">
        <v>0</v>
      </c>
      <c r="T79" s="6">
        <v>1</v>
      </c>
      <c r="U79" s="6">
        <v>18</v>
      </c>
      <c r="V79" s="5">
        <v>0.55081262660042329</v>
      </c>
      <c r="W79" s="5">
        <v>0.10965442899624042</v>
      </c>
      <c r="X79" s="6">
        <v>0</v>
      </c>
      <c r="Y79" s="6">
        <v>1</v>
      </c>
      <c r="Z79" s="6">
        <v>24</v>
      </c>
      <c r="AA79" s="5">
        <v>0.76622164238042789</v>
      </c>
      <c r="AB79" s="5">
        <v>5.6154287563568384E-2</v>
      </c>
      <c r="AC79" s="6">
        <v>0</v>
      </c>
      <c r="AD79" s="6">
        <v>1</v>
      </c>
      <c r="AE79" s="6">
        <v>97</v>
      </c>
      <c r="AF79">
        <f>(AA81/AA80)-AA79</f>
        <v>0.14935483464170707</v>
      </c>
    </row>
    <row r="80" spans="1:32" ht="26.25" x14ac:dyDescent="0.45">
      <c r="A80" s="4" t="s">
        <v>16</v>
      </c>
      <c r="B80" s="5">
        <v>7.1336325400897155E-2</v>
      </c>
      <c r="C80" s="5">
        <v>5.7882821602989527E-2</v>
      </c>
      <c r="D80" s="6">
        <v>0</v>
      </c>
      <c r="E80" s="6">
        <v>1</v>
      </c>
      <c r="F80" s="6">
        <v>20</v>
      </c>
      <c r="G80" s="5">
        <v>0</v>
      </c>
      <c r="H80" s="5">
        <v>0</v>
      </c>
      <c r="I80" s="6">
        <v>0</v>
      </c>
      <c r="J80" s="6">
        <v>0</v>
      </c>
      <c r="K80" s="6">
        <v>18</v>
      </c>
      <c r="L80" s="5">
        <v>0</v>
      </c>
      <c r="M80" s="5">
        <v>0</v>
      </c>
      <c r="N80" s="6">
        <v>0</v>
      </c>
      <c r="O80" s="6">
        <v>0</v>
      </c>
      <c r="P80" s="6">
        <v>17</v>
      </c>
      <c r="Q80" s="5">
        <v>5.3704560725707499E-2</v>
      </c>
      <c r="R80" s="5">
        <v>5.381837036729397E-2</v>
      </c>
      <c r="S80" s="6">
        <v>0</v>
      </c>
      <c r="T80" s="6">
        <v>1</v>
      </c>
      <c r="U80" s="6">
        <v>18</v>
      </c>
      <c r="V80" s="5">
        <v>4.4080581985216215E-2</v>
      </c>
      <c r="W80" s="5">
        <v>3.5713430966659132E-2</v>
      </c>
      <c r="X80" s="6">
        <v>0</v>
      </c>
      <c r="Y80" s="6">
        <v>1</v>
      </c>
      <c r="Z80" s="6">
        <v>24</v>
      </c>
      <c r="AA80" s="5">
        <v>1.9667107846281076E-2</v>
      </c>
      <c r="AB80" s="5">
        <v>1.4036645852359473E-2</v>
      </c>
      <c r="AC80" s="6">
        <v>0</v>
      </c>
      <c r="AD80" s="6">
        <v>1</v>
      </c>
      <c r="AE80" s="6">
        <v>97</v>
      </c>
      <c r="AF80">
        <f>(AA81/AA79)-AA80</f>
        <v>3.8335874083853215E-3</v>
      </c>
    </row>
    <row r="81" spans="1:32" ht="39.4" x14ac:dyDescent="0.45">
      <c r="A81" s="4" t="s">
        <v>51</v>
      </c>
      <c r="B81" s="5">
        <v>5.6303378546434732E-2</v>
      </c>
      <c r="C81" s="5">
        <v>5.6027658866812949E-2</v>
      </c>
      <c r="D81" s="6">
        <v>0</v>
      </c>
      <c r="E81" s="6">
        <v>1</v>
      </c>
      <c r="F81" s="6">
        <v>20</v>
      </c>
      <c r="G81" s="5">
        <v>0</v>
      </c>
      <c r="H81" s="5">
        <v>0</v>
      </c>
      <c r="I81" s="6">
        <v>0</v>
      </c>
      <c r="J81" s="6">
        <v>0</v>
      </c>
      <c r="K81" s="6">
        <v>18</v>
      </c>
      <c r="L81" s="5">
        <v>0</v>
      </c>
      <c r="M81" s="5">
        <v>0</v>
      </c>
      <c r="N81" s="6">
        <v>0</v>
      </c>
      <c r="O81" s="6">
        <v>0</v>
      </c>
      <c r="P81" s="6">
        <v>17</v>
      </c>
      <c r="Q81" s="5">
        <v>5.3704560725707499E-2</v>
      </c>
      <c r="R81" s="5">
        <v>5.381837036729397E-2</v>
      </c>
      <c r="S81" s="6">
        <v>0</v>
      </c>
      <c r="T81" s="6">
        <v>1</v>
      </c>
      <c r="U81" s="6">
        <v>18</v>
      </c>
      <c r="V81" s="5">
        <v>0</v>
      </c>
      <c r="W81" s="5">
        <v>0</v>
      </c>
      <c r="X81" s="6">
        <v>0</v>
      </c>
      <c r="Y81" s="6">
        <v>0</v>
      </c>
      <c r="Z81" s="6">
        <v>24</v>
      </c>
      <c r="AA81" s="5">
        <v>1.8006741315112415E-2</v>
      </c>
      <c r="AB81" s="5">
        <v>1.3957539633398717E-2</v>
      </c>
      <c r="AC81" s="6">
        <v>0</v>
      </c>
      <c r="AD81" s="6">
        <v>1</v>
      </c>
      <c r="AE81" s="6">
        <v>97</v>
      </c>
    </row>
    <row r="82" spans="1:32" ht="26.25" x14ac:dyDescent="0.45">
      <c r="A82" s="4" t="s">
        <v>49</v>
      </c>
      <c r="B82" s="5">
        <v>0.9577326462967638</v>
      </c>
      <c r="C82" s="5">
        <v>4.3036268267689679E-2</v>
      </c>
      <c r="D82" s="6">
        <v>0</v>
      </c>
      <c r="E82" s="6">
        <v>1</v>
      </c>
      <c r="F82" s="6">
        <v>17</v>
      </c>
      <c r="G82" s="5">
        <v>0.90561792540374686</v>
      </c>
      <c r="H82" s="5">
        <v>6.4756831197252618E-2</v>
      </c>
      <c r="I82" s="6">
        <v>0</v>
      </c>
      <c r="J82" s="6">
        <v>1</v>
      </c>
      <c r="K82" s="6">
        <v>24</v>
      </c>
      <c r="L82" s="5">
        <v>0.9184352422297225</v>
      </c>
      <c r="M82" s="5">
        <v>8.0706273467193598E-2</v>
      </c>
      <c r="N82" s="6">
        <v>0</v>
      </c>
      <c r="O82" s="6">
        <v>1</v>
      </c>
      <c r="P82" s="6">
        <v>14</v>
      </c>
      <c r="Q82" s="5">
        <v>1</v>
      </c>
      <c r="R82" s="5">
        <v>0</v>
      </c>
      <c r="S82" s="6">
        <v>1</v>
      </c>
      <c r="T82" s="6">
        <v>1</v>
      </c>
      <c r="U82" s="6">
        <v>15</v>
      </c>
      <c r="V82" s="5">
        <v>0</v>
      </c>
      <c r="W82" s="5">
        <v>0</v>
      </c>
      <c r="X82" s="6" t="s">
        <v>18</v>
      </c>
      <c r="Y82" s="6" t="s">
        <v>18</v>
      </c>
      <c r="Z82" s="6">
        <v>0</v>
      </c>
      <c r="AA82" s="5">
        <v>0.93352302604079851</v>
      </c>
      <c r="AB82" s="5">
        <v>3.6573996652576934E-2</v>
      </c>
      <c r="AC82" s="6">
        <v>0</v>
      </c>
      <c r="AD82" s="6">
        <v>1</v>
      </c>
      <c r="AE82" s="6">
        <v>70</v>
      </c>
      <c r="AF82">
        <f>(AA84/AA83)-AA82</f>
        <v>-1.7812109419606315E-2</v>
      </c>
    </row>
    <row r="83" spans="1:32" x14ac:dyDescent="0.45">
      <c r="A83" s="4" t="s">
        <v>19</v>
      </c>
      <c r="B83" s="5">
        <v>0</v>
      </c>
      <c r="C83" s="5">
        <v>0</v>
      </c>
      <c r="D83" s="6">
        <v>0</v>
      </c>
      <c r="E83" s="6">
        <v>0</v>
      </c>
      <c r="F83" s="6">
        <v>17</v>
      </c>
      <c r="G83" s="5">
        <v>0</v>
      </c>
      <c r="H83" s="5">
        <v>0</v>
      </c>
      <c r="I83" s="6">
        <v>0</v>
      </c>
      <c r="J83" s="6">
        <v>0</v>
      </c>
      <c r="K83" s="6">
        <v>24</v>
      </c>
      <c r="L83" s="5">
        <v>0.71055262583859791</v>
      </c>
      <c r="M83" s="5">
        <v>0.12715279466668242</v>
      </c>
      <c r="N83" s="6">
        <v>0</v>
      </c>
      <c r="O83" s="6">
        <v>1</v>
      </c>
      <c r="P83" s="6">
        <v>14</v>
      </c>
      <c r="Q83" s="5">
        <v>0.42574184698500656</v>
      </c>
      <c r="R83" s="5">
        <v>0.13436805480856345</v>
      </c>
      <c r="S83" s="6">
        <v>0</v>
      </c>
      <c r="T83" s="6">
        <v>1</v>
      </c>
      <c r="U83" s="6">
        <v>15</v>
      </c>
      <c r="V83" s="5">
        <v>0</v>
      </c>
      <c r="W83" s="5">
        <v>0</v>
      </c>
      <c r="X83" s="6" t="s">
        <v>18</v>
      </c>
      <c r="Y83" s="6" t="s">
        <v>18</v>
      </c>
      <c r="Z83" s="6">
        <v>0</v>
      </c>
      <c r="AA83" s="5">
        <v>0.33457906090797312</v>
      </c>
      <c r="AB83" s="5">
        <v>6.7173486802417734E-2</v>
      </c>
      <c r="AC83" s="6">
        <v>0</v>
      </c>
      <c r="AD83" s="6">
        <v>1</v>
      </c>
      <c r="AE83" s="6">
        <v>70</v>
      </c>
      <c r="AF83">
        <f>(AA84/AA82)-AA83</f>
        <v>-6.3839441300952982E-3</v>
      </c>
    </row>
    <row r="84" spans="1:32" ht="39.4" x14ac:dyDescent="0.45">
      <c r="A84" s="4" t="s">
        <v>52</v>
      </c>
      <c r="B84" s="5">
        <v>0</v>
      </c>
      <c r="C84" s="5">
        <v>0</v>
      </c>
      <c r="D84" s="6">
        <v>0</v>
      </c>
      <c r="E84" s="6">
        <v>0</v>
      </c>
      <c r="F84" s="6">
        <v>17</v>
      </c>
      <c r="G84" s="5">
        <v>0</v>
      </c>
      <c r="H84" s="5">
        <v>0</v>
      </c>
      <c r="I84" s="6">
        <v>0</v>
      </c>
      <c r="J84" s="6">
        <v>0</v>
      </c>
      <c r="K84" s="6">
        <v>24</v>
      </c>
      <c r="L84" s="5">
        <v>0.62898786806832019</v>
      </c>
      <c r="M84" s="5">
        <v>0.13590574428895577</v>
      </c>
      <c r="N84" s="6">
        <v>0</v>
      </c>
      <c r="O84" s="6">
        <v>1</v>
      </c>
      <c r="P84" s="6">
        <v>14</v>
      </c>
      <c r="Q84" s="5">
        <v>0.42574184698500656</v>
      </c>
      <c r="R84" s="5">
        <v>0.13436805480856345</v>
      </c>
      <c r="S84" s="6">
        <v>0</v>
      </c>
      <c r="T84" s="6">
        <v>1</v>
      </c>
      <c r="U84" s="6">
        <v>15</v>
      </c>
      <c r="V84" s="5">
        <v>0</v>
      </c>
      <c r="W84" s="5">
        <v>0</v>
      </c>
      <c r="X84" s="6" t="s">
        <v>18</v>
      </c>
      <c r="Y84" s="6" t="s">
        <v>18</v>
      </c>
      <c r="Z84" s="6">
        <v>0</v>
      </c>
      <c r="AA84" s="5">
        <v>0.30637769854629776</v>
      </c>
      <c r="AB84" s="5">
        <v>6.5562730025515853E-2</v>
      </c>
      <c r="AC84" s="6">
        <v>0</v>
      </c>
      <c r="AD84" s="6">
        <v>1</v>
      </c>
      <c r="AE84" s="6">
        <v>70</v>
      </c>
    </row>
    <row r="85" spans="1:32" x14ac:dyDescent="0.45">
      <c r="A85" s="4" t="s">
        <v>53</v>
      </c>
      <c r="B85" s="5">
        <v>0.51718292900742091</v>
      </c>
      <c r="C85" s="5">
        <v>0.10253194108164224</v>
      </c>
      <c r="D85" s="6">
        <v>0</v>
      </c>
      <c r="E85" s="6">
        <v>1</v>
      </c>
      <c r="F85" s="6">
        <v>26</v>
      </c>
      <c r="G85" s="5">
        <v>0.53523070579893972</v>
      </c>
      <c r="H85" s="5">
        <v>8.8803689859276336E-2</v>
      </c>
      <c r="I85" s="6">
        <v>0</v>
      </c>
      <c r="J85" s="6">
        <v>1</v>
      </c>
      <c r="K85" s="6">
        <v>33</v>
      </c>
      <c r="L85" s="5">
        <v>0.60283704659921933</v>
      </c>
      <c r="M85" s="5">
        <v>9.5150649411776908E-2</v>
      </c>
      <c r="N85" s="6">
        <v>0</v>
      </c>
      <c r="O85" s="6">
        <v>1</v>
      </c>
      <c r="P85" s="6">
        <v>28</v>
      </c>
      <c r="Q85" s="5">
        <v>1</v>
      </c>
      <c r="R85" s="5">
        <v>0</v>
      </c>
      <c r="S85" s="6">
        <v>1</v>
      </c>
      <c r="T85" s="6">
        <v>1</v>
      </c>
      <c r="U85" s="6">
        <v>21</v>
      </c>
      <c r="V85" s="5">
        <v>0.84897887202405498</v>
      </c>
      <c r="W85" s="5">
        <v>0.10324935287937476</v>
      </c>
      <c r="X85" s="6">
        <v>0</v>
      </c>
      <c r="Y85" s="6">
        <v>1</v>
      </c>
      <c r="Z85" s="6">
        <v>14</v>
      </c>
      <c r="AA85" s="5">
        <v>0.6476512057239503</v>
      </c>
      <c r="AB85" s="5">
        <v>5.1642284320725783E-2</v>
      </c>
      <c r="AC85" s="6">
        <v>0</v>
      </c>
      <c r="AD85" s="6">
        <v>1</v>
      </c>
      <c r="AE85" s="6">
        <v>122</v>
      </c>
      <c r="AF85">
        <f>(AA87/AA86)-AA85</f>
        <v>-1.2825017265987171E-3</v>
      </c>
    </row>
    <row r="86" spans="1:32" x14ac:dyDescent="0.45">
      <c r="A86" s="4" t="s">
        <v>14</v>
      </c>
      <c r="B86" s="5">
        <v>0.95593889001302101</v>
      </c>
      <c r="C86" s="5">
        <v>4.3853438100992057E-2</v>
      </c>
      <c r="D86" s="6">
        <v>0</v>
      </c>
      <c r="E86" s="6">
        <v>1</v>
      </c>
      <c r="F86" s="6">
        <v>26</v>
      </c>
      <c r="G86" s="5">
        <v>0.75555020098370718</v>
      </c>
      <c r="H86" s="5">
        <v>7.6639651307882639E-2</v>
      </c>
      <c r="I86" s="6">
        <v>0</v>
      </c>
      <c r="J86" s="6">
        <v>1</v>
      </c>
      <c r="K86" s="6">
        <v>33</v>
      </c>
      <c r="L86" s="5">
        <v>0.71229925102938108</v>
      </c>
      <c r="M86" s="5">
        <v>8.7861758305976312E-2</v>
      </c>
      <c r="N86" s="6">
        <v>0</v>
      </c>
      <c r="O86" s="6">
        <v>1</v>
      </c>
      <c r="P86" s="6">
        <v>28</v>
      </c>
      <c r="Q86" s="5">
        <v>0.90780412100827212</v>
      </c>
      <c r="R86" s="5">
        <v>6.377044877617917E-2</v>
      </c>
      <c r="S86" s="6">
        <v>0</v>
      </c>
      <c r="T86" s="6">
        <v>1</v>
      </c>
      <c r="U86" s="6">
        <v>21</v>
      </c>
      <c r="V86" s="5">
        <v>0.92686327810773295</v>
      </c>
      <c r="W86" s="5">
        <v>7.3261369808220761E-2</v>
      </c>
      <c r="X86" s="6">
        <v>0</v>
      </c>
      <c r="Y86" s="6">
        <v>1</v>
      </c>
      <c r="Z86" s="6">
        <v>14</v>
      </c>
      <c r="AA86" s="5">
        <v>0.78045574053202593</v>
      </c>
      <c r="AB86" s="5">
        <v>4.6037945365929415E-2</v>
      </c>
      <c r="AC86" s="6">
        <v>0</v>
      </c>
      <c r="AD86" s="6">
        <v>1</v>
      </c>
      <c r="AE86" s="6">
        <v>122</v>
      </c>
      <c r="AF86">
        <f>(AA87/AA85)-AA86</f>
        <v>-1.5454859435447554E-3</v>
      </c>
    </row>
    <row r="87" spans="1:32" ht="26.25" x14ac:dyDescent="0.45">
      <c r="A87" s="4" t="s">
        <v>54</v>
      </c>
      <c r="B87" s="5">
        <v>0.47312181902044176</v>
      </c>
      <c r="C87" s="5">
        <v>0.10284507829205138</v>
      </c>
      <c r="D87" s="6">
        <v>0</v>
      </c>
      <c r="E87" s="6">
        <v>1</v>
      </c>
      <c r="F87" s="6">
        <v>26</v>
      </c>
      <c r="G87" s="5">
        <v>0.39107979924635095</v>
      </c>
      <c r="H87" s="5">
        <v>8.6513643652445016E-2</v>
      </c>
      <c r="I87" s="6">
        <v>0</v>
      </c>
      <c r="J87" s="6">
        <v>1</v>
      </c>
      <c r="K87" s="6">
        <v>33</v>
      </c>
      <c r="L87" s="5">
        <v>0.42026183334577599</v>
      </c>
      <c r="M87" s="5">
        <v>9.5803789822795291E-2</v>
      </c>
      <c r="N87" s="6">
        <v>0</v>
      </c>
      <c r="O87" s="6">
        <v>1</v>
      </c>
      <c r="P87" s="6">
        <v>28</v>
      </c>
      <c r="Q87" s="5">
        <v>0.90780412100827212</v>
      </c>
      <c r="R87" s="5">
        <v>6.377044877617917E-2</v>
      </c>
      <c r="S87" s="6">
        <v>0</v>
      </c>
      <c r="T87" s="6">
        <v>1</v>
      </c>
      <c r="U87" s="6">
        <v>21</v>
      </c>
      <c r="V87" s="5">
        <v>0.77584215013178781</v>
      </c>
      <c r="W87" s="5">
        <v>0.11962893778847009</v>
      </c>
      <c r="X87" s="6">
        <v>0</v>
      </c>
      <c r="Y87" s="6">
        <v>1</v>
      </c>
      <c r="Z87" s="6">
        <v>14</v>
      </c>
      <c r="AA87" s="5">
        <v>0.50446216553497891</v>
      </c>
      <c r="AB87" s="5">
        <v>5.3592391356687995E-2</v>
      </c>
      <c r="AC87" s="6">
        <v>0</v>
      </c>
      <c r="AD87" s="6">
        <v>1</v>
      </c>
      <c r="AE87" s="6">
        <v>122</v>
      </c>
    </row>
    <row r="88" spans="1:32" x14ac:dyDescent="0.45">
      <c r="A88" s="4" t="s">
        <v>53</v>
      </c>
      <c r="B88" s="5">
        <v>0.58231142960255788</v>
      </c>
      <c r="C88" s="5">
        <v>0.11533634775087408</v>
      </c>
      <c r="D88" s="6">
        <v>0</v>
      </c>
      <c r="E88" s="6">
        <v>1</v>
      </c>
      <c r="F88" s="6">
        <v>20</v>
      </c>
      <c r="G88" s="5">
        <v>0.7113684126085793</v>
      </c>
      <c r="H88" s="5">
        <v>0.11198015482563893</v>
      </c>
      <c r="I88" s="6">
        <v>0</v>
      </c>
      <c r="J88" s="6">
        <v>1</v>
      </c>
      <c r="K88" s="6">
        <v>18</v>
      </c>
      <c r="L88" s="5">
        <v>0.63921733224464428</v>
      </c>
      <c r="M88" s="5">
        <v>0.12186593218076269</v>
      </c>
      <c r="N88" s="6">
        <v>0</v>
      </c>
      <c r="O88" s="6">
        <v>1</v>
      </c>
      <c r="P88" s="6">
        <v>17</v>
      </c>
      <c r="Q88" s="5">
        <v>1</v>
      </c>
      <c r="R88" s="5">
        <v>0</v>
      </c>
      <c r="S88" s="6">
        <v>1</v>
      </c>
      <c r="T88" s="6">
        <v>1</v>
      </c>
      <c r="U88" s="6">
        <v>18</v>
      </c>
      <c r="V88" s="5">
        <v>0.74908418601732862</v>
      </c>
      <c r="W88" s="5">
        <v>0.10100063985940627</v>
      </c>
      <c r="X88" s="6">
        <v>0</v>
      </c>
      <c r="Y88" s="6">
        <v>1</v>
      </c>
      <c r="Z88" s="6">
        <v>24</v>
      </c>
      <c r="AA88" s="5">
        <v>0.74189966728962042</v>
      </c>
      <c r="AB88" s="5">
        <v>5.9021033236681827E-2</v>
      </c>
      <c r="AC88" s="6">
        <v>0</v>
      </c>
      <c r="AD88" s="6">
        <v>1</v>
      </c>
      <c r="AE88" s="6">
        <v>97</v>
      </c>
      <c r="AF88">
        <f>(AA90/AA89)-AA88</f>
        <v>4.2230636177911229E-3</v>
      </c>
    </row>
    <row r="89" spans="1:32" ht="26.25" x14ac:dyDescent="0.45">
      <c r="A89" s="4" t="s">
        <v>16</v>
      </c>
      <c r="B89" s="5">
        <v>7.1336325400897155E-2</v>
      </c>
      <c r="C89" s="5">
        <v>5.7882821602989527E-2</v>
      </c>
      <c r="D89" s="6">
        <v>0</v>
      </c>
      <c r="E89" s="6">
        <v>1</v>
      </c>
      <c r="F89" s="6">
        <v>20</v>
      </c>
      <c r="G89" s="5">
        <v>0</v>
      </c>
      <c r="H89" s="5">
        <v>0</v>
      </c>
      <c r="I89" s="6">
        <v>0</v>
      </c>
      <c r="J89" s="6">
        <v>0</v>
      </c>
      <c r="K89" s="6">
        <v>18</v>
      </c>
      <c r="L89" s="5">
        <v>0</v>
      </c>
      <c r="M89" s="5">
        <v>0</v>
      </c>
      <c r="N89" s="6">
        <v>0</v>
      </c>
      <c r="O89" s="6">
        <v>0</v>
      </c>
      <c r="P89" s="6">
        <v>17</v>
      </c>
      <c r="Q89" s="5">
        <v>5.3704560725707499E-2</v>
      </c>
      <c r="R89" s="5">
        <v>5.381837036729397E-2</v>
      </c>
      <c r="S89" s="6">
        <v>0</v>
      </c>
      <c r="T89" s="6">
        <v>1</v>
      </c>
      <c r="U89" s="6">
        <v>18</v>
      </c>
      <c r="V89" s="5">
        <v>4.4080581985216215E-2</v>
      </c>
      <c r="W89" s="5">
        <v>3.5713430966659132E-2</v>
      </c>
      <c r="X89" s="6">
        <v>0</v>
      </c>
      <c r="Y89" s="6">
        <v>1</v>
      </c>
      <c r="Z89" s="6">
        <v>24</v>
      </c>
      <c r="AA89" s="5">
        <v>1.9667107846281076E-2</v>
      </c>
      <c r="AB89" s="5">
        <v>1.4036645852359473E-2</v>
      </c>
      <c r="AC89" s="6">
        <v>0</v>
      </c>
      <c r="AD89" s="6">
        <v>1</v>
      </c>
      <c r="AE89" s="6">
        <v>97</v>
      </c>
      <c r="AF89">
        <f>(AA90/AA88)-AA89</f>
        <v>1.1194970327487591E-4</v>
      </c>
    </row>
    <row r="90" spans="1:32" ht="39.4" x14ac:dyDescent="0.45">
      <c r="A90" s="4" t="s">
        <v>55</v>
      </c>
      <c r="B90" s="5">
        <v>1.5032946854462425E-2</v>
      </c>
      <c r="C90" s="5">
        <v>1.5601816467078549E-2</v>
      </c>
      <c r="D90" s="6">
        <v>0</v>
      </c>
      <c r="E90" s="6">
        <v>1</v>
      </c>
      <c r="F90" s="6">
        <v>20</v>
      </c>
      <c r="G90" s="5">
        <v>0</v>
      </c>
      <c r="H90" s="5">
        <v>0</v>
      </c>
      <c r="I90" s="6">
        <v>0</v>
      </c>
      <c r="J90" s="6">
        <v>0</v>
      </c>
      <c r="K90" s="6">
        <v>18</v>
      </c>
      <c r="L90" s="5">
        <v>0</v>
      </c>
      <c r="M90" s="5">
        <v>0</v>
      </c>
      <c r="N90" s="6">
        <v>0</v>
      </c>
      <c r="O90" s="6">
        <v>0</v>
      </c>
      <c r="P90" s="6">
        <v>17</v>
      </c>
      <c r="Q90" s="5">
        <v>5.3704560725707499E-2</v>
      </c>
      <c r="R90" s="5">
        <v>5.381837036729397E-2</v>
      </c>
      <c r="S90" s="6">
        <v>0</v>
      </c>
      <c r="T90" s="6">
        <v>1</v>
      </c>
      <c r="U90" s="6">
        <v>18</v>
      </c>
      <c r="V90" s="5">
        <v>4.4080581985216215E-2</v>
      </c>
      <c r="W90" s="5">
        <v>3.5713430966659132E-2</v>
      </c>
      <c r="X90" s="6">
        <v>0</v>
      </c>
      <c r="Y90" s="6">
        <v>1</v>
      </c>
      <c r="Z90" s="6">
        <v>24</v>
      </c>
      <c r="AA90" s="5">
        <v>1.4674076215317817E-2</v>
      </c>
      <c r="AB90" s="5">
        <v>1.3099965398331788E-2</v>
      </c>
      <c r="AC90" s="6">
        <v>0</v>
      </c>
      <c r="AD90" s="6">
        <v>1</v>
      </c>
      <c r="AE90" s="6">
        <v>97</v>
      </c>
    </row>
    <row r="91" spans="1:32" x14ac:dyDescent="0.45">
      <c r="A91" s="4" t="s">
        <v>53</v>
      </c>
      <c r="B91" s="5">
        <v>0.39458701349161718</v>
      </c>
      <c r="C91" s="5">
        <v>0.12281640000718806</v>
      </c>
      <c r="D91" s="6">
        <v>0</v>
      </c>
      <c r="E91" s="6">
        <v>1</v>
      </c>
      <c r="F91" s="6">
        <v>17</v>
      </c>
      <c r="G91" s="5">
        <v>0.53222225674059997</v>
      </c>
      <c r="H91" s="5">
        <v>0.10485542192211683</v>
      </c>
      <c r="I91" s="6">
        <v>0</v>
      </c>
      <c r="J91" s="6">
        <v>1</v>
      </c>
      <c r="K91" s="6">
        <v>24</v>
      </c>
      <c r="L91" s="5">
        <v>0.36731921234618164</v>
      </c>
      <c r="M91" s="5">
        <v>0.13512266265656731</v>
      </c>
      <c r="N91" s="6">
        <v>0</v>
      </c>
      <c r="O91" s="6">
        <v>1</v>
      </c>
      <c r="P91" s="6">
        <v>14</v>
      </c>
      <c r="Q91" s="5">
        <v>0.92992010703860695</v>
      </c>
      <c r="R91" s="5">
        <v>6.9872308408389427E-2</v>
      </c>
      <c r="S91" s="6">
        <v>0</v>
      </c>
      <c r="T91" s="6">
        <v>1</v>
      </c>
      <c r="U91" s="6">
        <v>15</v>
      </c>
      <c r="V91" s="5">
        <v>0</v>
      </c>
      <c r="W91" s="5">
        <v>0</v>
      </c>
      <c r="X91" s="6" t="s">
        <v>18</v>
      </c>
      <c r="Y91" s="6" t="s">
        <v>18</v>
      </c>
      <c r="Z91" s="6">
        <v>0</v>
      </c>
      <c r="AA91" s="5">
        <v>0.54830983957585355</v>
      </c>
      <c r="AB91" s="5">
        <v>6.7291218424280264E-2</v>
      </c>
      <c r="AC91" s="6">
        <v>0</v>
      </c>
      <c r="AD91" s="6">
        <v>1</v>
      </c>
      <c r="AE91" s="6">
        <v>70</v>
      </c>
      <c r="AF91">
        <f>(AA93/AA92)-AA91</f>
        <v>-1.8648832572385698E-2</v>
      </c>
    </row>
    <row r="92" spans="1:32" x14ac:dyDescent="0.45">
      <c r="A92" s="4" t="s">
        <v>19</v>
      </c>
      <c r="B92" s="5">
        <v>0</v>
      </c>
      <c r="C92" s="5">
        <v>0</v>
      </c>
      <c r="D92" s="6">
        <v>0</v>
      </c>
      <c r="E92" s="6">
        <v>0</v>
      </c>
      <c r="F92" s="6">
        <v>17</v>
      </c>
      <c r="G92" s="5">
        <v>0</v>
      </c>
      <c r="H92" s="5">
        <v>0</v>
      </c>
      <c r="I92" s="6">
        <v>0</v>
      </c>
      <c r="J92" s="6">
        <v>0</v>
      </c>
      <c r="K92" s="6">
        <v>24</v>
      </c>
      <c r="L92" s="5">
        <v>0.71055262583859791</v>
      </c>
      <c r="M92" s="5">
        <v>0.12715279466668242</v>
      </c>
      <c r="N92" s="6">
        <v>0</v>
      </c>
      <c r="O92" s="6">
        <v>1</v>
      </c>
      <c r="P92" s="6">
        <v>14</v>
      </c>
      <c r="Q92" s="5">
        <v>0.42574184698500656</v>
      </c>
      <c r="R92" s="5">
        <v>0.13436805480856345</v>
      </c>
      <c r="S92" s="6">
        <v>0</v>
      </c>
      <c r="T92" s="6">
        <v>1</v>
      </c>
      <c r="U92" s="6">
        <v>15</v>
      </c>
      <c r="V92" s="5">
        <v>0</v>
      </c>
      <c r="W92" s="5">
        <v>0</v>
      </c>
      <c r="X92" s="6" t="s">
        <v>18</v>
      </c>
      <c r="Y92" s="6" t="s">
        <v>18</v>
      </c>
      <c r="Z92" s="6">
        <v>0</v>
      </c>
      <c r="AA92" s="5">
        <v>0.33457906090797312</v>
      </c>
      <c r="AB92" s="5">
        <v>6.7173486802417734E-2</v>
      </c>
      <c r="AC92" s="6">
        <v>0</v>
      </c>
      <c r="AD92" s="6">
        <v>1</v>
      </c>
      <c r="AE92" s="6">
        <v>70</v>
      </c>
      <c r="AF92">
        <f>(AA93/AA91)-AA92</f>
        <v>-1.1379531131386234E-2</v>
      </c>
    </row>
    <row r="93" spans="1:32" ht="26.25" x14ac:dyDescent="0.45">
      <c r="A93" s="4" t="s">
        <v>56</v>
      </c>
      <c r="B93" s="5">
        <v>0</v>
      </c>
      <c r="C93" s="5">
        <v>0</v>
      </c>
      <c r="D93" s="6">
        <v>0</v>
      </c>
      <c r="E93" s="6">
        <v>0</v>
      </c>
      <c r="F93" s="6">
        <v>17</v>
      </c>
      <c r="G93" s="5">
        <v>0</v>
      </c>
      <c r="H93" s="5">
        <v>0</v>
      </c>
      <c r="I93" s="6">
        <v>0</v>
      </c>
      <c r="J93" s="6">
        <v>0</v>
      </c>
      <c r="K93" s="6">
        <v>24</v>
      </c>
      <c r="L93" s="5">
        <v>0.29774020840215881</v>
      </c>
      <c r="M93" s="5">
        <v>0.12890765713007057</v>
      </c>
      <c r="N93" s="6">
        <v>0</v>
      </c>
      <c r="O93" s="6">
        <v>1</v>
      </c>
      <c r="P93" s="6">
        <v>14</v>
      </c>
      <c r="Q93" s="5">
        <v>0.3556619540236135</v>
      </c>
      <c r="R93" s="5">
        <v>0.13087764539523974</v>
      </c>
      <c r="S93" s="6">
        <v>0</v>
      </c>
      <c r="T93" s="6">
        <v>1</v>
      </c>
      <c r="U93" s="6">
        <v>15</v>
      </c>
      <c r="V93" s="5">
        <v>0</v>
      </c>
      <c r="W93" s="5">
        <v>0</v>
      </c>
      <c r="X93" s="6" t="s">
        <v>18</v>
      </c>
      <c r="Y93" s="6" t="s">
        <v>18</v>
      </c>
      <c r="Z93" s="6">
        <v>0</v>
      </c>
      <c r="AA93" s="5">
        <v>0.17721348232279166</v>
      </c>
      <c r="AB93" s="5">
        <v>5.5176436687747091E-2</v>
      </c>
      <c r="AC93" s="6">
        <v>0</v>
      </c>
      <c r="AD93" s="6">
        <v>1</v>
      </c>
      <c r="AE93" s="6">
        <v>70</v>
      </c>
    </row>
    <row r="94" spans="1:32" x14ac:dyDescent="0.45">
      <c r="A94" s="4" t="s">
        <v>57</v>
      </c>
      <c r="B94" s="5">
        <v>0.71545555194416599</v>
      </c>
      <c r="C94" s="5">
        <v>9.3738181692857331E-2</v>
      </c>
      <c r="D94" s="6">
        <v>0</v>
      </c>
      <c r="E94" s="6">
        <v>1</v>
      </c>
      <c r="F94" s="6">
        <v>26</v>
      </c>
      <c r="G94" s="5">
        <v>0.93054095343111487</v>
      </c>
      <c r="H94" s="5">
        <v>4.8022712095490867E-2</v>
      </c>
      <c r="I94" s="6">
        <v>0</v>
      </c>
      <c r="J94" s="6">
        <v>1</v>
      </c>
      <c r="K94" s="6">
        <v>33</v>
      </c>
      <c r="L94" s="5">
        <v>0.81796395760735496</v>
      </c>
      <c r="M94" s="5">
        <v>7.5167518009150447E-2</v>
      </c>
      <c r="N94" s="6">
        <v>0</v>
      </c>
      <c r="O94" s="6">
        <v>1</v>
      </c>
      <c r="P94" s="6">
        <v>28</v>
      </c>
      <c r="Q94" s="5">
        <v>0.95096169307627731</v>
      </c>
      <c r="R94" s="5">
        <v>4.8970779714066305E-2</v>
      </c>
      <c r="S94" s="6">
        <v>0</v>
      </c>
      <c r="T94" s="6">
        <v>1</v>
      </c>
      <c r="U94" s="6">
        <v>21</v>
      </c>
      <c r="V94" s="5">
        <v>0.93520921033567939</v>
      </c>
      <c r="W94" s="5">
        <v>6.5479976997120271E-2</v>
      </c>
      <c r="X94" s="6">
        <v>0</v>
      </c>
      <c r="Y94" s="6">
        <v>1</v>
      </c>
      <c r="Z94" s="6">
        <v>14</v>
      </c>
      <c r="AA94" s="5">
        <v>0.87107224131154692</v>
      </c>
      <c r="AB94" s="5">
        <v>3.6955011710979341E-2</v>
      </c>
      <c r="AC94" s="6">
        <v>0</v>
      </c>
      <c r="AD94" s="6">
        <v>1</v>
      </c>
      <c r="AE94" s="6">
        <v>122</v>
      </c>
      <c r="AF94">
        <f>(AA96/AA95)-AA94</f>
        <v>-1.2565642741363403E-3</v>
      </c>
    </row>
    <row r="95" spans="1:32" x14ac:dyDescent="0.45">
      <c r="A95" s="4" t="s">
        <v>14</v>
      </c>
      <c r="B95" s="5">
        <v>0.95593889001302101</v>
      </c>
      <c r="C95" s="5">
        <v>4.3853438100992057E-2</v>
      </c>
      <c r="D95" s="6">
        <v>0</v>
      </c>
      <c r="E95" s="6">
        <v>1</v>
      </c>
      <c r="F95" s="6">
        <v>26</v>
      </c>
      <c r="G95" s="5">
        <v>0.75555020098370718</v>
      </c>
      <c r="H95" s="5">
        <v>7.6639651307882639E-2</v>
      </c>
      <c r="I95" s="6">
        <v>0</v>
      </c>
      <c r="J95" s="6">
        <v>1</v>
      </c>
      <c r="K95" s="6">
        <v>33</v>
      </c>
      <c r="L95" s="5">
        <v>0.71229925102938108</v>
      </c>
      <c r="M95" s="5">
        <v>8.7861758305976312E-2</v>
      </c>
      <c r="N95" s="6">
        <v>0</v>
      </c>
      <c r="O95" s="6">
        <v>1</v>
      </c>
      <c r="P95" s="6">
        <v>28</v>
      </c>
      <c r="Q95" s="5">
        <v>0.90780412100827212</v>
      </c>
      <c r="R95" s="5">
        <v>6.377044877617917E-2</v>
      </c>
      <c r="S95" s="6">
        <v>0</v>
      </c>
      <c r="T95" s="6">
        <v>1</v>
      </c>
      <c r="U95" s="6">
        <v>21</v>
      </c>
      <c r="V95" s="5">
        <v>0.92686327810773295</v>
      </c>
      <c r="W95" s="5">
        <v>7.3261369808220761E-2</v>
      </c>
      <c r="X95" s="6">
        <v>0</v>
      </c>
      <c r="Y95" s="6">
        <v>1</v>
      </c>
      <c r="Z95" s="6">
        <v>14</v>
      </c>
      <c r="AA95" s="5">
        <v>0.78045574053202593</v>
      </c>
      <c r="AB95" s="5">
        <v>4.6037945365929415E-2</v>
      </c>
      <c r="AC95" s="6">
        <v>0</v>
      </c>
      <c r="AD95" s="6">
        <v>1</v>
      </c>
      <c r="AE95" s="6">
        <v>122</v>
      </c>
      <c r="AF95">
        <f>(AA96/AA94)-AA95</f>
        <v>-1.1258455436722326E-3</v>
      </c>
    </row>
    <row r="96" spans="1:32" ht="26.25" x14ac:dyDescent="0.45">
      <c r="A96" s="4" t="s">
        <v>58</v>
      </c>
      <c r="B96" s="5">
        <v>0.671394441957187</v>
      </c>
      <c r="C96" s="5">
        <v>9.7584300217031919E-2</v>
      </c>
      <c r="D96" s="6">
        <v>0</v>
      </c>
      <c r="E96" s="6">
        <v>1</v>
      </c>
      <c r="F96" s="6">
        <v>26</v>
      </c>
      <c r="G96" s="5">
        <v>0.72338823000434005</v>
      </c>
      <c r="H96" s="5">
        <v>7.9861666213147608E-2</v>
      </c>
      <c r="I96" s="6">
        <v>0</v>
      </c>
      <c r="J96" s="6">
        <v>1</v>
      </c>
      <c r="K96" s="6">
        <v>33</v>
      </c>
      <c r="L96" s="5">
        <v>0.56680691148003481</v>
      </c>
      <c r="M96" s="5">
        <v>9.6288059257621642E-2</v>
      </c>
      <c r="N96" s="6">
        <v>0</v>
      </c>
      <c r="O96" s="6">
        <v>1</v>
      </c>
      <c r="P96" s="6">
        <v>28</v>
      </c>
      <c r="Q96" s="5">
        <v>0.85876581408454933</v>
      </c>
      <c r="R96" s="5">
        <v>7.7561078014691948E-2</v>
      </c>
      <c r="S96" s="6">
        <v>0</v>
      </c>
      <c r="T96" s="6">
        <v>1</v>
      </c>
      <c r="U96" s="6">
        <v>21</v>
      </c>
      <c r="V96" s="5">
        <v>0.86207248844341211</v>
      </c>
      <c r="W96" s="5">
        <v>9.5096552375921878E-2</v>
      </c>
      <c r="X96" s="6">
        <v>0</v>
      </c>
      <c r="Y96" s="6">
        <v>1</v>
      </c>
      <c r="Z96" s="6">
        <v>14</v>
      </c>
      <c r="AA96" s="5">
        <v>0.67885263834859777</v>
      </c>
      <c r="AB96" s="5">
        <v>5.1110823054996084E-2</v>
      </c>
      <c r="AC96" s="6">
        <v>0</v>
      </c>
      <c r="AD96" s="6">
        <v>1</v>
      </c>
      <c r="AE96" s="6">
        <v>122</v>
      </c>
    </row>
    <row r="97" spans="1:32" x14ac:dyDescent="0.45">
      <c r="A97" s="4" t="s">
        <v>57</v>
      </c>
      <c r="B97" s="5">
        <v>0.69138584079169618</v>
      </c>
      <c r="C97" s="5">
        <v>0.10981413989949322</v>
      </c>
      <c r="D97" s="6">
        <v>0</v>
      </c>
      <c r="E97" s="6">
        <v>1</v>
      </c>
      <c r="F97" s="6">
        <v>20</v>
      </c>
      <c r="G97" s="5">
        <v>1</v>
      </c>
      <c r="H97" s="5">
        <v>0</v>
      </c>
      <c r="I97" s="6">
        <v>1</v>
      </c>
      <c r="J97" s="6">
        <v>1</v>
      </c>
      <c r="K97" s="6">
        <v>18</v>
      </c>
      <c r="L97" s="5">
        <v>0.81434396167778533</v>
      </c>
      <c r="M97" s="5">
        <v>9.9712775071542234E-2</v>
      </c>
      <c r="N97" s="6">
        <v>0</v>
      </c>
      <c r="O97" s="6">
        <v>1</v>
      </c>
      <c r="P97" s="6">
        <v>17</v>
      </c>
      <c r="Q97" s="5">
        <v>0.94268070922544678</v>
      </c>
      <c r="R97" s="5">
        <v>5.7221424209296684E-2</v>
      </c>
      <c r="S97" s="6">
        <v>0</v>
      </c>
      <c r="T97" s="6">
        <v>1</v>
      </c>
      <c r="U97" s="6">
        <v>18</v>
      </c>
      <c r="V97" s="5">
        <v>0.96488605669388372</v>
      </c>
      <c r="W97" s="5">
        <v>3.5448547478833373E-2</v>
      </c>
      <c r="X97" s="6">
        <v>0</v>
      </c>
      <c r="Y97" s="6">
        <v>1</v>
      </c>
      <c r="Z97" s="6">
        <v>24</v>
      </c>
      <c r="AA97" s="5">
        <v>0.88580230514006186</v>
      </c>
      <c r="AB97" s="5">
        <v>4.3144072269307158E-2</v>
      </c>
      <c r="AC97" s="6">
        <v>0</v>
      </c>
      <c r="AD97" s="6">
        <v>1</v>
      </c>
      <c r="AE97" s="6">
        <v>97</v>
      </c>
      <c r="AF97">
        <f>(AA99/AA98)-AA97</f>
        <v>0.11419769485993814</v>
      </c>
    </row>
    <row r="98" spans="1:32" ht="26.25" x14ac:dyDescent="0.45">
      <c r="A98" s="4" t="s">
        <v>16</v>
      </c>
      <c r="B98" s="5">
        <v>7.1336325400897155E-2</v>
      </c>
      <c r="C98" s="5">
        <v>5.7882821602989527E-2</v>
      </c>
      <c r="D98" s="6">
        <v>0</v>
      </c>
      <c r="E98" s="6">
        <v>1</v>
      </c>
      <c r="F98" s="6">
        <v>20</v>
      </c>
      <c r="G98" s="5">
        <v>0</v>
      </c>
      <c r="H98" s="5">
        <v>0</v>
      </c>
      <c r="I98" s="6">
        <v>0</v>
      </c>
      <c r="J98" s="6">
        <v>0</v>
      </c>
      <c r="K98" s="6">
        <v>18</v>
      </c>
      <c r="L98" s="5">
        <v>0</v>
      </c>
      <c r="M98" s="5">
        <v>0</v>
      </c>
      <c r="N98" s="6">
        <v>0</v>
      </c>
      <c r="O98" s="6">
        <v>0</v>
      </c>
      <c r="P98" s="6">
        <v>17</v>
      </c>
      <c r="Q98" s="5">
        <v>5.3704560725707499E-2</v>
      </c>
      <c r="R98" s="5">
        <v>5.381837036729397E-2</v>
      </c>
      <c r="S98" s="6">
        <v>0</v>
      </c>
      <c r="T98" s="6">
        <v>1</v>
      </c>
      <c r="U98" s="6">
        <v>18</v>
      </c>
      <c r="V98" s="5">
        <v>4.4080581985216215E-2</v>
      </c>
      <c r="W98" s="5">
        <v>3.5713430966659132E-2</v>
      </c>
      <c r="X98" s="6">
        <v>0</v>
      </c>
      <c r="Y98" s="6">
        <v>1</v>
      </c>
      <c r="Z98" s="6">
        <v>24</v>
      </c>
      <c r="AA98" s="5">
        <v>1.9667107846281076E-2</v>
      </c>
      <c r="AB98" s="5">
        <v>1.4036645852359473E-2</v>
      </c>
      <c r="AC98" s="6">
        <v>0</v>
      </c>
      <c r="AD98" s="6">
        <v>1</v>
      </c>
      <c r="AE98" s="6">
        <v>97</v>
      </c>
      <c r="AF98">
        <f>(AA99/AA97)-AA98</f>
        <v>2.5354849130269259E-3</v>
      </c>
    </row>
    <row r="99" spans="1:32" ht="39.4" x14ac:dyDescent="0.45">
      <c r="A99" s="4" t="s">
        <v>59</v>
      </c>
      <c r="B99" s="5">
        <v>7.1336325400897155E-2</v>
      </c>
      <c r="C99" s="5">
        <v>5.7882821602989527E-2</v>
      </c>
      <c r="D99" s="6">
        <v>0</v>
      </c>
      <c r="E99" s="6">
        <v>1</v>
      </c>
      <c r="F99" s="6">
        <v>20</v>
      </c>
      <c r="G99" s="5">
        <v>0</v>
      </c>
      <c r="H99" s="5">
        <v>0</v>
      </c>
      <c r="I99" s="6">
        <v>0</v>
      </c>
      <c r="J99" s="6">
        <v>0</v>
      </c>
      <c r="K99" s="6">
        <v>18</v>
      </c>
      <c r="L99" s="5">
        <v>0</v>
      </c>
      <c r="M99" s="5">
        <v>0</v>
      </c>
      <c r="N99" s="6">
        <v>0</v>
      </c>
      <c r="O99" s="6">
        <v>0</v>
      </c>
      <c r="P99" s="6">
        <v>17</v>
      </c>
      <c r="Q99" s="5">
        <v>5.3704560725707499E-2</v>
      </c>
      <c r="R99" s="5">
        <v>5.381837036729397E-2</v>
      </c>
      <c r="S99" s="6">
        <v>0</v>
      </c>
      <c r="T99" s="6">
        <v>1</v>
      </c>
      <c r="U99" s="6">
        <v>18</v>
      </c>
      <c r="V99" s="5">
        <v>4.4080581985216215E-2</v>
      </c>
      <c r="W99" s="5">
        <v>3.5713430966659132E-2</v>
      </c>
      <c r="X99" s="6">
        <v>0</v>
      </c>
      <c r="Y99" s="6">
        <v>1</v>
      </c>
      <c r="Z99" s="6">
        <v>24</v>
      </c>
      <c r="AA99" s="5">
        <v>1.9667107846281076E-2</v>
      </c>
      <c r="AB99" s="5">
        <v>1.4036645852359473E-2</v>
      </c>
      <c r="AC99" s="6">
        <v>0</v>
      </c>
      <c r="AD99" s="6">
        <v>1</v>
      </c>
      <c r="AE99" s="6">
        <v>97</v>
      </c>
    </row>
    <row r="100" spans="1:32" x14ac:dyDescent="0.45">
      <c r="A100" s="4" t="s">
        <v>57</v>
      </c>
      <c r="B100" s="5">
        <v>0.7809143385513182</v>
      </c>
      <c r="C100" s="5">
        <v>0.10250240329339076</v>
      </c>
      <c r="D100" s="6">
        <v>0</v>
      </c>
      <c r="E100" s="6">
        <v>1</v>
      </c>
      <c r="F100" s="6">
        <v>17</v>
      </c>
      <c r="G100" s="5">
        <v>0.86961091893429143</v>
      </c>
      <c r="H100" s="5">
        <v>7.2075377325263978E-2</v>
      </c>
      <c r="I100" s="6">
        <v>0</v>
      </c>
      <c r="J100" s="6">
        <v>1</v>
      </c>
      <c r="K100" s="6">
        <v>24</v>
      </c>
      <c r="L100" s="5">
        <v>0.72488748731034747</v>
      </c>
      <c r="M100" s="5">
        <v>0.12317140876502694</v>
      </c>
      <c r="N100" s="6">
        <v>0</v>
      </c>
      <c r="O100" s="6">
        <v>1</v>
      </c>
      <c r="P100" s="6">
        <v>14</v>
      </c>
      <c r="Q100" s="5">
        <v>0.95799955391943092</v>
      </c>
      <c r="R100" s="5">
        <v>4.3124760364301407E-2</v>
      </c>
      <c r="S100" s="6">
        <v>0</v>
      </c>
      <c r="T100" s="6">
        <v>1</v>
      </c>
      <c r="U100" s="6">
        <v>15</v>
      </c>
      <c r="V100" s="5">
        <v>0</v>
      </c>
      <c r="W100" s="5">
        <v>0</v>
      </c>
      <c r="X100" s="6" t="s">
        <v>18</v>
      </c>
      <c r="Y100" s="6" t="s">
        <v>18</v>
      </c>
      <c r="Z100" s="6">
        <v>0</v>
      </c>
      <c r="AA100" s="5">
        <v>0.8316217906748159</v>
      </c>
      <c r="AB100" s="5">
        <v>5.1852573524115486E-2</v>
      </c>
      <c r="AC100" s="6">
        <v>0</v>
      </c>
      <c r="AD100" s="6">
        <v>1</v>
      </c>
      <c r="AE100" s="6">
        <v>70</v>
      </c>
      <c r="AF100">
        <f>(AA102/AA101)-AA100</f>
        <v>-0.11592327276787717</v>
      </c>
    </row>
    <row r="101" spans="1:32" x14ac:dyDescent="0.45">
      <c r="A101" s="4" t="s">
        <v>19</v>
      </c>
      <c r="B101" s="5">
        <v>0</v>
      </c>
      <c r="C101" s="5">
        <v>0</v>
      </c>
      <c r="D101" s="6">
        <v>0</v>
      </c>
      <c r="E101" s="6">
        <v>0</v>
      </c>
      <c r="F101" s="6">
        <v>17</v>
      </c>
      <c r="G101" s="5">
        <v>0</v>
      </c>
      <c r="H101" s="5">
        <v>0</v>
      </c>
      <c r="I101" s="6">
        <v>0</v>
      </c>
      <c r="J101" s="6">
        <v>0</v>
      </c>
      <c r="K101" s="6">
        <v>24</v>
      </c>
      <c r="L101" s="5">
        <v>0.71055262583859791</v>
      </c>
      <c r="M101" s="5">
        <v>0.12715279466668242</v>
      </c>
      <c r="N101" s="6">
        <v>0</v>
      </c>
      <c r="O101" s="6">
        <v>1</v>
      </c>
      <c r="P101" s="6">
        <v>14</v>
      </c>
      <c r="Q101" s="5">
        <v>0.42574184698500656</v>
      </c>
      <c r="R101" s="5">
        <v>0.13436805480856345</v>
      </c>
      <c r="S101" s="6">
        <v>0</v>
      </c>
      <c r="T101" s="6">
        <v>1</v>
      </c>
      <c r="U101" s="6">
        <v>15</v>
      </c>
      <c r="V101" s="5">
        <v>0</v>
      </c>
      <c r="W101" s="5">
        <v>0</v>
      </c>
      <c r="X101" s="6" t="s">
        <v>18</v>
      </c>
      <c r="Y101" s="6" t="s">
        <v>18</v>
      </c>
      <c r="Z101" s="6">
        <v>0</v>
      </c>
      <c r="AA101" s="5">
        <v>0.33457906090797312</v>
      </c>
      <c r="AB101" s="5">
        <v>6.7173486802417734E-2</v>
      </c>
      <c r="AC101" s="6">
        <v>0</v>
      </c>
      <c r="AD101" s="6">
        <v>1</v>
      </c>
      <c r="AE101" s="6">
        <v>70</v>
      </c>
      <c r="AF101">
        <f>(AA102/AA100)-AA101</f>
        <v>-4.6638387996763342E-2</v>
      </c>
    </row>
    <row r="102" spans="1:32" ht="26.25" x14ac:dyDescent="0.45">
      <c r="A102" s="4" t="s">
        <v>60</v>
      </c>
      <c r="B102" s="5">
        <v>0</v>
      </c>
      <c r="C102" s="5">
        <v>0</v>
      </c>
      <c r="D102" s="6">
        <v>0</v>
      </c>
      <c r="E102" s="6">
        <v>0</v>
      </c>
      <c r="F102" s="6">
        <v>17</v>
      </c>
      <c r="G102" s="5">
        <v>0</v>
      </c>
      <c r="H102" s="5">
        <v>0</v>
      </c>
      <c r="I102" s="6">
        <v>0</v>
      </c>
      <c r="J102" s="6">
        <v>0</v>
      </c>
      <c r="K102" s="6">
        <v>24</v>
      </c>
      <c r="L102" s="5">
        <v>0.43544011314894532</v>
      </c>
      <c r="M102" s="5">
        <v>0.13848803711345326</v>
      </c>
      <c r="N102" s="6">
        <v>0</v>
      </c>
      <c r="O102" s="6">
        <v>1</v>
      </c>
      <c r="P102" s="6">
        <v>14</v>
      </c>
      <c r="Q102" s="5">
        <v>0.42574184698500656</v>
      </c>
      <c r="R102" s="5">
        <v>0.13436805480856345</v>
      </c>
      <c r="S102" s="6">
        <v>0</v>
      </c>
      <c r="T102" s="6">
        <v>1</v>
      </c>
      <c r="U102" s="6">
        <v>15</v>
      </c>
      <c r="V102" s="5">
        <v>0</v>
      </c>
      <c r="W102" s="5">
        <v>0</v>
      </c>
      <c r="X102" s="6" t="s">
        <v>18</v>
      </c>
      <c r="Y102" s="6" t="s">
        <v>18</v>
      </c>
      <c r="Z102" s="6">
        <v>0</v>
      </c>
      <c r="AA102" s="5">
        <v>0.23945773801453174</v>
      </c>
      <c r="AB102" s="5">
        <v>6.1228146323888621E-2</v>
      </c>
      <c r="AC102" s="6">
        <v>0</v>
      </c>
      <c r="AD102" s="6">
        <v>1</v>
      </c>
      <c r="AE102" s="6">
        <v>70</v>
      </c>
    </row>
    <row r="103" spans="1:32" x14ac:dyDescent="0.45">
      <c r="A103" s="4" t="s">
        <v>61</v>
      </c>
      <c r="B103" s="5">
        <v>0.26622305445511152</v>
      </c>
      <c r="C103" s="5">
        <v>9.0266479120549692E-2</v>
      </c>
      <c r="D103" s="6">
        <v>0</v>
      </c>
      <c r="E103" s="6">
        <v>1</v>
      </c>
      <c r="F103" s="6">
        <v>26</v>
      </c>
      <c r="G103" s="5">
        <v>0.35363148797252802</v>
      </c>
      <c r="H103" s="5">
        <v>8.4417334454190029E-2</v>
      </c>
      <c r="I103" s="6">
        <v>0</v>
      </c>
      <c r="J103" s="6">
        <v>1</v>
      </c>
      <c r="K103" s="6">
        <v>33</v>
      </c>
      <c r="L103" s="5">
        <v>0.41215673293152488</v>
      </c>
      <c r="M103" s="5">
        <v>9.5260818952286427E-2</v>
      </c>
      <c r="N103" s="6">
        <v>0</v>
      </c>
      <c r="O103" s="6">
        <v>1</v>
      </c>
      <c r="P103" s="6">
        <v>28</v>
      </c>
      <c r="Q103" s="5">
        <v>0.66743438425516421</v>
      </c>
      <c r="R103" s="5">
        <v>0.10548845545843076</v>
      </c>
      <c r="S103" s="6">
        <v>0</v>
      </c>
      <c r="T103" s="6">
        <v>1</v>
      </c>
      <c r="U103" s="6">
        <v>21</v>
      </c>
      <c r="V103" s="5">
        <v>0.14943977333592612</v>
      </c>
      <c r="W103" s="5">
        <v>0.10225509141715343</v>
      </c>
      <c r="X103" s="6">
        <v>0</v>
      </c>
      <c r="Y103" s="6">
        <v>1</v>
      </c>
      <c r="Z103" s="6">
        <v>14</v>
      </c>
      <c r="AA103" s="5">
        <v>0.4282720368427001</v>
      </c>
      <c r="AB103" s="5">
        <v>5.2877703087831379E-2</v>
      </c>
      <c r="AC103" s="6">
        <v>0</v>
      </c>
      <c r="AD103" s="6">
        <v>1</v>
      </c>
      <c r="AE103" s="6">
        <v>122</v>
      </c>
      <c r="AF103">
        <f>(AA105/AA104)-AA103</f>
        <v>3.4572648396770655E-2</v>
      </c>
    </row>
    <row r="104" spans="1:32" x14ac:dyDescent="0.45">
      <c r="A104" s="4" t="s">
        <v>14</v>
      </c>
      <c r="B104" s="5">
        <v>0.95593889001302101</v>
      </c>
      <c r="C104" s="5">
        <v>4.3853438100992057E-2</v>
      </c>
      <c r="D104" s="6">
        <v>0</v>
      </c>
      <c r="E104" s="6">
        <v>1</v>
      </c>
      <c r="F104" s="6">
        <v>26</v>
      </c>
      <c r="G104" s="5">
        <v>0.75555020098370718</v>
      </c>
      <c r="H104" s="5">
        <v>7.6639651307882639E-2</v>
      </c>
      <c r="I104" s="6">
        <v>0</v>
      </c>
      <c r="J104" s="6">
        <v>1</v>
      </c>
      <c r="K104" s="6">
        <v>33</v>
      </c>
      <c r="L104" s="5">
        <v>0.71229925102938108</v>
      </c>
      <c r="M104" s="5">
        <v>8.7861758305976312E-2</v>
      </c>
      <c r="N104" s="6">
        <v>0</v>
      </c>
      <c r="O104" s="6">
        <v>1</v>
      </c>
      <c r="P104" s="6">
        <v>28</v>
      </c>
      <c r="Q104" s="5">
        <v>0.90780412100827212</v>
      </c>
      <c r="R104" s="5">
        <v>6.377044877617917E-2</v>
      </c>
      <c r="S104" s="6">
        <v>0</v>
      </c>
      <c r="T104" s="6">
        <v>1</v>
      </c>
      <c r="U104" s="6">
        <v>21</v>
      </c>
      <c r="V104" s="5">
        <v>0.92686327810773295</v>
      </c>
      <c r="W104" s="5">
        <v>7.3261369808220761E-2</v>
      </c>
      <c r="X104" s="6">
        <v>0</v>
      </c>
      <c r="Y104" s="6">
        <v>1</v>
      </c>
      <c r="Z104" s="6">
        <v>14</v>
      </c>
      <c r="AA104" s="5">
        <v>0.78045574053202593</v>
      </c>
      <c r="AB104" s="5">
        <v>4.6037945365929415E-2</v>
      </c>
      <c r="AC104" s="6">
        <v>0</v>
      </c>
      <c r="AD104" s="6">
        <v>1</v>
      </c>
      <c r="AE104" s="6">
        <v>122</v>
      </c>
      <c r="AF104">
        <f>(AA105/AA103)-AA104</f>
        <v>6.300299712671964E-2</v>
      </c>
    </row>
    <row r="105" spans="1:32" ht="26.25" x14ac:dyDescent="0.45">
      <c r="A105" s="4" t="s">
        <v>62</v>
      </c>
      <c r="B105" s="5">
        <v>0.22216194446813239</v>
      </c>
      <c r="C105" s="5">
        <v>8.4193294760009696E-2</v>
      </c>
      <c r="D105" s="6">
        <v>0</v>
      </c>
      <c r="E105" s="6">
        <v>1</v>
      </c>
      <c r="F105" s="6">
        <v>26</v>
      </c>
      <c r="G105" s="5">
        <v>0.29154381510788901</v>
      </c>
      <c r="H105" s="5">
        <v>7.9868502592588889E-2</v>
      </c>
      <c r="I105" s="6">
        <v>0</v>
      </c>
      <c r="J105" s="6">
        <v>1</v>
      </c>
      <c r="K105" s="6">
        <v>33</v>
      </c>
      <c r="L105" s="5">
        <v>0.34774588082781416</v>
      </c>
      <c r="M105" s="5">
        <v>9.2307900452899619E-2</v>
      </c>
      <c r="N105" s="6">
        <v>0</v>
      </c>
      <c r="O105" s="6">
        <v>1</v>
      </c>
      <c r="P105" s="6">
        <v>28</v>
      </c>
      <c r="Q105" s="5">
        <v>0.57523850526343645</v>
      </c>
      <c r="R105" s="5">
        <v>0.11062512348857091</v>
      </c>
      <c r="S105" s="6">
        <v>0</v>
      </c>
      <c r="T105" s="6">
        <v>1</v>
      </c>
      <c r="U105" s="6">
        <v>21</v>
      </c>
      <c r="V105" s="5">
        <v>0.14943977333592612</v>
      </c>
      <c r="W105" s="5">
        <v>0.10225509141715343</v>
      </c>
      <c r="X105" s="6">
        <v>0</v>
      </c>
      <c r="Y105" s="6">
        <v>1</v>
      </c>
      <c r="Z105" s="6">
        <v>14</v>
      </c>
      <c r="AA105" s="5">
        <v>0.36122979156988361</v>
      </c>
      <c r="AB105" s="5">
        <v>5.1318134856366271E-2</v>
      </c>
      <c r="AC105" s="6">
        <v>0</v>
      </c>
      <c r="AD105" s="6">
        <v>1</v>
      </c>
      <c r="AE105" s="6">
        <v>122</v>
      </c>
    </row>
    <row r="106" spans="1:32" x14ac:dyDescent="0.45">
      <c r="A106" s="4" t="s">
        <v>61</v>
      </c>
      <c r="B106" s="5">
        <v>0.34711699430418735</v>
      </c>
      <c r="C106" s="5">
        <v>0.11208536639598261</v>
      </c>
      <c r="D106" s="6">
        <v>0</v>
      </c>
      <c r="E106" s="6">
        <v>1</v>
      </c>
      <c r="F106" s="6">
        <v>20</v>
      </c>
      <c r="G106" s="5">
        <v>0.32551682042001445</v>
      </c>
      <c r="H106" s="5">
        <v>0.11324879862350191</v>
      </c>
      <c r="I106" s="6">
        <v>0</v>
      </c>
      <c r="J106" s="6">
        <v>1</v>
      </c>
      <c r="K106" s="6">
        <v>18</v>
      </c>
      <c r="L106" s="5">
        <v>0.48392377441651779</v>
      </c>
      <c r="M106" s="5">
        <v>0.12593645890064956</v>
      </c>
      <c r="N106" s="6">
        <v>0</v>
      </c>
      <c r="O106" s="6">
        <v>1</v>
      </c>
      <c r="P106" s="6">
        <v>17</v>
      </c>
      <c r="Q106" s="5">
        <v>0.66720791577719807</v>
      </c>
      <c r="R106" s="5">
        <v>0.11451401163725076</v>
      </c>
      <c r="S106" s="6">
        <v>0</v>
      </c>
      <c r="T106" s="6">
        <v>1</v>
      </c>
      <c r="U106" s="6">
        <v>18</v>
      </c>
      <c r="V106" s="5">
        <v>0.23475612899380105</v>
      </c>
      <c r="W106" s="5">
        <v>9.4479335642080289E-2</v>
      </c>
      <c r="X106" s="6">
        <v>0</v>
      </c>
      <c r="Y106" s="6">
        <v>1</v>
      </c>
      <c r="Z106" s="6">
        <v>24</v>
      </c>
      <c r="AA106" s="5">
        <v>0.47156925865828359</v>
      </c>
      <c r="AB106" s="5">
        <v>6.5289263174113252E-2</v>
      </c>
      <c r="AC106" s="6">
        <v>0</v>
      </c>
      <c r="AD106" s="6">
        <v>1</v>
      </c>
      <c r="AE106" s="6">
        <v>97</v>
      </c>
      <c r="AF106">
        <f>(AA108/AA107)-AA106</f>
        <v>0.44400721836385137</v>
      </c>
    </row>
    <row r="107" spans="1:32" ht="26.25" x14ac:dyDescent="0.45">
      <c r="A107" s="4" t="s">
        <v>16</v>
      </c>
      <c r="B107" s="5">
        <v>7.1336325400897155E-2</v>
      </c>
      <c r="C107" s="5">
        <v>5.7882821602989527E-2</v>
      </c>
      <c r="D107" s="6">
        <v>0</v>
      </c>
      <c r="E107" s="6">
        <v>1</v>
      </c>
      <c r="F107" s="6">
        <v>20</v>
      </c>
      <c r="G107" s="5">
        <v>0</v>
      </c>
      <c r="H107" s="5">
        <v>0</v>
      </c>
      <c r="I107" s="6">
        <v>0</v>
      </c>
      <c r="J107" s="6">
        <v>0</v>
      </c>
      <c r="K107" s="6">
        <v>18</v>
      </c>
      <c r="L107" s="5">
        <v>0</v>
      </c>
      <c r="M107" s="5">
        <v>0</v>
      </c>
      <c r="N107" s="6">
        <v>0</v>
      </c>
      <c r="O107" s="6">
        <v>0</v>
      </c>
      <c r="P107" s="6">
        <v>17</v>
      </c>
      <c r="Q107" s="5">
        <v>5.3704560725707499E-2</v>
      </c>
      <c r="R107" s="5">
        <v>5.381837036729397E-2</v>
      </c>
      <c r="S107" s="6">
        <v>0</v>
      </c>
      <c r="T107" s="6">
        <v>1</v>
      </c>
      <c r="U107" s="6">
        <v>18</v>
      </c>
      <c r="V107" s="5">
        <v>4.4080581985216215E-2</v>
      </c>
      <c r="W107" s="5">
        <v>3.5713430966659132E-2</v>
      </c>
      <c r="X107" s="6">
        <v>0</v>
      </c>
      <c r="Y107" s="6">
        <v>1</v>
      </c>
      <c r="Z107" s="6">
        <v>24</v>
      </c>
      <c r="AA107" s="5">
        <v>1.9667107846281076E-2</v>
      </c>
      <c r="AB107" s="5">
        <v>1.4036645852359473E-2</v>
      </c>
      <c r="AC107" s="6">
        <v>0</v>
      </c>
      <c r="AD107" s="6">
        <v>1</v>
      </c>
      <c r="AE107" s="6">
        <v>97</v>
      </c>
      <c r="AF107">
        <f>(AA108/AA106)-AA107</f>
        <v>1.8517614725214536E-2</v>
      </c>
    </row>
    <row r="108" spans="1:32" ht="26.25" x14ac:dyDescent="0.45">
      <c r="A108" s="4" t="s">
        <v>63</v>
      </c>
      <c r="B108" s="5">
        <v>5.6303378546434732E-2</v>
      </c>
      <c r="C108" s="5">
        <v>5.6027658866812949E-2</v>
      </c>
      <c r="D108" s="6">
        <v>0</v>
      </c>
      <c r="E108" s="6">
        <v>1</v>
      </c>
      <c r="F108" s="6">
        <v>20</v>
      </c>
      <c r="G108" s="5">
        <v>0</v>
      </c>
      <c r="H108" s="5">
        <v>0</v>
      </c>
      <c r="I108" s="6">
        <v>0</v>
      </c>
      <c r="J108" s="6">
        <v>0</v>
      </c>
      <c r="K108" s="6">
        <v>18</v>
      </c>
      <c r="L108" s="5">
        <v>0</v>
      </c>
      <c r="M108" s="5">
        <v>0</v>
      </c>
      <c r="N108" s="6">
        <v>0</v>
      </c>
      <c r="O108" s="6">
        <v>0</v>
      </c>
      <c r="P108" s="6">
        <v>17</v>
      </c>
      <c r="Q108" s="5">
        <v>5.3704560725707499E-2</v>
      </c>
      <c r="R108" s="5">
        <v>5.381837036729397E-2</v>
      </c>
      <c r="S108" s="6">
        <v>0</v>
      </c>
      <c r="T108" s="6">
        <v>1</v>
      </c>
      <c r="U108" s="6">
        <v>18</v>
      </c>
      <c r="V108" s="5">
        <v>0</v>
      </c>
      <c r="W108" s="5">
        <v>0</v>
      </c>
      <c r="X108" s="6">
        <v>0</v>
      </c>
      <c r="Y108" s="6">
        <v>0</v>
      </c>
      <c r="Z108" s="6">
        <v>24</v>
      </c>
      <c r="AA108" s="5">
        <v>1.8006741315112415E-2</v>
      </c>
      <c r="AB108" s="5">
        <v>1.3957539633398717E-2</v>
      </c>
      <c r="AC108" s="6">
        <v>0</v>
      </c>
      <c r="AD108" s="6">
        <v>1</v>
      </c>
      <c r="AE108" s="6">
        <v>97</v>
      </c>
    </row>
    <row r="109" spans="1:32" x14ac:dyDescent="0.45">
      <c r="A109" s="4" t="s">
        <v>61</v>
      </c>
      <c r="B109" s="5">
        <v>0.24527870561841175</v>
      </c>
      <c r="C109" s="5">
        <v>0.11025825064867677</v>
      </c>
      <c r="D109" s="6">
        <v>0</v>
      </c>
      <c r="E109" s="6">
        <v>1</v>
      </c>
      <c r="F109" s="6">
        <v>17</v>
      </c>
      <c r="G109" s="5">
        <v>0.35746277725585657</v>
      </c>
      <c r="H109" s="5">
        <v>9.9496352932889554E-2</v>
      </c>
      <c r="I109" s="6">
        <v>0</v>
      </c>
      <c r="J109" s="6">
        <v>1</v>
      </c>
      <c r="K109" s="6">
        <v>24</v>
      </c>
      <c r="L109" s="5">
        <v>0.13849863797379949</v>
      </c>
      <c r="M109" s="5">
        <v>9.5257736841160193E-2</v>
      </c>
      <c r="N109" s="6">
        <v>0</v>
      </c>
      <c r="O109" s="6">
        <v>1</v>
      </c>
      <c r="P109" s="6">
        <v>14</v>
      </c>
      <c r="Q109" s="5">
        <v>0.35469607377918033</v>
      </c>
      <c r="R109" s="5">
        <v>0.13091567434180981</v>
      </c>
      <c r="S109" s="6">
        <v>0</v>
      </c>
      <c r="T109" s="6">
        <v>1</v>
      </c>
      <c r="U109" s="6">
        <v>15</v>
      </c>
      <c r="V109" s="5">
        <v>0</v>
      </c>
      <c r="W109" s="5">
        <v>0</v>
      </c>
      <c r="X109" s="6" t="s">
        <v>18</v>
      </c>
      <c r="Y109" s="6" t="s">
        <v>18</v>
      </c>
      <c r="Z109" s="6">
        <v>0</v>
      </c>
      <c r="AA109" s="5">
        <v>0.27307300045955396</v>
      </c>
      <c r="AB109" s="5">
        <v>5.7921376233259297E-2</v>
      </c>
      <c r="AC109" s="6">
        <v>0</v>
      </c>
      <c r="AD109" s="6">
        <v>1</v>
      </c>
      <c r="AE109" s="6">
        <v>70</v>
      </c>
      <c r="AF109">
        <f>(AA111/AA110)-AA109</f>
        <v>-3.0092861103957591E-2</v>
      </c>
    </row>
    <row r="110" spans="1:32" x14ac:dyDescent="0.45">
      <c r="A110" s="4" t="s">
        <v>19</v>
      </c>
      <c r="B110" s="5">
        <v>0</v>
      </c>
      <c r="C110" s="5">
        <v>0</v>
      </c>
      <c r="D110" s="6">
        <v>0</v>
      </c>
      <c r="E110" s="6">
        <v>0</v>
      </c>
      <c r="F110" s="6">
        <v>17</v>
      </c>
      <c r="G110" s="5">
        <v>0</v>
      </c>
      <c r="H110" s="5">
        <v>0</v>
      </c>
      <c r="I110" s="6">
        <v>0</v>
      </c>
      <c r="J110" s="6">
        <v>0</v>
      </c>
      <c r="K110" s="6">
        <v>24</v>
      </c>
      <c r="L110" s="5">
        <v>0.71055262583859791</v>
      </c>
      <c r="M110" s="5">
        <v>0.12715279466668242</v>
      </c>
      <c r="N110" s="6">
        <v>0</v>
      </c>
      <c r="O110" s="6">
        <v>1</v>
      </c>
      <c r="P110" s="6">
        <v>14</v>
      </c>
      <c r="Q110" s="5">
        <v>0.42574184698500656</v>
      </c>
      <c r="R110" s="5">
        <v>0.13436805480856345</v>
      </c>
      <c r="S110" s="6">
        <v>0</v>
      </c>
      <c r="T110" s="6">
        <v>1</v>
      </c>
      <c r="U110" s="6">
        <v>15</v>
      </c>
      <c r="V110" s="5">
        <v>0</v>
      </c>
      <c r="W110" s="5">
        <v>0</v>
      </c>
      <c r="X110" s="6" t="s">
        <v>18</v>
      </c>
      <c r="Y110" s="6" t="s">
        <v>18</v>
      </c>
      <c r="Z110" s="6">
        <v>0</v>
      </c>
      <c r="AA110" s="5">
        <v>0.33457906090797312</v>
      </c>
      <c r="AB110" s="5">
        <v>6.7173486802417734E-2</v>
      </c>
      <c r="AC110" s="6">
        <v>0</v>
      </c>
      <c r="AD110" s="6">
        <v>1</v>
      </c>
      <c r="AE110" s="6">
        <v>70</v>
      </c>
      <c r="AF110">
        <f>(AA111/AA109)-AA110</f>
        <v>-3.6870877718602868E-2</v>
      </c>
    </row>
    <row r="111" spans="1:32" ht="26.25" x14ac:dyDescent="0.45">
      <c r="A111" s="4" t="s">
        <v>64</v>
      </c>
      <c r="B111" s="5">
        <v>0</v>
      </c>
      <c r="C111" s="5">
        <v>0</v>
      </c>
      <c r="D111" s="6">
        <v>0</v>
      </c>
      <c r="E111" s="6">
        <v>0</v>
      </c>
      <c r="F111" s="6">
        <v>17</v>
      </c>
      <c r="G111" s="5">
        <v>0</v>
      </c>
      <c r="H111" s="5">
        <v>0</v>
      </c>
      <c r="I111" s="6">
        <v>0</v>
      </c>
      <c r="J111" s="6">
        <v>0</v>
      </c>
      <c r="K111" s="6">
        <v>24</v>
      </c>
      <c r="L111" s="5">
        <v>0.13849863797379949</v>
      </c>
      <c r="M111" s="5">
        <v>9.5257736841160193E-2</v>
      </c>
      <c r="N111" s="6">
        <v>0</v>
      </c>
      <c r="O111" s="6">
        <v>1</v>
      </c>
      <c r="P111" s="6">
        <v>14</v>
      </c>
      <c r="Q111" s="5">
        <v>0.15999391438528371</v>
      </c>
      <c r="R111" s="5">
        <v>0.10586117541760788</v>
      </c>
      <c r="S111" s="6">
        <v>0</v>
      </c>
      <c r="T111" s="6">
        <v>1</v>
      </c>
      <c r="U111" s="6">
        <v>15</v>
      </c>
      <c r="V111" s="5">
        <v>0</v>
      </c>
      <c r="W111" s="5">
        <v>0</v>
      </c>
      <c r="X111" s="6" t="s">
        <v>18</v>
      </c>
      <c r="Y111" s="6" t="s">
        <v>18</v>
      </c>
      <c r="Z111" s="6">
        <v>0</v>
      </c>
      <c r="AA111" s="5">
        <v>8.1296066844883871E-2</v>
      </c>
      <c r="AB111" s="5">
        <v>3.9788954618292731E-2</v>
      </c>
      <c r="AC111" s="6">
        <v>0</v>
      </c>
      <c r="AD111" s="6">
        <v>1</v>
      </c>
      <c r="AE111" s="6">
        <v>70</v>
      </c>
    </row>
    <row r="112" spans="1:32" ht="26.65" thickBot="1" x14ac:dyDescent="0.5">
      <c r="A112" s="7" t="s">
        <v>65</v>
      </c>
      <c r="B112" s="8">
        <v>33</v>
      </c>
      <c r="C112" s="8" t="s">
        <v>18</v>
      </c>
      <c r="D112" s="9" t="s">
        <v>18</v>
      </c>
      <c r="E112" s="9" t="s">
        <v>18</v>
      </c>
      <c r="F112" s="9" t="s">
        <v>18</v>
      </c>
      <c r="G112" s="8">
        <v>41</v>
      </c>
      <c r="H112" s="8" t="s">
        <v>18</v>
      </c>
      <c r="I112" s="9" t="s">
        <v>18</v>
      </c>
      <c r="J112" s="9" t="s">
        <v>18</v>
      </c>
      <c r="K112" s="9" t="s">
        <v>18</v>
      </c>
      <c r="L112" s="8">
        <v>32</v>
      </c>
      <c r="M112" s="8" t="s">
        <v>18</v>
      </c>
      <c r="N112" s="9" t="s">
        <v>18</v>
      </c>
      <c r="O112" s="9" t="s">
        <v>18</v>
      </c>
      <c r="P112" s="9" t="s">
        <v>18</v>
      </c>
      <c r="Q112" s="8">
        <v>32</v>
      </c>
      <c r="R112" s="8" t="s">
        <v>18</v>
      </c>
      <c r="S112" s="9" t="s">
        <v>18</v>
      </c>
      <c r="T112" s="9" t="s">
        <v>18</v>
      </c>
      <c r="U112" s="9" t="s">
        <v>18</v>
      </c>
      <c r="V112" s="8">
        <v>27</v>
      </c>
      <c r="W112" s="8" t="s">
        <v>18</v>
      </c>
      <c r="X112" s="9" t="s">
        <v>18</v>
      </c>
      <c r="Y112" s="9" t="s">
        <v>18</v>
      </c>
      <c r="Z112" s="9" t="s">
        <v>18</v>
      </c>
      <c r="AA112" s="8">
        <v>165</v>
      </c>
      <c r="AB112" s="8" t="s">
        <v>18</v>
      </c>
      <c r="AC112" s="9" t="s">
        <v>18</v>
      </c>
      <c r="AD112" s="9" t="s">
        <v>18</v>
      </c>
      <c r="AE112" s="9" t="s">
        <v>18</v>
      </c>
    </row>
    <row r="113" spans="1:1" ht="14.65" thickTop="1" x14ac:dyDescent="0.45">
      <c r="A113" s="10" t="s">
        <v>66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13"/>
  <sheetViews>
    <sheetView topLeftCell="Q37" workbookViewId="0">
      <selection activeCell="R88" sqref="A88:XFD88"/>
    </sheetView>
  </sheetViews>
  <sheetFormatPr defaultRowHeight="14.25" x14ac:dyDescent="0.45"/>
  <cols>
    <col min="1" max="1" width="19.53125" customWidth="1"/>
    <col min="2" max="3" width="9.796875" customWidth="1"/>
    <col min="4" max="5" width="5.33203125" customWidth="1"/>
    <col min="6" max="6" width="7.1328125" customWidth="1"/>
    <col min="7" max="8" width="9.796875" customWidth="1"/>
    <col min="9" max="10" width="5.33203125" customWidth="1"/>
    <col min="11" max="11" width="7.1328125" customWidth="1"/>
    <col min="12" max="13" width="9.796875" customWidth="1"/>
    <col min="14" max="15" width="5.33203125" customWidth="1"/>
    <col min="16" max="16" width="7.1328125" customWidth="1"/>
    <col min="17" max="18" width="9.796875" customWidth="1"/>
    <col min="19" max="20" width="5.33203125" customWidth="1"/>
    <col min="21" max="21" width="7.1328125" customWidth="1"/>
    <col min="22" max="23" width="9.796875" customWidth="1"/>
    <col min="24" max="25" width="5.33203125" customWidth="1"/>
    <col min="26" max="26" width="7.1328125" customWidth="1"/>
    <col min="27" max="28" width="9.796875" customWidth="1"/>
    <col min="29" max="30" width="5.33203125" customWidth="1"/>
    <col min="31" max="31" width="7.1328125" customWidth="1"/>
  </cols>
  <sheetData>
    <row r="1" spans="1:37" ht="12.75" customHeight="1" x14ac:dyDescent="0.45">
      <c r="A1" s="20" t="s">
        <v>68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</row>
    <row r="2" spans="1:37" x14ac:dyDescent="0.45">
      <c r="A2" s="1" t="s">
        <v>1</v>
      </c>
      <c r="B2" s="21" t="s">
        <v>69</v>
      </c>
      <c r="C2" s="21"/>
      <c r="D2" s="21"/>
      <c r="E2" s="21"/>
      <c r="F2" s="21"/>
      <c r="G2" s="21" t="s">
        <v>70</v>
      </c>
      <c r="H2" s="21"/>
      <c r="I2" s="21"/>
      <c r="J2" s="21"/>
      <c r="K2" s="21"/>
      <c r="L2" s="21" t="s">
        <v>71</v>
      </c>
      <c r="M2" s="21"/>
      <c r="N2" s="21"/>
      <c r="O2" s="21"/>
      <c r="P2" s="21"/>
      <c r="Q2" s="21" t="s">
        <v>72</v>
      </c>
      <c r="R2" s="21"/>
      <c r="S2" s="21"/>
      <c r="T2" s="21"/>
      <c r="U2" s="21"/>
      <c r="V2" s="21" t="s">
        <v>73</v>
      </c>
      <c r="W2" s="21"/>
      <c r="X2" s="21"/>
      <c r="Y2" s="21"/>
      <c r="Z2" s="21"/>
      <c r="AA2" s="21" t="s">
        <v>74</v>
      </c>
      <c r="AB2" s="21"/>
      <c r="AC2" s="21"/>
      <c r="AD2" s="21"/>
      <c r="AE2" s="21"/>
      <c r="AF2" s="21" t="s">
        <v>6</v>
      </c>
      <c r="AG2" s="21"/>
      <c r="AH2" s="21"/>
      <c r="AI2" s="21"/>
      <c r="AJ2" s="21"/>
    </row>
    <row r="3" spans="1:37" x14ac:dyDescent="0.45">
      <c r="A3" s="1" t="s">
        <v>1</v>
      </c>
      <c r="B3" s="3" t="s">
        <v>8</v>
      </c>
      <c r="C3" s="3" t="s">
        <v>9</v>
      </c>
      <c r="D3" s="2" t="s">
        <v>10</v>
      </c>
      <c r="E3" s="2" t="s">
        <v>11</v>
      </c>
      <c r="F3" s="2" t="s">
        <v>12</v>
      </c>
      <c r="G3" s="3" t="s">
        <v>8</v>
      </c>
      <c r="H3" s="3" t="s">
        <v>9</v>
      </c>
      <c r="I3" s="2" t="s">
        <v>10</v>
      </c>
      <c r="J3" s="2" t="s">
        <v>11</v>
      </c>
      <c r="K3" s="2" t="s">
        <v>12</v>
      </c>
      <c r="L3" s="3" t="s">
        <v>8</v>
      </c>
      <c r="M3" s="3" t="s">
        <v>9</v>
      </c>
      <c r="N3" s="2" t="s">
        <v>10</v>
      </c>
      <c r="O3" s="2" t="s">
        <v>11</v>
      </c>
      <c r="P3" s="2" t="s">
        <v>12</v>
      </c>
      <c r="Q3" s="3" t="s">
        <v>8</v>
      </c>
      <c r="R3" s="3" t="s">
        <v>9</v>
      </c>
      <c r="S3" s="2" t="s">
        <v>10</v>
      </c>
      <c r="T3" s="2" t="s">
        <v>11</v>
      </c>
      <c r="U3" s="2" t="s">
        <v>12</v>
      </c>
      <c r="V3" s="3" t="s">
        <v>8</v>
      </c>
      <c r="W3" s="3" t="s">
        <v>9</v>
      </c>
      <c r="X3" s="2" t="s">
        <v>10</v>
      </c>
      <c r="Y3" s="2" t="s">
        <v>11</v>
      </c>
      <c r="Z3" s="2" t="s">
        <v>12</v>
      </c>
      <c r="AA3" s="3" t="s">
        <v>8</v>
      </c>
      <c r="AB3" s="3" t="s">
        <v>9</v>
      </c>
      <c r="AC3" s="2" t="s">
        <v>10</v>
      </c>
      <c r="AD3" s="2" t="s">
        <v>11</v>
      </c>
      <c r="AE3" s="2" t="s">
        <v>12</v>
      </c>
      <c r="AF3" s="3" t="s">
        <v>8</v>
      </c>
      <c r="AG3" s="3" t="s">
        <v>9</v>
      </c>
      <c r="AH3" s="2" t="s">
        <v>10</v>
      </c>
      <c r="AI3" s="2" t="s">
        <v>11</v>
      </c>
      <c r="AJ3" s="2" t="s">
        <v>12</v>
      </c>
    </row>
    <row r="4" spans="1:37" x14ac:dyDescent="0.45">
      <c r="A4" s="4" t="s">
        <v>13</v>
      </c>
      <c r="B4" s="5">
        <v>0</v>
      </c>
      <c r="C4" s="5">
        <v>0</v>
      </c>
      <c r="D4" s="6">
        <v>0</v>
      </c>
      <c r="E4" s="6">
        <v>0</v>
      </c>
      <c r="F4" s="6">
        <v>0</v>
      </c>
      <c r="G4" s="5">
        <v>0</v>
      </c>
      <c r="H4" s="5">
        <v>0</v>
      </c>
      <c r="I4" s="6">
        <v>0</v>
      </c>
      <c r="J4" s="6">
        <v>0</v>
      </c>
      <c r="K4" s="6">
        <v>0</v>
      </c>
      <c r="L4" s="5">
        <v>0</v>
      </c>
      <c r="M4" s="5">
        <v>0</v>
      </c>
      <c r="N4" s="6">
        <v>0</v>
      </c>
      <c r="O4" s="6">
        <v>0</v>
      </c>
      <c r="P4" s="6">
        <v>0</v>
      </c>
      <c r="Q4" s="5">
        <v>0</v>
      </c>
      <c r="R4" s="5">
        <v>0</v>
      </c>
      <c r="S4" s="6">
        <v>0</v>
      </c>
      <c r="T4" s="6">
        <v>0</v>
      </c>
      <c r="U4" s="6">
        <v>0</v>
      </c>
      <c r="V4" s="5">
        <v>1</v>
      </c>
      <c r="W4" s="5">
        <v>0</v>
      </c>
      <c r="X4" s="6">
        <v>1</v>
      </c>
      <c r="Y4" s="6">
        <v>1</v>
      </c>
      <c r="Z4" s="6">
        <v>12</v>
      </c>
      <c r="AA4" s="5">
        <v>1</v>
      </c>
      <c r="AB4" s="5">
        <v>0</v>
      </c>
      <c r="AC4" s="6">
        <v>1</v>
      </c>
      <c r="AD4" s="6">
        <v>1</v>
      </c>
      <c r="AE4" s="6">
        <v>2</v>
      </c>
      <c r="AF4" s="5">
        <v>1</v>
      </c>
      <c r="AG4" s="5">
        <v>0</v>
      </c>
      <c r="AH4" s="6">
        <v>1</v>
      </c>
      <c r="AI4" s="6">
        <v>1</v>
      </c>
      <c r="AJ4" s="6">
        <v>14</v>
      </c>
      <c r="AK4">
        <f>(AF6/AF5)-AF4</f>
        <v>0</v>
      </c>
    </row>
    <row r="5" spans="1:37" x14ac:dyDescent="0.45">
      <c r="A5" s="4" t="s">
        <v>14</v>
      </c>
      <c r="B5" s="5">
        <v>0</v>
      </c>
      <c r="C5" s="5">
        <v>0</v>
      </c>
      <c r="D5" s="6">
        <v>0</v>
      </c>
      <c r="E5" s="6">
        <v>0</v>
      </c>
      <c r="F5" s="6">
        <v>0</v>
      </c>
      <c r="G5" s="5">
        <v>0</v>
      </c>
      <c r="H5" s="5">
        <v>0</v>
      </c>
      <c r="I5" s="6">
        <v>0</v>
      </c>
      <c r="J5" s="6">
        <v>0</v>
      </c>
      <c r="K5" s="6">
        <v>0</v>
      </c>
      <c r="L5" s="5">
        <v>0</v>
      </c>
      <c r="M5" s="5">
        <v>0</v>
      </c>
      <c r="N5" s="6">
        <v>0</v>
      </c>
      <c r="O5" s="6">
        <v>0</v>
      </c>
      <c r="P5" s="6">
        <v>0</v>
      </c>
      <c r="Q5" s="5">
        <v>0</v>
      </c>
      <c r="R5" s="5">
        <v>0</v>
      </c>
      <c r="S5" s="6">
        <v>0</v>
      </c>
      <c r="T5" s="6">
        <v>0</v>
      </c>
      <c r="U5" s="6">
        <v>0</v>
      </c>
      <c r="V5" s="5">
        <v>0.90728189345464016</v>
      </c>
      <c r="W5" s="5">
        <v>9.2072676259820324E-2</v>
      </c>
      <c r="X5" s="6">
        <v>0</v>
      </c>
      <c r="Y5" s="6">
        <v>1</v>
      </c>
      <c r="Z5" s="6">
        <v>12</v>
      </c>
      <c r="AA5" s="5">
        <v>1</v>
      </c>
      <c r="AB5" s="5">
        <v>0</v>
      </c>
      <c r="AC5" s="6">
        <v>1</v>
      </c>
      <c r="AD5" s="6">
        <v>1</v>
      </c>
      <c r="AE5" s="6">
        <v>2</v>
      </c>
      <c r="AF5" s="5">
        <v>0.92686327810773295</v>
      </c>
      <c r="AG5" s="5">
        <v>7.3261369808220761E-2</v>
      </c>
      <c r="AH5" s="6">
        <v>0</v>
      </c>
      <c r="AI5" s="6">
        <v>1</v>
      </c>
      <c r="AJ5" s="6">
        <v>14</v>
      </c>
      <c r="AK5">
        <f>(AF6/AF4)-AF5</f>
        <v>0</v>
      </c>
    </row>
    <row r="6" spans="1:37" ht="26.25" x14ac:dyDescent="0.45">
      <c r="A6" s="4" t="s">
        <v>15</v>
      </c>
      <c r="B6" s="5">
        <v>0</v>
      </c>
      <c r="C6" s="5">
        <v>0</v>
      </c>
      <c r="D6" s="6">
        <v>0</v>
      </c>
      <c r="E6" s="6">
        <v>0</v>
      </c>
      <c r="F6" s="6">
        <v>0</v>
      </c>
      <c r="G6" s="5">
        <v>0</v>
      </c>
      <c r="H6" s="5">
        <v>0</v>
      </c>
      <c r="I6" s="6">
        <v>0</v>
      </c>
      <c r="J6" s="6">
        <v>0</v>
      </c>
      <c r="K6" s="6">
        <v>0</v>
      </c>
      <c r="L6" s="5">
        <v>0</v>
      </c>
      <c r="M6" s="5">
        <v>0</v>
      </c>
      <c r="N6" s="6">
        <v>0</v>
      </c>
      <c r="O6" s="6">
        <v>0</v>
      </c>
      <c r="P6" s="6">
        <v>0</v>
      </c>
      <c r="Q6" s="5">
        <v>0</v>
      </c>
      <c r="R6" s="5">
        <v>0</v>
      </c>
      <c r="S6" s="6">
        <v>0</v>
      </c>
      <c r="T6" s="6">
        <v>0</v>
      </c>
      <c r="U6" s="6">
        <v>0</v>
      </c>
      <c r="V6" s="5">
        <v>0.90728189345464016</v>
      </c>
      <c r="W6" s="5">
        <v>9.2072676259820324E-2</v>
      </c>
      <c r="X6" s="6">
        <v>0</v>
      </c>
      <c r="Y6" s="6">
        <v>1</v>
      </c>
      <c r="Z6" s="6">
        <v>12</v>
      </c>
      <c r="AA6" s="5">
        <v>1</v>
      </c>
      <c r="AB6" s="5">
        <v>0</v>
      </c>
      <c r="AC6" s="6">
        <v>1</v>
      </c>
      <c r="AD6" s="6">
        <v>1</v>
      </c>
      <c r="AE6" s="6">
        <v>2</v>
      </c>
      <c r="AF6" s="5">
        <v>0.92686327810773295</v>
      </c>
      <c r="AG6" s="5">
        <v>7.3261369808220761E-2</v>
      </c>
      <c r="AH6" s="6">
        <v>0</v>
      </c>
      <c r="AI6" s="6">
        <v>1</v>
      </c>
      <c r="AJ6" s="6">
        <v>14</v>
      </c>
    </row>
    <row r="7" spans="1:37" x14ac:dyDescent="0.45">
      <c r="A7" s="4" t="s">
        <v>13</v>
      </c>
      <c r="B7" s="5">
        <v>0</v>
      </c>
      <c r="C7" s="5">
        <v>0</v>
      </c>
      <c r="D7" s="6">
        <v>0</v>
      </c>
      <c r="E7" s="6">
        <v>0</v>
      </c>
      <c r="F7" s="6">
        <v>0</v>
      </c>
      <c r="G7" s="5">
        <v>0</v>
      </c>
      <c r="H7" s="5">
        <v>0</v>
      </c>
      <c r="I7" s="6">
        <v>0</v>
      </c>
      <c r="J7" s="6">
        <v>0</v>
      </c>
      <c r="K7" s="6">
        <v>0</v>
      </c>
      <c r="L7" s="5">
        <v>0</v>
      </c>
      <c r="M7" s="5">
        <v>0</v>
      </c>
      <c r="N7" s="6">
        <v>0</v>
      </c>
      <c r="O7" s="6">
        <v>0</v>
      </c>
      <c r="P7" s="6">
        <v>0</v>
      </c>
      <c r="Q7" s="5">
        <v>0</v>
      </c>
      <c r="R7" s="5">
        <v>0</v>
      </c>
      <c r="S7" s="6">
        <v>0</v>
      </c>
      <c r="T7" s="6">
        <v>0</v>
      </c>
      <c r="U7" s="6">
        <v>0</v>
      </c>
      <c r="V7" s="5">
        <v>1</v>
      </c>
      <c r="W7" s="5">
        <v>0</v>
      </c>
      <c r="X7" s="6">
        <v>1</v>
      </c>
      <c r="Y7" s="6">
        <v>1</v>
      </c>
      <c r="Z7" s="6">
        <v>14</v>
      </c>
      <c r="AA7" s="5">
        <v>0.88216518982852998</v>
      </c>
      <c r="AB7" s="5">
        <v>0.11611185181694543</v>
      </c>
      <c r="AC7" s="6">
        <v>0</v>
      </c>
      <c r="AD7" s="6">
        <v>1</v>
      </c>
      <c r="AE7" s="6">
        <v>10</v>
      </c>
      <c r="AF7" s="5">
        <v>0.93939413027151442</v>
      </c>
      <c r="AG7" s="5">
        <v>5.9565071059221611E-2</v>
      </c>
      <c r="AH7" s="6">
        <v>0</v>
      </c>
      <c r="AI7" s="6">
        <v>1</v>
      </c>
      <c r="AJ7" s="6">
        <v>24</v>
      </c>
      <c r="AK7">
        <f>(AF9/AF8)-AF7</f>
        <v>6.0605869728485584E-2</v>
      </c>
    </row>
    <row r="8" spans="1:37" ht="26.25" x14ac:dyDescent="0.45">
      <c r="A8" s="4" t="s">
        <v>16</v>
      </c>
      <c r="B8" s="5">
        <v>0</v>
      </c>
      <c r="C8" s="5">
        <v>0</v>
      </c>
      <c r="D8" s="6">
        <v>0</v>
      </c>
      <c r="E8" s="6">
        <v>0</v>
      </c>
      <c r="F8" s="6">
        <v>0</v>
      </c>
      <c r="G8" s="5">
        <v>0</v>
      </c>
      <c r="H8" s="5">
        <v>0</v>
      </c>
      <c r="I8" s="6">
        <v>0</v>
      </c>
      <c r="J8" s="6">
        <v>0</v>
      </c>
      <c r="K8" s="6">
        <v>0</v>
      </c>
      <c r="L8" s="5">
        <v>0</v>
      </c>
      <c r="M8" s="5">
        <v>0</v>
      </c>
      <c r="N8" s="6">
        <v>0</v>
      </c>
      <c r="O8" s="6">
        <v>0</v>
      </c>
      <c r="P8" s="6">
        <v>0</v>
      </c>
      <c r="Q8" s="5">
        <v>0</v>
      </c>
      <c r="R8" s="5">
        <v>0</v>
      </c>
      <c r="S8" s="6">
        <v>0</v>
      </c>
      <c r="T8" s="6">
        <v>0</v>
      </c>
      <c r="U8" s="6">
        <v>0</v>
      </c>
      <c r="V8" s="5">
        <v>9.076224319845197E-2</v>
      </c>
      <c r="W8" s="5">
        <v>7.2870805812875375E-2</v>
      </c>
      <c r="X8" s="6">
        <v>0</v>
      </c>
      <c r="Y8" s="6">
        <v>1</v>
      </c>
      <c r="Z8" s="6">
        <v>14</v>
      </c>
      <c r="AA8" s="5">
        <v>0</v>
      </c>
      <c r="AB8" s="5">
        <v>0</v>
      </c>
      <c r="AC8" s="6">
        <v>0</v>
      </c>
      <c r="AD8" s="6">
        <v>0</v>
      </c>
      <c r="AE8" s="6">
        <v>10</v>
      </c>
      <c r="AF8" s="5">
        <v>4.4080581985216215E-2</v>
      </c>
      <c r="AG8" s="5">
        <v>3.5713430966659132E-2</v>
      </c>
      <c r="AH8" s="6">
        <v>0</v>
      </c>
      <c r="AI8" s="6">
        <v>1</v>
      </c>
      <c r="AJ8" s="6">
        <v>24</v>
      </c>
      <c r="AK8">
        <f>(AF9/AF7)-AF8</f>
        <v>2.8438989804840317E-3</v>
      </c>
    </row>
    <row r="9" spans="1:37" ht="26.25" x14ac:dyDescent="0.45">
      <c r="A9" s="4" t="s">
        <v>17</v>
      </c>
      <c r="B9" s="5">
        <v>0</v>
      </c>
      <c r="C9" s="5">
        <v>0</v>
      </c>
      <c r="D9" s="6">
        <v>0</v>
      </c>
      <c r="E9" s="6">
        <v>0</v>
      </c>
      <c r="F9" s="6">
        <v>0</v>
      </c>
      <c r="G9" s="5">
        <v>0</v>
      </c>
      <c r="H9" s="5">
        <v>0</v>
      </c>
      <c r="I9" s="6">
        <v>0</v>
      </c>
      <c r="J9" s="6">
        <v>0</v>
      </c>
      <c r="K9" s="6">
        <v>0</v>
      </c>
      <c r="L9" s="5">
        <v>0</v>
      </c>
      <c r="M9" s="5">
        <v>0</v>
      </c>
      <c r="N9" s="6">
        <v>0</v>
      </c>
      <c r="O9" s="6">
        <v>0</v>
      </c>
      <c r="P9" s="6">
        <v>0</v>
      </c>
      <c r="Q9" s="5">
        <v>0</v>
      </c>
      <c r="R9" s="5">
        <v>0</v>
      </c>
      <c r="S9" s="6">
        <v>0</v>
      </c>
      <c r="T9" s="6">
        <v>0</v>
      </c>
      <c r="U9" s="6">
        <v>0</v>
      </c>
      <c r="V9" s="5">
        <v>9.076224319845197E-2</v>
      </c>
      <c r="W9" s="5">
        <v>7.2870805812875375E-2</v>
      </c>
      <c r="X9" s="6">
        <v>0</v>
      </c>
      <c r="Y9" s="6">
        <v>1</v>
      </c>
      <c r="Z9" s="6">
        <v>14</v>
      </c>
      <c r="AA9" s="5">
        <v>0</v>
      </c>
      <c r="AB9" s="5">
        <v>0</v>
      </c>
      <c r="AC9" s="6">
        <v>0</v>
      </c>
      <c r="AD9" s="6">
        <v>0</v>
      </c>
      <c r="AE9" s="6">
        <v>10</v>
      </c>
      <c r="AF9" s="5">
        <v>4.4080581985216215E-2</v>
      </c>
      <c r="AG9" s="5">
        <v>3.5713430966659132E-2</v>
      </c>
      <c r="AH9" s="6">
        <v>0</v>
      </c>
      <c r="AI9" s="6">
        <v>1</v>
      </c>
      <c r="AJ9" s="6">
        <v>24</v>
      </c>
    </row>
    <row r="10" spans="1:37" x14ac:dyDescent="0.45">
      <c r="A10" s="4" t="s">
        <v>13</v>
      </c>
      <c r="B10" s="5">
        <v>0</v>
      </c>
      <c r="C10" s="5">
        <v>0</v>
      </c>
      <c r="D10" s="6">
        <v>0</v>
      </c>
      <c r="E10" s="6">
        <v>0</v>
      </c>
      <c r="F10" s="6">
        <v>0</v>
      </c>
      <c r="G10" s="5">
        <v>0</v>
      </c>
      <c r="H10" s="5">
        <v>0</v>
      </c>
      <c r="I10" s="6">
        <v>0</v>
      </c>
      <c r="J10" s="6">
        <v>0</v>
      </c>
      <c r="K10" s="6">
        <v>0</v>
      </c>
      <c r="L10" s="5">
        <v>0</v>
      </c>
      <c r="M10" s="5">
        <v>0</v>
      </c>
      <c r="N10" s="6">
        <v>0</v>
      </c>
      <c r="O10" s="6">
        <v>0</v>
      </c>
      <c r="P10" s="6">
        <v>0</v>
      </c>
      <c r="Q10" s="5">
        <v>0</v>
      </c>
      <c r="R10" s="5">
        <v>0</v>
      </c>
      <c r="S10" s="6">
        <v>0</v>
      </c>
      <c r="T10" s="6">
        <v>0</v>
      </c>
      <c r="U10" s="6">
        <v>0</v>
      </c>
      <c r="V10" s="5">
        <v>0</v>
      </c>
      <c r="W10" s="5">
        <v>0</v>
      </c>
      <c r="X10" s="6">
        <v>0</v>
      </c>
      <c r="Y10" s="6">
        <v>0</v>
      </c>
      <c r="Z10" s="6">
        <v>0</v>
      </c>
      <c r="AA10" s="5">
        <v>0</v>
      </c>
      <c r="AB10" s="5">
        <v>0</v>
      </c>
      <c r="AC10" s="6">
        <v>0</v>
      </c>
      <c r="AD10" s="6">
        <v>0</v>
      </c>
      <c r="AE10" s="6">
        <v>0</v>
      </c>
      <c r="AF10" s="5">
        <v>0</v>
      </c>
      <c r="AG10" s="5">
        <v>0</v>
      </c>
      <c r="AH10" s="6" t="s">
        <v>18</v>
      </c>
      <c r="AI10" s="6" t="s">
        <v>18</v>
      </c>
      <c r="AJ10" s="6">
        <v>0</v>
      </c>
      <c r="AK10" t="e">
        <f>(AF12/AF11)-AF10</f>
        <v>#DIV/0!</v>
      </c>
    </row>
    <row r="11" spans="1:37" x14ac:dyDescent="0.45">
      <c r="A11" s="4" t="s">
        <v>19</v>
      </c>
      <c r="B11" s="5">
        <v>0</v>
      </c>
      <c r="C11" s="5">
        <v>0</v>
      </c>
      <c r="D11" s="6">
        <v>0</v>
      </c>
      <c r="E11" s="6">
        <v>0</v>
      </c>
      <c r="F11" s="6">
        <v>0</v>
      </c>
      <c r="G11" s="5">
        <v>0</v>
      </c>
      <c r="H11" s="5">
        <v>0</v>
      </c>
      <c r="I11" s="6">
        <v>0</v>
      </c>
      <c r="J11" s="6">
        <v>0</v>
      </c>
      <c r="K11" s="6">
        <v>0</v>
      </c>
      <c r="L11" s="5">
        <v>0</v>
      </c>
      <c r="M11" s="5">
        <v>0</v>
      </c>
      <c r="N11" s="6">
        <v>0</v>
      </c>
      <c r="O11" s="6">
        <v>0</v>
      </c>
      <c r="P11" s="6">
        <v>0</v>
      </c>
      <c r="Q11" s="5">
        <v>0</v>
      </c>
      <c r="R11" s="5">
        <v>0</v>
      </c>
      <c r="S11" s="6">
        <v>0</v>
      </c>
      <c r="T11" s="6">
        <v>0</v>
      </c>
      <c r="U11" s="6">
        <v>0</v>
      </c>
      <c r="V11" s="5">
        <v>0</v>
      </c>
      <c r="W11" s="5">
        <v>0</v>
      </c>
      <c r="X11" s="6">
        <v>0</v>
      </c>
      <c r="Y11" s="6">
        <v>0</v>
      </c>
      <c r="Z11" s="6">
        <v>0</v>
      </c>
      <c r="AA11" s="5">
        <v>0</v>
      </c>
      <c r="AB11" s="5">
        <v>0</v>
      </c>
      <c r="AC11" s="6">
        <v>0</v>
      </c>
      <c r="AD11" s="6">
        <v>0</v>
      </c>
      <c r="AE11" s="6">
        <v>0</v>
      </c>
      <c r="AF11" s="5">
        <v>0</v>
      </c>
      <c r="AG11" s="5">
        <v>0</v>
      </c>
      <c r="AH11" s="6" t="s">
        <v>18</v>
      </c>
      <c r="AI11" s="6" t="s">
        <v>18</v>
      </c>
      <c r="AJ11" s="6">
        <v>0</v>
      </c>
      <c r="AK11" t="e">
        <f>(AF12/AF10)-AF11</f>
        <v>#DIV/0!</v>
      </c>
    </row>
    <row r="12" spans="1:37" ht="26.25" x14ac:dyDescent="0.45">
      <c r="A12" s="4" t="s">
        <v>20</v>
      </c>
      <c r="B12" s="5">
        <v>0</v>
      </c>
      <c r="C12" s="5">
        <v>0</v>
      </c>
      <c r="D12" s="6">
        <v>0</v>
      </c>
      <c r="E12" s="6">
        <v>0</v>
      </c>
      <c r="F12" s="6">
        <v>0</v>
      </c>
      <c r="G12" s="5">
        <v>0</v>
      </c>
      <c r="H12" s="5">
        <v>0</v>
      </c>
      <c r="I12" s="6">
        <v>0</v>
      </c>
      <c r="J12" s="6">
        <v>0</v>
      </c>
      <c r="K12" s="6">
        <v>0</v>
      </c>
      <c r="L12" s="5">
        <v>0</v>
      </c>
      <c r="M12" s="5">
        <v>0</v>
      </c>
      <c r="N12" s="6">
        <v>0</v>
      </c>
      <c r="O12" s="6">
        <v>0</v>
      </c>
      <c r="P12" s="6">
        <v>0</v>
      </c>
      <c r="Q12" s="5">
        <v>0</v>
      </c>
      <c r="R12" s="5">
        <v>0</v>
      </c>
      <c r="S12" s="6">
        <v>0</v>
      </c>
      <c r="T12" s="6">
        <v>0</v>
      </c>
      <c r="U12" s="6">
        <v>0</v>
      </c>
      <c r="V12" s="5">
        <v>0</v>
      </c>
      <c r="W12" s="5">
        <v>0</v>
      </c>
      <c r="X12" s="6">
        <v>0</v>
      </c>
      <c r="Y12" s="6">
        <v>0</v>
      </c>
      <c r="Z12" s="6">
        <v>0</v>
      </c>
      <c r="AA12" s="5">
        <v>0</v>
      </c>
      <c r="AB12" s="5">
        <v>0</v>
      </c>
      <c r="AC12" s="6">
        <v>0</v>
      </c>
      <c r="AD12" s="6">
        <v>0</v>
      </c>
      <c r="AE12" s="6">
        <v>0</v>
      </c>
      <c r="AF12" s="5">
        <v>0</v>
      </c>
      <c r="AG12" s="5">
        <v>0</v>
      </c>
      <c r="AH12" s="6" t="s">
        <v>18</v>
      </c>
      <c r="AI12" s="6" t="s">
        <v>18</v>
      </c>
      <c r="AJ12" s="6">
        <v>0</v>
      </c>
    </row>
    <row r="13" spans="1:37" x14ac:dyDescent="0.45">
      <c r="A13" s="4" t="s">
        <v>21</v>
      </c>
      <c r="B13" s="5">
        <v>0</v>
      </c>
      <c r="C13" s="5">
        <v>0</v>
      </c>
      <c r="D13" s="6">
        <v>0</v>
      </c>
      <c r="E13" s="6">
        <v>0</v>
      </c>
      <c r="F13" s="6">
        <v>0</v>
      </c>
      <c r="G13" s="5">
        <v>0</v>
      </c>
      <c r="H13" s="5">
        <v>0</v>
      </c>
      <c r="I13" s="6">
        <v>0</v>
      </c>
      <c r="J13" s="6">
        <v>0</v>
      </c>
      <c r="K13" s="6">
        <v>0</v>
      </c>
      <c r="L13" s="5">
        <v>0</v>
      </c>
      <c r="M13" s="5">
        <v>0</v>
      </c>
      <c r="N13" s="6">
        <v>0</v>
      </c>
      <c r="O13" s="6">
        <v>0</v>
      </c>
      <c r="P13" s="6">
        <v>0</v>
      </c>
      <c r="Q13" s="5">
        <v>0</v>
      </c>
      <c r="R13" s="5">
        <v>0</v>
      </c>
      <c r="S13" s="6">
        <v>0</v>
      </c>
      <c r="T13" s="6">
        <v>0</v>
      </c>
      <c r="U13" s="6">
        <v>0</v>
      </c>
      <c r="V13" s="5">
        <v>0</v>
      </c>
      <c r="W13" s="5">
        <v>0</v>
      </c>
      <c r="X13" s="6">
        <v>0</v>
      </c>
      <c r="Y13" s="6">
        <v>0</v>
      </c>
      <c r="Z13" s="6">
        <v>12</v>
      </c>
      <c r="AA13" s="5">
        <v>0.53257102018938718</v>
      </c>
      <c r="AB13" s="5">
        <v>0.49787825728764501</v>
      </c>
      <c r="AC13" s="6">
        <v>0</v>
      </c>
      <c r="AD13" s="6">
        <v>1</v>
      </c>
      <c r="AE13" s="6">
        <v>2</v>
      </c>
      <c r="AF13" s="5">
        <v>0.11247509672036499</v>
      </c>
      <c r="AG13" s="5">
        <v>0.10780506113700238</v>
      </c>
      <c r="AH13" s="6">
        <v>0</v>
      </c>
      <c r="AI13" s="6">
        <v>1</v>
      </c>
      <c r="AJ13" s="6">
        <v>14</v>
      </c>
      <c r="AK13">
        <f>(AF15/AF14)-AF13</f>
        <v>8.8751599755223232E-3</v>
      </c>
    </row>
    <row r="14" spans="1:37" x14ac:dyDescent="0.45">
      <c r="A14" s="4" t="s">
        <v>14</v>
      </c>
      <c r="B14" s="5">
        <v>0</v>
      </c>
      <c r="C14" s="5">
        <v>0</v>
      </c>
      <c r="D14" s="6">
        <v>0</v>
      </c>
      <c r="E14" s="6">
        <v>0</v>
      </c>
      <c r="F14" s="6">
        <v>0</v>
      </c>
      <c r="G14" s="5">
        <v>0</v>
      </c>
      <c r="H14" s="5">
        <v>0</v>
      </c>
      <c r="I14" s="6">
        <v>0</v>
      </c>
      <c r="J14" s="6">
        <v>0</v>
      </c>
      <c r="K14" s="6">
        <v>0</v>
      </c>
      <c r="L14" s="5">
        <v>0</v>
      </c>
      <c r="M14" s="5">
        <v>0</v>
      </c>
      <c r="N14" s="6">
        <v>0</v>
      </c>
      <c r="O14" s="6">
        <v>0</v>
      </c>
      <c r="P14" s="6">
        <v>0</v>
      </c>
      <c r="Q14" s="5">
        <v>0</v>
      </c>
      <c r="R14" s="5">
        <v>0</v>
      </c>
      <c r="S14" s="6">
        <v>0</v>
      </c>
      <c r="T14" s="6">
        <v>0</v>
      </c>
      <c r="U14" s="6">
        <v>0</v>
      </c>
      <c r="V14" s="5">
        <v>0.90728189345464016</v>
      </c>
      <c r="W14" s="5">
        <v>9.2072676259820324E-2</v>
      </c>
      <c r="X14" s="6">
        <v>0</v>
      </c>
      <c r="Y14" s="6">
        <v>1</v>
      </c>
      <c r="Z14" s="6">
        <v>12</v>
      </c>
      <c r="AA14" s="5">
        <v>1</v>
      </c>
      <c r="AB14" s="5">
        <v>0</v>
      </c>
      <c r="AC14" s="6">
        <v>1</v>
      </c>
      <c r="AD14" s="6">
        <v>1</v>
      </c>
      <c r="AE14" s="6">
        <v>2</v>
      </c>
      <c r="AF14" s="5">
        <v>0.92686327810773295</v>
      </c>
      <c r="AG14" s="5">
        <v>7.3261369808220761E-2</v>
      </c>
      <c r="AH14" s="6">
        <v>0</v>
      </c>
      <c r="AI14" s="6">
        <v>1</v>
      </c>
      <c r="AJ14" s="6">
        <v>14</v>
      </c>
      <c r="AK14">
        <f>(AF15/AF13)-AF14</f>
        <v>7.3136721892267054E-2</v>
      </c>
    </row>
    <row r="15" spans="1:37" ht="26.25" x14ac:dyDescent="0.45">
      <c r="A15" s="4" t="s">
        <v>22</v>
      </c>
      <c r="B15" s="5">
        <v>0</v>
      </c>
      <c r="C15" s="5">
        <v>0</v>
      </c>
      <c r="D15" s="6">
        <v>0</v>
      </c>
      <c r="E15" s="6">
        <v>0</v>
      </c>
      <c r="F15" s="6">
        <v>0</v>
      </c>
      <c r="G15" s="5">
        <v>0</v>
      </c>
      <c r="H15" s="5">
        <v>0</v>
      </c>
      <c r="I15" s="6">
        <v>0</v>
      </c>
      <c r="J15" s="6">
        <v>0</v>
      </c>
      <c r="K15" s="6">
        <v>0</v>
      </c>
      <c r="L15" s="5">
        <v>0</v>
      </c>
      <c r="M15" s="5">
        <v>0</v>
      </c>
      <c r="N15" s="6">
        <v>0</v>
      </c>
      <c r="O15" s="6">
        <v>0</v>
      </c>
      <c r="P15" s="6">
        <v>0</v>
      </c>
      <c r="Q15" s="5">
        <v>0</v>
      </c>
      <c r="R15" s="5">
        <v>0</v>
      </c>
      <c r="S15" s="6">
        <v>0</v>
      </c>
      <c r="T15" s="6">
        <v>0</v>
      </c>
      <c r="U15" s="6">
        <v>0</v>
      </c>
      <c r="V15" s="5">
        <v>0</v>
      </c>
      <c r="W15" s="5">
        <v>0</v>
      </c>
      <c r="X15" s="6">
        <v>0</v>
      </c>
      <c r="Y15" s="6">
        <v>0</v>
      </c>
      <c r="Z15" s="6">
        <v>12</v>
      </c>
      <c r="AA15" s="5">
        <v>0.53257102018938718</v>
      </c>
      <c r="AB15" s="5">
        <v>0.49787825728764501</v>
      </c>
      <c r="AC15" s="6">
        <v>0</v>
      </c>
      <c r="AD15" s="6">
        <v>1</v>
      </c>
      <c r="AE15" s="6">
        <v>2</v>
      </c>
      <c r="AF15" s="5">
        <v>0.11247509672036499</v>
      </c>
      <c r="AG15" s="5">
        <v>0.10780506113700238</v>
      </c>
      <c r="AH15" s="6">
        <v>0</v>
      </c>
      <c r="AI15" s="6">
        <v>1</v>
      </c>
      <c r="AJ15" s="6">
        <v>14</v>
      </c>
    </row>
    <row r="16" spans="1:37" x14ac:dyDescent="0.45">
      <c r="A16" s="4" t="s">
        <v>21</v>
      </c>
      <c r="B16" s="5">
        <v>0</v>
      </c>
      <c r="C16" s="5">
        <v>0</v>
      </c>
      <c r="D16" s="6">
        <v>0</v>
      </c>
      <c r="E16" s="6">
        <v>0</v>
      </c>
      <c r="F16" s="6">
        <v>0</v>
      </c>
      <c r="G16" s="5">
        <v>0</v>
      </c>
      <c r="H16" s="5">
        <v>0</v>
      </c>
      <c r="I16" s="6">
        <v>0</v>
      </c>
      <c r="J16" s="6">
        <v>0</v>
      </c>
      <c r="K16" s="6">
        <v>0</v>
      </c>
      <c r="L16" s="5">
        <v>0</v>
      </c>
      <c r="M16" s="5">
        <v>0</v>
      </c>
      <c r="N16" s="6">
        <v>0</v>
      </c>
      <c r="O16" s="6">
        <v>0</v>
      </c>
      <c r="P16" s="6">
        <v>0</v>
      </c>
      <c r="Q16" s="5">
        <v>0</v>
      </c>
      <c r="R16" s="5">
        <v>0</v>
      </c>
      <c r="S16" s="6">
        <v>0</v>
      </c>
      <c r="T16" s="6">
        <v>0</v>
      </c>
      <c r="U16" s="6">
        <v>0</v>
      </c>
      <c r="V16" s="5">
        <v>9.608878438802905E-2</v>
      </c>
      <c r="W16" s="5">
        <v>9.374665811417815E-2</v>
      </c>
      <c r="X16" s="6">
        <v>0</v>
      </c>
      <c r="Y16" s="6">
        <v>1</v>
      </c>
      <c r="Z16" s="6">
        <v>14</v>
      </c>
      <c r="AA16" s="5">
        <v>0.34215020652032557</v>
      </c>
      <c r="AB16" s="5">
        <v>0.16725047007905591</v>
      </c>
      <c r="AC16" s="6">
        <v>0</v>
      </c>
      <c r="AD16" s="6">
        <v>1</v>
      </c>
      <c r="AE16" s="6">
        <v>10</v>
      </c>
      <c r="AF16" s="5">
        <v>0.22264532971835391</v>
      </c>
      <c r="AG16" s="5">
        <v>9.8376581995677476E-2</v>
      </c>
      <c r="AH16" s="6">
        <v>0</v>
      </c>
      <c r="AI16" s="6">
        <v>1</v>
      </c>
      <c r="AJ16" s="6">
        <v>24</v>
      </c>
      <c r="AK16">
        <f>(AF18/AF17)-AF16</f>
        <v>-0.22264532971835391</v>
      </c>
    </row>
    <row r="17" spans="1:37" ht="26.25" x14ac:dyDescent="0.45">
      <c r="A17" s="4" t="s">
        <v>16</v>
      </c>
      <c r="B17" s="5">
        <v>0</v>
      </c>
      <c r="C17" s="5">
        <v>0</v>
      </c>
      <c r="D17" s="6">
        <v>0</v>
      </c>
      <c r="E17" s="6">
        <v>0</v>
      </c>
      <c r="F17" s="6">
        <v>0</v>
      </c>
      <c r="G17" s="5">
        <v>0</v>
      </c>
      <c r="H17" s="5">
        <v>0</v>
      </c>
      <c r="I17" s="6">
        <v>0</v>
      </c>
      <c r="J17" s="6">
        <v>0</v>
      </c>
      <c r="K17" s="6">
        <v>0</v>
      </c>
      <c r="L17" s="5">
        <v>0</v>
      </c>
      <c r="M17" s="5">
        <v>0</v>
      </c>
      <c r="N17" s="6">
        <v>0</v>
      </c>
      <c r="O17" s="6">
        <v>0</v>
      </c>
      <c r="P17" s="6">
        <v>0</v>
      </c>
      <c r="Q17" s="5">
        <v>0</v>
      </c>
      <c r="R17" s="5">
        <v>0</v>
      </c>
      <c r="S17" s="6">
        <v>0</v>
      </c>
      <c r="T17" s="6">
        <v>0</v>
      </c>
      <c r="U17" s="6">
        <v>0</v>
      </c>
      <c r="V17" s="5">
        <v>9.076224319845197E-2</v>
      </c>
      <c r="W17" s="5">
        <v>7.2870805812875375E-2</v>
      </c>
      <c r="X17" s="6">
        <v>0</v>
      </c>
      <c r="Y17" s="6">
        <v>1</v>
      </c>
      <c r="Z17" s="6">
        <v>14</v>
      </c>
      <c r="AA17" s="5">
        <v>0</v>
      </c>
      <c r="AB17" s="5">
        <v>0</v>
      </c>
      <c r="AC17" s="6">
        <v>0</v>
      </c>
      <c r="AD17" s="6">
        <v>0</v>
      </c>
      <c r="AE17" s="6">
        <v>10</v>
      </c>
      <c r="AF17" s="5">
        <v>4.4080581985216215E-2</v>
      </c>
      <c r="AG17" s="5">
        <v>3.5713430966659132E-2</v>
      </c>
      <c r="AH17" s="6">
        <v>0</v>
      </c>
      <c r="AI17" s="6">
        <v>1</v>
      </c>
      <c r="AJ17" s="6">
        <v>24</v>
      </c>
      <c r="AK17">
        <f>(AF18/AF16)-AF17</f>
        <v>-4.4080581985216215E-2</v>
      </c>
    </row>
    <row r="18" spans="1:37" ht="26.25" x14ac:dyDescent="0.45">
      <c r="A18" s="4" t="s">
        <v>23</v>
      </c>
      <c r="B18" s="5">
        <v>0</v>
      </c>
      <c r="C18" s="5">
        <v>0</v>
      </c>
      <c r="D18" s="6">
        <v>0</v>
      </c>
      <c r="E18" s="6">
        <v>0</v>
      </c>
      <c r="F18" s="6">
        <v>0</v>
      </c>
      <c r="G18" s="5">
        <v>0</v>
      </c>
      <c r="H18" s="5">
        <v>0</v>
      </c>
      <c r="I18" s="6">
        <v>0</v>
      </c>
      <c r="J18" s="6">
        <v>0</v>
      </c>
      <c r="K18" s="6">
        <v>0</v>
      </c>
      <c r="L18" s="5">
        <v>0</v>
      </c>
      <c r="M18" s="5">
        <v>0</v>
      </c>
      <c r="N18" s="6">
        <v>0</v>
      </c>
      <c r="O18" s="6">
        <v>0</v>
      </c>
      <c r="P18" s="6">
        <v>0</v>
      </c>
      <c r="Q18" s="5">
        <v>0</v>
      </c>
      <c r="R18" s="5">
        <v>0</v>
      </c>
      <c r="S18" s="6">
        <v>0</v>
      </c>
      <c r="T18" s="6">
        <v>0</v>
      </c>
      <c r="U18" s="6">
        <v>0</v>
      </c>
      <c r="V18" s="5">
        <v>0</v>
      </c>
      <c r="W18" s="5">
        <v>0</v>
      </c>
      <c r="X18" s="6">
        <v>0</v>
      </c>
      <c r="Y18" s="6">
        <v>0</v>
      </c>
      <c r="Z18" s="6">
        <v>14</v>
      </c>
      <c r="AA18" s="5">
        <v>0</v>
      </c>
      <c r="AB18" s="5">
        <v>0</v>
      </c>
      <c r="AC18" s="6">
        <v>0</v>
      </c>
      <c r="AD18" s="6">
        <v>0</v>
      </c>
      <c r="AE18" s="6">
        <v>10</v>
      </c>
      <c r="AF18" s="5">
        <v>0</v>
      </c>
      <c r="AG18" s="5">
        <v>0</v>
      </c>
      <c r="AH18" s="6">
        <v>0</v>
      </c>
      <c r="AI18" s="6">
        <v>0</v>
      </c>
      <c r="AJ18" s="6">
        <v>24</v>
      </c>
    </row>
    <row r="19" spans="1:37" x14ac:dyDescent="0.45">
      <c r="A19" s="4" t="s">
        <v>21</v>
      </c>
      <c r="B19" s="5">
        <v>0</v>
      </c>
      <c r="C19" s="5">
        <v>0</v>
      </c>
      <c r="D19" s="6">
        <v>0</v>
      </c>
      <c r="E19" s="6">
        <v>0</v>
      </c>
      <c r="F19" s="6">
        <v>0</v>
      </c>
      <c r="G19" s="5">
        <v>0</v>
      </c>
      <c r="H19" s="5">
        <v>0</v>
      </c>
      <c r="I19" s="6">
        <v>0</v>
      </c>
      <c r="J19" s="6">
        <v>0</v>
      </c>
      <c r="K19" s="6">
        <v>0</v>
      </c>
      <c r="L19" s="5">
        <v>0</v>
      </c>
      <c r="M19" s="5">
        <v>0</v>
      </c>
      <c r="N19" s="6">
        <v>0</v>
      </c>
      <c r="O19" s="6">
        <v>0</v>
      </c>
      <c r="P19" s="6">
        <v>0</v>
      </c>
      <c r="Q19" s="5">
        <v>0</v>
      </c>
      <c r="R19" s="5">
        <v>0</v>
      </c>
      <c r="S19" s="6">
        <v>0</v>
      </c>
      <c r="T19" s="6">
        <v>0</v>
      </c>
      <c r="U19" s="6">
        <v>0</v>
      </c>
      <c r="V19" s="5">
        <v>0</v>
      </c>
      <c r="W19" s="5">
        <v>0</v>
      </c>
      <c r="X19" s="6">
        <v>0</v>
      </c>
      <c r="Y19" s="6">
        <v>0</v>
      </c>
      <c r="Z19" s="6">
        <v>0</v>
      </c>
      <c r="AA19" s="5">
        <v>0</v>
      </c>
      <c r="AB19" s="5">
        <v>0</v>
      </c>
      <c r="AC19" s="6">
        <v>0</v>
      </c>
      <c r="AD19" s="6">
        <v>0</v>
      </c>
      <c r="AE19" s="6">
        <v>0</v>
      </c>
      <c r="AF19" s="5">
        <v>0</v>
      </c>
      <c r="AG19" s="5">
        <v>0</v>
      </c>
      <c r="AH19" s="6" t="s">
        <v>18</v>
      </c>
      <c r="AI19" s="6" t="s">
        <v>18</v>
      </c>
      <c r="AJ19" s="6">
        <v>0</v>
      </c>
      <c r="AK19" t="e">
        <f>(AF21/AF20)-AF19</f>
        <v>#DIV/0!</v>
      </c>
    </row>
    <row r="20" spans="1:37" x14ac:dyDescent="0.45">
      <c r="A20" s="4" t="s">
        <v>19</v>
      </c>
      <c r="B20" s="5">
        <v>0</v>
      </c>
      <c r="C20" s="5">
        <v>0</v>
      </c>
      <c r="D20" s="6">
        <v>0</v>
      </c>
      <c r="E20" s="6">
        <v>0</v>
      </c>
      <c r="F20" s="6">
        <v>0</v>
      </c>
      <c r="G20" s="5">
        <v>0</v>
      </c>
      <c r="H20" s="5">
        <v>0</v>
      </c>
      <c r="I20" s="6">
        <v>0</v>
      </c>
      <c r="J20" s="6">
        <v>0</v>
      </c>
      <c r="K20" s="6">
        <v>0</v>
      </c>
      <c r="L20" s="5">
        <v>0</v>
      </c>
      <c r="M20" s="5">
        <v>0</v>
      </c>
      <c r="N20" s="6">
        <v>0</v>
      </c>
      <c r="O20" s="6">
        <v>0</v>
      </c>
      <c r="P20" s="6">
        <v>0</v>
      </c>
      <c r="Q20" s="5">
        <v>0</v>
      </c>
      <c r="R20" s="5">
        <v>0</v>
      </c>
      <c r="S20" s="6">
        <v>0</v>
      </c>
      <c r="T20" s="6">
        <v>0</v>
      </c>
      <c r="U20" s="6">
        <v>0</v>
      </c>
      <c r="V20" s="5">
        <v>0</v>
      </c>
      <c r="W20" s="5">
        <v>0</v>
      </c>
      <c r="X20" s="6">
        <v>0</v>
      </c>
      <c r="Y20" s="6">
        <v>0</v>
      </c>
      <c r="Z20" s="6">
        <v>0</v>
      </c>
      <c r="AA20" s="5">
        <v>0</v>
      </c>
      <c r="AB20" s="5">
        <v>0</v>
      </c>
      <c r="AC20" s="6">
        <v>0</v>
      </c>
      <c r="AD20" s="6">
        <v>0</v>
      </c>
      <c r="AE20" s="6">
        <v>0</v>
      </c>
      <c r="AF20" s="5">
        <v>0</v>
      </c>
      <c r="AG20" s="5">
        <v>0</v>
      </c>
      <c r="AH20" s="6" t="s">
        <v>18</v>
      </c>
      <c r="AI20" s="6" t="s">
        <v>18</v>
      </c>
      <c r="AJ20" s="6">
        <v>0</v>
      </c>
      <c r="AK20" t="e">
        <f>(AF21/AF19)-AF20</f>
        <v>#DIV/0!</v>
      </c>
    </row>
    <row r="21" spans="1:37" ht="26.25" x14ac:dyDescent="0.45">
      <c r="A21" s="4" t="s">
        <v>24</v>
      </c>
      <c r="B21" s="5">
        <v>0</v>
      </c>
      <c r="C21" s="5">
        <v>0</v>
      </c>
      <c r="D21" s="6">
        <v>0</v>
      </c>
      <c r="E21" s="6">
        <v>0</v>
      </c>
      <c r="F21" s="6">
        <v>0</v>
      </c>
      <c r="G21" s="5">
        <v>0</v>
      </c>
      <c r="H21" s="5">
        <v>0</v>
      </c>
      <c r="I21" s="6">
        <v>0</v>
      </c>
      <c r="J21" s="6">
        <v>0</v>
      </c>
      <c r="K21" s="6">
        <v>0</v>
      </c>
      <c r="L21" s="5">
        <v>0</v>
      </c>
      <c r="M21" s="5">
        <v>0</v>
      </c>
      <c r="N21" s="6">
        <v>0</v>
      </c>
      <c r="O21" s="6">
        <v>0</v>
      </c>
      <c r="P21" s="6">
        <v>0</v>
      </c>
      <c r="Q21" s="5">
        <v>0</v>
      </c>
      <c r="R21" s="5">
        <v>0</v>
      </c>
      <c r="S21" s="6">
        <v>0</v>
      </c>
      <c r="T21" s="6">
        <v>0</v>
      </c>
      <c r="U21" s="6">
        <v>0</v>
      </c>
      <c r="V21" s="5">
        <v>0</v>
      </c>
      <c r="W21" s="5">
        <v>0</v>
      </c>
      <c r="X21" s="6">
        <v>0</v>
      </c>
      <c r="Y21" s="6">
        <v>0</v>
      </c>
      <c r="Z21" s="6">
        <v>0</v>
      </c>
      <c r="AA21" s="5">
        <v>0</v>
      </c>
      <c r="AB21" s="5">
        <v>0</v>
      </c>
      <c r="AC21" s="6">
        <v>0</v>
      </c>
      <c r="AD21" s="6">
        <v>0</v>
      </c>
      <c r="AE21" s="6">
        <v>0</v>
      </c>
      <c r="AF21" s="5">
        <v>0</v>
      </c>
      <c r="AG21" s="5">
        <v>0</v>
      </c>
      <c r="AH21" s="6" t="s">
        <v>18</v>
      </c>
      <c r="AI21" s="6" t="s">
        <v>18</v>
      </c>
      <c r="AJ21" s="6">
        <v>0</v>
      </c>
    </row>
    <row r="22" spans="1:37" x14ac:dyDescent="0.45">
      <c r="A22" s="4" t="s">
        <v>25</v>
      </c>
      <c r="B22" s="5">
        <v>0</v>
      </c>
      <c r="C22" s="5">
        <v>0</v>
      </c>
      <c r="D22" s="6">
        <v>0</v>
      </c>
      <c r="E22" s="6">
        <v>0</v>
      </c>
      <c r="F22" s="6">
        <v>0</v>
      </c>
      <c r="G22" s="5">
        <v>0</v>
      </c>
      <c r="H22" s="5">
        <v>0</v>
      </c>
      <c r="I22" s="6">
        <v>0</v>
      </c>
      <c r="J22" s="6">
        <v>0</v>
      </c>
      <c r="K22" s="6">
        <v>0</v>
      </c>
      <c r="L22" s="5">
        <v>0</v>
      </c>
      <c r="M22" s="5">
        <v>0</v>
      </c>
      <c r="N22" s="6">
        <v>0</v>
      </c>
      <c r="O22" s="6">
        <v>0</v>
      </c>
      <c r="P22" s="6">
        <v>0</v>
      </c>
      <c r="Q22" s="5">
        <v>0</v>
      </c>
      <c r="R22" s="5">
        <v>0</v>
      </c>
      <c r="S22" s="6">
        <v>0</v>
      </c>
      <c r="T22" s="6">
        <v>0</v>
      </c>
      <c r="U22" s="6">
        <v>0</v>
      </c>
      <c r="V22" s="5">
        <v>0.43075283407444698</v>
      </c>
      <c r="W22" s="5">
        <v>0.15435202505309964</v>
      </c>
      <c r="X22" s="6">
        <v>0</v>
      </c>
      <c r="Y22" s="6">
        <v>1</v>
      </c>
      <c r="Z22" s="6">
        <v>12</v>
      </c>
      <c r="AA22" s="5">
        <v>0.46742897981061271</v>
      </c>
      <c r="AB22" s="5">
        <v>0.49787825728764501</v>
      </c>
      <c r="AC22" s="6">
        <v>0</v>
      </c>
      <c r="AD22" s="6">
        <v>1</v>
      </c>
      <c r="AE22" s="6">
        <v>2</v>
      </c>
      <c r="AF22" s="5">
        <v>0.43849856728677705</v>
      </c>
      <c r="AG22" s="5">
        <v>0.14342905143568394</v>
      </c>
      <c r="AH22" s="6">
        <v>0</v>
      </c>
      <c r="AI22" s="6">
        <v>1</v>
      </c>
      <c r="AJ22" s="6">
        <v>14</v>
      </c>
      <c r="AK22">
        <f>(AF24/AF23)-AF22</f>
        <v>3.4600947651399871E-2</v>
      </c>
    </row>
    <row r="23" spans="1:37" x14ac:dyDescent="0.45">
      <c r="A23" s="4" t="s">
        <v>14</v>
      </c>
      <c r="B23" s="5">
        <v>0</v>
      </c>
      <c r="C23" s="5">
        <v>0</v>
      </c>
      <c r="D23" s="6">
        <v>0</v>
      </c>
      <c r="E23" s="6">
        <v>0</v>
      </c>
      <c r="F23" s="6">
        <v>0</v>
      </c>
      <c r="G23" s="5">
        <v>0</v>
      </c>
      <c r="H23" s="5">
        <v>0</v>
      </c>
      <c r="I23" s="6">
        <v>0</v>
      </c>
      <c r="J23" s="6">
        <v>0</v>
      </c>
      <c r="K23" s="6">
        <v>0</v>
      </c>
      <c r="L23" s="5">
        <v>0</v>
      </c>
      <c r="M23" s="5">
        <v>0</v>
      </c>
      <c r="N23" s="6">
        <v>0</v>
      </c>
      <c r="O23" s="6">
        <v>0</v>
      </c>
      <c r="P23" s="6">
        <v>0</v>
      </c>
      <c r="Q23" s="5">
        <v>0</v>
      </c>
      <c r="R23" s="5">
        <v>0</v>
      </c>
      <c r="S23" s="6">
        <v>0</v>
      </c>
      <c r="T23" s="6">
        <v>0</v>
      </c>
      <c r="U23" s="6">
        <v>0</v>
      </c>
      <c r="V23" s="5">
        <v>0.90728189345464016</v>
      </c>
      <c r="W23" s="5">
        <v>9.2072676259820324E-2</v>
      </c>
      <c r="X23" s="6">
        <v>0</v>
      </c>
      <c r="Y23" s="6">
        <v>1</v>
      </c>
      <c r="Z23" s="6">
        <v>12</v>
      </c>
      <c r="AA23" s="5">
        <v>1</v>
      </c>
      <c r="AB23" s="5">
        <v>0</v>
      </c>
      <c r="AC23" s="6">
        <v>1</v>
      </c>
      <c r="AD23" s="6">
        <v>1</v>
      </c>
      <c r="AE23" s="6">
        <v>2</v>
      </c>
      <c r="AF23" s="5">
        <v>0.92686327810773295</v>
      </c>
      <c r="AG23" s="5">
        <v>7.3261369808220761E-2</v>
      </c>
      <c r="AH23" s="6">
        <v>0</v>
      </c>
      <c r="AI23" s="6">
        <v>1</v>
      </c>
      <c r="AJ23" s="6">
        <v>14</v>
      </c>
      <c r="AK23">
        <f>(AF24/AF22)-AF23</f>
        <v>7.3136721892267054E-2</v>
      </c>
    </row>
    <row r="24" spans="1:37" ht="26.25" x14ac:dyDescent="0.45">
      <c r="A24" s="4" t="s">
        <v>26</v>
      </c>
      <c r="B24" s="5">
        <v>0</v>
      </c>
      <c r="C24" s="5">
        <v>0</v>
      </c>
      <c r="D24" s="6">
        <v>0</v>
      </c>
      <c r="E24" s="6">
        <v>0</v>
      </c>
      <c r="F24" s="6">
        <v>0</v>
      </c>
      <c r="G24" s="5">
        <v>0</v>
      </c>
      <c r="H24" s="5">
        <v>0</v>
      </c>
      <c r="I24" s="6">
        <v>0</v>
      </c>
      <c r="J24" s="6">
        <v>0</v>
      </c>
      <c r="K24" s="6">
        <v>0</v>
      </c>
      <c r="L24" s="5">
        <v>0</v>
      </c>
      <c r="M24" s="5">
        <v>0</v>
      </c>
      <c r="N24" s="6">
        <v>0</v>
      </c>
      <c r="O24" s="6">
        <v>0</v>
      </c>
      <c r="P24" s="6">
        <v>0</v>
      </c>
      <c r="Q24" s="5">
        <v>0</v>
      </c>
      <c r="R24" s="5">
        <v>0</v>
      </c>
      <c r="S24" s="6">
        <v>0</v>
      </c>
      <c r="T24" s="6">
        <v>0</v>
      </c>
      <c r="U24" s="6">
        <v>0</v>
      </c>
      <c r="V24" s="5">
        <v>0.43075283407444698</v>
      </c>
      <c r="W24" s="5">
        <v>0.15435202505309964</v>
      </c>
      <c r="X24" s="6">
        <v>0</v>
      </c>
      <c r="Y24" s="6">
        <v>1</v>
      </c>
      <c r="Z24" s="6">
        <v>12</v>
      </c>
      <c r="AA24" s="5">
        <v>0.46742897981061271</v>
      </c>
      <c r="AB24" s="5">
        <v>0.49787825728764501</v>
      </c>
      <c r="AC24" s="6">
        <v>0</v>
      </c>
      <c r="AD24" s="6">
        <v>1</v>
      </c>
      <c r="AE24" s="6">
        <v>2</v>
      </c>
      <c r="AF24" s="5">
        <v>0.43849856728677705</v>
      </c>
      <c r="AG24" s="5">
        <v>0.14342905143568394</v>
      </c>
      <c r="AH24" s="6">
        <v>0</v>
      </c>
      <c r="AI24" s="6">
        <v>1</v>
      </c>
      <c r="AJ24" s="6">
        <v>14</v>
      </c>
    </row>
    <row r="25" spans="1:37" x14ac:dyDescent="0.45">
      <c r="A25" s="4" t="s">
        <v>25</v>
      </c>
      <c r="B25" s="5">
        <v>0</v>
      </c>
      <c r="C25" s="5">
        <v>0</v>
      </c>
      <c r="D25" s="6">
        <v>0</v>
      </c>
      <c r="E25" s="6">
        <v>0</v>
      </c>
      <c r="F25" s="6">
        <v>0</v>
      </c>
      <c r="G25" s="5">
        <v>0</v>
      </c>
      <c r="H25" s="5">
        <v>0</v>
      </c>
      <c r="I25" s="6">
        <v>0</v>
      </c>
      <c r="J25" s="6">
        <v>0</v>
      </c>
      <c r="K25" s="6">
        <v>0</v>
      </c>
      <c r="L25" s="5">
        <v>0</v>
      </c>
      <c r="M25" s="5">
        <v>0</v>
      </c>
      <c r="N25" s="6">
        <v>0</v>
      </c>
      <c r="O25" s="6">
        <v>0</v>
      </c>
      <c r="P25" s="6">
        <v>0</v>
      </c>
      <c r="Q25" s="5">
        <v>0</v>
      </c>
      <c r="R25" s="5">
        <v>0</v>
      </c>
      <c r="S25" s="6">
        <v>0</v>
      </c>
      <c r="T25" s="6">
        <v>0</v>
      </c>
      <c r="U25" s="6">
        <v>0</v>
      </c>
      <c r="V25" s="5">
        <v>0.37916069600123253</v>
      </c>
      <c r="W25" s="5">
        <v>0.13936184727846226</v>
      </c>
      <c r="X25" s="6">
        <v>0</v>
      </c>
      <c r="Y25" s="6">
        <v>1</v>
      </c>
      <c r="Z25" s="6">
        <v>14</v>
      </c>
      <c r="AA25" s="5">
        <v>0.33312917630828515</v>
      </c>
      <c r="AB25" s="5">
        <v>0.16510619721225733</v>
      </c>
      <c r="AC25" s="6">
        <v>0</v>
      </c>
      <c r="AD25" s="6">
        <v>1</v>
      </c>
      <c r="AE25" s="6">
        <v>10</v>
      </c>
      <c r="AF25" s="5">
        <v>0.3554853467402172</v>
      </c>
      <c r="AG25" s="5">
        <v>0.10599981385981368</v>
      </c>
      <c r="AH25" s="6">
        <v>0</v>
      </c>
      <c r="AI25" s="6">
        <v>1</v>
      </c>
      <c r="AJ25" s="6">
        <v>24</v>
      </c>
      <c r="AK25">
        <f>(AF27/AF26)-AF25</f>
        <v>-0.3554853467402172</v>
      </c>
    </row>
    <row r="26" spans="1:37" ht="26.25" x14ac:dyDescent="0.45">
      <c r="A26" s="4" t="s">
        <v>16</v>
      </c>
      <c r="B26" s="5">
        <v>0</v>
      </c>
      <c r="C26" s="5">
        <v>0</v>
      </c>
      <c r="D26" s="6">
        <v>0</v>
      </c>
      <c r="E26" s="6">
        <v>0</v>
      </c>
      <c r="F26" s="6">
        <v>0</v>
      </c>
      <c r="G26" s="5">
        <v>0</v>
      </c>
      <c r="H26" s="5">
        <v>0</v>
      </c>
      <c r="I26" s="6">
        <v>0</v>
      </c>
      <c r="J26" s="6">
        <v>0</v>
      </c>
      <c r="K26" s="6">
        <v>0</v>
      </c>
      <c r="L26" s="5">
        <v>0</v>
      </c>
      <c r="M26" s="5">
        <v>0</v>
      </c>
      <c r="N26" s="6">
        <v>0</v>
      </c>
      <c r="O26" s="6">
        <v>0</v>
      </c>
      <c r="P26" s="6">
        <v>0</v>
      </c>
      <c r="Q26" s="5">
        <v>0</v>
      </c>
      <c r="R26" s="5">
        <v>0</v>
      </c>
      <c r="S26" s="6">
        <v>0</v>
      </c>
      <c r="T26" s="6">
        <v>0</v>
      </c>
      <c r="U26" s="6">
        <v>0</v>
      </c>
      <c r="V26" s="5">
        <v>9.076224319845197E-2</v>
      </c>
      <c r="W26" s="5">
        <v>7.2870805812875375E-2</v>
      </c>
      <c r="X26" s="6">
        <v>0</v>
      </c>
      <c r="Y26" s="6">
        <v>1</v>
      </c>
      <c r="Z26" s="6">
        <v>14</v>
      </c>
      <c r="AA26" s="5">
        <v>0</v>
      </c>
      <c r="AB26" s="5">
        <v>0</v>
      </c>
      <c r="AC26" s="6">
        <v>0</v>
      </c>
      <c r="AD26" s="6">
        <v>0</v>
      </c>
      <c r="AE26" s="6">
        <v>10</v>
      </c>
      <c r="AF26" s="5">
        <v>4.4080581985216215E-2</v>
      </c>
      <c r="AG26" s="5">
        <v>3.5713430966659132E-2</v>
      </c>
      <c r="AH26" s="6">
        <v>0</v>
      </c>
      <c r="AI26" s="6">
        <v>1</v>
      </c>
      <c r="AJ26" s="6">
        <v>24</v>
      </c>
      <c r="AK26">
        <f>(AF27/AF25)-AF26</f>
        <v>-4.4080581985216215E-2</v>
      </c>
    </row>
    <row r="27" spans="1:37" ht="26.25" x14ac:dyDescent="0.45">
      <c r="A27" s="4" t="s">
        <v>27</v>
      </c>
      <c r="B27" s="5">
        <v>0</v>
      </c>
      <c r="C27" s="5">
        <v>0</v>
      </c>
      <c r="D27" s="6">
        <v>0</v>
      </c>
      <c r="E27" s="6">
        <v>0</v>
      </c>
      <c r="F27" s="6">
        <v>0</v>
      </c>
      <c r="G27" s="5">
        <v>0</v>
      </c>
      <c r="H27" s="5">
        <v>0</v>
      </c>
      <c r="I27" s="6">
        <v>0</v>
      </c>
      <c r="J27" s="6">
        <v>0</v>
      </c>
      <c r="K27" s="6">
        <v>0</v>
      </c>
      <c r="L27" s="5">
        <v>0</v>
      </c>
      <c r="M27" s="5">
        <v>0</v>
      </c>
      <c r="N27" s="6">
        <v>0</v>
      </c>
      <c r="O27" s="6">
        <v>0</v>
      </c>
      <c r="P27" s="6">
        <v>0</v>
      </c>
      <c r="Q27" s="5">
        <v>0</v>
      </c>
      <c r="R27" s="5">
        <v>0</v>
      </c>
      <c r="S27" s="6">
        <v>0</v>
      </c>
      <c r="T27" s="6">
        <v>0</v>
      </c>
      <c r="U27" s="6">
        <v>0</v>
      </c>
      <c r="V27" s="5">
        <v>0</v>
      </c>
      <c r="W27" s="5">
        <v>0</v>
      </c>
      <c r="X27" s="6">
        <v>0</v>
      </c>
      <c r="Y27" s="6">
        <v>0</v>
      </c>
      <c r="Z27" s="6">
        <v>14</v>
      </c>
      <c r="AA27" s="5">
        <v>0</v>
      </c>
      <c r="AB27" s="5">
        <v>0</v>
      </c>
      <c r="AC27" s="6">
        <v>0</v>
      </c>
      <c r="AD27" s="6">
        <v>0</v>
      </c>
      <c r="AE27" s="6">
        <v>10</v>
      </c>
      <c r="AF27" s="5">
        <v>0</v>
      </c>
      <c r="AG27" s="5">
        <v>0</v>
      </c>
      <c r="AH27" s="6">
        <v>0</v>
      </c>
      <c r="AI27" s="6">
        <v>0</v>
      </c>
      <c r="AJ27" s="6">
        <v>24</v>
      </c>
    </row>
    <row r="28" spans="1:37" x14ac:dyDescent="0.45">
      <c r="A28" s="4" t="s">
        <v>25</v>
      </c>
      <c r="B28" s="5">
        <v>0</v>
      </c>
      <c r="C28" s="5">
        <v>0</v>
      </c>
      <c r="D28" s="6">
        <v>0</v>
      </c>
      <c r="E28" s="6">
        <v>0</v>
      </c>
      <c r="F28" s="6">
        <v>0</v>
      </c>
      <c r="G28" s="5">
        <v>0</v>
      </c>
      <c r="H28" s="5">
        <v>0</v>
      </c>
      <c r="I28" s="6">
        <v>0</v>
      </c>
      <c r="J28" s="6">
        <v>0</v>
      </c>
      <c r="K28" s="6">
        <v>0</v>
      </c>
      <c r="L28" s="5">
        <v>0</v>
      </c>
      <c r="M28" s="5">
        <v>0</v>
      </c>
      <c r="N28" s="6">
        <v>0</v>
      </c>
      <c r="O28" s="6">
        <v>0</v>
      </c>
      <c r="P28" s="6">
        <v>0</v>
      </c>
      <c r="Q28" s="5">
        <v>0</v>
      </c>
      <c r="R28" s="5">
        <v>0</v>
      </c>
      <c r="S28" s="6">
        <v>0</v>
      </c>
      <c r="T28" s="6">
        <v>0</v>
      </c>
      <c r="U28" s="6">
        <v>0</v>
      </c>
      <c r="V28" s="5">
        <v>0</v>
      </c>
      <c r="W28" s="5">
        <v>0</v>
      </c>
      <c r="X28" s="6">
        <v>0</v>
      </c>
      <c r="Y28" s="6">
        <v>0</v>
      </c>
      <c r="Z28" s="6">
        <v>0</v>
      </c>
      <c r="AA28" s="5">
        <v>0</v>
      </c>
      <c r="AB28" s="5">
        <v>0</v>
      </c>
      <c r="AC28" s="6">
        <v>0</v>
      </c>
      <c r="AD28" s="6">
        <v>0</v>
      </c>
      <c r="AE28" s="6">
        <v>0</v>
      </c>
      <c r="AF28" s="5">
        <v>0</v>
      </c>
      <c r="AG28" s="5">
        <v>0</v>
      </c>
      <c r="AH28" s="6" t="s">
        <v>18</v>
      </c>
      <c r="AI28" s="6" t="s">
        <v>18</v>
      </c>
      <c r="AJ28" s="6">
        <v>0</v>
      </c>
      <c r="AK28" t="e">
        <f>(AF30/AF29)-AF28</f>
        <v>#DIV/0!</v>
      </c>
    </row>
    <row r="29" spans="1:37" x14ac:dyDescent="0.45">
      <c r="A29" s="4" t="s">
        <v>19</v>
      </c>
      <c r="B29" s="5">
        <v>0</v>
      </c>
      <c r="C29" s="5">
        <v>0</v>
      </c>
      <c r="D29" s="6">
        <v>0</v>
      </c>
      <c r="E29" s="6">
        <v>0</v>
      </c>
      <c r="F29" s="6">
        <v>0</v>
      </c>
      <c r="G29" s="5">
        <v>0</v>
      </c>
      <c r="H29" s="5">
        <v>0</v>
      </c>
      <c r="I29" s="6">
        <v>0</v>
      </c>
      <c r="J29" s="6">
        <v>0</v>
      </c>
      <c r="K29" s="6">
        <v>0</v>
      </c>
      <c r="L29" s="5">
        <v>0</v>
      </c>
      <c r="M29" s="5">
        <v>0</v>
      </c>
      <c r="N29" s="6">
        <v>0</v>
      </c>
      <c r="O29" s="6">
        <v>0</v>
      </c>
      <c r="P29" s="6">
        <v>0</v>
      </c>
      <c r="Q29" s="5">
        <v>0</v>
      </c>
      <c r="R29" s="5">
        <v>0</v>
      </c>
      <c r="S29" s="6">
        <v>0</v>
      </c>
      <c r="T29" s="6">
        <v>0</v>
      </c>
      <c r="U29" s="6">
        <v>0</v>
      </c>
      <c r="V29" s="5">
        <v>0</v>
      </c>
      <c r="W29" s="5">
        <v>0</v>
      </c>
      <c r="X29" s="6">
        <v>0</v>
      </c>
      <c r="Y29" s="6">
        <v>0</v>
      </c>
      <c r="Z29" s="6">
        <v>0</v>
      </c>
      <c r="AA29" s="5">
        <v>0</v>
      </c>
      <c r="AB29" s="5">
        <v>0</v>
      </c>
      <c r="AC29" s="6">
        <v>0</v>
      </c>
      <c r="AD29" s="6">
        <v>0</v>
      </c>
      <c r="AE29" s="6">
        <v>0</v>
      </c>
      <c r="AF29" s="5">
        <v>0</v>
      </c>
      <c r="AG29" s="5">
        <v>0</v>
      </c>
      <c r="AH29" s="6" t="s">
        <v>18</v>
      </c>
      <c r="AI29" s="6" t="s">
        <v>18</v>
      </c>
      <c r="AJ29" s="6">
        <v>0</v>
      </c>
      <c r="AK29" t="e">
        <f>(AF30/AF28)-AF29</f>
        <v>#DIV/0!</v>
      </c>
    </row>
    <row r="30" spans="1:37" ht="26.25" x14ac:dyDescent="0.45">
      <c r="A30" s="4" t="s">
        <v>28</v>
      </c>
      <c r="B30" s="5">
        <v>0</v>
      </c>
      <c r="C30" s="5">
        <v>0</v>
      </c>
      <c r="D30" s="6">
        <v>0</v>
      </c>
      <c r="E30" s="6">
        <v>0</v>
      </c>
      <c r="F30" s="6">
        <v>0</v>
      </c>
      <c r="G30" s="5">
        <v>0</v>
      </c>
      <c r="H30" s="5">
        <v>0</v>
      </c>
      <c r="I30" s="6">
        <v>0</v>
      </c>
      <c r="J30" s="6">
        <v>0</v>
      </c>
      <c r="K30" s="6">
        <v>0</v>
      </c>
      <c r="L30" s="5">
        <v>0</v>
      </c>
      <c r="M30" s="5">
        <v>0</v>
      </c>
      <c r="N30" s="6">
        <v>0</v>
      </c>
      <c r="O30" s="6">
        <v>0</v>
      </c>
      <c r="P30" s="6">
        <v>0</v>
      </c>
      <c r="Q30" s="5">
        <v>0</v>
      </c>
      <c r="R30" s="5">
        <v>0</v>
      </c>
      <c r="S30" s="6">
        <v>0</v>
      </c>
      <c r="T30" s="6">
        <v>0</v>
      </c>
      <c r="U30" s="6">
        <v>0</v>
      </c>
      <c r="V30" s="5">
        <v>0</v>
      </c>
      <c r="W30" s="5">
        <v>0</v>
      </c>
      <c r="X30" s="6">
        <v>0</v>
      </c>
      <c r="Y30" s="6">
        <v>0</v>
      </c>
      <c r="Z30" s="6">
        <v>0</v>
      </c>
      <c r="AA30" s="5">
        <v>0</v>
      </c>
      <c r="AB30" s="5">
        <v>0</v>
      </c>
      <c r="AC30" s="6">
        <v>0</v>
      </c>
      <c r="AD30" s="6">
        <v>0</v>
      </c>
      <c r="AE30" s="6">
        <v>0</v>
      </c>
      <c r="AF30" s="5">
        <v>0</v>
      </c>
      <c r="AG30" s="5">
        <v>0</v>
      </c>
      <c r="AH30" s="6" t="s">
        <v>18</v>
      </c>
      <c r="AI30" s="6" t="s">
        <v>18</v>
      </c>
      <c r="AJ30" s="6">
        <v>0</v>
      </c>
    </row>
    <row r="31" spans="1:37" x14ac:dyDescent="0.45">
      <c r="A31" s="4" t="s">
        <v>29</v>
      </c>
      <c r="B31" s="5">
        <v>0</v>
      </c>
      <c r="C31" s="5">
        <v>0</v>
      </c>
      <c r="D31" s="6">
        <v>0</v>
      </c>
      <c r="E31" s="6">
        <v>0</v>
      </c>
      <c r="F31" s="6">
        <v>0</v>
      </c>
      <c r="G31" s="5">
        <v>0</v>
      </c>
      <c r="H31" s="5">
        <v>0</v>
      </c>
      <c r="I31" s="6">
        <v>0</v>
      </c>
      <c r="J31" s="6">
        <v>0</v>
      </c>
      <c r="K31" s="6">
        <v>0</v>
      </c>
      <c r="L31" s="5">
        <v>0</v>
      </c>
      <c r="M31" s="5">
        <v>0</v>
      </c>
      <c r="N31" s="6">
        <v>0</v>
      </c>
      <c r="O31" s="6">
        <v>0</v>
      </c>
      <c r="P31" s="6">
        <v>0</v>
      </c>
      <c r="Q31" s="5">
        <v>0</v>
      </c>
      <c r="R31" s="5">
        <v>0</v>
      </c>
      <c r="S31" s="6">
        <v>0</v>
      </c>
      <c r="T31" s="6">
        <v>0</v>
      </c>
      <c r="U31" s="6">
        <v>0</v>
      </c>
      <c r="V31" s="5">
        <v>0.60554468100086467</v>
      </c>
      <c r="W31" s="5">
        <v>0.15250138277855702</v>
      </c>
      <c r="X31" s="6">
        <v>0</v>
      </c>
      <c r="Y31" s="6">
        <v>1</v>
      </c>
      <c r="Z31" s="6">
        <v>12</v>
      </c>
      <c r="AA31" s="5">
        <v>0.53257102018938718</v>
      </c>
      <c r="AB31" s="5">
        <v>0.49787825728764501</v>
      </c>
      <c r="AC31" s="6">
        <v>0</v>
      </c>
      <c r="AD31" s="6">
        <v>1</v>
      </c>
      <c r="AE31" s="6">
        <v>2</v>
      </c>
      <c r="AF31" s="5">
        <v>0.59013317859712655</v>
      </c>
      <c r="AG31" s="5">
        <v>0.1422887170609832</v>
      </c>
      <c r="AH31" s="6">
        <v>0</v>
      </c>
      <c r="AI31" s="6">
        <v>1</v>
      </c>
      <c r="AJ31" s="6">
        <v>14</v>
      </c>
      <c r="AK31">
        <f>(AF33/AF32)-AF31</f>
        <v>-3.2341680200135392E-2</v>
      </c>
    </row>
    <row r="32" spans="1:37" x14ac:dyDescent="0.45">
      <c r="A32" s="4" t="s">
        <v>14</v>
      </c>
      <c r="B32" s="5">
        <v>0</v>
      </c>
      <c r="C32" s="5">
        <v>0</v>
      </c>
      <c r="D32" s="6">
        <v>0</v>
      </c>
      <c r="E32" s="6">
        <v>0</v>
      </c>
      <c r="F32" s="6">
        <v>0</v>
      </c>
      <c r="G32" s="5">
        <v>0</v>
      </c>
      <c r="H32" s="5">
        <v>0</v>
      </c>
      <c r="I32" s="6">
        <v>0</v>
      </c>
      <c r="J32" s="6">
        <v>0</v>
      </c>
      <c r="K32" s="6">
        <v>0</v>
      </c>
      <c r="L32" s="5">
        <v>0</v>
      </c>
      <c r="M32" s="5">
        <v>0</v>
      </c>
      <c r="N32" s="6">
        <v>0</v>
      </c>
      <c r="O32" s="6">
        <v>0</v>
      </c>
      <c r="P32" s="6">
        <v>0</v>
      </c>
      <c r="Q32" s="5">
        <v>0</v>
      </c>
      <c r="R32" s="5">
        <v>0</v>
      </c>
      <c r="S32" s="6">
        <v>0</v>
      </c>
      <c r="T32" s="6">
        <v>0</v>
      </c>
      <c r="U32" s="6">
        <v>0</v>
      </c>
      <c r="V32" s="5">
        <v>0.90728189345464016</v>
      </c>
      <c r="W32" s="5">
        <v>9.2072676259820324E-2</v>
      </c>
      <c r="X32" s="6">
        <v>0</v>
      </c>
      <c r="Y32" s="6">
        <v>1</v>
      </c>
      <c r="Z32" s="6">
        <v>12</v>
      </c>
      <c r="AA32" s="5">
        <v>1</v>
      </c>
      <c r="AB32" s="5">
        <v>0</v>
      </c>
      <c r="AC32" s="6">
        <v>1</v>
      </c>
      <c r="AD32" s="6">
        <v>1</v>
      </c>
      <c r="AE32" s="6">
        <v>2</v>
      </c>
      <c r="AF32" s="5">
        <v>0.92686327810773295</v>
      </c>
      <c r="AG32" s="5">
        <v>7.3261369808220761E-2</v>
      </c>
      <c r="AH32" s="6">
        <v>0</v>
      </c>
      <c r="AI32" s="6">
        <v>1</v>
      </c>
      <c r="AJ32" s="6">
        <v>14</v>
      </c>
      <c r="AK32">
        <f>(AF33/AF31)-AF32</f>
        <v>-5.0795848830376911E-2</v>
      </c>
    </row>
    <row r="33" spans="1:37" ht="26.25" x14ac:dyDescent="0.45">
      <c r="A33" s="4" t="s">
        <v>30</v>
      </c>
      <c r="B33" s="5">
        <v>0</v>
      </c>
      <c r="C33" s="5">
        <v>0</v>
      </c>
      <c r="D33" s="6">
        <v>0</v>
      </c>
      <c r="E33" s="6">
        <v>0</v>
      </c>
      <c r="F33" s="6">
        <v>0</v>
      </c>
      <c r="G33" s="5">
        <v>0</v>
      </c>
      <c r="H33" s="5">
        <v>0</v>
      </c>
      <c r="I33" s="6">
        <v>0</v>
      </c>
      <c r="J33" s="6">
        <v>0</v>
      </c>
      <c r="K33" s="6">
        <v>0</v>
      </c>
      <c r="L33" s="5">
        <v>0</v>
      </c>
      <c r="M33" s="5">
        <v>0</v>
      </c>
      <c r="N33" s="6">
        <v>0</v>
      </c>
      <c r="O33" s="6">
        <v>0</v>
      </c>
      <c r="P33" s="6">
        <v>0</v>
      </c>
      <c r="Q33" s="5">
        <v>0</v>
      </c>
      <c r="R33" s="5">
        <v>0</v>
      </c>
      <c r="S33" s="6">
        <v>0</v>
      </c>
      <c r="T33" s="6">
        <v>0</v>
      </c>
      <c r="U33" s="6">
        <v>0</v>
      </c>
      <c r="V33" s="5">
        <v>0.51282657445550472</v>
      </c>
      <c r="W33" s="5">
        <v>0.15609651285620951</v>
      </c>
      <c r="X33" s="6">
        <v>0</v>
      </c>
      <c r="Y33" s="6">
        <v>1</v>
      </c>
      <c r="Z33" s="6">
        <v>12</v>
      </c>
      <c r="AA33" s="5">
        <v>0.53257102018938718</v>
      </c>
      <c r="AB33" s="5">
        <v>0.49787825728764501</v>
      </c>
      <c r="AC33" s="6">
        <v>0</v>
      </c>
      <c r="AD33" s="6">
        <v>1</v>
      </c>
      <c r="AE33" s="6">
        <v>2</v>
      </c>
      <c r="AF33" s="5">
        <v>0.5169964567048595</v>
      </c>
      <c r="AG33" s="5">
        <v>0.14474802935886616</v>
      </c>
      <c r="AH33" s="6">
        <v>0</v>
      </c>
      <c r="AI33" s="6">
        <v>1</v>
      </c>
      <c r="AJ33" s="6">
        <v>14</v>
      </c>
    </row>
    <row r="34" spans="1:37" x14ac:dyDescent="0.45">
      <c r="A34" s="4" t="s">
        <v>29</v>
      </c>
      <c r="B34" s="5">
        <v>0</v>
      </c>
      <c r="C34" s="5">
        <v>0</v>
      </c>
      <c r="D34" s="6">
        <v>0</v>
      </c>
      <c r="E34" s="6">
        <v>0</v>
      </c>
      <c r="F34" s="6">
        <v>0</v>
      </c>
      <c r="G34" s="5">
        <v>0</v>
      </c>
      <c r="H34" s="5">
        <v>0</v>
      </c>
      <c r="I34" s="6">
        <v>0</v>
      </c>
      <c r="J34" s="6">
        <v>0</v>
      </c>
      <c r="K34" s="6">
        <v>0</v>
      </c>
      <c r="L34" s="5">
        <v>0</v>
      </c>
      <c r="M34" s="5">
        <v>0</v>
      </c>
      <c r="N34" s="6">
        <v>0</v>
      </c>
      <c r="O34" s="6">
        <v>0</v>
      </c>
      <c r="P34" s="6">
        <v>0</v>
      </c>
      <c r="Q34" s="5">
        <v>0</v>
      </c>
      <c r="R34" s="5">
        <v>0</v>
      </c>
      <c r="S34" s="6">
        <v>0</v>
      </c>
      <c r="T34" s="6">
        <v>0</v>
      </c>
      <c r="U34" s="6">
        <v>0</v>
      </c>
      <c r="V34" s="5">
        <v>0.826104912739834</v>
      </c>
      <c r="W34" s="5">
        <v>0.10477565931307763</v>
      </c>
      <c r="X34" s="6">
        <v>0</v>
      </c>
      <c r="Y34" s="6">
        <v>1</v>
      </c>
      <c r="Z34" s="6">
        <v>14</v>
      </c>
      <c r="AA34" s="5">
        <v>0.55912716987998279</v>
      </c>
      <c r="AB34" s="5">
        <v>0.17266173467850712</v>
      </c>
      <c r="AC34" s="6">
        <v>0</v>
      </c>
      <c r="AD34" s="6">
        <v>1</v>
      </c>
      <c r="AE34" s="6">
        <v>10</v>
      </c>
      <c r="AF34" s="5">
        <v>0.68879049537348902</v>
      </c>
      <c r="AG34" s="5">
        <v>0.10367275111867534</v>
      </c>
      <c r="AH34" s="6">
        <v>0</v>
      </c>
      <c r="AI34" s="6">
        <v>1</v>
      </c>
      <c r="AJ34" s="6">
        <v>24</v>
      </c>
      <c r="AK34">
        <f>(AF36/AF35)-AF34</f>
        <v>7.4288916242544856E-2</v>
      </c>
    </row>
    <row r="35" spans="1:37" ht="26.25" x14ac:dyDescent="0.45">
      <c r="A35" s="4" t="s">
        <v>16</v>
      </c>
      <c r="B35" s="5">
        <v>0</v>
      </c>
      <c r="C35" s="5">
        <v>0</v>
      </c>
      <c r="D35" s="6">
        <v>0</v>
      </c>
      <c r="E35" s="6">
        <v>0</v>
      </c>
      <c r="F35" s="6">
        <v>0</v>
      </c>
      <c r="G35" s="5">
        <v>0</v>
      </c>
      <c r="H35" s="5">
        <v>0</v>
      </c>
      <c r="I35" s="6">
        <v>0</v>
      </c>
      <c r="J35" s="6">
        <v>0</v>
      </c>
      <c r="K35" s="6">
        <v>0</v>
      </c>
      <c r="L35" s="5">
        <v>0</v>
      </c>
      <c r="M35" s="5">
        <v>0</v>
      </c>
      <c r="N35" s="6">
        <v>0</v>
      </c>
      <c r="O35" s="6">
        <v>0</v>
      </c>
      <c r="P35" s="6">
        <v>0</v>
      </c>
      <c r="Q35" s="5">
        <v>0</v>
      </c>
      <c r="R35" s="5">
        <v>0</v>
      </c>
      <c r="S35" s="6">
        <v>0</v>
      </c>
      <c r="T35" s="6">
        <v>0</v>
      </c>
      <c r="U35" s="6">
        <v>0</v>
      </c>
      <c r="V35" s="5">
        <v>9.076224319845197E-2</v>
      </c>
      <c r="W35" s="5">
        <v>7.2870805812875375E-2</v>
      </c>
      <c r="X35" s="6">
        <v>0</v>
      </c>
      <c r="Y35" s="6">
        <v>1</v>
      </c>
      <c r="Z35" s="6">
        <v>14</v>
      </c>
      <c r="AA35" s="5">
        <v>0</v>
      </c>
      <c r="AB35" s="5">
        <v>0</v>
      </c>
      <c r="AC35" s="6">
        <v>0</v>
      </c>
      <c r="AD35" s="6">
        <v>0</v>
      </c>
      <c r="AE35" s="6">
        <v>10</v>
      </c>
      <c r="AF35" s="5">
        <v>4.4080581985216215E-2</v>
      </c>
      <c r="AG35" s="5">
        <v>3.5713430966659132E-2</v>
      </c>
      <c r="AH35" s="6">
        <v>0</v>
      </c>
      <c r="AI35" s="6">
        <v>1</v>
      </c>
      <c r="AJ35" s="6">
        <v>24</v>
      </c>
      <c r="AK35">
        <f>(AF36/AF34)-AF35</f>
        <v>4.7542738830138667E-3</v>
      </c>
    </row>
    <row r="36" spans="1:37" ht="26.25" x14ac:dyDescent="0.45">
      <c r="A36" s="4" t="s">
        <v>31</v>
      </c>
      <c r="B36" s="5">
        <v>0</v>
      </c>
      <c r="C36" s="5">
        <v>0</v>
      </c>
      <c r="D36" s="6">
        <v>0</v>
      </c>
      <c r="E36" s="6">
        <v>0</v>
      </c>
      <c r="F36" s="6">
        <v>0</v>
      </c>
      <c r="G36" s="5">
        <v>0</v>
      </c>
      <c r="H36" s="5">
        <v>0</v>
      </c>
      <c r="I36" s="6">
        <v>0</v>
      </c>
      <c r="J36" s="6">
        <v>0</v>
      </c>
      <c r="K36" s="6">
        <v>0</v>
      </c>
      <c r="L36" s="5">
        <v>0</v>
      </c>
      <c r="M36" s="5">
        <v>0</v>
      </c>
      <c r="N36" s="6">
        <v>0</v>
      </c>
      <c r="O36" s="6">
        <v>0</v>
      </c>
      <c r="P36" s="6">
        <v>0</v>
      </c>
      <c r="Q36" s="5">
        <v>0</v>
      </c>
      <c r="R36" s="5">
        <v>0</v>
      </c>
      <c r="S36" s="6">
        <v>0</v>
      </c>
      <c r="T36" s="6">
        <v>0</v>
      </c>
      <c r="U36" s="6">
        <v>0</v>
      </c>
      <c r="V36" s="5">
        <v>6.9258799136826116E-2</v>
      </c>
      <c r="W36" s="5">
        <v>6.9591569802783082E-2</v>
      </c>
      <c r="X36" s="6">
        <v>0</v>
      </c>
      <c r="Y36" s="6">
        <v>1</v>
      </c>
      <c r="Z36" s="6">
        <v>14</v>
      </c>
      <c r="AA36" s="5">
        <v>0</v>
      </c>
      <c r="AB36" s="5">
        <v>0</v>
      </c>
      <c r="AC36" s="6">
        <v>0</v>
      </c>
      <c r="AD36" s="6">
        <v>0</v>
      </c>
      <c r="AE36" s="6">
        <v>10</v>
      </c>
      <c r="AF36" s="5">
        <v>3.3636984564971134E-2</v>
      </c>
      <c r="AG36" s="5">
        <v>3.4008827013685655E-2</v>
      </c>
      <c r="AH36" s="6">
        <v>0</v>
      </c>
      <c r="AI36" s="6">
        <v>1</v>
      </c>
      <c r="AJ36" s="6">
        <v>24</v>
      </c>
    </row>
    <row r="37" spans="1:37" x14ac:dyDescent="0.45">
      <c r="A37" s="4" t="s">
        <v>29</v>
      </c>
      <c r="B37" s="5">
        <v>0</v>
      </c>
      <c r="C37" s="5">
        <v>0</v>
      </c>
      <c r="D37" s="6">
        <v>0</v>
      </c>
      <c r="E37" s="6">
        <v>0</v>
      </c>
      <c r="F37" s="6">
        <v>0</v>
      </c>
      <c r="G37" s="5">
        <v>0</v>
      </c>
      <c r="H37" s="5">
        <v>0</v>
      </c>
      <c r="I37" s="6">
        <v>0</v>
      </c>
      <c r="J37" s="6">
        <v>0</v>
      </c>
      <c r="K37" s="6">
        <v>0</v>
      </c>
      <c r="L37" s="5">
        <v>0</v>
      </c>
      <c r="M37" s="5">
        <v>0</v>
      </c>
      <c r="N37" s="6">
        <v>0</v>
      </c>
      <c r="O37" s="6">
        <v>0</v>
      </c>
      <c r="P37" s="6">
        <v>0</v>
      </c>
      <c r="Q37" s="5">
        <v>0</v>
      </c>
      <c r="R37" s="5">
        <v>0</v>
      </c>
      <c r="S37" s="6">
        <v>0</v>
      </c>
      <c r="T37" s="6">
        <v>0</v>
      </c>
      <c r="U37" s="6">
        <v>0</v>
      </c>
      <c r="V37" s="5">
        <v>0</v>
      </c>
      <c r="W37" s="5">
        <v>0</v>
      </c>
      <c r="X37" s="6">
        <v>0</v>
      </c>
      <c r="Y37" s="6">
        <v>0</v>
      </c>
      <c r="Z37" s="6">
        <v>0</v>
      </c>
      <c r="AA37" s="5">
        <v>0</v>
      </c>
      <c r="AB37" s="5">
        <v>0</v>
      </c>
      <c r="AC37" s="6">
        <v>0</v>
      </c>
      <c r="AD37" s="6">
        <v>0</v>
      </c>
      <c r="AE37" s="6">
        <v>0</v>
      </c>
      <c r="AF37" s="5">
        <v>0</v>
      </c>
      <c r="AG37" s="5">
        <v>0</v>
      </c>
      <c r="AH37" s="6" t="s">
        <v>18</v>
      </c>
      <c r="AI37" s="6" t="s">
        <v>18</v>
      </c>
      <c r="AJ37" s="6">
        <v>0</v>
      </c>
      <c r="AK37" t="e">
        <f>(AF39/AF38)-AF37</f>
        <v>#DIV/0!</v>
      </c>
    </row>
    <row r="38" spans="1:37" x14ac:dyDescent="0.45">
      <c r="A38" s="4" t="s">
        <v>19</v>
      </c>
      <c r="B38" s="5">
        <v>0</v>
      </c>
      <c r="C38" s="5">
        <v>0</v>
      </c>
      <c r="D38" s="6">
        <v>0</v>
      </c>
      <c r="E38" s="6">
        <v>0</v>
      </c>
      <c r="F38" s="6">
        <v>0</v>
      </c>
      <c r="G38" s="5">
        <v>0</v>
      </c>
      <c r="H38" s="5">
        <v>0</v>
      </c>
      <c r="I38" s="6">
        <v>0</v>
      </c>
      <c r="J38" s="6">
        <v>0</v>
      </c>
      <c r="K38" s="6">
        <v>0</v>
      </c>
      <c r="L38" s="5">
        <v>0</v>
      </c>
      <c r="M38" s="5">
        <v>0</v>
      </c>
      <c r="N38" s="6">
        <v>0</v>
      </c>
      <c r="O38" s="6">
        <v>0</v>
      </c>
      <c r="P38" s="6">
        <v>0</v>
      </c>
      <c r="Q38" s="5">
        <v>0</v>
      </c>
      <c r="R38" s="5">
        <v>0</v>
      </c>
      <c r="S38" s="6">
        <v>0</v>
      </c>
      <c r="T38" s="6">
        <v>0</v>
      </c>
      <c r="U38" s="6">
        <v>0</v>
      </c>
      <c r="V38" s="5">
        <v>0</v>
      </c>
      <c r="W38" s="5">
        <v>0</v>
      </c>
      <c r="X38" s="6">
        <v>0</v>
      </c>
      <c r="Y38" s="6">
        <v>0</v>
      </c>
      <c r="Z38" s="6">
        <v>0</v>
      </c>
      <c r="AA38" s="5">
        <v>0</v>
      </c>
      <c r="AB38" s="5">
        <v>0</v>
      </c>
      <c r="AC38" s="6">
        <v>0</v>
      </c>
      <c r="AD38" s="6">
        <v>0</v>
      </c>
      <c r="AE38" s="6">
        <v>0</v>
      </c>
      <c r="AF38" s="5">
        <v>0</v>
      </c>
      <c r="AG38" s="5">
        <v>0</v>
      </c>
      <c r="AH38" s="6" t="s">
        <v>18</v>
      </c>
      <c r="AI38" s="6" t="s">
        <v>18</v>
      </c>
      <c r="AJ38" s="6">
        <v>0</v>
      </c>
      <c r="AK38" t="e">
        <f>(AF39/AF37)-AF38</f>
        <v>#DIV/0!</v>
      </c>
    </row>
    <row r="39" spans="1:37" ht="26.25" x14ac:dyDescent="0.45">
      <c r="A39" s="4" t="s">
        <v>32</v>
      </c>
      <c r="B39" s="5">
        <v>0</v>
      </c>
      <c r="C39" s="5">
        <v>0</v>
      </c>
      <c r="D39" s="6">
        <v>0</v>
      </c>
      <c r="E39" s="6">
        <v>0</v>
      </c>
      <c r="F39" s="6">
        <v>0</v>
      </c>
      <c r="G39" s="5">
        <v>0</v>
      </c>
      <c r="H39" s="5">
        <v>0</v>
      </c>
      <c r="I39" s="6">
        <v>0</v>
      </c>
      <c r="J39" s="6">
        <v>0</v>
      </c>
      <c r="K39" s="6">
        <v>0</v>
      </c>
      <c r="L39" s="5">
        <v>0</v>
      </c>
      <c r="M39" s="5">
        <v>0</v>
      </c>
      <c r="N39" s="6">
        <v>0</v>
      </c>
      <c r="O39" s="6">
        <v>0</v>
      </c>
      <c r="P39" s="6">
        <v>0</v>
      </c>
      <c r="Q39" s="5">
        <v>0</v>
      </c>
      <c r="R39" s="5">
        <v>0</v>
      </c>
      <c r="S39" s="6">
        <v>0</v>
      </c>
      <c r="T39" s="6">
        <v>0</v>
      </c>
      <c r="U39" s="6">
        <v>0</v>
      </c>
      <c r="V39" s="5">
        <v>0</v>
      </c>
      <c r="W39" s="5">
        <v>0</v>
      </c>
      <c r="X39" s="6">
        <v>0</v>
      </c>
      <c r="Y39" s="6">
        <v>0</v>
      </c>
      <c r="Z39" s="6">
        <v>0</v>
      </c>
      <c r="AA39" s="5">
        <v>0</v>
      </c>
      <c r="AB39" s="5">
        <v>0</v>
      </c>
      <c r="AC39" s="6">
        <v>0</v>
      </c>
      <c r="AD39" s="6">
        <v>0</v>
      </c>
      <c r="AE39" s="6">
        <v>0</v>
      </c>
      <c r="AF39" s="5">
        <v>0</v>
      </c>
      <c r="AG39" s="5">
        <v>0</v>
      </c>
      <c r="AH39" s="6" t="s">
        <v>18</v>
      </c>
      <c r="AI39" s="6" t="s">
        <v>18</v>
      </c>
      <c r="AJ39" s="6">
        <v>0</v>
      </c>
    </row>
    <row r="40" spans="1:37" x14ac:dyDescent="0.45">
      <c r="A40" s="4" t="s">
        <v>33</v>
      </c>
      <c r="B40" s="5">
        <v>0</v>
      </c>
      <c r="C40" s="5">
        <v>0</v>
      </c>
      <c r="D40" s="6">
        <v>0</v>
      </c>
      <c r="E40" s="6">
        <v>0</v>
      </c>
      <c r="F40" s="6">
        <v>0</v>
      </c>
      <c r="G40" s="5">
        <v>0</v>
      </c>
      <c r="H40" s="5">
        <v>0</v>
      </c>
      <c r="I40" s="6">
        <v>0</v>
      </c>
      <c r="J40" s="6">
        <v>0</v>
      </c>
      <c r="K40" s="6">
        <v>0</v>
      </c>
      <c r="L40" s="5">
        <v>0</v>
      </c>
      <c r="M40" s="5">
        <v>0</v>
      </c>
      <c r="N40" s="6">
        <v>0</v>
      </c>
      <c r="O40" s="6">
        <v>0</v>
      </c>
      <c r="P40" s="6">
        <v>0</v>
      </c>
      <c r="Q40" s="5">
        <v>0</v>
      </c>
      <c r="R40" s="5">
        <v>0</v>
      </c>
      <c r="S40" s="6">
        <v>0</v>
      </c>
      <c r="T40" s="6">
        <v>0</v>
      </c>
      <c r="U40" s="6">
        <v>0</v>
      </c>
      <c r="V40" s="5">
        <v>0.23245040225137265</v>
      </c>
      <c r="W40" s="5">
        <v>0.12593077224691698</v>
      </c>
      <c r="X40" s="6">
        <v>0</v>
      </c>
      <c r="Y40" s="6">
        <v>1</v>
      </c>
      <c r="Z40" s="6">
        <v>12</v>
      </c>
      <c r="AA40" s="5">
        <v>0</v>
      </c>
      <c r="AB40" s="5">
        <v>0</v>
      </c>
      <c r="AC40" s="6">
        <v>0</v>
      </c>
      <c r="AD40" s="6">
        <v>0</v>
      </c>
      <c r="AE40" s="6">
        <v>2</v>
      </c>
      <c r="AF40" s="5">
        <v>0.18335858072001424</v>
      </c>
      <c r="AG40" s="5">
        <v>0.10258030989642833</v>
      </c>
      <c r="AH40" s="6">
        <v>0</v>
      </c>
      <c r="AI40" s="6">
        <v>1</v>
      </c>
      <c r="AJ40" s="6">
        <v>14</v>
      </c>
      <c r="AK40">
        <f>(AF42/AF41)-AF40</f>
        <v>1.4468418203015448E-2</v>
      </c>
    </row>
    <row r="41" spans="1:37" x14ac:dyDescent="0.45">
      <c r="A41" s="4" t="s">
        <v>14</v>
      </c>
      <c r="B41" s="5">
        <v>0</v>
      </c>
      <c r="C41" s="5">
        <v>0</v>
      </c>
      <c r="D41" s="6">
        <v>0</v>
      </c>
      <c r="E41" s="6">
        <v>0</v>
      </c>
      <c r="F41" s="6">
        <v>0</v>
      </c>
      <c r="G41" s="5">
        <v>0</v>
      </c>
      <c r="H41" s="5">
        <v>0</v>
      </c>
      <c r="I41" s="6">
        <v>0</v>
      </c>
      <c r="J41" s="6">
        <v>0</v>
      </c>
      <c r="K41" s="6">
        <v>0</v>
      </c>
      <c r="L41" s="5">
        <v>0</v>
      </c>
      <c r="M41" s="5">
        <v>0</v>
      </c>
      <c r="N41" s="6">
        <v>0</v>
      </c>
      <c r="O41" s="6">
        <v>0</v>
      </c>
      <c r="P41" s="6">
        <v>0</v>
      </c>
      <c r="Q41" s="5">
        <v>0</v>
      </c>
      <c r="R41" s="5">
        <v>0</v>
      </c>
      <c r="S41" s="6">
        <v>0</v>
      </c>
      <c r="T41" s="6">
        <v>0</v>
      </c>
      <c r="U41" s="6">
        <v>0</v>
      </c>
      <c r="V41" s="5">
        <v>0.90728189345464016</v>
      </c>
      <c r="W41" s="5">
        <v>9.2072676259820324E-2</v>
      </c>
      <c r="X41" s="6">
        <v>0</v>
      </c>
      <c r="Y41" s="6">
        <v>1</v>
      </c>
      <c r="Z41" s="6">
        <v>12</v>
      </c>
      <c r="AA41" s="5">
        <v>1</v>
      </c>
      <c r="AB41" s="5">
        <v>0</v>
      </c>
      <c r="AC41" s="6">
        <v>1</v>
      </c>
      <c r="AD41" s="6">
        <v>1</v>
      </c>
      <c r="AE41" s="6">
        <v>2</v>
      </c>
      <c r="AF41" s="5">
        <v>0.92686327810773295</v>
      </c>
      <c r="AG41" s="5">
        <v>7.3261369808220761E-2</v>
      </c>
      <c r="AH41" s="6">
        <v>0</v>
      </c>
      <c r="AI41" s="6">
        <v>1</v>
      </c>
      <c r="AJ41" s="6">
        <v>14</v>
      </c>
      <c r="AK41">
        <f>(AF42/AF40)-AF41</f>
        <v>7.3136721892267054E-2</v>
      </c>
    </row>
    <row r="42" spans="1:37" ht="26.25" x14ac:dyDescent="0.45">
      <c r="A42" s="4" t="s">
        <v>34</v>
      </c>
      <c r="B42" s="5">
        <v>0</v>
      </c>
      <c r="C42" s="5">
        <v>0</v>
      </c>
      <c r="D42" s="6">
        <v>0</v>
      </c>
      <c r="E42" s="6">
        <v>0</v>
      </c>
      <c r="F42" s="6">
        <v>0</v>
      </c>
      <c r="G42" s="5">
        <v>0</v>
      </c>
      <c r="H42" s="5">
        <v>0</v>
      </c>
      <c r="I42" s="6">
        <v>0</v>
      </c>
      <c r="J42" s="6">
        <v>0</v>
      </c>
      <c r="K42" s="6">
        <v>0</v>
      </c>
      <c r="L42" s="5">
        <v>0</v>
      </c>
      <c r="M42" s="5">
        <v>0</v>
      </c>
      <c r="N42" s="6">
        <v>0</v>
      </c>
      <c r="O42" s="6">
        <v>0</v>
      </c>
      <c r="P42" s="6">
        <v>0</v>
      </c>
      <c r="Q42" s="5">
        <v>0</v>
      </c>
      <c r="R42" s="5">
        <v>0</v>
      </c>
      <c r="S42" s="6">
        <v>0</v>
      </c>
      <c r="T42" s="6">
        <v>0</v>
      </c>
      <c r="U42" s="6">
        <v>0</v>
      </c>
      <c r="V42" s="5">
        <v>0.23245040225137265</v>
      </c>
      <c r="W42" s="5">
        <v>0.12593077224691698</v>
      </c>
      <c r="X42" s="6">
        <v>0</v>
      </c>
      <c r="Y42" s="6">
        <v>1</v>
      </c>
      <c r="Z42" s="6">
        <v>12</v>
      </c>
      <c r="AA42" s="5">
        <v>0</v>
      </c>
      <c r="AB42" s="5">
        <v>0</v>
      </c>
      <c r="AC42" s="6">
        <v>0</v>
      </c>
      <c r="AD42" s="6">
        <v>0</v>
      </c>
      <c r="AE42" s="6">
        <v>2</v>
      </c>
      <c r="AF42" s="5">
        <v>0.18335858072001424</v>
      </c>
      <c r="AG42" s="5">
        <v>0.10258030989642833</v>
      </c>
      <c r="AH42" s="6">
        <v>0</v>
      </c>
      <c r="AI42" s="6">
        <v>1</v>
      </c>
      <c r="AJ42" s="6">
        <v>14</v>
      </c>
    </row>
    <row r="43" spans="1:37" x14ac:dyDescent="0.45">
      <c r="A43" s="4" t="s">
        <v>33</v>
      </c>
      <c r="B43" s="5">
        <v>0</v>
      </c>
      <c r="C43" s="5">
        <v>0</v>
      </c>
      <c r="D43" s="6">
        <v>0</v>
      </c>
      <c r="E43" s="6">
        <v>0</v>
      </c>
      <c r="F43" s="6">
        <v>0</v>
      </c>
      <c r="G43" s="5">
        <v>0</v>
      </c>
      <c r="H43" s="5">
        <v>0</v>
      </c>
      <c r="I43" s="6">
        <v>0</v>
      </c>
      <c r="J43" s="6">
        <v>0</v>
      </c>
      <c r="K43" s="6">
        <v>0</v>
      </c>
      <c r="L43" s="5">
        <v>0</v>
      </c>
      <c r="M43" s="5">
        <v>0</v>
      </c>
      <c r="N43" s="6">
        <v>0</v>
      </c>
      <c r="O43" s="6">
        <v>0</v>
      </c>
      <c r="P43" s="6">
        <v>0</v>
      </c>
      <c r="Q43" s="5">
        <v>0</v>
      </c>
      <c r="R43" s="5">
        <v>0</v>
      </c>
      <c r="S43" s="6">
        <v>0</v>
      </c>
      <c r="T43" s="6">
        <v>0</v>
      </c>
      <c r="U43" s="6">
        <v>0</v>
      </c>
      <c r="V43" s="5">
        <v>0.20460934747596898</v>
      </c>
      <c r="W43" s="5">
        <v>0.11122319891239153</v>
      </c>
      <c r="X43" s="6">
        <v>0</v>
      </c>
      <c r="Y43" s="6">
        <v>1</v>
      </c>
      <c r="Z43" s="6">
        <v>14</v>
      </c>
      <c r="AA43" s="5">
        <v>0.10907023751408804</v>
      </c>
      <c r="AB43" s="5">
        <v>0.10854801349229996</v>
      </c>
      <c r="AC43" s="6">
        <v>0</v>
      </c>
      <c r="AD43" s="6">
        <v>1</v>
      </c>
      <c r="AE43" s="6">
        <v>10</v>
      </c>
      <c r="AF43" s="5">
        <v>0.15547080476605643</v>
      </c>
      <c r="AG43" s="5">
        <v>7.6353115994813606E-2</v>
      </c>
      <c r="AH43" s="6">
        <v>0</v>
      </c>
      <c r="AI43" s="6">
        <v>1</v>
      </c>
      <c r="AJ43" s="6">
        <v>24</v>
      </c>
      <c r="AK43">
        <f>(AF45/AF44)-AF43</f>
        <v>-0.15547080476605643</v>
      </c>
    </row>
    <row r="44" spans="1:37" ht="26.25" x14ac:dyDescent="0.45">
      <c r="A44" s="4" t="s">
        <v>16</v>
      </c>
      <c r="B44" s="5">
        <v>0</v>
      </c>
      <c r="C44" s="5">
        <v>0</v>
      </c>
      <c r="D44" s="6">
        <v>0</v>
      </c>
      <c r="E44" s="6">
        <v>0</v>
      </c>
      <c r="F44" s="6">
        <v>0</v>
      </c>
      <c r="G44" s="5">
        <v>0</v>
      </c>
      <c r="H44" s="5">
        <v>0</v>
      </c>
      <c r="I44" s="6">
        <v>0</v>
      </c>
      <c r="J44" s="6">
        <v>0</v>
      </c>
      <c r="K44" s="6">
        <v>0</v>
      </c>
      <c r="L44" s="5">
        <v>0</v>
      </c>
      <c r="M44" s="5">
        <v>0</v>
      </c>
      <c r="N44" s="6">
        <v>0</v>
      </c>
      <c r="O44" s="6">
        <v>0</v>
      </c>
      <c r="P44" s="6">
        <v>0</v>
      </c>
      <c r="Q44" s="5">
        <v>0</v>
      </c>
      <c r="R44" s="5">
        <v>0</v>
      </c>
      <c r="S44" s="6">
        <v>0</v>
      </c>
      <c r="T44" s="6">
        <v>0</v>
      </c>
      <c r="U44" s="6">
        <v>0</v>
      </c>
      <c r="V44" s="5">
        <v>9.076224319845197E-2</v>
      </c>
      <c r="W44" s="5">
        <v>7.2870805812875375E-2</v>
      </c>
      <c r="X44" s="6">
        <v>0</v>
      </c>
      <c r="Y44" s="6">
        <v>1</v>
      </c>
      <c r="Z44" s="6">
        <v>14</v>
      </c>
      <c r="AA44" s="5">
        <v>0</v>
      </c>
      <c r="AB44" s="5">
        <v>0</v>
      </c>
      <c r="AC44" s="6">
        <v>0</v>
      </c>
      <c r="AD44" s="6">
        <v>0</v>
      </c>
      <c r="AE44" s="6">
        <v>10</v>
      </c>
      <c r="AF44" s="5">
        <v>4.4080581985216215E-2</v>
      </c>
      <c r="AG44" s="5">
        <v>3.5713430966659132E-2</v>
      </c>
      <c r="AH44" s="6">
        <v>0</v>
      </c>
      <c r="AI44" s="6">
        <v>1</v>
      </c>
      <c r="AJ44" s="6">
        <v>24</v>
      </c>
      <c r="AK44">
        <f>(AF45/AF43)-AF44</f>
        <v>-4.4080581985216215E-2</v>
      </c>
    </row>
    <row r="45" spans="1:37" ht="39.4" x14ac:dyDescent="0.45">
      <c r="A45" s="4" t="s">
        <v>35</v>
      </c>
      <c r="B45" s="5">
        <v>0</v>
      </c>
      <c r="C45" s="5">
        <v>0</v>
      </c>
      <c r="D45" s="6">
        <v>0</v>
      </c>
      <c r="E45" s="6">
        <v>0</v>
      </c>
      <c r="F45" s="6">
        <v>0</v>
      </c>
      <c r="G45" s="5">
        <v>0</v>
      </c>
      <c r="H45" s="5">
        <v>0</v>
      </c>
      <c r="I45" s="6">
        <v>0</v>
      </c>
      <c r="J45" s="6">
        <v>0</v>
      </c>
      <c r="K45" s="6">
        <v>0</v>
      </c>
      <c r="L45" s="5">
        <v>0</v>
      </c>
      <c r="M45" s="5">
        <v>0</v>
      </c>
      <c r="N45" s="6">
        <v>0</v>
      </c>
      <c r="O45" s="6">
        <v>0</v>
      </c>
      <c r="P45" s="6">
        <v>0</v>
      </c>
      <c r="Q45" s="5">
        <v>0</v>
      </c>
      <c r="R45" s="5">
        <v>0</v>
      </c>
      <c r="S45" s="6">
        <v>0</v>
      </c>
      <c r="T45" s="6">
        <v>0</v>
      </c>
      <c r="U45" s="6">
        <v>0</v>
      </c>
      <c r="V45" s="5">
        <v>0</v>
      </c>
      <c r="W45" s="5">
        <v>0</v>
      </c>
      <c r="X45" s="6">
        <v>0</v>
      </c>
      <c r="Y45" s="6">
        <v>0</v>
      </c>
      <c r="Z45" s="6">
        <v>14</v>
      </c>
      <c r="AA45" s="5">
        <v>0</v>
      </c>
      <c r="AB45" s="5">
        <v>0</v>
      </c>
      <c r="AC45" s="6">
        <v>0</v>
      </c>
      <c r="AD45" s="6">
        <v>0</v>
      </c>
      <c r="AE45" s="6">
        <v>10</v>
      </c>
      <c r="AF45" s="5">
        <v>0</v>
      </c>
      <c r="AG45" s="5">
        <v>0</v>
      </c>
      <c r="AH45" s="6">
        <v>0</v>
      </c>
      <c r="AI45" s="6">
        <v>0</v>
      </c>
      <c r="AJ45" s="6">
        <v>24</v>
      </c>
    </row>
    <row r="46" spans="1:37" x14ac:dyDescent="0.45">
      <c r="A46" s="4" t="s">
        <v>33</v>
      </c>
      <c r="B46" s="5">
        <v>0</v>
      </c>
      <c r="C46" s="5">
        <v>0</v>
      </c>
      <c r="D46" s="6">
        <v>0</v>
      </c>
      <c r="E46" s="6">
        <v>0</v>
      </c>
      <c r="F46" s="6">
        <v>0</v>
      </c>
      <c r="G46" s="5">
        <v>0</v>
      </c>
      <c r="H46" s="5">
        <v>0</v>
      </c>
      <c r="I46" s="6">
        <v>0</v>
      </c>
      <c r="J46" s="6">
        <v>0</v>
      </c>
      <c r="K46" s="6">
        <v>0</v>
      </c>
      <c r="L46" s="5">
        <v>0</v>
      </c>
      <c r="M46" s="5">
        <v>0</v>
      </c>
      <c r="N46" s="6">
        <v>0</v>
      </c>
      <c r="O46" s="6">
        <v>0</v>
      </c>
      <c r="P46" s="6">
        <v>0</v>
      </c>
      <c r="Q46" s="5">
        <v>0</v>
      </c>
      <c r="R46" s="5">
        <v>0</v>
      </c>
      <c r="S46" s="6">
        <v>0</v>
      </c>
      <c r="T46" s="6">
        <v>0</v>
      </c>
      <c r="U46" s="6">
        <v>0</v>
      </c>
      <c r="V46" s="5">
        <v>0</v>
      </c>
      <c r="W46" s="5">
        <v>0</v>
      </c>
      <c r="X46" s="6">
        <v>0</v>
      </c>
      <c r="Y46" s="6">
        <v>0</v>
      </c>
      <c r="Z46" s="6">
        <v>0</v>
      </c>
      <c r="AA46" s="5">
        <v>0</v>
      </c>
      <c r="AB46" s="5">
        <v>0</v>
      </c>
      <c r="AC46" s="6">
        <v>0</v>
      </c>
      <c r="AD46" s="6">
        <v>0</v>
      </c>
      <c r="AE46" s="6">
        <v>0</v>
      </c>
      <c r="AF46" s="5">
        <v>0</v>
      </c>
      <c r="AG46" s="5">
        <v>0</v>
      </c>
      <c r="AH46" s="6" t="s">
        <v>18</v>
      </c>
      <c r="AI46" s="6" t="s">
        <v>18</v>
      </c>
      <c r="AJ46" s="6">
        <v>0</v>
      </c>
      <c r="AK46" t="e">
        <f>(AF48/AF47)-AF46</f>
        <v>#DIV/0!</v>
      </c>
    </row>
    <row r="47" spans="1:37" x14ac:dyDescent="0.45">
      <c r="A47" s="4" t="s">
        <v>19</v>
      </c>
      <c r="B47" s="5">
        <v>0</v>
      </c>
      <c r="C47" s="5">
        <v>0</v>
      </c>
      <c r="D47" s="6">
        <v>0</v>
      </c>
      <c r="E47" s="6">
        <v>0</v>
      </c>
      <c r="F47" s="6">
        <v>0</v>
      </c>
      <c r="G47" s="5">
        <v>0</v>
      </c>
      <c r="H47" s="5">
        <v>0</v>
      </c>
      <c r="I47" s="6">
        <v>0</v>
      </c>
      <c r="J47" s="6">
        <v>0</v>
      </c>
      <c r="K47" s="6">
        <v>0</v>
      </c>
      <c r="L47" s="5">
        <v>0</v>
      </c>
      <c r="M47" s="5">
        <v>0</v>
      </c>
      <c r="N47" s="6">
        <v>0</v>
      </c>
      <c r="O47" s="6">
        <v>0</v>
      </c>
      <c r="P47" s="6">
        <v>0</v>
      </c>
      <c r="Q47" s="5">
        <v>0</v>
      </c>
      <c r="R47" s="5">
        <v>0</v>
      </c>
      <c r="S47" s="6">
        <v>0</v>
      </c>
      <c r="T47" s="6">
        <v>0</v>
      </c>
      <c r="U47" s="6">
        <v>0</v>
      </c>
      <c r="V47" s="5">
        <v>0</v>
      </c>
      <c r="W47" s="5">
        <v>0</v>
      </c>
      <c r="X47" s="6">
        <v>0</v>
      </c>
      <c r="Y47" s="6">
        <v>0</v>
      </c>
      <c r="Z47" s="6">
        <v>0</v>
      </c>
      <c r="AA47" s="5">
        <v>0</v>
      </c>
      <c r="AB47" s="5">
        <v>0</v>
      </c>
      <c r="AC47" s="6">
        <v>0</v>
      </c>
      <c r="AD47" s="6">
        <v>0</v>
      </c>
      <c r="AE47" s="6">
        <v>0</v>
      </c>
      <c r="AF47" s="5">
        <v>0</v>
      </c>
      <c r="AG47" s="5">
        <v>0</v>
      </c>
      <c r="AH47" s="6" t="s">
        <v>18</v>
      </c>
      <c r="AI47" s="6" t="s">
        <v>18</v>
      </c>
      <c r="AJ47" s="6">
        <v>0</v>
      </c>
      <c r="AK47" t="e">
        <f>(AF48/AF46)-AF47</f>
        <v>#DIV/0!</v>
      </c>
    </row>
    <row r="48" spans="1:37" ht="26.25" x14ac:dyDescent="0.45">
      <c r="A48" s="4" t="s">
        <v>36</v>
      </c>
      <c r="B48" s="5">
        <v>0</v>
      </c>
      <c r="C48" s="5">
        <v>0</v>
      </c>
      <c r="D48" s="6">
        <v>0</v>
      </c>
      <c r="E48" s="6">
        <v>0</v>
      </c>
      <c r="F48" s="6">
        <v>0</v>
      </c>
      <c r="G48" s="5">
        <v>0</v>
      </c>
      <c r="H48" s="5">
        <v>0</v>
      </c>
      <c r="I48" s="6">
        <v>0</v>
      </c>
      <c r="J48" s="6">
        <v>0</v>
      </c>
      <c r="K48" s="6">
        <v>0</v>
      </c>
      <c r="L48" s="5">
        <v>0</v>
      </c>
      <c r="M48" s="5">
        <v>0</v>
      </c>
      <c r="N48" s="6">
        <v>0</v>
      </c>
      <c r="O48" s="6">
        <v>0</v>
      </c>
      <c r="P48" s="6">
        <v>0</v>
      </c>
      <c r="Q48" s="5">
        <v>0</v>
      </c>
      <c r="R48" s="5">
        <v>0</v>
      </c>
      <c r="S48" s="6">
        <v>0</v>
      </c>
      <c r="T48" s="6">
        <v>0</v>
      </c>
      <c r="U48" s="6">
        <v>0</v>
      </c>
      <c r="V48" s="5">
        <v>0</v>
      </c>
      <c r="W48" s="5">
        <v>0</v>
      </c>
      <c r="X48" s="6">
        <v>0</v>
      </c>
      <c r="Y48" s="6">
        <v>0</v>
      </c>
      <c r="Z48" s="6">
        <v>0</v>
      </c>
      <c r="AA48" s="5">
        <v>0</v>
      </c>
      <c r="AB48" s="5">
        <v>0</v>
      </c>
      <c r="AC48" s="6">
        <v>0</v>
      </c>
      <c r="AD48" s="6">
        <v>0</v>
      </c>
      <c r="AE48" s="6">
        <v>0</v>
      </c>
      <c r="AF48" s="5">
        <v>0</v>
      </c>
      <c r="AG48" s="5">
        <v>0</v>
      </c>
      <c r="AH48" s="6" t="s">
        <v>18</v>
      </c>
      <c r="AI48" s="6" t="s">
        <v>18</v>
      </c>
      <c r="AJ48" s="6">
        <v>0</v>
      </c>
    </row>
    <row r="49" spans="1:37" x14ac:dyDescent="0.45">
      <c r="A49" s="4" t="s">
        <v>37</v>
      </c>
      <c r="B49" s="5">
        <v>0</v>
      </c>
      <c r="C49" s="5">
        <v>0</v>
      </c>
      <c r="D49" s="6">
        <v>0</v>
      </c>
      <c r="E49" s="6">
        <v>0</v>
      </c>
      <c r="F49" s="6">
        <v>0</v>
      </c>
      <c r="G49" s="5">
        <v>0</v>
      </c>
      <c r="H49" s="5">
        <v>0</v>
      </c>
      <c r="I49" s="6">
        <v>0</v>
      </c>
      <c r="J49" s="6">
        <v>0</v>
      </c>
      <c r="K49" s="6">
        <v>0</v>
      </c>
      <c r="L49" s="5">
        <v>0</v>
      </c>
      <c r="M49" s="5">
        <v>0</v>
      </c>
      <c r="N49" s="6">
        <v>0</v>
      </c>
      <c r="O49" s="6">
        <v>0</v>
      </c>
      <c r="P49" s="6">
        <v>0</v>
      </c>
      <c r="Q49" s="5">
        <v>0</v>
      </c>
      <c r="R49" s="5">
        <v>0</v>
      </c>
      <c r="S49" s="6">
        <v>0</v>
      </c>
      <c r="T49" s="6">
        <v>0</v>
      </c>
      <c r="U49" s="6">
        <v>0</v>
      </c>
      <c r="V49" s="5">
        <v>0.343733974468101</v>
      </c>
      <c r="W49" s="5">
        <v>0.14415082848305696</v>
      </c>
      <c r="X49" s="6">
        <v>0</v>
      </c>
      <c r="Y49" s="6">
        <v>1</v>
      </c>
      <c r="Z49" s="6">
        <v>12</v>
      </c>
      <c r="AA49" s="5">
        <v>0.53257102018938718</v>
      </c>
      <c r="AB49" s="5">
        <v>0.49787825728764501</v>
      </c>
      <c r="AC49" s="6">
        <v>0</v>
      </c>
      <c r="AD49" s="6">
        <v>1</v>
      </c>
      <c r="AE49" s="6">
        <v>2</v>
      </c>
      <c r="AF49" s="5">
        <v>0.38361497470415723</v>
      </c>
      <c r="AG49" s="5">
        <v>0.14060634781306883</v>
      </c>
      <c r="AH49" s="6">
        <v>0</v>
      </c>
      <c r="AI49" s="6">
        <v>1</v>
      </c>
      <c r="AJ49" s="6">
        <v>14</v>
      </c>
      <c r="AK49">
        <f>(AF51/AF50)-AF49</f>
        <v>3.0270205305712727E-2</v>
      </c>
    </row>
    <row r="50" spans="1:37" x14ac:dyDescent="0.45">
      <c r="A50" s="4" t="s">
        <v>14</v>
      </c>
      <c r="B50" s="5">
        <v>0</v>
      </c>
      <c r="C50" s="5">
        <v>0</v>
      </c>
      <c r="D50" s="6">
        <v>0</v>
      </c>
      <c r="E50" s="6">
        <v>0</v>
      </c>
      <c r="F50" s="6">
        <v>0</v>
      </c>
      <c r="G50" s="5">
        <v>0</v>
      </c>
      <c r="H50" s="5">
        <v>0</v>
      </c>
      <c r="I50" s="6">
        <v>0</v>
      </c>
      <c r="J50" s="6">
        <v>0</v>
      </c>
      <c r="K50" s="6">
        <v>0</v>
      </c>
      <c r="L50" s="5">
        <v>0</v>
      </c>
      <c r="M50" s="5">
        <v>0</v>
      </c>
      <c r="N50" s="6">
        <v>0</v>
      </c>
      <c r="O50" s="6">
        <v>0</v>
      </c>
      <c r="P50" s="6">
        <v>0</v>
      </c>
      <c r="Q50" s="5">
        <v>0</v>
      </c>
      <c r="R50" s="5">
        <v>0</v>
      </c>
      <c r="S50" s="6">
        <v>0</v>
      </c>
      <c r="T50" s="6">
        <v>0</v>
      </c>
      <c r="U50" s="6">
        <v>0</v>
      </c>
      <c r="V50" s="5">
        <v>0.90728189345464016</v>
      </c>
      <c r="W50" s="5">
        <v>9.2072676259820324E-2</v>
      </c>
      <c r="X50" s="6">
        <v>0</v>
      </c>
      <c r="Y50" s="6">
        <v>1</v>
      </c>
      <c r="Z50" s="6">
        <v>12</v>
      </c>
      <c r="AA50" s="5">
        <v>1</v>
      </c>
      <c r="AB50" s="5">
        <v>0</v>
      </c>
      <c r="AC50" s="6">
        <v>1</v>
      </c>
      <c r="AD50" s="6">
        <v>1</v>
      </c>
      <c r="AE50" s="6">
        <v>2</v>
      </c>
      <c r="AF50" s="5">
        <v>0.92686327810773295</v>
      </c>
      <c r="AG50" s="5">
        <v>7.3261369808220761E-2</v>
      </c>
      <c r="AH50" s="6">
        <v>0</v>
      </c>
      <c r="AI50" s="6">
        <v>1</v>
      </c>
      <c r="AJ50" s="6">
        <v>14</v>
      </c>
      <c r="AK50">
        <f>(AF51/AF49)-AF50</f>
        <v>7.3136721892267054E-2</v>
      </c>
    </row>
    <row r="51" spans="1:37" ht="26.25" x14ac:dyDescent="0.45">
      <c r="A51" s="4" t="s">
        <v>38</v>
      </c>
      <c r="B51" s="5">
        <v>0</v>
      </c>
      <c r="C51" s="5">
        <v>0</v>
      </c>
      <c r="D51" s="6">
        <v>0</v>
      </c>
      <c r="E51" s="6">
        <v>0</v>
      </c>
      <c r="F51" s="6">
        <v>0</v>
      </c>
      <c r="G51" s="5">
        <v>0</v>
      </c>
      <c r="H51" s="5">
        <v>0</v>
      </c>
      <c r="I51" s="6">
        <v>0</v>
      </c>
      <c r="J51" s="6">
        <v>0</v>
      </c>
      <c r="K51" s="6">
        <v>0</v>
      </c>
      <c r="L51" s="5">
        <v>0</v>
      </c>
      <c r="M51" s="5">
        <v>0</v>
      </c>
      <c r="N51" s="6">
        <v>0</v>
      </c>
      <c r="O51" s="6">
        <v>0</v>
      </c>
      <c r="P51" s="6">
        <v>0</v>
      </c>
      <c r="Q51" s="5">
        <v>0</v>
      </c>
      <c r="R51" s="5">
        <v>0</v>
      </c>
      <c r="S51" s="6">
        <v>0</v>
      </c>
      <c r="T51" s="6">
        <v>0</v>
      </c>
      <c r="U51" s="6">
        <v>0</v>
      </c>
      <c r="V51" s="5">
        <v>0.343733974468101</v>
      </c>
      <c r="W51" s="5">
        <v>0.14415082848305696</v>
      </c>
      <c r="X51" s="6">
        <v>0</v>
      </c>
      <c r="Y51" s="6">
        <v>1</v>
      </c>
      <c r="Z51" s="6">
        <v>12</v>
      </c>
      <c r="AA51" s="5">
        <v>0.53257102018938718</v>
      </c>
      <c r="AB51" s="5">
        <v>0.49787825728764501</v>
      </c>
      <c r="AC51" s="6">
        <v>0</v>
      </c>
      <c r="AD51" s="6">
        <v>1</v>
      </c>
      <c r="AE51" s="6">
        <v>2</v>
      </c>
      <c r="AF51" s="5">
        <v>0.38361497470415723</v>
      </c>
      <c r="AG51" s="5">
        <v>0.14060634781306883</v>
      </c>
      <c r="AH51" s="6">
        <v>0</v>
      </c>
      <c r="AI51" s="6">
        <v>1</v>
      </c>
      <c r="AJ51" s="6">
        <v>14</v>
      </c>
    </row>
    <row r="52" spans="1:37" x14ac:dyDescent="0.45">
      <c r="A52" s="4" t="s">
        <v>37</v>
      </c>
      <c r="B52" s="5">
        <v>0</v>
      </c>
      <c r="C52" s="5">
        <v>0</v>
      </c>
      <c r="D52" s="6">
        <v>0</v>
      </c>
      <c r="E52" s="6">
        <v>0</v>
      </c>
      <c r="F52" s="6">
        <v>0</v>
      </c>
      <c r="G52" s="5">
        <v>0</v>
      </c>
      <c r="H52" s="5">
        <v>0</v>
      </c>
      <c r="I52" s="6">
        <v>0</v>
      </c>
      <c r="J52" s="6">
        <v>0</v>
      </c>
      <c r="K52" s="6">
        <v>0</v>
      </c>
      <c r="L52" s="5">
        <v>0</v>
      </c>
      <c r="M52" s="5">
        <v>0</v>
      </c>
      <c r="N52" s="6">
        <v>0</v>
      </c>
      <c r="O52" s="6">
        <v>0</v>
      </c>
      <c r="P52" s="6">
        <v>0</v>
      </c>
      <c r="Q52" s="5">
        <v>0</v>
      </c>
      <c r="R52" s="5">
        <v>0</v>
      </c>
      <c r="S52" s="6">
        <v>0</v>
      </c>
      <c r="T52" s="6">
        <v>0</v>
      </c>
      <c r="U52" s="6">
        <v>0</v>
      </c>
      <c r="V52" s="5">
        <v>0.2742648978729505</v>
      </c>
      <c r="W52" s="5">
        <v>0.11925605528233058</v>
      </c>
      <c r="X52" s="6">
        <v>0</v>
      </c>
      <c r="Y52" s="6">
        <v>1</v>
      </c>
      <c r="Z52" s="6">
        <v>14</v>
      </c>
      <c r="AA52" s="5">
        <v>0.70520377900995523</v>
      </c>
      <c r="AB52" s="5">
        <v>0.15578677279243874</v>
      </c>
      <c r="AC52" s="6">
        <v>0</v>
      </c>
      <c r="AD52" s="6">
        <v>1</v>
      </c>
      <c r="AE52" s="6">
        <v>10</v>
      </c>
      <c r="AF52" s="5">
        <v>0.49590929695267305</v>
      </c>
      <c r="AG52" s="5">
        <v>0.11068669944256444</v>
      </c>
      <c r="AH52" s="6">
        <v>0</v>
      </c>
      <c r="AI52" s="6">
        <v>1</v>
      </c>
      <c r="AJ52" s="6">
        <v>24</v>
      </c>
      <c r="AK52">
        <f>(AF54/AF53)-AF52</f>
        <v>-0.25898870856870704</v>
      </c>
    </row>
    <row r="53" spans="1:37" ht="26.25" x14ac:dyDescent="0.45">
      <c r="A53" s="4" t="s">
        <v>16</v>
      </c>
      <c r="B53" s="5">
        <v>0</v>
      </c>
      <c r="C53" s="5">
        <v>0</v>
      </c>
      <c r="D53" s="6">
        <v>0</v>
      </c>
      <c r="E53" s="6">
        <v>0</v>
      </c>
      <c r="F53" s="6">
        <v>0</v>
      </c>
      <c r="G53" s="5">
        <v>0</v>
      </c>
      <c r="H53" s="5">
        <v>0</v>
      </c>
      <c r="I53" s="6">
        <v>0</v>
      </c>
      <c r="J53" s="6">
        <v>0</v>
      </c>
      <c r="K53" s="6">
        <v>0</v>
      </c>
      <c r="L53" s="5">
        <v>0</v>
      </c>
      <c r="M53" s="5">
        <v>0</v>
      </c>
      <c r="N53" s="6">
        <v>0</v>
      </c>
      <c r="O53" s="6">
        <v>0</v>
      </c>
      <c r="P53" s="6">
        <v>0</v>
      </c>
      <c r="Q53" s="5">
        <v>0</v>
      </c>
      <c r="R53" s="5">
        <v>0</v>
      </c>
      <c r="S53" s="6">
        <v>0</v>
      </c>
      <c r="T53" s="6">
        <v>0</v>
      </c>
      <c r="U53" s="6">
        <v>0</v>
      </c>
      <c r="V53" s="5">
        <v>9.076224319845197E-2</v>
      </c>
      <c r="W53" s="5">
        <v>7.2870805812875375E-2</v>
      </c>
      <c r="X53" s="6">
        <v>0</v>
      </c>
      <c r="Y53" s="6">
        <v>1</v>
      </c>
      <c r="Z53" s="6">
        <v>14</v>
      </c>
      <c r="AA53" s="5">
        <v>0</v>
      </c>
      <c r="AB53" s="5">
        <v>0</v>
      </c>
      <c r="AC53" s="6">
        <v>0</v>
      </c>
      <c r="AD53" s="6">
        <v>0</v>
      </c>
      <c r="AE53" s="6">
        <v>10</v>
      </c>
      <c r="AF53" s="5">
        <v>4.4080581985216215E-2</v>
      </c>
      <c r="AG53" s="5">
        <v>3.5713430966659132E-2</v>
      </c>
      <c r="AH53" s="6">
        <v>0</v>
      </c>
      <c r="AI53" s="6">
        <v>1</v>
      </c>
      <c r="AJ53" s="6">
        <v>24</v>
      </c>
      <c r="AK53">
        <f>(AF54/AF52)-AF53</f>
        <v>-2.3021090895978254E-2</v>
      </c>
    </row>
    <row r="54" spans="1:37" ht="26.25" x14ac:dyDescent="0.45">
      <c r="A54" s="4" t="s">
        <v>39</v>
      </c>
      <c r="B54" s="5">
        <v>0</v>
      </c>
      <c r="C54" s="5">
        <v>0</v>
      </c>
      <c r="D54" s="6">
        <v>0</v>
      </c>
      <c r="E54" s="6">
        <v>0</v>
      </c>
      <c r="F54" s="6">
        <v>0</v>
      </c>
      <c r="G54" s="5">
        <v>0</v>
      </c>
      <c r="H54" s="5">
        <v>0</v>
      </c>
      <c r="I54" s="6">
        <v>0</v>
      </c>
      <c r="J54" s="6">
        <v>0</v>
      </c>
      <c r="K54" s="6">
        <v>0</v>
      </c>
      <c r="L54" s="5">
        <v>0</v>
      </c>
      <c r="M54" s="5">
        <v>0</v>
      </c>
      <c r="N54" s="6">
        <v>0</v>
      </c>
      <c r="O54" s="6">
        <v>0</v>
      </c>
      <c r="P54" s="6">
        <v>0</v>
      </c>
      <c r="Q54" s="5">
        <v>0</v>
      </c>
      <c r="R54" s="5">
        <v>0</v>
      </c>
      <c r="S54" s="6">
        <v>0</v>
      </c>
      <c r="T54" s="6">
        <v>0</v>
      </c>
      <c r="U54" s="6">
        <v>0</v>
      </c>
      <c r="V54" s="5">
        <v>2.1503444061625861E-2</v>
      </c>
      <c r="W54" s="5">
        <v>2.2680683159896388E-2</v>
      </c>
      <c r="X54" s="6">
        <v>0</v>
      </c>
      <c r="Y54" s="6">
        <v>1</v>
      </c>
      <c r="Z54" s="6">
        <v>14</v>
      </c>
      <c r="AA54" s="5">
        <v>0</v>
      </c>
      <c r="AB54" s="5">
        <v>0</v>
      </c>
      <c r="AC54" s="6">
        <v>0</v>
      </c>
      <c r="AD54" s="6">
        <v>0</v>
      </c>
      <c r="AE54" s="6">
        <v>10</v>
      </c>
      <c r="AF54" s="5">
        <v>1.0443597420245079E-2</v>
      </c>
      <c r="AG54" s="5">
        <v>1.0806145924418468E-2</v>
      </c>
      <c r="AH54" s="6">
        <v>0</v>
      </c>
      <c r="AI54" s="6">
        <v>1</v>
      </c>
      <c r="AJ54" s="6">
        <v>24</v>
      </c>
    </row>
    <row r="55" spans="1:37" x14ac:dyDescent="0.45">
      <c r="A55" s="4" t="s">
        <v>37</v>
      </c>
      <c r="B55" s="5">
        <v>0</v>
      </c>
      <c r="C55" s="5">
        <v>0</v>
      </c>
      <c r="D55" s="6">
        <v>0</v>
      </c>
      <c r="E55" s="6">
        <v>0</v>
      </c>
      <c r="F55" s="6">
        <v>0</v>
      </c>
      <c r="G55" s="5">
        <v>0</v>
      </c>
      <c r="H55" s="5">
        <v>0</v>
      </c>
      <c r="I55" s="6">
        <v>0</v>
      </c>
      <c r="J55" s="6">
        <v>0</v>
      </c>
      <c r="K55" s="6">
        <v>0</v>
      </c>
      <c r="L55" s="5">
        <v>0</v>
      </c>
      <c r="M55" s="5">
        <v>0</v>
      </c>
      <c r="N55" s="6">
        <v>0</v>
      </c>
      <c r="O55" s="6">
        <v>0</v>
      </c>
      <c r="P55" s="6">
        <v>0</v>
      </c>
      <c r="Q55" s="5">
        <v>0</v>
      </c>
      <c r="R55" s="5">
        <v>0</v>
      </c>
      <c r="S55" s="6">
        <v>0</v>
      </c>
      <c r="T55" s="6">
        <v>0</v>
      </c>
      <c r="U55" s="6">
        <v>0</v>
      </c>
      <c r="V55" s="5">
        <v>0</v>
      </c>
      <c r="W55" s="5">
        <v>0</v>
      </c>
      <c r="X55" s="6">
        <v>0</v>
      </c>
      <c r="Y55" s="6">
        <v>0</v>
      </c>
      <c r="Z55" s="6">
        <v>0</v>
      </c>
      <c r="AA55" s="5">
        <v>0</v>
      </c>
      <c r="AB55" s="5">
        <v>0</v>
      </c>
      <c r="AC55" s="6">
        <v>0</v>
      </c>
      <c r="AD55" s="6">
        <v>0</v>
      </c>
      <c r="AE55" s="6">
        <v>0</v>
      </c>
      <c r="AF55" s="5">
        <v>0</v>
      </c>
      <c r="AG55" s="5">
        <v>0</v>
      </c>
      <c r="AH55" s="6" t="s">
        <v>18</v>
      </c>
      <c r="AI55" s="6" t="s">
        <v>18</v>
      </c>
      <c r="AJ55" s="6">
        <v>0</v>
      </c>
      <c r="AK55" t="e">
        <f>(AF57/AF56)-AF55</f>
        <v>#DIV/0!</v>
      </c>
    </row>
    <row r="56" spans="1:37" x14ac:dyDescent="0.45">
      <c r="A56" s="4" t="s">
        <v>19</v>
      </c>
      <c r="B56" s="5">
        <v>0</v>
      </c>
      <c r="C56" s="5">
        <v>0</v>
      </c>
      <c r="D56" s="6">
        <v>0</v>
      </c>
      <c r="E56" s="6">
        <v>0</v>
      </c>
      <c r="F56" s="6">
        <v>0</v>
      </c>
      <c r="G56" s="5">
        <v>0</v>
      </c>
      <c r="H56" s="5">
        <v>0</v>
      </c>
      <c r="I56" s="6">
        <v>0</v>
      </c>
      <c r="J56" s="6">
        <v>0</v>
      </c>
      <c r="K56" s="6">
        <v>0</v>
      </c>
      <c r="L56" s="5">
        <v>0</v>
      </c>
      <c r="M56" s="5">
        <v>0</v>
      </c>
      <c r="N56" s="6">
        <v>0</v>
      </c>
      <c r="O56" s="6">
        <v>0</v>
      </c>
      <c r="P56" s="6">
        <v>0</v>
      </c>
      <c r="Q56" s="5">
        <v>0</v>
      </c>
      <c r="R56" s="5">
        <v>0</v>
      </c>
      <c r="S56" s="6">
        <v>0</v>
      </c>
      <c r="T56" s="6">
        <v>0</v>
      </c>
      <c r="U56" s="6">
        <v>0</v>
      </c>
      <c r="V56" s="5">
        <v>0</v>
      </c>
      <c r="W56" s="5">
        <v>0</v>
      </c>
      <c r="X56" s="6">
        <v>0</v>
      </c>
      <c r="Y56" s="6">
        <v>0</v>
      </c>
      <c r="Z56" s="6">
        <v>0</v>
      </c>
      <c r="AA56" s="5">
        <v>0</v>
      </c>
      <c r="AB56" s="5">
        <v>0</v>
      </c>
      <c r="AC56" s="6">
        <v>0</v>
      </c>
      <c r="AD56" s="6">
        <v>0</v>
      </c>
      <c r="AE56" s="6">
        <v>0</v>
      </c>
      <c r="AF56" s="5">
        <v>0</v>
      </c>
      <c r="AG56" s="5">
        <v>0</v>
      </c>
      <c r="AH56" s="6" t="s">
        <v>18</v>
      </c>
      <c r="AI56" s="6" t="s">
        <v>18</v>
      </c>
      <c r="AJ56" s="6">
        <v>0</v>
      </c>
      <c r="AK56" t="e">
        <f>(AF57/AF55)-AF56</f>
        <v>#DIV/0!</v>
      </c>
    </row>
    <row r="57" spans="1:37" ht="26.25" x14ac:dyDescent="0.45">
      <c r="A57" s="4" t="s">
        <v>40</v>
      </c>
      <c r="B57" s="5">
        <v>0</v>
      </c>
      <c r="C57" s="5">
        <v>0</v>
      </c>
      <c r="D57" s="6">
        <v>0</v>
      </c>
      <c r="E57" s="6">
        <v>0</v>
      </c>
      <c r="F57" s="6">
        <v>0</v>
      </c>
      <c r="G57" s="5">
        <v>0</v>
      </c>
      <c r="H57" s="5">
        <v>0</v>
      </c>
      <c r="I57" s="6">
        <v>0</v>
      </c>
      <c r="J57" s="6">
        <v>0</v>
      </c>
      <c r="K57" s="6">
        <v>0</v>
      </c>
      <c r="L57" s="5">
        <v>0</v>
      </c>
      <c r="M57" s="5">
        <v>0</v>
      </c>
      <c r="N57" s="6">
        <v>0</v>
      </c>
      <c r="O57" s="6">
        <v>0</v>
      </c>
      <c r="P57" s="6">
        <v>0</v>
      </c>
      <c r="Q57" s="5">
        <v>0</v>
      </c>
      <c r="R57" s="5">
        <v>0</v>
      </c>
      <c r="S57" s="6">
        <v>0</v>
      </c>
      <c r="T57" s="6">
        <v>0</v>
      </c>
      <c r="U57" s="6">
        <v>0</v>
      </c>
      <c r="V57" s="5">
        <v>0</v>
      </c>
      <c r="W57" s="5">
        <v>0</v>
      </c>
      <c r="X57" s="6">
        <v>0</v>
      </c>
      <c r="Y57" s="6">
        <v>0</v>
      </c>
      <c r="Z57" s="6">
        <v>0</v>
      </c>
      <c r="AA57" s="5">
        <v>0</v>
      </c>
      <c r="AB57" s="5">
        <v>0</v>
      </c>
      <c r="AC57" s="6">
        <v>0</v>
      </c>
      <c r="AD57" s="6">
        <v>0</v>
      </c>
      <c r="AE57" s="6">
        <v>0</v>
      </c>
      <c r="AF57" s="5">
        <v>0</v>
      </c>
      <c r="AG57" s="5">
        <v>0</v>
      </c>
      <c r="AH57" s="6" t="s">
        <v>18</v>
      </c>
      <c r="AI57" s="6" t="s">
        <v>18</v>
      </c>
      <c r="AJ57" s="6">
        <v>0</v>
      </c>
    </row>
    <row r="58" spans="1:37" x14ac:dyDescent="0.45">
      <c r="A58" s="4" t="s">
        <v>41</v>
      </c>
      <c r="B58" s="5">
        <v>0</v>
      </c>
      <c r="C58" s="5">
        <v>0</v>
      </c>
      <c r="D58" s="6">
        <v>0</v>
      </c>
      <c r="E58" s="6">
        <v>0</v>
      </c>
      <c r="F58" s="6">
        <v>0</v>
      </c>
      <c r="G58" s="5">
        <v>0</v>
      </c>
      <c r="H58" s="5">
        <v>0</v>
      </c>
      <c r="I58" s="6">
        <v>0</v>
      </c>
      <c r="J58" s="6">
        <v>0</v>
      </c>
      <c r="K58" s="6">
        <v>0</v>
      </c>
      <c r="L58" s="5">
        <v>0</v>
      </c>
      <c r="M58" s="5">
        <v>0</v>
      </c>
      <c r="N58" s="6">
        <v>0</v>
      </c>
      <c r="O58" s="6">
        <v>0</v>
      </c>
      <c r="P58" s="6">
        <v>0</v>
      </c>
      <c r="Q58" s="5">
        <v>0</v>
      </c>
      <c r="R58" s="5">
        <v>0</v>
      </c>
      <c r="S58" s="6">
        <v>0</v>
      </c>
      <c r="T58" s="6">
        <v>0</v>
      </c>
      <c r="U58" s="6">
        <v>0</v>
      </c>
      <c r="V58" s="5">
        <v>0.2802662229638368</v>
      </c>
      <c r="W58" s="5">
        <v>0.13691867686147116</v>
      </c>
      <c r="X58" s="6">
        <v>0</v>
      </c>
      <c r="Y58" s="6">
        <v>1</v>
      </c>
      <c r="Z58" s="6">
        <v>12</v>
      </c>
      <c r="AA58" s="5">
        <v>0</v>
      </c>
      <c r="AB58" s="5">
        <v>0</v>
      </c>
      <c r="AC58" s="6">
        <v>0</v>
      </c>
      <c r="AD58" s="6">
        <v>0</v>
      </c>
      <c r="AE58" s="6">
        <v>2</v>
      </c>
      <c r="AF58" s="5">
        <v>0.22107605049801421</v>
      </c>
      <c r="AG58" s="5">
        <v>0.11291991991782178</v>
      </c>
      <c r="AH58" s="6">
        <v>0</v>
      </c>
      <c r="AI58" s="6">
        <v>1</v>
      </c>
      <c r="AJ58" s="6">
        <v>14</v>
      </c>
      <c r="AK58">
        <f>(AF60/AF59)-AF58</f>
        <v>1.7444619939333383E-2</v>
      </c>
    </row>
    <row r="59" spans="1:37" x14ac:dyDescent="0.45">
      <c r="A59" s="4" t="s">
        <v>14</v>
      </c>
      <c r="B59" s="5">
        <v>0</v>
      </c>
      <c r="C59" s="5">
        <v>0</v>
      </c>
      <c r="D59" s="6">
        <v>0</v>
      </c>
      <c r="E59" s="6">
        <v>0</v>
      </c>
      <c r="F59" s="6">
        <v>0</v>
      </c>
      <c r="G59" s="5">
        <v>0</v>
      </c>
      <c r="H59" s="5">
        <v>0</v>
      </c>
      <c r="I59" s="6">
        <v>0</v>
      </c>
      <c r="J59" s="6">
        <v>0</v>
      </c>
      <c r="K59" s="6">
        <v>0</v>
      </c>
      <c r="L59" s="5">
        <v>0</v>
      </c>
      <c r="M59" s="5">
        <v>0</v>
      </c>
      <c r="N59" s="6">
        <v>0</v>
      </c>
      <c r="O59" s="6">
        <v>0</v>
      </c>
      <c r="P59" s="6">
        <v>0</v>
      </c>
      <c r="Q59" s="5">
        <v>0</v>
      </c>
      <c r="R59" s="5">
        <v>0</v>
      </c>
      <c r="S59" s="6">
        <v>0</v>
      </c>
      <c r="T59" s="6">
        <v>0</v>
      </c>
      <c r="U59" s="6">
        <v>0</v>
      </c>
      <c r="V59" s="5">
        <v>0.90728189345464016</v>
      </c>
      <c r="W59" s="5">
        <v>9.2072676259820324E-2</v>
      </c>
      <c r="X59" s="6">
        <v>0</v>
      </c>
      <c r="Y59" s="6">
        <v>1</v>
      </c>
      <c r="Z59" s="6">
        <v>12</v>
      </c>
      <c r="AA59" s="5">
        <v>1</v>
      </c>
      <c r="AB59" s="5">
        <v>0</v>
      </c>
      <c r="AC59" s="6">
        <v>1</v>
      </c>
      <c r="AD59" s="6">
        <v>1</v>
      </c>
      <c r="AE59" s="6">
        <v>2</v>
      </c>
      <c r="AF59" s="5">
        <v>0.92686327810773295</v>
      </c>
      <c r="AG59" s="5">
        <v>7.3261369808220761E-2</v>
      </c>
      <c r="AH59" s="6">
        <v>0</v>
      </c>
      <c r="AI59" s="6">
        <v>1</v>
      </c>
      <c r="AJ59" s="6">
        <v>14</v>
      </c>
      <c r="AK59">
        <f>(AF60/AF58)-AF59</f>
        <v>7.3136721892267054E-2</v>
      </c>
    </row>
    <row r="60" spans="1:37" ht="26.25" x14ac:dyDescent="0.45">
      <c r="A60" s="4" t="s">
        <v>42</v>
      </c>
      <c r="B60" s="5">
        <v>0</v>
      </c>
      <c r="C60" s="5">
        <v>0</v>
      </c>
      <c r="D60" s="6">
        <v>0</v>
      </c>
      <c r="E60" s="6">
        <v>0</v>
      </c>
      <c r="F60" s="6">
        <v>0</v>
      </c>
      <c r="G60" s="5">
        <v>0</v>
      </c>
      <c r="H60" s="5">
        <v>0</v>
      </c>
      <c r="I60" s="6">
        <v>0</v>
      </c>
      <c r="J60" s="6">
        <v>0</v>
      </c>
      <c r="K60" s="6">
        <v>0</v>
      </c>
      <c r="L60" s="5">
        <v>0</v>
      </c>
      <c r="M60" s="5">
        <v>0</v>
      </c>
      <c r="N60" s="6">
        <v>0</v>
      </c>
      <c r="O60" s="6">
        <v>0</v>
      </c>
      <c r="P60" s="6">
        <v>0</v>
      </c>
      <c r="Q60" s="5">
        <v>0</v>
      </c>
      <c r="R60" s="5">
        <v>0</v>
      </c>
      <c r="S60" s="6">
        <v>0</v>
      </c>
      <c r="T60" s="6">
        <v>0</v>
      </c>
      <c r="U60" s="6">
        <v>0</v>
      </c>
      <c r="V60" s="5">
        <v>0.2802662229638368</v>
      </c>
      <c r="W60" s="5">
        <v>0.13691867686147116</v>
      </c>
      <c r="X60" s="6">
        <v>0</v>
      </c>
      <c r="Y60" s="6">
        <v>1</v>
      </c>
      <c r="Z60" s="6">
        <v>12</v>
      </c>
      <c r="AA60" s="5">
        <v>0</v>
      </c>
      <c r="AB60" s="5">
        <v>0</v>
      </c>
      <c r="AC60" s="6">
        <v>0</v>
      </c>
      <c r="AD60" s="6">
        <v>0</v>
      </c>
      <c r="AE60" s="6">
        <v>2</v>
      </c>
      <c r="AF60" s="5">
        <v>0.22107605049801421</v>
      </c>
      <c r="AG60" s="5">
        <v>0.11291991991782178</v>
      </c>
      <c r="AH60" s="6">
        <v>0</v>
      </c>
      <c r="AI60" s="6">
        <v>1</v>
      </c>
      <c r="AJ60" s="6">
        <v>14</v>
      </c>
    </row>
    <row r="61" spans="1:37" x14ac:dyDescent="0.45">
      <c r="A61" s="4" t="s">
        <v>41</v>
      </c>
      <c r="B61" s="5">
        <v>0</v>
      </c>
      <c r="C61" s="5">
        <v>0</v>
      </c>
      <c r="D61" s="6">
        <v>0</v>
      </c>
      <c r="E61" s="6">
        <v>0</v>
      </c>
      <c r="F61" s="6">
        <v>0</v>
      </c>
      <c r="G61" s="5">
        <v>0</v>
      </c>
      <c r="H61" s="5">
        <v>0</v>
      </c>
      <c r="I61" s="6">
        <v>0</v>
      </c>
      <c r="J61" s="6">
        <v>0</v>
      </c>
      <c r="K61" s="6">
        <v>0</v>
      </c>
      <c r="L61" s="5">
        <v>0</v>
      </c>
      <c r="M61" s="5">
        <v>0</v>
      </c>
      <c r="N61" s="6">
        <v>0</v>
      </c>
      <c r="O61" s="6">
        <v>0</v>
      </c>
      <c r="P61" s="6">
        <v>0</v>
      </c>
      <c r="Q61" s="5">
        <v>0</v>
      </c>
      <c r="R61" s="5">
        <v>0</v>
      </c>
      <c r="S61" s="6">
        <v>0</v>
      </c>
      <c r="T61" s="6">
        <v>0</v>
      </c>
      <c r="U61" s="6">
        <v>0</v>
      </c>
      <c r="V61" s="5">
        <v>0.15381292346699529</v>
      </c>
      <c r="W61" s="5">
        <v>9.4152831228042411E-2</v>
      </c>
      <c r="X61" s="6">
        <v>0</v>
      </c>
      <c r="Y61" s="6">
        <v>1</v>
      </c>
      <c r="Z61" s="6">
        <v>14</v>
      </c>
      <c r="AA61" s="5">
        <v>0.10243117957844784</v>
      </c>
      <c r="AB61" s="5">
        <v>0.10269717908110983</v>
      </c>
      <c r="AC61" s="6">
        <v>0</v>
      </c>
      <c r="AD61" s="6">
        <v>1</v>
      </c>
      <c r="AE61" s="6">
        <v>10</v>
      </c>
      <c r="AF61" s="5">
        <v>0.12738579830762806</v>
      </c>
      <c r="AG61" s="5">
        <v>6.8241128521858971E-2</v>
      </c>
      <c r="AH61" s="6">
        <v>0</v>
      </c>
      <c r="AI61" s="6">
        <v>1</v>
      </c>
      <c r="AJ61" s="6">
        <v>24</v>
      </c>
      <c r="AK61">
        <f>(AF63/AF62)-AF61</f>
        <v>0.10953479007633798</v>
      </c>
    </row>
    <row r="62" spans="1:37" ht="26.25" x14ac:dyDescent="0.45">
      <c r="A62" s="4" t="s">
        <v>16</v>
      </c>
      <c r="B62" s="5">
        <v>0</v>
      </c>
      <c r="C62" s="5">
        <v>0</v>
      </c>
      <c r="D62" s="6">
        <v>0</v>
      </c>
      <c r="E62" s="6">
        <v>0</v>
      </c>
      <c r="F62" s="6">
        <v>0</v>
      </c>
      <c r="G62" s="5">
        <v>0</v>
      </c>
      <c r="H62" s="5">
        <v>0</v>
      </c>
      <c r="I62" s="6">
        <v>0</v>
      </c>
      <c r="J62" s="6">
        <v>0</v>
      </c>
      <c r="K62" s="6">
        <v>0</v>
      </c>
      <c r="L62" s="5">
        <v>0</v>
      </c>
      <c r="M62" s="5">
        <v>0</v>
      </c>
      <c r="N62" s="6">
        <v>0</v>
      </c>
      <c r="O62" s="6">
        <v>0</v>
      </c>
      <c r="P62" s="6">
        <v>0</v>
      </c>
      <c r="Q62" s="5">
        <v>0</v>
      </c>
      <c r="R62" s="5">
        <v>0</v>
      </c>
      <c r="S62" s="6">
        <v>0</v>
      </c>
      <c r="T62" s="6">
        <v>0</v>
      </c>
      <c r="U62" s="6">
        <v>0</v>
      </c>
      <c r="V62" s="5">
        <v>9.076224319845197E-2</v>
      </c>
      <c r="W62" s="5">
        <v>7.2870805812875375E-2</v>
      </c>
      <c r="X62" s="6">
        <v>0</v>
      </c>
      <c r="Y62" s="6">
        <v>1</v>
      </c>
      <c r="Z62" s="6">
        <v>14</v>
      </c>
      <c r="AA62" s="5">
        <v>0</v>
      </c>
      <c r="AB62" s="5">
        <v>0</v>
      </c>
      <c r="AC62" s="6">
        <v>0</v>
      </c>
      <c r="AD62" s="6">
        <v>0</v>
      </c>
      <c r="AE62" s="6">
        <v>10</v>
      </c>
      <c r="AF62" s="5">
        <v>4.4080581985216215E-2</v>
      </c>
      <c r="AG62" s="5">
        <v>3.5713430966659132E-2</v>
      </c>
      <c r="AH62" s="6">
        <v>0</v>
      </c>
      <c r="AI62" s="6">
        <v>1</v>
      </c>
      <c r="AJ62" s="6">
        <v>24</v>
      </c>
      <c r="AK62">
        <f>(AF63/AF61)-AF62</f>
        <v>3.7903419049377142E-2</v>
      </c>
    </row>
    <row r="63" spans="1:37" ht="39.4" x14ac:dyDescent="0.45">
      <c r="A63" s="4" t="s">
        <v>43</v>
      </c>
      <c r="B63" s="5">
        <v>0</v>
      </c>
      <c r="C63" s="5">
        <v>0</v>
      </c>
      <c r="D63" s="6">
        <v>0</v>
      </c>
      <c r="E63" s="6">
        <v>0</v>
      </c>
      <c r="F63" s="6">
        <v>0</v>
      </c>
      <c r="G63" s="5">
        <v>0</v>
      </c>
      <c r="H63" s="5">
        <v>0</v>
      </c>
      <c r="I63" s="6">
        <v>0</v>
      </c>
      <c r="J63" s="6">
        <v>0</v>
      </c>
      <c r="K63" s="6">
        <v>0</v>
      </c>
      <c r="L63" s="5">
        <v>0</v>
      </c>
      <c r="M63" s="5">
        <v>0</v>
      </c>
      <c r="N63" s="6">
        <v>0</v>
      </c>
      <c r="O63" s="6">
        <v>0</v>
      </c>
      <c r="P63" s="6">
        <v>0</v>
      </c>
      <c r="Q63" s="5">
        <v>0</v>
      </c>
      <c r="R63" s="5">
        <v>0</v>
      </c>
      <c r="S63" s="6">
        <v>0</v>
      </c>
      <c r="T63" s="6">
        <v>0</v>
      </c>
      <c r="U63" s="6">
        <v>0</v>
      </c>
      <c r="V63" s="5">
        <v>2.1503444061625861E-2</v>
      </c>
      <c r="W63" s="5">
        <v>2.2680683159896388E-2</v>
      </c>
      <c r="X63" s="6">
        <v>0</v>
      </c>
      <c r="Y63" s="6">
        <v>1</v>
      </c>
      <c r="Z63" s="6">
        <v>14</v>
      </c>
      <c r="AA63" s="5">
        <v>0</v>
      </c>
      <c r="AB63" s="5">
        <v>0</v>
      </c>
      <c r="AC63" s="6">
        <v>0</v>
      </c>
      <c r="AD63" s="6">
        <v>0</v>
      </c>
      <c r="AE63" s="6">
        <v>10</v>
      </c>
      <c r="AF63" s="5">
        <v>1.0443597420245079E-2</v>
      </c>
      <c r="AG63" s="5">
        <v>1.0806145924418468E-2</v>
      </c>
      <c r="AH63" s="6">
        <v>0</v>
      </c>
      <c r="AI63" s="6">
        <v>1</v>
      </c>
      <c r="AJ63" s="6">
        <v>24</v>
      </c>
    </row>
    <row r="64" spans="1:37" x14ac:dyDescent="0.45">
      <c r="A64" s="4" t="s">
        <v>41</v>
      </c>
      <c r="B64" s="5">
        <v>0</v>
      </c>
      <c r="C64" s="5">
        <v>0</v>
      </c>
      <c r="D64" s="6">
        <v>0</v>
      </c>
      <c r="E64" s="6">
        <v>0</v>
      </c>
      <c r="F64" s="6">
        <v>0</v>
      </c>
      <c r="G64" s="5">
        <v>0</v>
      </c>
      <c r="H64" s="5">
        <v>0</v>
      </c>
      <c r="I64" s="6">
        <v>0</v>
      </c>
      <c r="J64" s="6">
        <v>0</v>
      </c>
      <c r="K64" s="6">
        <v>0</v>
      </c>
      <c r="L64" s="5">
        <v>0</v>
      </c>
      <c r="M64" s="5">
        <v>0</v>
      </c>
      <c r="N64" s="6">
        <v>0</v>
      </c>
      <c r="O64" s="6">
        <v>0</v>
      </c>
      <c r="P64" s="6">
        <v>0</v>
      </c>
      <c r="Q64" s="5">
        <v>0</v>
      </c>
      <c r="R64" s="5">
        <v>0</v>
      </c>
      <c r="S64" s="6">
        <v>0</v>
      </c>
      <c r="T64" s="6">
        <v>0</v>
      </c>
      <c r="U64" s="6">
        <v>0</v>
      </c>
      <c r="V64" s="5">
        <v>0</v>
      </c>
      <c r="W64" s="5">
        <v>0</v>
      </c>
      <c r="X64" s="6">
        <v>0</v>
      </c>
      <c r="Y64" s="6">
        <v>0</v>
      </c>
      <c r="Z64" s="6">
        <v>0</v>
      </c>
      <c r="AA64" s="5">
        <v>0</v>
      </c>
      <c r="AB64" s="5">
        <v>0</v>
      </c>
      <c r="AC64" s="6">
        <v>0</v>
      </c>
      <c r="AD64" s="6">
        <v>0</v>
      </c>
      <c r="AE64" s="6">
        <v>0</v>
      </c>
      <c r="AF64" s="5">
        <v>0</v>
      </c>
      <c r="AG64" s="5">
        <v>0</v>
      </c>
      <c r="AH64" s="6" t="s">
        <v>18</v>
      </c>
      <c r="AI64" s="6" t="s">
        <v>18</v>
      </c>
      <c r="AJ64" s="6">
        <v>0</v>
      </c>
      <c r="AK64" t="e">
        <f>(AF66/AF65)-AF64</f>
        <v>#DIV/0!</v>
      </c>
    </row>
    <row r="65" spans="1:37" x14ac:dyDescent="0.45">
      <c r="A65" s="4" t="s">
        <v>19</v>
      </c>
      <c r="B65" s="5">
        <v>0</v>
      </c>
      <c r="C65" s="5">
        <v>0</v>
      </c>
      <c r="D65" s="6">
        <v>0</v>
      </c>
      <c r="E65" s="6">
        <v>0</v>
      </c>
      <c r="F65" s="6">
        <v>0</v>
      </c>
      <c r="G65" s="5">
        <v>0</v>
      </c>
      <c r="H65" s="5">
        <v>0</v>
      </c>
      <c r="I65" s="6">
        <v>0</v>
      </c>
      <c r="J65" s="6">
        <v>0</v>
      </c>
      <c r="K65" s="6">
        <v>0</v>
      </c>
      <c r="L65" s="5">
        <v>0</v>
      </c>
      <c r="M65" s="5">
        <v>0</v>
      </c>
      <c r="N65" s="6">
        <v>0</v>
      </c>
      <c r="O65" s="6">
        <v>0</v>
      </c>
      <c r="P65" s="6">
        <v>0</v>
      </c>
      <c r="Q65" s="5">
        <v>0</v>
      </c>
      <c r="R65" s="5">
        <v>0</v>
      </c>
      <c r="S65" s="6">
        <v>0</v>
      </c>
      <c r="T65" s="6">
        <v>0</v>
      </c>
      <c r="U65" s="6">
        <v>0</v>
      </c>
      <c r="V65" s="5">
        <v>0</v>
      </c>
      <c r="W65" s="5">
        <v>0</v>
      </c>
      <c r="X65" s="6">
        <v>0</v>
      </c>
      <c r="Y65" s="6">
        <v>0</v>
      </c>
      <c r="Z65" s="6">
        <v>0</v>
      </c>
      <c r="AA65" s="5">
        <v>0</v>
      </c>
      <c r="AB65" s="5">
        <v>0</v>
      </c>
      <c r="AC65" s="6">
        <v>0</v>
      </c>
      <c r="AD65" s="6">
        <v>0</v>
      </c>
      <c r="AE65" s="6">
        <v>0</v>
      </c>
      <c r="AF65" s="5">
        <v>0</v>
      </c>
      <c r="AG65" s="5">
        <v>0</v>
      </c>
      <c r="AH65" s="6" t="s">
        <v>18</v>
      </c>
      <c r="AI65" s="6" t="s">
        <v>18</v>
      </c>
      <c r="AJ65" s="6">
        <v>0</v>
      </c>
      <c r="AK65" t="e">
        <f>(AF66/AF64)-AF65</f>
        <v>#DIV/0!</v>
      </c>
    </row>
    <row r="66" spans="1:37" ht="26.25" x14ac:dyDescent="0.45">
      <c r="A66" s="4" t="s">
        <v>44</v>
      </c>
      <c r="B66" s="5">
        <v>0</v>
      </c>
      <c r="C66" s="5">
        <v>0</v>
      </c>
      <c r="D66" s="6">
        <v>0</v>
      </c>
      <c r="E66" s="6">
        <v>0</v>
      </c>
      <c r="F66" s="6">
        <v>0</v>
      </c>
      <c r="G66" s="5">
        <v>0</v>
      </c>
      <c r="H66" s="5">
        <v>0</v>
      </c>
      <c r="I66" s="6">
        <v>0</v>
      </c>
      <c r="J66" s="6">
        <v>0</v>
      </c>
      <c r="K66" s="6">
        <v>0</v>
      </c>
      <c r="L66" s="5">
        <v>0</v>
      </c>
      <c r="M66" s="5">
        <v>0</v>
      </c>
      <c r="N66" s="6">
        <v>0</v>
      </c>
      <c r="O66" s="6">
        <v>0</v>
      </c>
      <c r="P66" s="6">
        <v>0</v>
      </c>
      <c r="Q66" s="5">
        <v>0</v>
      </c>
      <c r="R66" s="5">
        <v>0</v>
      </c>
      <c r="S66" s="6">
        <v>0</v>
      </c>
      <c r="T66" s="6">
        <v>0</v>
      </c>
      <c r="U66" s="6">
        <v>0</v>
      </c>
      <c r="V66" s="5">
        <v>0</v>
      </c>
      <c r="W66" s="5">
        <v>0</v>
      </c>
      <c r="X66" s="6">
        <v>0</v>
      </c>
      <c r="Y66" s="6">
        <v>0</v>
      </c>
      <c r="Z66" s="6">
        <v>0</v>
      </c>
      <c r="AA66" s="5">
        <v>0</v>
      </c>
      <c r="AB66" s="5">
        <v>0</v>
      </c>
      <c r="AC66" s="6">
        <v>0</v>
      </c>
      <c r="AD66" s="6">
        <v>0</v>
      </c>
      <c r="AE66" s="6">
        <v>0</v>
      </c>
      <c r="AF66" s="5">
        <v>0</v>
      </c>
      <c r="AG66" s="5">
        <v>0</v>
      </c>
      <c r="AH66" s="6" t="s">
        <v>18</v>
      </c>
      <c r="AI66" s="6" t="s">
        <v>18</v>
      </c>
      <c r="AJ66" s="6">
        <v>0</v>
      </c>
    </row>
    <row r="67" spans="1:37" x14ac:dyDescent="0.45">
      <c r="A67" s="4" t="s">
        <v>45</v>
      </c>
      <c r="B67" s="5">
        <v>0</v>
      </c>
      <c r="C67" s="5">
        <v>0</v>
      </c>
      <c r="D67" s="6">
        <v>0</v>
      </c>
      <c r="E67" s="6">
        <v>0</v>
      </c>
      <c r="F67" s="6">
        <v>0</v>
      </c>
      <c r="G67" s="5">
        <v>0</v>
      </c>
      <c r="H67" s="5">
        <v>0</v>
      </c>
      <c r="I67" s="6">
        <v>0</v>
      </c>
      <c r="J67" s="6">
        <v>0</v>
      </c>
      <c r="K67" s="6">
        <v>0</v>
      </c>
      <c r="L67" s="5">
        <v>0</v>
      </c>
      <c r="M67" s="5">
        <v>0</v>
      </c>
      <c r="N67" s="6">
        <v>0</v>
      </c>
      <c r="O67" s="6">
        <v>0</v>
      </c>
      <c r="P67" s="6">
        <v>0</v>
      </c>
      <c r="Q67" s="5">
        <v>0</v>
      </c>
      <c r="R67" s="5">
        <v>0</v>
      </c>
      <c r="S67" s="6">
        <v>0</v>
      </c>
      <c r="T67" s="6">
        <v>0</v>
      </c>
      <c r="U67" s="6">
        <v>0</v>
      </c>
      <c r="V67" s="5">
        <v>0.241687106167564</v>
      </c>
      <c r="W67" s="5">
        <v>0.12970454785683508</v>
      </c>
      <c r="X67" s="6">
        <v>0</v>
      </c>
      <c r="Y67" s="6">
        <v>1</v>
      </c>
      <c r="Z67" s="6">
        <v>12</v>
      </c>
      <c r="AA67" s="5">
        <v>1</v>
      </c>
      <c r="AB67" s="5">
        <v>0</v>
      </c>
      <c r="AC67" s="6">
        <v>1</v>
      </c>
      <c r="AD67" s="6">
        <v>1</v>
      </c>
      <c r="AE67" s="6">
        <v>2</v>
      </c>
      <c r="AF67" s="5">
        <v>0.40183723233810315</v>
      </c>
      <c r="AG67" s="5">
        <v>0.14456281527357528</v>
      </c>
      <c r="AH67" s="6">
        <v>0</v>
      </c>
      <c r="AI67" s="6">
        <v>1</v>
      </c>
      <c r="AJ67" s="6">
        <v>14</v>
      </c>
      <c r="AK67">
        <f>(AF69/AF68)-AF67</f>
        <v>3.1708083167854395E-2</v>
      </c>
    </row>
    <row r="68" spans="1:37" x14ac:dyDescent="0.45">
      <c r="A68" s="4" t="s">
        <v>14</v>
      </c>
      <c r="B68" s="5">
        <v>0</v>
      </c>
      <c r="C68" s="5">
        <v>0</v>
      </c>
      <c r="D68" s="6">
        <v>0</v>
      </c>
      <c r="E68" s="6">
        <v>0</v>
      </c>
      <c r="F68" s="6">
        <v>0</v>
      </c>
      <c r="G68" s="5">
        <v>0</v>
      </c>
      <c r="H68" s="5">
        <v>0</v>
      </c>
      <c r="I68" s="6">
        <v>0</v>
      </c>
      <c r="J68" s="6">
        <v>0</v>
      </c>
      <c r="K68" s="6">
        <v>0</v>
      </c>
      <c r="L68" s="5">
        <v>0</v>
      </c>
      <c r="M68" s="5">
        <v>0</v>
      </c>
      <c r="N68" s="6">
        <v>0</v>
      </c>
      <c r="O68" s="6">
        <v>0</v>
      </c>
      <c r="P68" s="6">
        <v>0</v>
      </c>
      <c r="Q68" s="5">
        <v>0</v>
      </c>
      <c r="R68" s="5">
        <v>0</v>
      </c>
      <c r="S68" s="6">
        <v>0</v>
      </c>
      <c r="T68" s="6">
        <v>0</v>
      </c>
      <c r="U68" s="6">
        <v>0</v>
      </c>
      <c r="V68" s="5">
        <v>0.90728189345464016</v>
      </c>
      <c r="W68" s="5">
        <v>9.2072676259820324E-2</v>
      </c>
      <c r="X68" s="6">
        <v>0</v>
      </c>
      <c r="Y68" s="6">
        <v>1</v>
      </c>
      <c r="Z68" s="6">
        <v>12</v>
      </c>
      <c r="AA68" s="5">
        <v>1</v>
      </c>
      <c r="AB68" s="5">
        <v>0</v>
      </c>
      <c r="AC68" s="6">
        <v>1</v>
      </c>
      <c r="AD68" s="6">
        <v>1</v>
      </c>
      <c r="AE68" s="6">
        <v>2</v>
      </c>
      <c r="AF68" s="5">
        <v>0.92686327810773295</v>
      </c>
      <c r="AG68" s="5">
        <v>7.3261369808220761E-2</v>
      </c>
      <c r="AH68" s="6">
        <v>0</v>
      </c>
      <c r="AI68" s="6">
        <v>1</v>
      </c>
      <c r="AJ68" s="6">
        <v>14</v>
      </c>
      <c r="AK68">
        <f>(AF69/AF67)-AF68</f>
        <v>7.3136721892267054E-2</v>
      </c>
    </row>
    <row r="69" spans="1:37" ht="26.25" x14ac:dyDescent="0.45">
      <c r="A69" s="4" t="s">
        <v>46</v>
      </c>
      <c r="B69" s="5">
        <v>0</v>
      </c>
      <c r="C69" s="5">
        <v>0</v>
      </c>
      <c r="D69" s="6">
        <v>0</v>
      </c>
      <c r="E69" s="6">
        <v>0</v>
      </c>
      <c r="F69" s="6">
        <v>0</v>
      </c>
      <c r="G69" s="5">
        <v>0</v>
      </c>
      <c r="H69" s="5">
        <v>0</v>
      </c>
      <c r="I69" s="6">
        <v>0</v>
      </c>
      <c r="J69" s="6">
        <v>0</v>
      </c>
      <c r="K69" s="6">
        <v>0</v>
      </c>
      <c r="L69" s="5">
        <v>0</v>
      </c>
      <c r="M69" s="5">
        <v>0</v>
      </c>
      <c r="N69" s="6">
        <v>0</v>
      </c>
      <c r="O69" s="6">
        <v>0</v>
      </c>
      <c r="P69" s="6">
        <v>0</v>
      </c>
      <c r="Q69" s="5">
        <v>0</v>
      </c>
      <c r="R69" s="5">
        <v>0</v>
      </c>
      <c r="S69" s="6">
        <v>0</v>
      </c>
      <c r="T69" s="6">
        <v>0</v>
      </c>
      <c r="U69" s="6">
        <v>0</v>
      </c>
      <c r="V69" s="5">
        <v>0.241687106167564</v>
      </c>
      <c r="W69" s="5">
        <v>0.12970454785683508</v>
      </c>
      <c r="X69" s="6">
        <v>0</v>
      </c>
      <c r="Y69" s="6">
        <v>1</v>
      </c>
      <c r="Z69" s="6">
        <v>12</v>
      </c>
      <c r="AA69" s="5">
        <v>1</v>
      </c>
      <c r="AB69" s="5">
        <v>0</v>
      </c>
      <c r="AC69" s="6">
        <v>1</v>
      </c>
      <c r="AD69" s="6">
        <v>1</v>
      </c>
      <c r="AE69" s="6">
        <v>2</v>
      </c>
      <c r="AF69" s="5">
        <v>0.40183723233810315</v>
      </c>
      <c r="AG69" s="5">
        <v>0.14456281527357528</v>
      </c>
      <c r="AH69" s="6">
        <v>0</v>
      </c>
      <c r="AI69" s="6">
        <v>1</v>
      </c>
      <c r="AJ69" s="6">
        <v>14</v>
      </c>
    </row>
    <row r="70" spans="1:37" x14ac:dyDescent="0.45">
      <c r="A70" s="4" t="s">
        <v>45</v>
      </c>
      <c r="B70" s="5">
        <v>0</v>
      </c>
      <c r="C70" s="5">
        <v>0</v>
      </c>
      <c r="D70" s="6">
        <v>0</v>
      </c>
      <c r="E70" s="6">
        <v>0</v>
      </c>
      <c r="F70" s="6">
        <v>0</v>
      </c>
      <c r="G70" s="5">
        <v>0</v>
      </c>
      <c r="H70" s="5">
        <v>0</v>
      </c>
      <c r="I70" s="6">
        <v>0</v>
      </c>
      <c r="J70" s="6">
        <v>0</v>
      </c>
      <c r="K70" s="6">
        <v>0</v>
      </c>
      <c r="L70" s="5">
        <v>0</v>
      </c>
      <c r="M70" s="5">
        <v>0</v>
      </c>
      <c r="N70" s="6">
        <v>0</v>
      </c>
      <c r="O70" s="6">
        <v>0</v>
      </c>
      <c r="P70" s="6">
        <v>0</v>
      </c>
      <c r="Q70" s="5">
        <v>0</v>
      </c>
      <c r="R70" s="5">
        <v>0</v>
      </c>
      <c r="S70" s="6">
        <v>0</v>
      </c>
      <c r="T70" s="6">
        <v>0</v>
      </c>
      <c r="U70" s="6">
        <v>0</v>
      </c>
      <c r="V70" s="5">
        <v>0.38777654201529865</v>
      </c>
      <c r="W70" s="5">
        <v>0.14072779536166155</v>
      </c>
      <c r="X70" s="6">
        <v>0</v>
      </c>
      <c r="Y70" s="6">
        <v>1</v>
      </c>
      <c r="Z70" s="6">
        <v>14</v>
      </c>
      <c r="AA70" s="5">
        <v>0.65399292936501086</v>
      </c>
      <c r="AB70" s="5">
        <v>0.16384539971048295</v>
      </c>
      <c r="AC70" s="6">
        <v>0</v>
      </c>
      <c r="AD70" s="6">
        <v>1</v>
      </c>
      <c r="AE70" s="6">
        <v>10</v>
      </c>
      <c r="AF70" s="5">
        <v>0.52469937210113293</v>
      </c>
      <c r="AG70" s="5">
        <v>0.1099793752468259</v>
      </c>
      <c r="AH70" s="6">
        <v>0</v>
      </c>
      <c r="AI70" s="6">
        <v>1</v>
      </c>
      <c r="AJ70" s="6">
        <v>24</v>
      </c>
      <c r="AK70">
        <f>(AF72/AF71)-AF70</f>
        <v>-0.52469937210113293</v>
      </c>
    </row>
    <row r="71" spans="1:37" ht="26.25" x14ac:dyDescent="0.45">
      <c r="A71" s="4" t="s">
        <v>16</v>
      </c>
      <c r="B71" s="5">
        <v>0</v>
      </c>
      <c r="C71" s="5">
        <v>0</v>
      </c>
      <c r="D71" s="6">
        <v>0</v>
      </c>
      <c r="E71" s="6">
        <v>0</v>
      </c>
      <c r="F71" s="6">
        <v>0</v>
      </c>
      <c r="G71" s="5">
        <v>0</v>
      </c>
      <c r="H71" s="5">
        <v>0</v>
      </c>
      <c r="I71" s="6">
        <v>0</v>
      </c>
      <c r="J71" s="6">
        <v>0</v>
      </c>
      <c r="K71" s="6">
        <v>0</v>
      </c>
      <c r="L71" s="5">
        <v>0</v>
      </c>
      <c r="M71" s="5">
        <v>0</v>
      </c>
      <c r="N71" s="6">
        <v>0</v>
      </c>
      <c r="O71" s="6">
        <v>0</v>
      </c>
      <c r="P71" s="6">
        <v>0</v>
      </c>
      <c r="Q71" s="5">
        <v>0</v>
      </c>
      <c r="R71" s="5">
        <v>0</v>
      </c>
      <c r="S71" s="6">
        <v>0</v>
      </c>
      <c r="T71" s="6">
        <v>0</v>
      </c>
      <c r="U71" s="6">
        <v>0</v>
      </c>
      <c r="V71" s="5">
        <v>9.076224319845197E-2</v>
      </c>
      <c r="W71" s="5">
        <v>7.2870805812875375E-2</v>
      </c>
      <c r="X71" s="6">
        <v>0</v>
      </c>
      <c r="Y71" s="6">
        <v>1</v>
      </c>
      <c r="Z71" s="6">
        <v>14</v>
      </c>
      <c r="AA71" s="5">
        <v>0</v>
      </c>
      <c r="AB71" s="5">
        <v>0</v>
      </c>
      <c r="AC71" s="6">
        <v>0</v>
      </c>
      <c r="AD71" s="6">
        <v>0</v>
      </c>
      <c r="AE71" s="6">
        <v>10</v>
      </c>
      <c r="AF71" s="5">
        <v>4.4080581985216215E-2</v>
      </c>
      <c r="AG71" s="5">
        <v>3.5713430966659132E-2</v>
      </c>
      <c r="AH71" s="6">
        <v>0</v>
      </c>
      <c r="AI71" s="6">
        <v>1</v>
      </c>
      <c r="AJ71" s="6">
        <v>24</v>
      </c>
      <c r="AK71">
        <f>(AF72/AF70)-AF71</f>
        <v>-4.4080581985216215E-2</v>
      </c>
    </row>
    <row r="72" spans="1:37" ht="26.25" x14ac:dyDescent="0.45">
      <c r="A72" s="4" t="s">
        <v>47</v>
      </c>
      <c r="B72" s="5">
        <v>0</v>
      </c>
      <c r="C72" s="5">
        <v>0</v>
      </c>
      <c r="D72" s="6">
        <v>0</v>
      </c>
      <c r="E72" s="6">
        <v>0</v>
      </c>
      <c r="F72" s="6">
        <v>0</v>
      </c>
      <c r="G72" s="5">
        <v>0</v>
      </c>
      <c r="H72" s="5">
        <v>0</v>
      </c>
      <c r="I72" s="6">
        <v>0</v>
      </c>
      <c r="J72" s="6">
        <v>0</v>
      </c>
      <c r="K72" s="6">
        <v>0</v>
      </c>
      <c r="L72" s="5">
        <v>0</v>
      </c>
      <c r="M72" s="5">
        <v>0</v>
      </c>
      <c r="N72" s="6">
        <v>0</v>
      </c>
      <c r="O72" s="6">
        <v>0</v>
      </c>
      <c r="P72" s="6">
        <v>0</v>
      </c>
      <c r="Q72" s="5">
        <v>0</v>
      </c>
      <c r="R72" s="5">
        <v>0</v>
      </c>
      <c r="S72" s="6">
        <v>0</v>
      </c>
      <c r="T72" s="6">
        <v>0</v>
      </c>
      <c r="U72" s="6">
        <v>0</v>
      </c>
      <c r="V72" s="5">
        <v>0</v>
      </c>
      <c r="W72" s="5">
        <v>0</v>
      </c>
      <c r="X72" s="6">
        <v>0</v>
      </c>
      <c r="Y72" s="6">
        <v>0</v>
      </c>
      <c r="Z72" s="6">
        <v>14</v>
      </c>
      <c r="AA72" s="5">
        <v>0</v>
      </c>
      <c r="AB72" s="5">
        <v>0</v>
      </c>
      <c r="AC72" s="6">
        <v>0</v>
      </c>
      <c r="AD72" s="6">
        <v>0</v>
      </c>
      <c r="AE72" s="6">
        <v>10</v>
      </c>
      <c r="AF72" s="5">
        <v>0</v>
      </c>
      <c r="AG72" s="5">
        <v>0</v>
      </c>
      <c r="AH72" s="6">
        <v>0</v>
      </c>
      <c r="AI72" s="6">
        <v>0</v>
      </c>
      <c r="AJ72" s="6">
        <v>24</v>
      </c>
    </row>
    <row r="73" spans="1:37" x14ac:dyDescent="0.45">
      <c r="A73" s="4" t="s">
        <v>45</v>
      </c>
      <c r="B73" s="5">
        <v>0</v>
      </c>
      <c r="C73" s="5">
        <v>0</v>
      </c>
      <c r="D73" s="6">
        <v>0</v>
      </c>
      <c r="E73" s="6">
        <v>0</v>
      </c>
      <c r="F73" s="6">
        <v>0</v>
      </c>
      <c r="G73" s="5">
        <v>0</v>
      </c>
      <c r="H73" s="5">
        <v>0</v>
      </c>
      <c r="I73" s="6">
        <v>0</v>
      </c>
      <c r="J73" s="6">
        <v>0</v>
      </c>
      <c r="K73" s="6">
        <v>0</v>
      </c>
      <c r="L73" s="5">
        <v>0</v>
      </c>
      <c r="M73" s="5">
        <v>0</v>
      </c>
      <c r="N73" s="6">
        <v>0</v>
      </c>
      <c r="O73" s="6">
        <v>0</v>
      </c>
      <c r="P73" s="6">
        <v>0</v>
      </c>
      <c r="Q73" s="5">
        <v>0</v>
      </c>
      <c r="R73" s="5">
        <v>0</v>
      </c>
      <c r="S73" s="6">
        <v>0</v>
      </c>
      <c r="T73" s="6">
        <v>0</v>
      </c>
      <c r="U73" s="6">
        <v>0</v>
      </c>
      <c r="V73" s="5">
        <v>0</v>
      </c>
      <c r="W73" s="5">
        <v>0</v>
      </c>
      <c r="X73" s="6">
        <v>0</v>
      </c>
      <c r="Y73" s="6">
        <v>0</v>
      </c>
      <c r="Z73" s="6">
        <v>0</v>
      </c>
      <c r="AA73" s="5">
        <v>0</v>
      </c>
      <c r="AB73" s="5">
        <v>0</v>
      </c>
      <c r="AC73" s="6">
        <v>0</v>
      </c>
      <c r="AD73" s="6">
        <v>0</v>
      </c>
      <c r="AE73" s="6">
        <v>0</v>
      </c>
      <c r="AF73" s="5">
        <v>0</v>
      </c>
      <c r="AG73" s="5">
        <v>0</v>
      </c>
      <c r="AH73" s="6" t="s">
        <v>18</v>
      </c>
      <c r="AI73" s="6" t="s">
        <v>18</v>
      </c>
      <c r="AJ73" s="6">
        <v>0</v>
      </c>
      <c r="AK73" t="e">
        <f>(AF75/AF74)-AF73</f>
        <v>#DIV/0!</v>
      </c>
    </row>
    <row r="74" spans="1:37" x14ac:dyDescent="0.45">
      <c r="A74" s="4" t="s">
        <v>19</v>
      </c>
      <c r="B74" s="5">
        <v>0</v>
      </c>
      <c r="C74" s="5">
        <v>0</v>
      </c>
      <c r="D74" s="6">
        <v>0</v>
      </c>
      <c r="E74" s="6">
        <v>0</v>
      </c>
      <c r="F74" s="6">
        <v>0</v>
      </c>
      <c r="G74" s="5">
        <v>0</v>
      </c>
      <c r="H74" s="5">
        <v>0</v>
      </c>
      <c r="I74" s="6">
        <v>0</v>
      </c>
      <c r="J74" s="6">
        <v>0</v>
      </c>
      <c r="K74" s="6">
        <v>0</v>
      </c>
      <c r="L74" s="5">
        <v>0</v>
      </c>
      <c r="M74" s="5">
        <v>0</v>
      </c>
      <c r="N74" s="6">
        <v>0</v>
      </c>
      <c r="O74" s="6">
        <v>0</v>
      </c>
      <c r="P74" s="6">
        <v>0</v>
      </c>
      <c r="Q74" s="5">
        <v>0</v>
      </c>
      <c r="R74" s="5">
        <v>0</v>
      </c>
      <c r="S74" s="6">
        <v>0</v>
      </c>
      <c r="T74" s="6">
        <v>0</v>
      </c>
      <c r="U74" s="6">
        <v>0</v>
      </c>
      <c r="V74" s="5">
        <v>0</v>
      </c>
      <c r="W74" s="5">
        <v>0</v>
      </c>
      <c r="X74" s="6">
        <v>0</v>
      </c>
      <c r="Y74" s="6">
        <v>0</v>
      </c>
      <c r="Z74" s="6">
        <v>0</v>
      </c>
      <c r="AA74" s="5">
        <v>0</v>
      </c>
      <c r="AB74" s="5">
        <v>0</v>
      </c>
      <c r="AC74" s="6">
        <v>0</v>
      </c>
      <c r="AD74" s="6">
        <v>0</v>
      </c>
      <c r="AE74" s="6">
        <v>0</v>
      </c>
      <c r="AF74" s="5">
        <v>0</v>
      </c>
      <c r="AG74" s="5">
        <v>0</v>
      </c>
      <c r="AH74" s="6" t="s">
        <v>18</v>
      </c>
      <c r="AI74" s="6" t="s">
        <v>18</v>
      </c>
      <c r="AJ74" s="6">
        <v>0</v>
      </c>
      <c r="AK74" t="e">
        <f>(AF75/AF73)-AF74</f>
        <v>#DIV/0!</v>
      </c>
    </row>
    <row r="75" spans="1:37" ht="26.25" x14ac:dyDescent="0.45">
      <c r="A75" s="4" t="s">
        <v>48</v>
      </c>
      <c r="B75" s="5">
        <v>0</v>
      </c>
      <c r="C75" s="5">
        <v>0</v>
      </c>
      <c r="D75" s="6">
        <v>0</v>
      </c>
      <c r="E75" s="6">
        <v>0</v>
      </c>
      <c r="F75" s="6">
        <v>0</v>
      </c>
      <c r="G75" s="5">
        <v>0</v>
      </c>
      <c r="H75" s="5">
        <v>0</v>
      </c>
      <c r="I75" s="6">
        <v>0</v>
      </c>
      <c r="J75" s="6">
        <v>0</v>
      </c>
      <c r="K75" s="6">
        <v>0</v>
      </c>
      <c r="L75" s="5">
        <v>0</v>
      </c>
      <c r="M75" s="5">
        <v>0</v>
      </c>
      <c r="N75" s="6">
        <v>0</v>
      </c>
      <c r="O75" s="6">
        <v>0</v>
      </c>
      <c r="P75" s="6">
        <v>0</v>
      </c>
      <c r="Q75" s="5">
        <v>0</v>
      </c>
      <c r="R75" s="5">
        <v>0</v>
      </c>
      <c r="S75" s="6">
        <v>0</v>
      </c>
      <c r="T75" s="6">
        <v>0</v>
      </c>
      <c r="U75" s="6">
        <v>0</v>
      </c>
      <c r="V75" s="5">
        <v>0</v>
      </c>
      <c r="W75" s="5">
        <v>0</v>
      </c>
      <c r="X75" s="6">
        <v>0</v>
      </c>
      <c r="Y75" s="6">
        <v>0</v>
      </c>
      <c r="Z75" s="6">
        <v>0</v>
      </c>
      <c r="AA75" s="5">
        <v>0</v>
      </c>
      <c r="AB75" s="5">
        <v>0</v>
      </c>
      <c r="AC75" s="6">
        <v>0</v>
      </c>
      <c r="AD75" s="6">
        <v>0</v>
      </c>
      <c r="AE75" s="6">
        <v>0</v>
      </c>
      <c r="AF75" s="5">
        <v>0</v>
      </c>
      <c r="AG75" s="5">
        <v>0</v>
      </c>
      <c r="AH75" s="6" t="s">
        <v>18</v>
      </c>
      <c r="AI75" s="6" t="s">
        <v>18</v>
      </c>
      <c r="AJ75" s="6">
        <v>0</v>
      </c>
    </row>
    <row r="76" spans="1:37" ht="26.25" x14ac:dyDescent="0.45">
      <c r="A76" s="4" t="s">
        <v>49</v>
      </c>
      <c r="B76" s="5">
        <v>0</v>
      </c>
      <c r="C76" s="5">
        <v>0</v>
      </c>
      <c r="D76" s="6">
        <v>0</v>
      </c>
      <c r="E76" s="6">
        <v>0</v>
      </c>
      <c r="F76" s="6">
        <v>0</v>
      </c>
      <c r="G76" s="5">
        <v>0</v>
      </c>
      <c r="H76" s="5">
        <v>0</v>
      </c>
      <c r="I76" s="6">
        <v>0</v>
      </c>
      <c r="J76" s="6">
        <v>0</v>
      </c>
      <c r="K76" s="6">
        <v>0</v>
      </c>
      <c r="L76" s="5">
        <v>0</v>
      </c>
      <c r="M76" s="5">
        <v>0</v>
      </c>
      <c r="N76" s="6">
        <v>0</v>
      </c>
      <c r="O76" s="6">
        <v>0</v>
      </c>
      <c r="P76" s="6">
        <v>0</v>
      </c>
      <c r="Q76" s="5">
        <v>0</v>
      </c>
      <c r="R76" s="5">
        <v>0</v>
      </c>
      <c r="S76" s="6">
        <v>0</v>
      </c>
      <c r="T76" s="6">
        <v>0</v>
      </c>
      <c r="U76" s="6">
        <v>0</v>
      </c>
      <c r="V76" s="5">
        <v>0.49723067133583426</v>
      </c>
      <c r="W76" s="5">
        <v>0.15607556149551594</v>
      </c>
      <c r="X76" s="6">
        <v>0</v>
      </c>
      <c r="Y76" s="6">
        <v>1</v>
      </c>
      <c r="Z76" s="6">
        <v>12</v>
      </c>
      <c r="AA76" s="5">
        <v>1</v>
      </c>
      <c r="AB76" s="5">
        <v>0</v>
      </c>
      <c r="AC76" s="6">
        <v>1</v>
      </c>
      <c r="AD76" s="6">
        <v>1</v>
      </c>
      <c r="AE76" s="6">
        <v>2</v>
      </c>
      <c r="AF76" s="5">
        <v>0.60341186919640444</v>
      </c>
      <c r="AG76" s="5">
        <v>0.1408602113188531</v>
      </c>
      <c r="AH76" s="6">
        <v>0</v>
      </c>
      <c r="AI76" s="6">
        <v>1</v>
      </c>
      <c r="AJ76" s="6">
        <v>14</v>
      </c>
      <c r="AK76">
        <f>(AF78/AF77)-AF76</f>
        <v>4.7613889886768068E-2</v>
      </c>
    </row>
    <row r="77" spans="1:37" x14ac:dyDescent="0.45">
      <c r="A77" s="4" t="s">
        <v>14</v>
      </c>
      <c r="B77" s="5">
        <v>0</v>
      </c>
      <c r="C77" s="5">
        <v>0</v>
      </c>
      <c r="D77" s="6">
        <v>0</v>
      </c>
      <c r="E77" s="6">
        <v>0</v>
      </c>
      <c r="F77" s="6">
        <v>0</v>
      </c>
      <c r="G77" s="5">
        <v>0</v>
      </c>
      <c r="H77" s="5">
        <v>0</v>
      </c>
      <c r="I77" s="6">
        <v>0</v>
      </c>
      <c r="J77" s="6">
        <v>0</v>
      </c>
      <c r="K77" s="6">
        <v>0</v>
      </c>
      <c r="L77" s="5">
        <v>0</v>
      </c>
      <c r="M77" s="5">
        <v>0</v>
      </c>
      <c r="N77" s="6">
        <v>0</v>
      </c>
      <c r="O77" s="6">
        <v>0</v>
      </c>
      <c r="P77" s="6">
        <v>0</v>
      </c>
      <c r="Q77" s="5">
        <v>0</v>
      </c>
      <c r="R77" s="5">
        <v>0</v>
      </c>
      <c r="S77" s="6">
        <v>0</v>
      </c>
      <c r="T77" s="6">
        <v>0</v>
      </c>
      <c r="U77" s="6">
        <v>0</v>
      </c>
      <c r="V77" s="5">
        <v>0.90728189345464016</v>
      </c>
      <c r="W77" s="5">
        <v>9.2072676259820324E-2</v>
      </c>
      <c r="X77" s="6">
        <v>0</v>
      </c>
      <c r="Y77" s="6">
        <v>1</v>
      </c>
      <c r="Z77" s="6">
        <v>12</v>
      </c>
      <c r="AA77" s="5">
        <v>1</v>
      </c>
      <c r="AB77" s="5">
        <v>0</v>
      </c>
      <c r="AC77" s="6">
        <v>1</v>
      </c>
      <c r="AD77" s="6">
        <v>1</v>
      </c>
      <c r="AE77" s="6">
        <v>2</v>
      </c>
      <c r="AF77" s="5">
        <v>0.92686327810773295</v>
      </c>
      <c r="AG77" s="5">
        <v>7.3261369808220761E-2</v>
      </c>
      <c r="AH77" s="6">
        <v>0</v>
      </c>
      <c r="AI77" s="6">
        <v>1</v>
      </c>
      <c r="AJ77" s="6">
        <v>14</v>
      </c>
      <c r="AK77">
        <f>(AF78/AF76)-AF77</f>
        <v>7.3136721892267054E-2</v>
      </c>
    </row>
    <row r="78" spans="1:37" ht="39.4" x14ac:dyDescent="0.45">
      <c r="A78" s="4" t="s">
        <v>50</v>
      </c>
      <c r="B78" s="5">
        <v>0</v>
      </c>
      <c r="C78" s="5">
        <v>0</v>
      </c>
      <c r="D78" s="6">
        <v>0</v>
      </c>
      <c r="E78" s="6">
        <v>0</v>
      </c>
      <c r="F78" s="6">
        <v>0</v>
      </c>
      <c r="G78" s="5">
        <v>0</v>
      </c>
      <c r="H78" s="5">
        <v>0</v>
      </c>
      <c r="I78" s="6">
        <v>0</v>
      </c>
      <c r="J78" s="6">
        <v>0</v>
      </c>
      <c r="K78" s="6">
        <v>0</v>
      </c>
      <c r="L78" s="5">
        <v>0</v>
      </c>
      <c r="M78" s="5">
        <v>0</v>
      </c>
      <c r="N78" s="6">
        <v>0</v>
      </c>
      <c r="O78" s="6">
        <v>0</v>
      </c>
      <c r="P78" s="6">
        <v>0</v>
      </c>
      <c r="Q78" s="5">
        <v>0</v>
      </c>
      <c r="R78" s="5">
        <v>0</v>
      </c>
      <c r="S78" s="6">
        <v>0</v>
      </c>
      <c r="T78" s="6">
        <v>0</v>
      </c>
      <c r="U78" s="6">
        <v>0</v>
      </c>
      <c r="V78" s="5">
        <v>0.49723067133583426</v>
      </c>
      <c r="W78" s="5">
        <v>0.15607556149551594</v>
      </c>
      <c r="X78" s="6">
        <v>0</v>
      </c>
      <c r="Y78" s="6">
        <v>1</v>
      </c>
      <c r="Z78" s="6">
        <v>12</v>
      </c>
      <c r="AA78" s="5">
        <v>1</v>
      </c>
      <c r="AB78" s="5">
        <v>0</v>
      </c>
      <c r="AC78" s="6">
        <v>1</v>
      </c>
      <c r="AD78" s="6">
        <v>1</v>
      </c>
      <c r="AE78" s="6">
        <v>2</v>
      </c>
      <c r="AF78" s="5">
        <v>0.60341186919640444</v>
      </c>
      <c r="AG78" s="5">
        <v>0.1408602113188531</v>
      </c>
      <c r="AH78" s="6">
        <v>0</v>
      </c>
      <c r="AI78" s="6">
        <v>1</v>
      </c>
      <c r="AJ78" s="6">
        <v>14</v>
      </c>
    </row>
    <row r="79" spans="1:37" ht="26.25" x14ac:dyDescent="0.45">
      <c r="A79" s="4" t="s">
        <v>49</v>
      </c>
      <c r="B79" s="5">
        <v>0</v>
      </c>
      <c r="C79" s="5">
        <v>0</v>
      </c>
      <c r="D79" s="6">
        <v>0</v>
      </c>
      <c r="E79" s="6">
        <v>0</v>
      </c>
      <c r="F79" s="6">
        <v>0</v>
      </c>
      <c r="G79" s="5">
        <v>0</v>
      </c>
      <c r="H79" s="5">
        <v>0</v>
      </c>
      <c r="I79" s="6">
        <v>0</v>
      </c>
      <c r="J79" s="6">
        <v>0</v>
      </c>
      <c r="K79" s="6">
        <v>0</v>
      </c>
      <c r="L79" s="5">
        <v>0</v>
      </c>
      <c r="M79" s="5">
        <v>0</v>
      </c>
      <c r="N79" s="6">
        <v>0</v>
      </c>
      <c r="O79" s="6">
        <v>0</v>
      </c>
      <c r="P79" s="6">
        <v>0</v>
      </c>
      <c r="Q79" s="5">
        <v>0</v>
      </c>
      <c r="R79" s="5">
        <v>0</v>
      </c>
      <c r="S79" s="6">
        <v>0</v>
      </c>
      <c r="T79" s="6">
        <v>0</v>
      </c>
      <c r="U79" s="6">
        <v>0</v>
      </c>
      <c r="V79" s="5">
        <v>0.54378934684635905</v>
      </c>
      <c r="W79" s="5">
        <v>0.14192817672259933</v>
      </c>
      <c r="X79" s="6">
        <v>0</v>
      </c>
      <c r="Y79" s="6">
        <v>1</v>
      </c>
      <c r="Z79" s="6">
        <v>14</v>
      </c>
      <c r="AA79" s="5">
        <v>0.55744457265714076</v>
      </c>
      <c r="AB79" s="5">
        <v>0.17281699284767071</v>
      </c>
      <c r="AC79" s="6">
        <v>0</v>
      </c>
      <c r="AD79" s="6">
        <v>1</v>
      </c>
      <c r="AE79" s="6">
        <v>10</v>
      </c>
      <c r="AF79" s="5">
        <v>0.55081262660042329</v>
      </c>
      <c r="AG79" s="5">
        <v>0.10965442899624042</v>
      </c>
      <c r="AH79" s="6">
        <v>0</v>
      </c>
      <c r="AI79" s="6">
        <v>1</v>
      </c>
      <c r="AJ79" s="6">
        <v>24</v>
      </c>
      <c r="AK79">
        <f>(AF81/AF80)-AF79</f>
        <v>-0.55081262660042329</v>
      </c>
    </row>
    <row r="80" spans="1:37" ht="26.25" x14ac:dyDescent="0.45">
      <c r="A80" s="4" t="s">
        <v>16</v>
      </c>
      <c r="B80" s="5">
        <v>0</v>
      </c>
      <c r="C80" s="5">
        <v>0</v>
      </c>
      <c r="D80" s="6">
        <v>0</v>
      </c>
      <c r="E80" s="6">
        <v>0</v>
      </c>
      <c r="F80" s="6">
        <v>0</v>
      </c>
      <c r="G80" s="5">
        <v>0</v>
      </c>
      <c r="H80" s="5">
        <v>0</v>
      </c>
      <c r="I80" s="6">
        <v>0</v>
      </c>
      <c r="J80" s="6">
        <v>0</v>
      </c>
      <c r="K80" s="6">
        <v>0</v>
      </c>
      <c r="L80" s="5">
        <v>0</v>
      </c>
      <c r="M80" s="5">
        <v>0</v>
      </c>
      <c r="N80" s="6">
        <v>0</v>
      </c>
      <c r="O80" s="6">
        <v>0</v>
      </c>
      <c r="P80" s="6">
        <v>0</v>
      </c>
      <c r="Q80" s="5">
        <v>0</v>
      </c>
      <c r="R80" s="5">
        <v>0</v>
      </c>
      <c r="S80" s="6">
        <v>0</v>
      </c>
      <c r="T80" s="6">
        <v>0</v>
      </c>
      <c r="U80" s="6">
        <v>0</v>
      </c>
      <c r="V80" s="5">
        <v>9.076224319845197E-2</v>
      </c>
      <c r="W80" s="5">
        <v>7.2870805812875375E-2</v>
      </c>
      <c r="X80" s="6">
        <v>0</v>
      </c>
      <c r="Y80" s="6">
        <v>1</v>
      </c>
      <c r="Z80" s="6">
        <v>14</v>
      </c>
      <c r="AA80" s="5">
        <v>0</v>
      </c>
      <c r="AB80" s="5">
        <v>0</v>
      </c>
      <c r="AC80" s="6">
        <v>0</v>
      </c>
      <c r="AD80" s="6">
        <v>0</v>
      </c>
      <c r="AE80" s="6">
        <v>10</v>
      </c>
      <c r="AF80" s="5">
        <v>4.4080581985216215E-2</v>
      </c>
      <c r="AG80" s="5">
        <v>3.5713430966659132E-2</v>
      </c>
      <c r="AH80" s="6">
        <v>0</v>
      </c>
      <c r="AI80" s="6">
        <v>1</v>
      </c>
      <c r="AJ80" s="6">
        <v>24</v>
      </c>
      <c r="AK80">
        <f>(AF81/AF79)-AF80</f>
        <v>-4.4080581985216215E-2</v>
      </c>
    </row>
    <row r="81" spans="1:37" ht="39.4" x14ac:dyDescent="0.45">
      <c r="A81" s="4" t="s">
        <v>51</v>
      </c>
      <c r="B81" s="5">
        <v>0</v>
      </c>
      <c r="C81" s="5">
        <v>0</v>
      </c>
      <c r="D81" s="6">
        <v>0</v>
      </c>
      <c r="E81" s="6">
        <v>0</v>
      </c>
      <c r="F81" s="6">
        <v>0</v>
      </c>
      <c r="G81" s="5">
        <v>0</v>
      </c>
      <c r="H81" s="5">
        <v>0</v>
      </c>
      <c r="I81" s="6">
        <v>0</v>
      </c>
      <c r="J81" s="6">
        <v>0</v>
      </c>
      <c r="K81" s="6">
        <v>0</v>
      </c>
      <c r="L81" s="5">
        <v>0</v>
      </c>
      <c r="M81" s="5">
        <v>0</v>
      </c>
      <c r="N81" s="6">
        <v>0</v>
      </c>
      <c r="O81" s="6">
        <v>0</v>
      </c>
      <c r="P81" s="6">
        <v>0</v>
      </c>
      <c r="Q81" s="5">
        <v>0</v>
      </c>
      <c r="R81" s="5">
        <v>0</v>
      </c>
      <c r="S81" s="6">
        <v>0</v>
      </c>
      <c r="T81" s="6">
        <v>0</v>
      </c>
      <c r="U81" s="6">
        <v>0</v>
      </c>
      <c r="V81" s="5">
        <v>0</v>
      </c>
      <c r="W81" s="5">
        <v>0</v>
      </c>
      <c r="X81" s="6">
        <v>0</v>
      </c>
      <c r="Y81" s="6">
        <v>0</v>
      </c>
      <c r="Z81" s="6">
        <v>14</v>
      </c>
      <c r="AA81" s="5">
        <v>0</v>
      </c>
      <c r="AB81" s="5">
        <v>0</v>
      </c>
      <c r="AC81" s="6">
        <v>0</v>
      </c>
      <c r="AD81" s="6">
        <v>0</v>
      </c>
      <c r="AE81" s="6">
        <v>10</v>
      </c>
      <c r="AF81" s="5">
        <v>0</v>
      </c>
      <c r="AG81" s="5">
        <v>0</v>
      </c>
      <c r="AH81" s="6">
        <v>0</v>
      </c>
      <c r="AI81" s="6">
        <v>0</v>
      </c>
      <c r="AJ81" s="6">
        <v>24</v>
      </c>
    </row>
    <row r="82" spans="1:37" ht="26.25" x14ac:dyDescent="0.45">
      <c r="A82" s="4" t="s">
        <v>49</v>
      </c>
      <c r="B82" s="5">
        <v>0</v>
      </c>
      <c r="C82" s="5">
        <v>0</v>
      </c>
      <c r="D82" s="6">
        <v>0</v>
      </c>
      <c r="E82" s="6">
        <v>0</v>
      </c>
      <c r="F82" s="6">
        <v>0</v>
      </c>
      <c r="G82" s="5">
        <v>0</v>
      </c>
      <c r="H82" s="5">
        <v>0</v>
      </c>
      <c r="I82" s="6">
        <v>0</v>
      </c>
      <c r="J82" s="6">
        <v>0</v>
      </c>
      <c r="K82" s="6">
        <v>0</v>
      </c>
      <c r="L82" s="5">
        <v>0</v>
      </c>
      <c r="M82" s="5">
        <v>0</v>
      </c>
      <c r="N82" s="6">
        <v>0</v>
      </c>
      <c r="O82" s="6">
        <v>0</v>
      </c>
      <c r="P82" s="6">
        <v>0</v>
      </c>
      <c r="Q82" s="5">
        <v>0</v>
      </c>
      <c r="R82" s="5">
        <v>0</v>
      </c>
      <c r="S82" s="6">
        <v>0</v>
      </c>
      <c r="T82" s="6">
        <v>0</v>
      </c>
      <c r="U82" s="6">
        <v>0</v>
      </c>
      <c r="V82" s="5">
        <v>0</v>
      </c>
      <c r="W82" s="5">
        <v>0</v>
      </c>
      <c r="X82" s="6">
        <v>0</v>
      </c>
      <c r="Y82" s="6">
        <v>0</v>
      </c>
      <c r="Z82" s="6">
        <v>0</v>
      </c>
      <c r="AA82" s="5">
        <v>0</v>
      </c>
      <c r="AB82" s="5">
        <v>0</v>
      </c>
      <c r="AC82" s="6">
        <v>0</v>
      </c>
      <c r="AD82" s="6">
        <v>0</v>
      </c>
      <c r="AE82" s="6">
        <v>0</v>
      </c>
      <c r="AF82" s="5">
        <v>0</v>
      </c>
      <c r="AG82" s="5">
        <v>0</v>
      </c>
      <c r="AH82" s="6" t="s">
        <v>18</v>
      </c>
      <c r="AI82" s="6" t="s">
        <v>18</v>
      </c>
      <c r="AJ82" s="6">
        <v>0</v>
      </c>
      <c r="AK82" t="e">
        <f>(AF84/AF83)-AF82</f>
        <v>#DIV/0!</v>
      </c>
    </row>
    <row r="83" spans="1:37" x14ac:dyDescent="0.45">
      <c r="A83" s="4" t="s">
        <v>19</v>
      </c>
      <c r="B83" s="5">
        <v>0</v>
      </c>
      <c r="C83" s="5">
        <v>0</v>
      </c>
      <c r="D83" s="6">
        <v>0</v>
      </c>
      <c r="E83" s="6">
        <v>0</v>
      </c>
      <c r="F83" s="6">
        <v>0</v>
      </c>
      <c r="G83" s="5">
        <v>0</v>
      </c>
      <c r="H83" s="5">
        <v>0</v>
      </c>
      <c r="I83" s="6">
        <v>0</v>
      </c>
      <c r="J83" s="6">
        <v>0</v>
      </c>
      <c r="K83" s="6">
        <v>0</v>
      </c>
      <c r="L83" s="5">
        <v>0</v>
      </c>
      <c r="M83" s="5">
        <v>0</v>
      </c>
      <c r="N83" s="6">
        <v>0</v>
      </c>
      <c r="O83" s="6">
        <v>0</v>
      </c>
      <c r="P83" s="6">
        <v>0</v>
      </c>
      <c r="Q83" s="5">
        <v>0</v>
      </c>
      <c r="R83" s="5">
        <v>0</v>
      </c>
      <c r="S83" s="6">
        <v>0</v>
      </c>
      <c r="T83" s="6">
        <v>0</v>
      </c>
      <c r="U83" s="6">
        <v>0</v>
      </c>
      <c r="V83" s="5">
        <v>0</v>
      </c>
      <c r="W83" s="5">
        <v>0</v>
      </c>
      <c r="X83" s="6">
        <v>0</v>
      </c>
      <c r="Y83" s="6">
        <v>0</v>
      </c>
      <c r="Z83" s="6">
        <v>0</v>
      </c>
      <c r="AA83" s="5">
        <v>0</v>
      </c>
      <c r="AB83" s="5">
        <v>0</v>
      </c>
      <c r="AC83" s="6">
        <v>0</v>
      </c>
      <c r="AD83" s="6">
        <v>0</v>
      </c>
      <c r="AE83" s="6">
        <v>0</v>
      </c>
      <c r="AF83" s="5">
        <v>0</v>
      </c>
      <c r="AG83" s="5">
        <v>0</v>
      </c>
      <c r="AH83" s="6" t="s">
        <v>18</v>
      </c>
      <c r="AI83" s="6" t="s">
        <v>18</v>
      </c>
      <c r="AJ83" s="6">
        <v>0</v>
      </c>
      <c r="AK83" t="e">
        <f>(AF84/AF82)-AF83</f>
        <v>#DIV/0!</v>
      </c>
    </row>
    <row r="84" spans="1:37" ht="39.4" x14ac:dyDescent="0.45">
      <c r="A84" s="4" t="s">
        <v>52</v>
      </c>
      <c r="B84" s="5">
        <v>0</v>
      </c>
      <c r="C84" s="5">
        <v>0</v>
      </c>
      <c r="D84" s="6">
        <v>0</v>
      </c>
      <c r="E84" s="6">
        <v>0</v>
      </c>
      <c r="F84" s="6">
        <v>0</v>
      </c>
      <c r="G84" s="5">
        <v>0</v>
      </c>
      <c r="H84" s="5">
        <v>0</v>
      </c>
      <c r="I84" s="6">
        <v>0</v>
      </c>
      <c r="J84" s="6">
        <v>0</v>
      </c>
      <c r="K84" s="6">
        <v>0</v>
      </c>
      <c r="L84" s="5">
        <v>0</v>
      </c>
      <c r="M84" s="5">
        <v>0</v>
      </c>
      <c r="N84" s="6">
        <v>0</v>
      </c>
      <c r="O84" s="6">
        <v>0</v>
      </c>
      <c r="P84" s="6">
        <v>0</v>
      </c>
      <c r="Q84" s="5">
        <v>0</v>
      </c>
      <c r="R84" s="5">
        <v>0</v>
      </c>
      <c r="S84" s="6">
        <v>0</v>
      </c>
      <c r="T84" s="6">
        <v>0</v>
      </c>
      <c r="U84" s="6">
        <v>0</v>
      </c>
      <c r="V84" s="5">
        <v>0</v>
      </c>
      <c r="W84" s="5">
        <v>0</v>
      </c>
      <c r="X84" s="6">
        <v>0</v>
      </c>
      <c r="Y84" s="6">
        <v>0</v>
      </c>
      <c r="Z84" s="6">
        <v>0</v>
      </c>
      <c r="AA84" s="5">
        <v>0</v>
      </c>
      <c r="AB84" s="5">
        <v>0</v>
      </c>
      <c r="AC84" s="6">
        <v>0</v>
      </c>
      <c r="AD84" s="6">
        <v>0</v>
      </c>
      <c r="AE84" s="6">
        <v>0</v>
      </c>
      <c r="AF84" s="5">
        <v>0</v>
      </c>
      <c r="AG84" s="5">
        <v>0</v>
      </c>
      <c r="AH84" s="6" t="s">
        <v>18</v>
      </c>
      <c r="AI84" s="6" t="s">
        <v>18</v>
      </c>
      <c r="AJ84" s="6">
        <v>0</v>
      </c>
    </row>
    <row r="85" spans="1:37" x14ac:dyDescent="0.45">
      <c r="A85" s="4" t="s">
        <v>53</v>
      </c>
      <c r="B85" s="5">
        <v>0</v>
      </c>
      <c r="C85" s="5">
        <v>0</v>
      </c>
      <c r="D85" s="6">
        <v>0</v>
      </c>
      <c r="E85" s="6">
        <v>0</v>
      </c>
      <c r="F85" s="6">
        <v>0</v>
      </c>
      <c r="G85" s="5">
        <v>0</v>
      </c>
      <c r="H85" s="5">
        <v>0</v>
      </c>
      <c r="I85" s="6">
        <v>0</v>
      </c>
      <c r="J85" s="6">
        <v>0</v>
      </c>
      <c r="K85" s="6">
        <v>0</v>
      </c>
      <c r="L85" s="5">
        <v>0</v>
      </c>
      <c r="M85" s="5">
        <v>0</v>
      </c>
      <c r="N85" s="6">
        <v>0</v>
      </c>
      <c r="O85" s="6">
        <v>0</v>
      </c>
      <c r="P85" s="6">
        <v>0</v>
      </c>
      <c r="Q85" s="5">
        <v>0</v>
      </c>
      <c r="R85" s="5">
        <v>0</v>
      </c>
      <c r="S85" s="6">
        <v>0</v>
      </c>
      <c r="T85" s="6">
        <v>0</v>
      </c>
      <c r="U85" s="6">
        <v>0</v>
      </c>
      <c r="V85" s="5">
        <v>0.80854497341431153</v>
      </c>
      <c r="W85" s="5">
        <v>0.12712515076243339</v>
      </c>
      <c r="X85" s="6">
        <v>0</v>
      </c>
      <c r="Y85" s="6">
        <v>1</v>
      </c>
      <c r="Z85" s="6">
        <v>12</v>
      </c>
      <c r="AA85" s="5">
        <v>1</v>
      </c>
      <c r="AB85" s="5">
        <v>0</v>
      </c>
      <c r="AC85" s="6">
        <v>1</v>
      </c>
      <c r="AD85" s="6">
        <v>1</v>
      </c>
      <c r="AE85" s="6">
        <v>2</v>
      </c>
      <c r="AF85" s="5">
        <v>0.84897887202405498</v>
      </c>
      <c r="AG85" s="5">
        <v>0.10324935287937476</v>
      </c>
      <c r="AH85" s="6">
        <v>0</v>
      </c>
      <c r="AI85" s="6">
        <v>1</v>
      </c>
      <c r="AJ85" s="6">
        <v>14</v>
      </c>
      <c r="AK85">
        <f>(AF87/AF86)-AF85</f>
        <v>-1.1916741657068242E-2</v>
      </c>
    </row>
    <row r="86" spans="1:37" x14ac:dyDescent="0.45">
      <c r="A86" s="4" t="s">
        <v>14</v>
      </c>
      <c r="B86" s="5">
        <v>0</v>
      </c>
      <c r="C86" s="5">
        <v>0</v>
      </c>
      <c r="D86" s="6">
        <v>0</v>
      </c>
      <c r="E86" s="6">
        <v>0</v>
      </c>
      <c r="F86" s="6">
        <v>0</v>
      </c>
      <c r="G86" s="5">
        <v>0</v>
      </c>
      <c r="H86" s="5">
        <v>0</v>
      </c>
      <c r="I86" s="6">
        <v>0</v>
      </c>
      <c r="J86" s="6">
        <v>0</v>
      </c>
      <c r="K86" s="6">
        <v>0</v>
      </c>
      <c r="L86" s="5">
        <v>0</v>
      </c>
      <c r="M86" s="5">
        <v>0</v>
      </c>
      <c r="N86" s="6">
        <v>0</v>
      </c>
      <c r="O86" s="6">
        <v>0</v>
      </c>
      <c r="P86" s="6">
        <v>0</v>
      </c>
      <c r="Q86" s="5">
        <v>0</v>
      </c>
      <c r="R86" s="5">
        <v>0</v>
      </c>
      <c r="S86" s="6">
        <v>0</v>
      </c>
      <c r="T86" s="6">
        <v>0</v>
      </c>
      <c r="U86" s="6">
        <v>0</v>
      </c>
      <c r="V86" s="5">
        <v>0.90728189345464016</v>
      </c>
      <c r="W86" s="5">
        <v>9.2072676259820324E-2</v>
      </c>
      <c r="X86" s="6">
        <v>0</v>
      </c>
      <c r="Y86" s="6">
        <v>1</v>
      </c>
      <c r="Z86" s="6">
        <v>12</v>
      </c>
      <c r="AA86" s="5">
        <v>1</v>
      </c>
      <c r="AB86" s="5">
        <v>0</v>
      </c>
      <c r="AC86" s="6">
        <v>1</v>
      </c>
      <c r="AD86" s="6">
        <v>1</v>
      </c>
      <c r="AE86" s="6">
        <v>2</v>
      </c>
      <c r="AF86" s="5">
        <v>0.92686327810773295</v>
      </c>
      <c r="AG86" s="5">
        <v>7.3261369808220761E-2</v>
      </c>
      <c r="AH86" s="6">
        <v>0</v>
      </c>
      <c r="AI86" s="6">
        <v>1</v>
      </c>
      <c r="AJ86" s="6">
        <v>14</v>
      </c>
      <c r="AK86">
        <f>(AF87/AF85)-AF86</f>
        <v>-1.3009970684312089E-2</v>
      </c>
    </row>
    <row r="87" spans="1:37" ht="26.25" x14ac:dyDescent="0.45">
      <c r="A87" s="4" t="s">
        <v>54</v>
      </c>
      <c r="B87" s="5">
        <v>0</v>
      </c>
      <c r="C87" s="5">
        <v>0</v>
      </c>
      <c r="D87" s="6">
        <v>0</v>
      </c>
      <c r="E87" s="6">
        <v>0</v>
      </c>
      <c r="F87" s="6">
        <v>0</v>
      </c>
      <c r="G87" s="5">
        <v>0</v>
      </c>
      <c r="H87" s="5">
        <v>0</v>
      </c>
      <c r="I87" s="6">
        <v>0</v>
      </c>
      <c r="J87" s="6">
        <v>0</v>
      </c>
      <c r="K87" s="6">
        <v>0</v>
      </c>
      <c r="L87" s="5">
        <v>0</v>
      </c>
      <c r="M87" s="5">
        <v>0</v>
      </c>
      <c r="N87" s="6">
        <v>0</v>
      </c>
      <c r="O87" s="6">
        <v>0</v>
      </c>
      <c r="P87" s="6">
        <v>0</v>
      </c>
      <c r="Q87" s="5">
        <v>0</v>
      </c>
      <c r="R87" s="5">
        <v>0</v>
      </c>
      <c r="S87" s="6">
        <v>0</v>
      </c>
      <c r="T87" s="6">
        <v>0</v>
      </c>
      <c r="U87" s="6">
        <v>0</v>
      </c>
      <c r="V87" s="5">
        <v>0.71582686686895136</v>
      </c>
      <c r="W87" s="5">
        <v>0.14396813853099377</v>
      </c>
      <c r="X87" s="6">
        <v>0</v>
      </c>
      <c r="Y87" s="6">
        <v>1</v>
      </c>
      <c r="Z87" s="6">
        <v>12</v>
      </c>
      <c r="AA87" s="5">
        <v>1</v>
      </c>
      <c r="AB87" s="5">
        <v>0</v>
      </c>
      <c r="AC87" s="6">
        <v>1</v>
      </c>
      <c r="AD87" s="6">
        <v>1</v>
      </c>
      <c r="AE87" s="6">
        <v>2</v>
      </c>
      <c r="AF87" s="5">
        <v>0.77584215013178781</v>
      </c>
      <c r="AG87" s="5">
        <v>0.11962893778847009</v>
      </c>
      <c r="AH87" s="6">
        <v>0</v>
      </c>
      <c r="AI87" s="6">
        <v>1</v>
      </c>
      <c r="AJ87" s="6">
        <v>14</v>
      </c>
    </row>
    <row r="88" spans="1:37" x14ac:dyDescent="0.45">
      <c r="A88" s="4" t="s">
        <v>53</v>
      </c>
      <c r="B88" s="5">
        <v>0</v>
      </c>
      <c r="C88" s="5">
        <v>0</v>
      </c>
      <c r="D88" s="6">
        <v>0</v>
      </c>
      <c r="E88" s="6">
        <v>0</v>
      </c>
      <c r="F88" s="6">
        <v>0</v>
      </c>
      <c r="G88" s="5">
        <v>0</v>
      </c>
      <c r="H88" s="5">
        <v>0</v>
      </c>
      <c r="I88" s="6">
        <v>0</v>
      </c>
      <c r="J88" s="6">
        <v>0</v>
      </c>
      <c r="K88" s="6">
        <v>0</v>
      </c>
      <c r="L88" s="5">
        <v>0</v>
      </c>
      <c r="M88" s="5">
        <v>0</v>
      </c>
      <c r="N88" s="6">
        <v>0</v>
      </c>
      <c r="O88" s="6">
        <v>0</v>
      </c>
      <c r="P88" s="6">
        <v>0</v>
      </c>
      <c r="Q88" s="5">
        <v>0</v>
      </c>
      <c r="R88" s="5">
        <v>0</v>
      </c>
      <c r="S88" s="6">
        <v>0</v>
      </c>
      <c r="T88" s="6">
        <v>0</v>
      </c>
      <c r="U88" s="6">
        <v>0</v>
      </c>
      <c r="V88" s="5">
        <v>0.86311424807557624</v>
      </c>
      <c r="W88" s="5">
        <v>9.4259557970914259E-2</v>
      </c>
      <c r="X88" s="6">
        <v>0</v>
      </c>
      <c r="Y88" s="6">
        <v>1</v>
      </c>
      <c r="Z88" s="6">
        <v>14</v>
      </c>
      <c r="AA88" s="5">
        <v>0.64140782299379706</v>
      </c>
      <c r="AB88" s="5">
        <v>0.17113186049957516</v>
      </c>
      <c r="AC88" s="6">
        <v>0</v>
      </c>
      <c r="AD88" s="6">
        <v>1</v>
      </c>
      <c r="AE88" s="6">
        <v>10</v>
      </c>
      <c r="AF88" s="5">
        <v>0.74908418601732862</v>
      </c>
      <c r="AG88" s="5">
        <v>0.10100063985940627</v>
      </c>
      <c r="AH88" s="6">
        <v>0</v>
      </c>
      <c r="AI88" s="6">
        <v>1</v>
      </c>
      <c r="AJ88" s="6">
        <v>24</v>
      </c>
      <c r="AK88">
        <f>(AF90/AF89)-AF88</f>
        <v>0.25091581398267138</v>
      </c>
    </row>
    <row r="89" spans="1:37" ht="26.25" x14ac:dyDescent="0.45">
      <c r="A89" s="4" t="s">
        <v>16</v>
      </c>
      <c r="B89" s="5">
        <v>0</v>
      </c>
      <c r="C89" s="5">
        <v>0</v>
      </c>
      <c r="D89" s="6">
        <v>0</v>
      </c>
      <c r="E89" s="6">
        <v>0</v>
      </c>
      <c r="F89" s="6">
        <v>0</v>
      </c>
      <c r="G89" s="5">
        <v>0</v>
      </c>
      <c r="H89" s="5">
        <v>0</v>
      </c>
      <c r="I89" s="6">
        <v>0</v>
      </c>
      <c r="J89" s="6">
        <v>0</v>
      </c>
      <c r="K89" s="6">
        <v>0</v>
      </c>
      <c r="L89" s="5">
        <v>0</v>
      </c>
      <c r="M89" s="5">
        <v>0</v>
      </c>
      <c r="N89" s="6">
        <v>0</v>
      </c>
      <c r="O89" s="6">
        <v>0</v>
      </c>
      <c r="P89" s="6">
        <v>0</v>
      </c>
      <c r="Q89" s="5">
        <v>0</v>
      </c>
      <c r="R89" s="5">
        <v>0</v>
      </c>
      <c r="S89" s="6">
        <v>0</v>
      </c>
      <c r="T89" s="6">
        <v>0</v>
      </c>
      <c r="U89" s="6">
        <v>0</v>
      </c>
      <c r="V89" s="5">
        <v>9.076224319845197E-2</v>
      </c>
      <c r="W89" s="5">
        <v>7.2870805812875375E-2</v>
      </c>
      <c r="X89" s="6">
        <v>0</v>
      </c>
      <c r="Y89" s="6">
        <v>1</v>
      </c>
      <c r="Z89" s="6">
        <v>14</v>
      </c>
      <c r="AA89" s="5">
        <v>0</v>
      </c>
      <c r="AB89" s="5">
        <v>0</v>
      </c>
      <c r="AC89" s="6">
        <v>0</v>
      </c>
      <c r="AD89" s="6">
        <v>0</v>
      </c>
      <c r="AE89" s="6">
        <v>10</v>
      </c>
      <c r="AF89" s="5">
        <v>4.4080581985216215E-2</v>
      </c>
      <c r="AG89" s="5">
        <v>3.5713430966659132E-2</v>
      </c>
      <c r="AH89" s="6">
        <v>0</v>
      </c>
      <c r="AI89" s="6">
        <v>1</v>
      </c>
      <c r="AJ89" s="6">
        <v>24</v>
      </c>
      <c r="AK89">
        <f>(AF90/AF88)-AF89</f>
        <v>1.4765383272147388E-2</v>
      </c>
    </row>
    <row r="90" spans="1:37" ht="39.4" x14ac:dyDescent="0.45">
      <c r="A90" s="4" t="s">
        <v>55</v>
      </c>
      <c r="B90" s="5">
        <v>0</v>
      </c>
      <c r="C90" s="5">
        <v>0</v>
      </c>
      <c r="D90" s="6">
        <v>0</v>
      </c>
      <c r="E90" s="6">
        <v>0</v>
      </c>
      <c r="F90" s="6">
        <v>0</v>
      </c>
      <c r="G90" s="5">
        <v>0</v>
      </c>
      <c r="H90" s="5">
        <v>0</v>
      </c>
      <c r="I90" s="6">
        <v>0</v>
      </c>
      <c r="J90" s="6">
        <v>0</v>
      </c>
      <c r="K90" s="6">
        <v>0</v>
      </c>
      <c r="L90" s="5">
        <v>0</v>
      </c>
      <c r="M90" s="5">
        <v>0</v>
      </c>
      <c r="N90" s="6">
        <v>0</v>
      </c>
      <c r="O90" s="6">
        <v>0</v>
      </c>
      <c r="P90" s="6">
        <v>0</v>
      </c>
      <c r="Q90" s="5">
        <v>0</v>
      </c>
      <c r="R90" s="5">
        <v>0</v>
      </c>
      <c r="S90" s="6">
        <v>0</v>
      </c>
      <c r="T90" s="6">
        <v>0</v>
      </c>
      <c r="U90" s="6">
        <v>0</v>
      </c>
      <c r="V90" s="5">
        <v>9.076224319845197E-2</v>
      </c>
      <c r="W90" s="5">
        <v>7.2870805812875375E-2</v>
      </c>
      <c r="X90" s="6">
        <v>0</v>
      </c>
      <c r="Y90" s="6">
        <v>1</v>
      </c>
      <c r="Z90" s="6">
        <v>14</v>
      </c>
      <c r="AA90" s="5">
        <v>0</v>
      </c>
      <c r="AB90" s="5">
        <v>0</v>
      </c>
      <c r="AC90" s="6">
        <v>0</v>
      </c>
      <c r="AD90" s="6">
        <v>0</v>
      </c>
      <c r="AE90" s="6">
        <v>10</v>
      </c>
      <c r="AF90" s="5">
        <v>4.4080581985216215E-2</v>
      </c>
      <c r="AG90" s="5">
        <v>3.5713430966659132E-2</v>
      </c>
      <c r="AH90" s="6">
        <v>0</v>
      </c>
      <c r="AI90" s="6">
        <v>1</v>
      </c>
      <c r="AJ90" s="6">
        <v>24</v>
      </c>
    </row>
    <row r="91" spans="1:37" x14ac:dyDescent="0.45">
      <c r="A91" s="4" t="s">
        <v>53</v>
      </c>
      <c r="B91" s="5">
        <v>0</v>
      </c>
      <c r="C91" s="5">
        <v>0</v>
      </c>
      <c r="D91" s="6">
        <v>0</v>
      </c>
      <c r="E91" s="6">
        <v>0</v>
      </c>
      <c r="F91" s="6">
        <v>0</v>
      </c>
      <c r="G91" s="5">
        <v>0</v>
      </c>
      <c r="H91" s="5">
        <v>0</v>
      </c>
      <c r="I91" s="6">
        <v>0</v>
      </c>
      <c r="J91" s="6">
        <v>0</v>
      </c>
      <c r="K91" s="6">
        <v>0</v>
      </c>
      <c r="L91" s="5">
        <v>0</v>
      </c>
      <c r="M91" s="5">
        <v>0</v>
      </c>
      <c r="N91" s="6">
        <v>0</v>
      </c>
      <c r="O91" s="6">
        <v>0</v>
      </c>
      <c r="P91" s="6">
        <v>0</v>
      </c>
      <c r="Q91" s="5">
        <v>0</v>
      </c>
      <c r="R91" s="5">
        <v>0</v>
      </c>
      <c r="S91" s="6">
        <v>0</v>
      </c>
      <c r="T91" s="6">
        <v>0</v>
      </c>
      <c r="U91" s="6">
        <v>0</v>
      </c>
      <c r="V91" s="5">
        <v>0</v>
      </c>
      <c r="W91" s="5">
        <v>0</v>
      </c>
      <c r="X91" s="6">
        <v>0</v>
      </c>
      <c r="Y91" s="6">
        <v>0</v>
      </c>
      <c r="Z91" s="6">
        <v>0</v>
      </c>
      <c r="AA91" s="5">
        <v>0</v>
      </c>
      <c r="AB91" s="5">
        <v>0</v>
      </c>
      <c r="AC91" s="6">
        <v>0</v>
      </c>
      <c r="AD91" s="6">
        <v>0</v>
      </c>
      <c r="AE91" s="6">
        <v>0</v>
      </c>
      <c r="AF91" s="5">
        <v>0</v>
      </c>
      <c r="AG91" s="5">
        <v>0</v>
      </c>
      <c r="AH91" s="6" t="s">
        <v>18</v>
      </c>
      <c r="AI91" s="6" t="s">
        <v>18</v>
      </c>
      <c r="AJ91" s="6">
        <v>0</v>
      </c>
      <c r="AK91" t="e">
        <f>(AF93/AF92)-AF91</f>
        <v>#DIV/0!</v>
      </c>
    </row>
    <row r="92" spans="1:37" x14ac:dyDescent="0.45">
      <c r="A92" s="4" t="s">
        <v>19</v>
      </c>
      <c r="B92" s="5">
        <v>0</v>
      </c>
      <c r="C92" s="5">
        <v>0</v>
      </c>
      <c r="D92" s="6">
        <v>0</v>
      </c>
      <c r="E92" s="6">
        <v>0</v>
      </c>
      <c r="F92" s="6">
        <v>0</v>
      </c>
      <c r="G92" s="5">
        <v>0</v>
      </c>
      <c r="H92" s="5">
        <v>0</v>
      </c>
      <c r="I92" s="6">
        <v>0</v>
      </c>
      <c r="J92" s="6">
        <v>0</v>
      </c>
      <c r="K92" s="6">
        <v>0</v>
      </c>
      <c r="L92" s="5">
        <v>0</v>
      </c>
      <c r="M92" s="5">
        <v>0</v>
      </c>
      <c r="N92" s="6">
        <v>0</v>
      </c>
      <c r="O92" s="6">
        <v>0</v>
      </c>
      <c r="P92" s="6">
        <v>0</v>
      </c>
      <c r="Q92" s="5">
        <v>0</v>
      </c>
      <c r="R92" s="5">
        <v>0</v>
      </c>
      <c r="S92" s="6">
        <v>0</v>
      </c>
      <c r="T92" s="6">
        <v>0</v>
      </c>
      <c r="U92" s="6">
        <v>0</v>
      </c>
      <c r="V92" s="5">
        <v>0</v>
      </c>
      <c r="W92" s="5">
        <v>0</v>
      </c>
      <c r="X92" s="6">
        <v>0</v>
      </c>
      <c r="Y92" s="6">
        <v>0</v>
      </c>
      <c r="Z92" s="6">
        <v>0</v>
      </c>
      <c r="AA92" s="5">
        <v>0</v>
      </c>
      <c r="AB92" s="5">
        <v>0</v>
      </c>
      <c r="AC92" s="6">
        <v>0</v>
      </c>
      <c r="AD92" s="6">
        <v>0</v>
      </c>
      <c r="AE92" s="6">
        <v>0</v>
      </c>
      <c r="AF92" s="5">
        <v>0</v>
      </c>
      <c r="AG92" s="5">
        <v>0</v>
      </c>
      <c r="AH92" s="6" t="s">
        <v>18</v>
      </c>
      <c r="AI92" s="6" t="s">
        <v>18</v>
      </c>
      <c r="AJ92" s="6">
        <v>0</v>
      </c>
      <c r="AK92" t="e">
        <f>(AF93/AF91)-AF92</f>
        <v>#DIV/0!</v>
      </c>
    </row>
    <row r="93" spans="1:37" ht="26.25" x14ac:dyDescent="0.45">
      <c r="A93" s="4" t="s">
        <v>56</v>
      </c>
      <c r="B93" s="5">
        <v>0</v>
      </c>
      <c r="C93" s="5">
        <v>0</v>
      </c>
      <c r="D93" s="6">
        <v>0</v>
      </c>
      <c r="E93" s="6">
        <v>0</v>
      </c>
      <c r="F93" s="6">
        <v>0</v>
      </c>
      <c r="G93" s="5">
        <v>0</v>
      </c>
      <c r="H93" s="5">
        <v>0</v>
      </c>
      <c r="I93" s="6">
        <v>0</v>
      </c>
      <c r="J93" s="6">
        <v>0</v>
      </c>
      <c r="K93" s="6">
        <v>0</v>
      </c>
      <c r="L93" s="5">
        <v>0</v>
      </c>
      <c r="M93" s="5">
        <v>0</v>
      </c>
      <c r="N93" s="6">
        <v>0</v>
      </c>
      <c r="O93" s="6">
        <v>0</v>
      </c>
      <c r="P93" s="6">
        <v>0</v>
      </c>
      <c r="Q93" s="5">
        <v>0</v>
      </c>
      <c r="R93" s="5">
        <v>0</v>
      </c>
      <c r="S93" s="6">
        <v>0</v>
      </c>
      <c r="T93" s="6">
        <v>0</v>
      </c>
      <c r="U93" s="6">
        <v>0</v>
      </c>
      <c r="V93" s="5">
        <v>0</v>
      </c>
      <c r="W93" s="5">
        <v>0</v>
      </c>
      <c r="X93" s="6">
        <v>0</v>
      </c>
      <c r="Y93" s="6">
        <v>0</v>
      </c>
      <c r="Z93" s="6">
        <v>0</v>
      </c>
      <c r="AA93" s="5">
        <v>0</v>
      </c>
      <c r="AB93" s="5">
        <v>0</v>
      </c>
      <c r="AC93" s="6">
        <v>0</v>
      </c>
      <c r="AD93" s="6">
        <v>0</v>
      </c>
      <c r="AE93" s="6">
        <v>0</v>
      </c>
      <c r="AF93" s="5">
        <v>0</v>
      </c>
      <c r="AG93" s="5">
        <v>0</v>
      </c>
      <c r="AH93" s="6" t="s">
        <v>18</v>
      </c>
      <c r="AI93" s="6" t="s">
        <v>18</v>
      </c>
      <c r="AJ93" s="6">
        <v>0</v>
      </c>
    </row>
    <row r="94" spans="1:37" x14ac:dyDescent="0.45">
      <c r="A94" s="4" t="s">
        <v>57</v>
      </c>
      <c r="B94" s="5">
        <v>0</v>
      </c>
      <c r="C94" s="5">
        <v>0</v>
      </c>
      <c r="D94" s="6">
        <v>0</v>
      </c>
      <c r="E94" s="6">
        <v>0</v>
      </c>
      <c r="F94" s="6">
        <v>0</v>
      </c>
      <c r="G94" s="5">
        <v>0</v>
      </c>
      <c r="H94" s="5">
        <v>0</v>
      </c>
      <c r="I94" s="6">
        <v>0</v>
      </c>
      <c r="J94" s="6">
        <v>0</v>
      </c>
      <c r="K94" s="6">
        <v>0</v>
      </c>
      <c r="L94" s="5">
        <v>0</v>
      </c>
      <c r="M94" s="5">
        <v>0</v>
      </c>
      <c r="N94" s="6">
        <v>0</v>
      </c>
      <c r="O94" s="6">
        <v>0</v>
      </c>
      <c r="P94" s="6">
        <v>0</v>
      </c>
      <c r="Q94" s="5">
        <v>0</v>
      </c>
      <c r="R94" s="5">
        <v>0</v>
      </c>
      <c r="S94" s="6">
        <v>0</v>
      </c>
      <c r="T94" s="6">
        <v>0</v>
      </c>
      <c r="U94" s="6">
        <v>0</v>
      </c>
      <c r="V94" s="5">
        <v>0.91786233804540196</v>
      </c>
      <c r="W94" s="5">
        <v>8.2515065264157153E-2</v>
      </c>
      <c r="X94" s="6">
        <v>0</v>
      </c>
      <c r="Y94" s="6">
        <v>1</v>
      </c>
      <c r="Z94" s="6">
        <v>12</v>
      </c>
      <c r="AA94" s="5">
        <v>1</v>
      </c>
      <c r="AB94" s="5">
        <v>0</v>
      </c>
      <c r="AC94" s="6">
        <v>1</v>
      </c>
      <c r="AD94" s="6">
        <v>1</v>
      </c>
      <c r="AE94" s="6">
        <v>2</v>
      </c>
      <c r="AF94" s="5">
        <v>0.93520921033567939</v>
      </c>
      <c r="AG94" s="5">
        <v>6.5479976997120271E-2</v>
      </c>
      <c r="AH94" s="6">
        <v>0</v>
      </c>
      <c r="AI94" s="6">
        <v>1</v>
      </c>
      <c r="AJ94" s="6">
        <v>14</v>
      </c>
      <c r="AK94">
        <f>(AF96/AF95)-AF94</f>
        <v>-5.1124972547560432E-3</v>
      </c>
    </row>
    <row r="95" spans="1:37" x14ac:dyDescent="0.45">
      <c r="A95" s="4" t="s">
        <v>14</v>
      </c>
      <c r="B95" s="5">
        <v>0</v>
      </c>
      <c r="C95" s="5">
        <v>0</v>
      </c>
      <c r="D95" s="6">
        <v>0</v>
      </c>
      <c r="E95" s="6">
        <v>0</v>
      </c>
      <c r="F95" s="6">
        <v>0</v>
      </c>
      <c r="G95" s="5">
        <v>0</v>
      </c>
      <c r="H95" s="5">
        <v>0</v>
      </c>
      <c r="I95" s="6">
        <v>0</v>
      </c>
      <c r="J95" s="6">
        <v>0</v>
      </c>
      <c r="K95" s="6">
        <v>0</v>
      </c>
      <c r="L95" s="5">
        <v>0</v>
      </c>
      <c r="M95" s="5">
        <v>0</v>
      </c>
      <c r="N95" s="6">
        <v>0</v>
      </c>
      <c r="O95" s="6">
        <v>0</v>
      </c>
      <c r="P95" s="6">
        <v>0</v>
      </c>
      <c r="Q95" s="5">
        <v>0</v>
      </c>
      <c r="R95" s="5">
        <v>0</v>
      </c>
      <c r="S95" s="6">
        <v>0</v>
      </c>
      <c r="T95" s="6">
        <v>0</v>
      </c>
      <c r="U95" s="6">
        <v>0</v>
      </c>
      <c r="V95" s="5">
        <v>0.90728189345464016</v>
      </c>
      <c r="W95" s="5">
        <v>9.2072676259820324E-2</v>
      </c>
      <c r="X95" s="6">
        <v>0</v>
      </c>
      <c r="Y95" s="6">
        <v>1</v>
      </c>
      <c r="Z95" s="6">
        <v>12</v>
      </c>
      <c r="AA95" s="5">
        <v>1</v>
      </c>
      <c r="AB95" s="5">
        <v>0</v>
      </c>
      <c r="AC95" s="6">
        <v>1</v>
      </c>
      <c r="AD95" s="6">
        <v>1</v>
      </c>
      <c r="AE95" s="6">
        <v>2</v>
      </c>
      <c r="AF95" s="5">
        <v>0.92686327810773295</v>
      </c>
      <c r="AG95" s="5">
        <v>7.3261369808220761E-2</v>
      </c>
      <c r="AH95" s="6">
        <v>0</v>
      </c>
      <c r="AI95" s="6">
        <v>1</v>
      </c>
      <c r="AJ95" s="6">
        <v>14</v>
      </c>
      <c r="AK95">
        <f>(AF96/AF94)-AF95</f>
        <v>-5.066872644634457E-3</v>
      </c>
    </row>
    <row r="96" spans="1:37" ht="26.25" x14ac:dyDescent="0.45">
      <c r="A96" s="4" t="s">
        <v>58</v>
      </c>
      <c r="B96" s="5">
        <v>0</v>
      </c>
      <c r="C96" s="5">
        <v>0</v>
      </c>
      <c r="D96" s="6">
        <v>0</v>
      </c>
      <c r="E96" s="6">
        <v>0</v>
      </c>
      <c r="F96" s="6">
        <v>0</v>
      </c>
      <c r="G96" s="5">
        <v>0</v>
      </c>
      <c r="H96" s="5">
        <v>0</v>
      </c>
      <c r="I96" s="6">
        <v>0</v>
      </c>
      <c r="J96" s="6">
        <v>0</v>
      </c>
      <c r="K96" s="6">
        <v>0</v>
      </c>
      <c r="L96" s="5">
        <v>0</v>
      </c>
      <c r="M96" s="5">
        <v>0</v>
      </c>
      <c r="N96" s="6">
        <v>0</v>
      </c>
      <c r="O96" s="6">
        <v>0</v>
      </c>
      <c r="P96" s="6">
        <v>0</v>
      </c>
      <c r="Q96" s="5">
        <v>0</v>
      </c>
      <c r="R96" s="5">
        <v>0</v>
      </c>
      <c r="S96" s="6">
        <v>0</v>
      </c>
      <c r="T96" s="6">
        <v>0</v>
      </c>
      <c r="U96" s="6">
        <v>0</v>
      </c>
      <c r="V96" s="5">
        <v>0.8251442315000419</v>
      </c>
      <c r="W96" s="5">
        <v>0.11775370967148731</v>
      </c>
      <c r="X96" s="6">
        <v>0</v>
      </c>
      <c r="Y96" s="6">
        <v>1</v>
      </c>
      <c r="Z96" s="6">
        <v>12</v>
      </c>
      <c r="AA96" s="5">
        <v>1</v>
      </c>
      <c r="AB96" s="5">
        <v>0</v>
      </c>
      <c r="AC96" s="6">
        <v>1</v>
      </c>
      <c r="AD96" s="6">
        <v>1</v>
      </c>
      <c r="AE96" s="6">
        <v>2</v>
      </c>
      <c r="AF96" s="5">
        <v>0.86207248844341211</v>
      </c>
      <c r="AG96" s="5">
        <v>9.5096552375921878E-2</v>
      </c>
      <c r="AH96" s="6">
        <v>0</v>
      </c>
      <c r="AI96" s="6">
        <v>1</v>
      </c>
      <c r="AJ96" s="6">
        <v>14</v>
      </c>
    </row>
    <row r="97" spans="1:37" x14ac:dyDescent="0.45">
      <c r="A97" s="4" t="s">
        <v>57</v>
      </c>
      <c r="B97" s="5">
        <v>0</v>
      </c>
      <c r="C97" s="5">
        <v>0</v>
      </c>
      <c r="D97" s="6">
        <v>0</v>
      </c>
      <c r="E97" s="6">
        <v>0</v>
      </c>
      <c r="F97" s="6">
        <v>0</v>
      </c>
      <c r="G97" s="5">
        <v>0</v>
      </c>
      <c r="H97" s="5">
        <v>0</v>
      </c>
      <c r="I97" s="6">
        <v>0</v>
      </c>
      <c r="J97" s="6">
        <v>0</v>
      </c>
      <c r="K97" s="6">
        <v>0</v>
      </c>
      <c r="L97" s="5">
        <v>0</v>
      </c>
      <c r="M97" s="5">
        <v>0</v>
      </c>
      <c r="N97" s="6">
        <v>0</v>
      </c>
      <c r="O97" s="6">
        <v>0</v>
      </c>
      <c r="P97" s="6">
        <v>0</v>
      </c>
      <c r="Q97" s="5">
        <v>0</v>
      </c>
      <c r="R97" s="5">
        <v>0</v>
      </c>
      <c r="S97" s="6">
        <v>0</v>
      </c>
      <c r="T97" s="6">
        <v>0</v>
      </c>
      <c r="U97" s="6">
        <v>0</v>
      </c>
      <c r="V97" s="5">
        <v>0.92770013192940037</v>
      </c>
      <c r="W97" s="5">
        <v>7.2411217211203666E-2</v>
      </c>
      <c r="X97" s="6">
        <v>0</v>
      </c>
      <c r="Y97" s="6">
        <v>1</v>
      </c>
      <c r="Z97" s="6">
        <v>14</v>
      </c>
      <c r="AA97" s="5">
        <v>1</v>
      </c>
      <c r="AB97" s="5">
        <v>0</v>
      </c>
      <c r="AC97" s="6">
        <v>1</v>
      </c>
      <c r="AD97" s="6">
        <v>1</v>
      </c>
      <c r="AE97" s="6">
        <v>10</v>
      </c>
      <c r="AF97" s="5">
        <v>0.96488605669388372</v>
      </c>
      <c r="AG97" s="5">
        <v>3.5448547478833373E-2</v>
      </c>
      <c r="AH97" s="6">
        <v>0</v>
      </c>
      <c r="AI97" s="6">
        <v>1</v>
      </c>
      <c r="AJ97" s="6">
        <v>24</v>
      </c>
      <c r="AK97">
        <f>(AF99/AF98)-AF97</f>
        <v>3.511394330611628E-2</v>
      </c>
    </row>
    <row r="98" spans="1:37" ht="26.25" x14ac:dyDescent="0.45">
      <c r="A98" s="4" t="s">
        <v>16</v>
      </c>
      <c r="B98" s="5">
        <v>0</v>
      </c>
      <c r="C98" s="5">
        <v>0</v>
      </c>
      <c r="D98" s="6">
        <v>0</v>
      </c>
      <c r="E98" s="6">
        <v>0</v>
      </c>
      <c r="F98" s="6">
        <v>0</v>
      </c>
      <c r="G98" s="5">
        <v>0</v>
      </c>
      <c r="H98" s="5">
        <v>0</v>
      </c>
      <c r="I98" s="6">
        <v>0</v>
      </c>
      <c r="J98" s="6">
        <v>0</v>
      </c>
      <c r="K98" s="6">
        <v>0</v>
      </c>
      <c r="L98" s="5">
        <v>0</v>
      </c>
      <c r="M98" s="5">
        <v>0</v>
      </c>
      <c r="N98" s="6">
        <v>0</v>
      </c>
      <c r="O98" s="6">
        <v>0</v>
      </c>
      <c r="P98" s="6">
        <v>0</v>
      </c>
      <c r="Q98" s="5">
        <v>0</v>
      </c>
      <c r="R98" s="5">
        <v>0</v>
      </c>
      <c r="S98" s="6">
        <v>0</v>
      </c>
      <c r="T98" s="6">
        <v>0</v>
      </c>
      <c r="U98" s="6">
        <v>0</v>
      </c>
      <c r="V98" s="5">
        <v>9.076224319845197E-2</v>
      </c>
      <c r="W98" s="5">
        <v>7.2870805812875375E-2</v>
      </c>
      <c r="X98" s="6">
        <v>0</v>
      </c>
      <c r="Y98" s="6">
        <v>1</v>
      </c>
      <c r="Z98" s="6">
        <v>14</v>
      </c>
      <c r="AA98" s="5">
        <v>0</v>
      </c>
      <c r="AB98" s="5">
        <v>0</v>
      </c>
      <c r="AC98" s="6">
        <v>0</v>
      </c>
      <c r="AD98" s="6">
        <v>0</v>
      </c>
      <c r="AE98" s="6">
        <v>10</v>
      </c>
      <c r="AF98" s="5">
        <v>4.4080581985216215E-2</v>
      </c>
      <c r="AG98" s="5">
        <v>3.5713430966659132E-2</v>
      </c>
      <c r="AH98" s="6">
        <v>0</v>
      </c>
      <c r="AI98" s="6">
        <v>1</v>
      </c>
      <c r="AJ98" s="6">
        <v>24</v>
      </c>
      <c r="AK98">
        <f>(AF99/AF97)-AF98</f>
        <v>1.6041718563465091E-3</v>
      </c>
    </row>
    <row r="99" spans="1:37" ht="39.4" x14ac:dyDescent="0.45">
      <c r="A99" s="4" t="s">
        <v>59</v>
      </c>
      <c r="B99" s="5">
        <v>0</v>
      </c>
      <c r="C99" s="5">
        <v>0</v>
      </c>
      <c r="D99" s="6">
        <v>0</v>
      </c>
      <c r="E99" s="6">
        <v>0</v>
      </c>
      <c r="F99" s="6">
        <v>0</v>
      </c>
      <c r="G99" s="5">
        <v>0</v>
      </c>
      <c r="H99" s="5">
        <v>0</v>
      </c>
      <c r="I99" s="6">
        <v>0</v>
      </c>
      <c r="J99" s="6">
        <v>0</v>
      </c>
      <c r="K99" s="6">
        <v>0</v>
      </c>
      <c r="L99" s="5">
        <v>0</v>
      </c>
      <c r="M99" s="5">
        <v>0</v>
      </c>
      <c r="N99" s="6">
        <v>0</v>
      </c>
      <c r="O99" s="6">
        <v>0</v>
      </c>
      <c r="P99" s="6">
        <v>0</v>
      </c>
      <c r="Q99" s="5">
        <v>0</v>
      </c>
      <c r="R99" s="5">
        <v>0</v>
      </c>
      <c r="S99" s="6">
        <v>0</v>
      </c>
      <c r="T99" s="6">
        <v>0</v>
      </c>
      <c r="U99" s="6">
        <v>0</v>
      </c>
      <c r="V99" s="5">
        <v>9.076224319845197E-2</v>
      </c>
      <c r="W99" s="5">
        <v>7.2870805812875375E-2</v>
      </c>
      <c r="X99" s="6">
        <v>0</v>
      </c>
      <c r="Y99" s="6">
        <v>1</v>
      </c>
      <c r="Z99" s="6">
        <v>14</v>
      </c>
      <c r="AA99" s="5">
        <v>0</v>
      </c>
      <c r="AB99" s="5">
        <v>0</v>
      </c>
      <c r="AC99" s="6">
        <v>0</v>
      </c>
      <c r="AD99" s="6">
        <v>0</v>
      </c>
      <c r="AE99" s="6">
        <v>10</v>
      </c>
      <c r="AF99" s="5">
        <v>4.4080581985216215E-2</v>
      </c>
      <c r="AG99" s="5">
        <v>3.5713430966659132E-2</v>
      </c>
      <c r="AH99" s="6">
        <v>0</v>
      </c>
      <c r="AI99" s="6">
        <v>1</v>
      </c>
      <c r="AJ99" s="6">
        <v>24</v>
      </c>
    </row>
    <row r="100" spans="1:37" x14ac:dyDescent="0.45">
      <c r="A100" s="4" t="s">
        <v>57</v>
      </c>
      <c r="B100" s="5">
        <v>0</v>
      </c>
      <c r="C100" s="5">
        <v>0</v>
      </c>
      <c r="D100" s="6">
        <v>0</v>
      </c>
      <c r="E100" s="6">
        <v>0</v>
      </c>
      <c r="F100" s="6">
        <v>0</v>
      </c>
      <c r="G100" s="5">
        <v>0</v>
      </c>
      <c r="H100" s="5">
        <v>0</v>
      </c>
      <c r="I100" s="6">
        <v>0</v>
      </c>
      <c r="J100" s="6">
        <v>0</v>
      </c>
      <c r="K100" s="6">
        <v>0</v>
      </c>
      <c r="L100" s="5">
        <v>0</v>
      </c>
      <c r="M100" s="5">
        <v>0</v>
      </c>
      <c r="N100" s="6">
        <v>0</v>
      </c>
      <c r="O100" s="6">
        <v>0</v>
      </c>
      <c r="P100" s="6">
        <v>0</v>
      </c>
      <c r="Q100" s="5">
        <v>0</v>
      </c>
      <c r="R100" s="5">
        <v>0</v>
      </c>
      <c r="S100" s="6">
        <v>0</v>
      </c>
      <c r="T100" s="6">
        <v>0</v>
      </c>
      <c r="U100" s="6">
        <v>0</v>
      </c>
      <c r="V100" s="5">
        <v>0</v>
      </c>
      <c r="W100" s="5">
        <v>0</v>
      </c>
      <c r="X100" s="6">
        <v>0</v>
      </c>
      <c r="Y100" s="6">
        <v>0</v>
      </c>
      <c r="Z100" s="6">
        <v>0</v>
      </c>
      <c r="AA100" s="5">
        <v>0</v>
      </c>
      <c r="AB100" s="5">
        <v>0</v>
      </c>
      <c r="AC100" s="6">
        <v>0</v>
      </c>
      <c r="AD100" s="6">
        <v>0</v>
      </c>
      <c r="AE100" s="6">
        <v>0</v>
      </c>
      <c r="AF100" s="5">
        <v>0</v>
      </c>
      <c r="AG100" s="5">
        <v>0</v>
      </c>
      <c r="AH100" s="6" t="s">
        <v>18</v>
      </c>
      <c r="AI100" s="6" t="s">
        <v>18</v>
      </c>
      <c r="AJ100" s="6">
        <v>0</v>
      </c>
      <c r="AK100" t="e">
        <f>(AF102/AF101)-AF100</f>
        <v>#DIV/0!</v>
      </c>
    </row>
    <row r="101" spans="1:37" x14ac:dyDescent="0.45">
      <c r="A101" s="4" t="s">
        <v>19</v>
      </c>
      <c r="B101" s="5">
        <v>0</v>
      </c>
      <c r="C101" s="5">
        <v>0</v>
      </c>
      <c r="D101" s="6">
        <v>0</v>
      </c>
      <c r="E101" s="6">
        <v>0</v>
      </c>
      <c r="F101" s="6">
        <v>0</v>
      </c>
      <c r="G101" s="5">
        <v>0</v>
      </c>
      <c r="H101" s="5">
        <v>0</v>
      </c>
      <c r="I101" s="6">
        <v>0</v>
      </c>
      <c r="J101" s="6">
        <v>0</v>
      </c>
      <c r="K101" s="6">
        <v>0</v>
      </c>
      <c r="L101" s="5">
        <v>0</v>
      </c>
      <c r="M101" s="5">
        <v>0</v>
      </c>
      <c r="N101" s="6">
        <v>0</v>
      </c>
      <c r="O101" s="6">
        <v>0</v>
      </c>
      <c r="P101" s="6">
        <v>0</v>
      </c>
      <c r="Q101" s="5">
        <v>0</v>
      </c>
      <c r="R101" s="5">
        <v>0</v>
      </c>
      <c r="S101" s="6">
        <v>0</v>
      </c>
      <c r="T101" s="6">
        <v>0</v>
      </c>
      <c r="U101" s="6">
        <v>0</v>
      </c>
      <c r="V101" s="5">
        <v>0</v>
      </c>
      <c r="W101" s="5">
        <v>0</v>
      </c>
      <c r="X101" s="6">
        <v>0</v>
      </c>
      <c r="Y101" s="6">
        <v>0</v>
      </c>
      <c r="Z101" s="6">
        <v>0</v>
      </c>
      <c r="AA101" s="5">
        <v>0</v>
      </c>
      <c r="AB101" s="5">
        <v>0</v>
      </c>
      <c r="AC101" s="6">
        <v>0</v>
      </c>
      <c r="AD101" s="6">
        <v>0</v>
      </c>
      <c r="AE101" s="6">
        <v>0</v>
      </c>
      <c r="AF101" s="5">
        <v>0</v>
      </c>
      <c r="AG101" s="5">
        <v>0</v>
      </c>
      <c r="AH101" s="6" t="s">
        <v>18</v>
      </c>
      <c r="AI101" s="6" t="s">
        <v>18</v>
      </c>
      <c r="AJ101" s="6">
        <v>0</v>
      </c>
      <c r="AK101" t="e">
        <f>(AF102/AF100)-AF101</f>
        <v>#DIV/0!</v>
      </c>
    </row>
    <row r="102" spans="1:37" ht="26.25" x14ac:dyDescent="0.45">
      <c r="A102" s="4" t="s">
        <v>60</v>
      </c>
      <c r="B102" s="5">
        <v>0</v>
      </c>
      <c r="C102" s="5">
        <v>0</v>
      </c>
      <c r="D102" s="6">
        <v>0</v>
      </c>
      <c r="E102" s="6">
        <v>0</v>
      </c>
      <c r="F102" s="6">
        <v>0</v>
      </c>
      <c r="G102" s="5">
        <v>0</v>
      </c>
      <c r="H102" s="5">
        <v>0</v>
      </c>
      <c r="I102" s="6">
        <v>0</v>
      </c>
      <c r="J102" s="6">
        <v>0</v>
      </c>
      <c r="K102" s="6">
        <v>0</v>
      </c>
      <c r="L102" s="5">
        <v>0</v>
      </c>
      <c r="M102" s="5">
        <v>0</v>
      </c>
      <c r="N102" s="6">
        <v>0</v>
      </c>
      <c r="O102" s="6">
        <v>0</v>
      </c>
      <c r="P102" s="6">
        <v>0</v>
      </c>
      <c r="Q102" s="5">
        <v>0</v>
      </c>
      <c r="R102" s="5">
        <v>0</v>
      </c>
      <c r="S102" s="6">
        <v>0</v>
      </c>
      <c r="T102" s="6">
        <v>0</v>
      </c>
      <c r="U102" s="6">
        <v>0</v>
      </c>
      <c r="V102" s="5">
        <v>0</v>
      </c>
      <c r="W102" s="5">
        <v>0</v>
      </c>
      <c r="X102" s="6">
        <v>0</v>
      </c>
      <c r="Y102" s="6">
        <v>0</v>
      </c>
      <c r="Z102" s="6">
        <v>0</v>
      </c>
      <c r="AA102" s="5">
        <v>0</v>
      </c>
      <c r="AB102" s="5">
        <v>0</v>
      </c>
      <c r="AC102" s="6">
        <v>0</v>
      </c>
      <c r="AD102" s="6">
        <v>0</v>
      </c>
      <c r="AE102" s="6">
        <v>0</v>
      </c>
      <c r="AF102" s="5">
        <v>0</v>
      </c>
      <c r="AG102" s="5">
        <v>0</v>
      </c>
      <c r="AH102" s="6" t="s">
        <v>18</v>
      </c>
      <c r="AI102" s="6" t="s">
        <v>18</v>
      </c>
      <c r="AJ102" s="6">
        <v>0</v>
      </c>
    </row>
    <row r="103" spans="1:37" x14ac:dyDescent="0.45">
      <c r="A103" s="4" t="s">
        <v>61</v>
      </c>
      <c r="B103" s="5">
        <v>0</v>
      </c>
      <c r="C103" s="5">
        <v>0</v>
      </c>
      <c r="D103" s="6">
        <v>0</v>
      </c>
      <c r="E103" s="6">
        <v>0</v>
      </c>
      <c r="F103" s="6">
        <v>0</v>
      </c>
      <c r="G103" s="5">
        <v>0</v>
      </c>
      <c r="H103" s="5">
        <v>0</v>
      </c>
      <c r="I103" s="6">
        <v>0</v>
      </c>
      <c r="J103" s="6">
        <v>0</v>
      </c>
      <c r="K103" s="6">
        <v>0</v>
      </c>
      <c r="L103" s="5">
        <v>0</v>
      </c>
      <c r="M103" s="5">
        <v>0</v>
      </c>
      <c r="N103" s="6">
        <v>0</v>
      </c>
      <c r="O103" s="6">
        <v>0</v>
      </c>
      <c r="P103" s="6">
        <v>0</v>
      </c>
      <c r="Q103" s="5">
        <v>0</v>
      </c>
      <c r="R103" s="5">
        <v>0</v>
      </c>
      <c r="S103" s="6">
        <v>0</v>
      </c>
      <c r="T103" s="6">
        <v>0</v>
      </c>
      <c r="U103" s="6">
        <v>0</v>
      </c>
      <c r="V103" s="5">
        <v>0.18945028527098692</v>
      </c>
      <c r="W103" s="5">
        <v>0.12599153097746149</v>
      </c>
      <c r="X103" s="6">
        <v>0</v>
      </c>
      <c r="Y103" s="6">
        <v>1</v>
      </c>
      <c r="Z103" s="6">
        <v>12</v>
      </c>
      <c r="AA103" s="5">
        <v>0</v>
      </c>
      <c r="AB103" s="5">
        <v>0</v>
      </c>
      <c r="AC103" s="6">
        <v>0</v>
      </c>
      <c r="AD103" s="6">
        <v>0</v>
      </c>
      <c r="AE103" s="6">
        <v>2</v>
      </c>
      <c r="AF103" s="5">
        <v>0.14943977333592612</v>
      </c>
      <c r="AG103" s="5">
        <v>0.10225509141715343</v>
      </c>
      <c r="AH103" s="6">
        <v>0</v>
      </c>
      <c r="AI103" s="6">
        <v>1</v>
      </c>
      <c r="AJ103" s="6">
        <v>14</v>
      </c>
      <c r="AK103">
        <f>(AF105/AF104)-AF103</f>
        <v>1.179196047601172E-2</v>
      </c>
    </row>
    <row r="104" spans="1:37" x14ac:dyDescent="0.45">
      <c r="A104" s="4" t="s">
        <v>14</v>
      </c>
      <c r="B104" s="5">
        <v>0</v>
      </c>
      <c r="C104" s="5">
        <v>0</v>
      </c>
      <c r="D104" s="6">
        <v>0</v>
      </c>
      <c r="E104" s="6">
        <v>0</v>
      </c>
      <c r="F104" s="6">
        <v>0</v>
      </c>
      <c r="G104" s="5">
        <v>0</v>
      </c>
      <c r="H104" s="5">
        <v>0</v>
      </c>
      <c r="I104" s="6">
        <v>0</v>
      </c>
      <c r="J104" s="6">
        <v>0</v>
      </c>
      <c r="K104" s="6">
        <v>0</v>
      </c>
      <c r="L104" s="5">
        <v>0</v>
      </c>
      <c r="M104" s="5">
        <v>0</v>
      </c>
      <c r="N104" s="6">
        <v>0</v>
      </c>
      <c r="O104" s="6">
        <v>0</v>
      </c>
      <c r="P104" s="6">
        <v>0</v>
      </c>
      <c r="Q104" s="5">
        <v>0</v>
      </c>
      <c r="R104" s="5">
        <v>0</v>
      </c>
      <c r="S104" s="6">
        <v>0</v>
      </c>
      <c r="T104" s="6">
        <v>0</v>
      </c>
      <c r="U104" s="6">
        <v>0</v>
      </c>
      <c r="V104" s="5">
        <v>0.90728189345464016</v>
      </c>
      <c r="W104" s="5">
        <v>9.2072676259820324E-2</v>
      </c>
      <c r="X104" s="6">
        <v>0</v>
      </c>
      <c r="Y104" s="6">
        <v>1</v>
      </c>
      <c r="Z104" s="6">
        <v>12</v>
      </c>
      <c r="AA104" s="5">
        <v>1</v>
      </c>
      <c r="AB104" s="5">
        <v>0</v>
      </c>
      <c r="AC104" s="6">
        <v>1</v>
      </c>
      <c r="AD104" s="6">
        <v>1</v>
      </c>
      <c r="AE104" s="6">
        <v>2</v>
      </c>
      <c r="AF104" s="5">
        <v>0.92686327810773295</v>
      </c>
      <c r="AG104" s="5">
        <v>7.3261369808220761E-2</v>
      </c>
      <c r="AH104" s="6">
        <v>0</v>
      </c>
      <c r="AI104" s="6">
        <v>1</v>
      </c>
      <c r="AJ104" s="6">
        <v>14</v>
      </c>
      <c r="AK104">
        <f>(AF105/AF103)-AF104</f>
        <v>7.3136721892267054E-2</v>
      </c>
    </row>
    <row r="105" spans="1:37" ht="26.25" x14ac:dyDescent="0.45">
      <c r="A105" s="4" t="s">
        <v>62</v>
      </c>
      <c r="B105" s="5">
        <v>0</v>
      </c>
      <c r="C105" s="5">
        <v>0</v>
      </c>
      <c r="D105" s="6">
        <v>0</v>
      </c>
      <c r="E105" s="6">
        <v>0</v>
      </c>
      <c r="F105" s="6">
        <v>0</v>
      </c>
      <c r="G105" s="5">
        <v>0</v>
      </c>
      <c r="H105" s="5">
        <v>0</v>
      </c>
      <c r="I105" s="6">
        <v>0</v>
      </c>
      <c r="J105" s="6">
        <v>0</v>
      </c>
      <c r="K105" s="6">
        <v>0</v>
      </c>
      <c r="L105" s="5">
        <v>0</v>
      </c>
      <c r="M105" s="5">
        <v>0</v>
      </c>
      <c r="N105" s="6">
        <v>0</v>
      </c>
      <c r="O105" s="6">
        <v>0</v>
      </c>
      <c r="P105" s="6">
        <v>0</v>
      </c>
      <c r="Q105" s="5">
        <v>0</v>
      </c>
      <c r="R105" s="5">
        <v>0</v>
      </c>
      <c r="S105" s="6">
        <v>0</v>
      </c>
      <c r="T105" s="6">
        <v>0</v>
      </c>
      <c r="U105" s="6">
        <v>0</v>
      </c>
      <c r="V105" s="5">
        <v>0.18945028527098692</v>
      </c>
      <c r="W105" s="5">
        <v>0.12599153097746149</v>
      </c>
      <c r="X105" s="6">
        <v>0</v>
      </c>
      <c r="Y105" s="6">
        <v>1</v>
      </c>
      <c r="Z105" s="6">
        <v>12</v>
      </c>
      <c r="AA105" s="5">
        <v>0</v>
      </c>
      <c r="AB105" s="5">
        <v>0</v>
      </c>
      <c r="AC105" s="6">
        <v>0</v>
      </c>
      <c r="AD105" s="6">
        <v>0</v>
      </c>
      <c r="AE105" s="6">
        <v>2</v>
      </c>
      <c r="AF105" s="5">
        <v>0.14943977333592612</v>
      </c>
      <c r="AG105" s="5">
        <v>0.10225509141715343</v>
      </c>
      <c r="AH105" s="6">
        <v>0</v>
      </c>
      <c r="AI105" s="6">
        <v>1</v>
      </c>
      <c r="AJ105" s="6">
        <v>14</v>
      </c>
    </row>
    <row r="106" spans="1:37" x14ac:dyDescent="0.45">
      <c r="A106" s="4" t="s">
        <v>61</v>
      </c>
      <c r="B106" s="5">
        <v>0</v>
      </c>
      <c r="C106" s="5">
        <v>0</v>
      </c>
      <c r="D106" s="6">
        <v>0</v>
      </c>
      <c r="E106" s="6">
        <v>0</v>
      </c>
      <c r="F106" s="6">
        <v>0</v>
      </c>
      <c r="G106" s="5">
        <v>0</v>
      </c>
      <c r="H106" s="5">
        <v>0</v>
      </c>
      <c r="I106" s="6">
        <v>0</v>
      </c>
      <c r="J106" s="6">
        <v>0</v>
      </c>
      <c r="K106" s="6">
        <v>0</v>
      </c>
      <c r="L106" s="5">
        <v>0</v>
      </c>
      <c r="M106" s="5">
        <v>0</v>
      </c>
      <c r="N106" s="6">
        <v>0</v>
      </c>
      <c r="O106" s="6">
        <v>0</v>
      </c>
      <c r="P106" s="6">
        <v>0</v>
      </c>
      <c r="Q106" s="5">
        <v>0</v>
      </c>
      <c r="R106" s="5">
        <v>0</v>
      </c>
      <c r="S106" s="6">
        <v>0</v>
      </c>
      <c r="T106" s="6">
        <v>0</v>
      </c>
      <c r="U106" s="6">
        <v>0</v>
      </c>
      <c r="V106" s="5">
        <v>0.26284822585595152</v>
      </c>
      <c r="W106" s="5">
        <v>0.13266843888150304</v>
      </c>
      <c r="X106" s="6">
        <v>0</v>
      </c>
      <c r="Y106" s="6">
        <v>1</v>
      </c>
      <c r="Z106" s="6">
        <v>14</v>
      </c>
      <c r="AA106" s="5">
        <v>0.20822930996711322</v>
      </c>
      <c r="AB106" s="5">
        <v>0.1390604866843736</v>
      </c>
      <c r="AC106" s="6">
        <v>0</v>
      </c>
      <c r="AD106" s="6">
        <v>1</v>
      </c>
      <c r="AE106" s="6">
        <v>10</v>
      </c>
      <c r="AF106" s="5">
        <v>0.23475612899380105</v>
      </c>
      <c r="AG106" s="5">
        <v>9.4479335642080289E-2</v>
      </c>
      <c r="AH106" s="6">
        <v>0</v>
      </c>
      <c r="AI106" s="6">
        <v>1</v>
      </c>
      <c r="AJ106" s="6">
        <v>24</v>
      </c>
      <c r="AK106">
        <f>(AF108/AF107)-AF106</f>
        <v>-0.23475612899380105</v>
      </c>
    </row>
    <row r="107" spans="1:37" ht="26.25" x14ac:dyDescent="0.45">
      <c r="A107" s="4" t="s">
        <v>16</v>
      </c>
      <c r="B107" s="5">
        <v>0</v>
      </c>
      <c r="C107" s="5">
        <v>0</v>
      </c>
      <c r="D107" s="6">
        <v>0</v>
      </c>
      <c r="E107" s="6">
        <v>0</v>
      </c>
      <c r="F107" s="6">
        <v>0</v>
      </c>
      <c r="G107" s="5">
        <v>0</v>
      </c>
      <c r="H107" s="5">
        <v>0</v>
      </c>
      <c r="I107" s="6">
        <v>0</v>
      </c>
      <c r="J107" s="6">
        <v>0</v>
      </c>
      <c r="K107" s="6">
        <v>0</v>
      </c>
      <c r="L107" s="5">
        <v>0</v>
      </c>
      <c r="M107" s="5">
        <v>0</v>
      </c>
      <c r="N107" s="6">
        <v>0</v>
      </c>
      <c r="O107" s="6">
        <v>0</v>
      </c>
      <c r="P107" s="6">
        <v>0</v>
      </c>
      <c r="Q107" s="5">
        <v>0</v>
      </c>
      <c r="R107" s="5">
        <v>0</v>
      </c>
      <c r="S107" s="6">
        <v>0</v>
      </c>
      <c r="T107" s="6">
        <v>0</v>
      </c>
      <c r="U107" s="6">
        <v>0</v>
      </c>
      <c r="V107" s="5">
        <v>9.076224319845197E-2</v>
      </c>
      <c r="W107" s="5">
        <v>7.2870805812875375E-2</v>
      </c>
      <c r="X107" s="6">
        <v>0</v>
      </c>
      <c r="Y107" s="6">
        <v>1</v>
      </c>
      <c r="Z107" s="6">
        <v>14</v>
      </c>
      <c r="AA107" s="5">
        <v>0</v>
      </c>
      <c r="AB107" s="5">
        <v>0</v>
      </c>
      <c r="AC107" s="6">
        <v>0</v>
      </c>
      <c r="AD107" s="6">
        <v>0</v>
      </c>
      <c r="AE107" s="6">
        <v>10</v>
      </c>
      <c r="AF107" s="5">
        <v>4.4080581985216215E-2</v>
      </c>
      <c r="AG107" s="5">
        <v>3.5713430966659132E-2</v>
      </c>
      <c r="AH107" s="6">
        <v>0</v>
      </c>
      <c r="AI107" s="6">
        <v>1</v>
      </c>
      <c r="AJ107" s="6">
        <v>24</v>
      </c>
      <c r="AK107">
        <f>(AF108/AF106)-AF107</f>
        <v>-4.4080581985216215E-2</v>
      </c>
    </row>
    <row r="108" spans="1:37" ht="26.25" x14ac:dyDescent="0.45">
      <c r="A108" s="4" t="s">
        <v>63</v>
      </c>
      <c r="B108" s="5">
        <v>0</v>
      </c>
      <c r="C108" s="5">
        <v>0</v>
      </c>
      <c r="D108" s="6">
        <v>0</v>
      </c>
      <c r="E108" s="6">
        <v>0</v>
      </c>
      <c r="F108" s="6">
        <v>0</v>
      </c>
      <c r="G108" s="5">
        <v>0</v>
      </c>
      <c r="H108" s="5">
        <v>0</v>
      </c>
      <c r="I108" s="6">
        <v>0</v>
      </c>
      <c r="J108" s="6">
        <v>0</v>
      </c>
      <c r="K108" s="6">
        <v>0</v>
      </c>
      <c r="L108" s="5">
        <v>0</v>
      </c>
      <c r="M108" s="5">
        <v>0</v>
      </c>
      <c r="N108" s="6">
        <v>0</v>
      </c>
      <c r="O108" s="6">
        <v>0</v>
      </c>
      <c r="P108" s="6">
        <v>0</v>
      </c>
      <c r="Q108" s="5">
        <v>0</v>
      </c>
      <c r="R108" s="5">
        <v>0</v>
      </c>
      <c r="S108" s="6">
        <v>0</v>
      </c>
      <c r="T108" s="6">
        <v>0</v>
      </c>
      <c r="U108" s="6">
        <v>0</v>
      </c>
      <c r="V108" s="5">
        <v>0</v>
      </c>
      <c r="W108" s="5">
        <v>0</v>
      </c>
      <c r="X108" s="6">
        <v>0</v>
      </c>
      <c r="Y108" s="6">
        <v>0</v>
      </c>
      <c r="Z108" s="6">
        <v>14</v>
      </c>
      <c r="AA108" s="5">
        <v>0</v>
      </c>
      <c r="AB108" s="5">
        <v>0</v>
      </c>
      <c r="AC108" s="6">
        <v>0</v>
      </c>
      <c r="AD108" s="6">
        <v>0</v>
      </c>
      <c r="AE108" s="6">
        <v>10</v>
      </c>
      <c r="AF108" s="5">
        <v>0</v>
      </c>
      <c r="AG108" s="5">
        <v>0</v>
      </c>
      <c r="AH108" s="6">
        <v>0</v>
      </c>
      <c r="AI108" s="6">
        <v>0</v>
      </c>
      <c r="AJ108" s="6">
        <v>24</v>
      </c>
    </row>
    <row r="109" spans="1:37" x14ac:dyDescent="0.45">
      <c r="A109" s="4" t="s">
        <v>61</v>
      </c>
      <c r="B109" s="5">
        <v>0</v>
      </c>
      <c r="C109" s="5">
        <v>0</v>
      </c>
      <c r="D109" s="6">
        <v>0</v>
      </c>
      <c r="E109" s="6">
        <v>0</v>
      </c>
      <c r="F109" s="6">
        <v>0</v>
      </c>
      <c r="G109" s="5">
        <v>0</v>
      </c>
      <c r="H109" s="5">
        <v>0</v>
      </c>
      <c r="I109" s="6">
        <v>0</v>
      </c>
      <c r="J109" s="6">
        <v>0</v>
      </c>
      <c r="K109" s="6">
        <v>0</v>
      </c>
      <c r="L109" s="5">
        <v>0</v>
      </c>
      <c r="M109" s="5">
        <v>0</v>
      </c>
      <c r="N109" s="6">
        <v>0</v>
      </c>
      <c r="O109" s="6">
        <v>0</v>
      </c>
      <c r="P109" s="6">
        <v>0</v>
      </c>
      <c r="Q109" s="5">
        <v>0</v>
      </c>
      <c r="R109" s="5">
        <v>0</v>
      </c>
      <c r="S109" s="6">
        <v>0</v>
      </c>
      <c r="T109" s="6">
        <v>0</v>
      </c>
      <c r="U109" s="6">
        <v>0</v>
      </c>
      <c r="V109" s="5">
        <v>0</v>
      </c>
      <c r="W109" s="5">
        <v>0</v>
      </c>
      <c r="X109" s="6">
        <v>0</v>
      </c>
      <c r="Y109" s="6">
        <v>0</v>
      </c>
      <c r="Z109" s="6">
        <v>0</v>
      </c>
      <c r="AA109" s="5">
        <v>0</v>
      </c>
      <c r="AB109" s="5">
        <v>0</v>
      </c>
      <c r="AC109" s="6">
        <v>0</v>
      </c>
      <c r="AD109" s="6">
        <v>0</v>
      </c>
      <c r="AE109" s="6">
        <v>0</v>
      </c>
      <c r="AF109" s="5">
        <v>0</v>
      </c>
      <c r="AG109" s="5">
        <v>0</v>
      </c>
      <c r="AH109" s="6" t="s">
        <v>18</v>
      </c>
      <c r="AI109" s="6" t="s">
        <v>18</v>
      </c>
      <c r="AJ109" s="6">
        <v>0</v>
      </c>
      <c r="AK109" t="e">
        <f>(AF111/AF110)-AF109</f>
        <v>#DIV/0!</v>
      </c>
    </row>
    <row r="110" spans="1:37" x14ac:dyDescent="0.45">
      <c r="A110" s="4" t="s">
        <v>19</v>
      </c>
      <c r="B110" s="5">
        <v>0</v>
      </c>
      <c r="C110" s="5">
        <v>0</v>
      </c>
      <c r="D110" s="6">
        <v>0</v>
      </c>
      <c r="E110" s="6">
        <v>0</v>
      </c>
      <c r="F110" s="6">
        <v>0</v>
      </c>
      <c r="G110" s="5">
        <v>0</v>
      </c>
      <c r="H110" s="5">
        <v>0</v>
      </c>
      <c r="I110" s="6">
        <v>0</v>
      </c>
      <c r="J110" s="6">
        <v>0</v>
      </c>
      <c r="K110" s="6">
        <v>0</v>
      </c>
      <c r="L110" s="5">
        <v>0</v>
      </c>
      <c r="M110" s="5">
        <v>0</v>
      </c>
      <c r="N110" s="6">
        <v>0</v>
      </c>
      <c r="O110" s="6">
        <v>0</v>
      </c>
      <c r="P110" s="6">
        <v>0</v>
      </c>
      <c r="Q110" s="5">
        <v>0</v>
      </c>
      <c r="R110" s="5">
        <v>0</v>
      </c>
      <c r="S110" s="6">
        <v>0</v>
      </c>
      <c r="T110" s="6">
        <v>0</v>
      </c>
      <c r="U110" s="6">
        <v>0</v>
      </c>
      <c r="V110" s="5">
        <v>0</v>
      </c>
      <c r="W110" s="5">
        <v>0</v>
      </c>
      <c r="X110" s="6">
        <v>0</v>
      </c>
      <c r="Y110" s="6">
        <v>0</v>
      </c>
      <c r="Z110" s="6">
        <v>0</v>
      </c>
      <c r="AA110" s="5">
        <v>0</v>
      </c>
      <c r="AB110" s="5">
        <v>0</v>
      </c>
      <c r="AC110" s="6">
        <v>0</v>
      </c>
      <c r="AD110" s="6">
        <v>0</v>
      </c>
      <c r="AE110" s="6">
        <v>0</v>
      </c>
      <c r="AF110" s="5">
        <v>0</v>
      </c>
      <c r="AG110" s="5">
        <v>0</v>
      </c>
      <c r="AH110" s="6" t="s">
        <v>18</v>
      </c>
      <c r="AI110" s="6" t="s">
        <v>18</v>
      </c>
      <c r="AJ110" s="6">
        <v>0</v>
      </c>
      <c r="AK110" t="e">
        <f>(AF111/AF109)-AF110</f>
        <v>#DIV/0!</v>
      </c>
    </row>
    <row r="111" spans="1:37" ht="26.25" x14ac:dyDescent="0.45">
      <c r="A111" s="4" t="s">
        <v>64</v>
      </c>
      <c r="B111" s="5">
        <v>0</v>
      </c>
      <c r="C111" s="5">
        <v>0</v>
      </c>
      <c r="D111" s="6">
        <v>0</v>
      </c>
      <c r="E111" s="6">
        <v>0</v>
      </c>
      <c r="F111" s="6">
        <v>0</v>
      </c>
      <c r="G111" s="5">
        <v>0</v>
      </c>
      <c r="H111" s="5">
        <v>0</v>
      </c>
      <c r="I111" s="6">
        <v>0</v>
      </c>
      <c r="J111" s="6">
        <v>0</v>
      </c>
      <c r="K111" s="6">
        <v>0</v>
      </c>
      <c r="L111" s="5">
        <v>0</v>
      </c>
      <c r="M111" s="5">
        <v>0</v>
      </c>
      <c r="N111" s="6">
        <v>0</v>
      </c>
      <c r="O111" s="6">
        <v>0</v>
      </c>
      <c r="P111" s="6">
        <v>0</v>
      </c>
      <c r="Q111" s="5">
        <v>0</v>
      </c>
      <c r="R111" s="5">
        <v>0</v>
      </c>
      <c r="S111" s="6">
        <v>0</v>
      </c>
      <c r="T111" s="6">
        <v>0</v>
      </c>
      <c r="U111" s="6">
        <v>0</v>
      </c>
      <c r="V111" s="5">
        <v>0</v>
      </c>
      <c r="W111" s="5">
        <v>0</v>
      </c>
      <c r="X111" s="6">
        <v>0</v>
      </c>
      <c r="Y111" s="6">
        <v>0</v>
      </c>
      <c r="Z111" s="6">
        <v>0</v>
      </c>
      <c r="AA111" s="5">
        <v>0</v>
      </c>
      <c r="AB111" s="5">
        <v>0</v>
      </c>
      <c r="AC111" s="6">
        <v>0</v>
      </c>
      <c r="AD111" s="6">
        <v>0</v>
      </c>
      <c r="AE111" s="6">
        <v>0</v>
      </c>
      <c r="AF111" s="5">
        <v>0</v>
      </c>
      <c r="AG111" s="5">
        <v>0</v>
      </c>
      <c r="AH111" s="6" t="s">
        <v>18</v>
      </c>
      <c r="AI111" s="6" t="s">
        <v>18</v>
      </c>
      <c r="AJ111" s="6">
        <v>0</v>
      </c>
    </row>
    <row r="112" spans="1:37" ht="26.65" thickBot="1" x14ac:dyDescent="0.5">
      <c r="A112" s="7" t="s">
        <v>65</v>
      </c>
      <c r="B112" s="8">
        <v>0</v>
      </c>
      <c r="C112" s="8" t="s">
        <v>18</v>
      </c>
      <c r="D112" s="9" t="s">
        <v>18</v>
      </c>
      <c r="E112" s="9" t="s">
        <v>18</v>
      </c>
      <c r="F112" s="9" t="s">
        <v>18</v>
      </c>
      <c r="G112" s="8">
        <v>0</v>
      </c>
      <c r="H112" s="8" t="s">
        <v>18</v>
      </c>
      <c r="I112" s="9" t="s">
        <v>18</v>
      </c>
      <c r="J112" s="9" t="s">
        <v>18</v>
      </c>
      <c r="K112" s="9" t="s">
        <v>18</v>
      </c>
      <c r="L112" s="8">
        <v>0</v>
      </c>
      <c r="M112" s="8" t="s">
        <v>18</v>
      </c>
      <c r="N112" s="9" t="s">
        <v>18</v>
      </c>
      <c r="O112" s="9" t="s">
        <v>18</v>
      </c>
      <c r="P112" s="9" t="s">
        <v>18</v>
      </c>
      <c r="Q112" s="8">
        <v>0</v>
      </c>
      <c r="R112" s="8" t="s">
        <v>18</v>
      </c>
      <c r="S112" s="9" t="s">
        <v>18</v>
      </c>
      <c r="T112" s="9" t="s">
        <v>18</v>
      </c>
      <c r="U112" s="9" t="s">
        <v>18</v>
      </c>
      <c r="V112" s="8">
        <v>17</v>
      </c>
      <c r="W112" s="8" t="s">
        <v>18</v>
      </c>
      <c r="X112" s="9" t="s">
        <v>18</v>
      </c>
      <c r="Y112" s="9" t="s">
        <v>18</v>
      </c>
      <c r="Z112" s="9" t="s">
        <v>18</v>
      </c>
      <c r="AA112" s="8">
        <v>10</v>
      </c>
      <c r="AB112" s="8" t="s">
        <v>18</v>
      </c>
      <c r="AC112" s="9" t="s">
        <v>18</v>
      </c>
      <c r="AD112" s="9" t="s">
        <v>18</v>
      </c>
      <c r="AE112" s="9" t="s">
        <v>18</v>
      </c>
      <c r="AF112" s="8">
        <v>27</v>
      </c>
      <c r="AG112" s="8" t="s">
        <v>18</v>
      </c>
      <c r="AH112" s="9" t="s">
        <v>18</v>
      </c>
      <c r="AI112" s="9" t="s">
        <v>18</v>
      </c>
      <c r="AJ112" s="9" t="s">
        <v>18</v>
      </c>
    </row>
    <row r="113" spans="1:1" ht="14.65" thickTop="1" x14ac:dyDescent="0.45">
      <c r="A113" s="10" t="s">
        <v>66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conditionalFormatting sqref="AK1:AK1048576">
    <cfRule type="cellIs" dxfId="1" priority="1" operator="greaterThan">
      <formula>0.2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1_hh_ess4</vt:lpstr>
      <vt:lpstr>Table 2_ea_ess4</vt:lpstr>
      <vt:lpstr>Table 3_ea_oth 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Mallia</dc:creator>
  <dc:description>created using xml_tab</dc:description>
  <cp:lastModifiedBy>Paola Mallia</cp:lastModifiedBy>
  <dcterms:created xsi:type="dcterms:W3CDTF">2020-07-03T12:22:29Z</dcterms:created>
  <dcterms:modified xsi:type="dcterms:W3CDTF">2020-09-03T14:45:06Z</dcterms:modified>
</cp:coreProperties>
</file>