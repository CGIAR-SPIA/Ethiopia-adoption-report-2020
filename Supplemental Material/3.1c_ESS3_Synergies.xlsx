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July\"/>
    </mc:Choice>
  </mc:AlternateContent>
  <xr:revisionPtr revIDLastSave="0" documentId="8_{01E1FB4C-C26C-40E7-89FA-3EBF5F47580E}" xr6:coauthVersionLast="45" xr6:coauthVersionMax="45" xr10:uidLastSave="{00000000-0000-0000-0000-000000000000}"/>
  <bookViews>
    <workbookView xWindow="4050" yWindow="-16320" windowWidth="29040" windowHeight="15990" activeTab="1"/>
  </bookViews>
  <sheets>
    <sheet name="Table 3_ea_ess3" sheetId="1" r:id="rId1"/>
    <sheet name="Table 4_hh_ess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87" i="2" l="1"/>
  <c r="AF286" i="2"/>
  <c r="AF284" i="2"/>
  <c r="AF283" i="2"/>
  <c r="AF281" i="2"/>
  <c r="AF280" i="2"/>
  <c r="AF278" i="2"/>
  <c r="AF277" i="2"/>
  <c r="AF275" i="2"/>
  <c r="AF274" i="2"/>
  <c r="AF272" i="2"/>
  <c r="AF271" i="2"/>
  <c r="AF269" i="2"/>
  <c r="AF268" i="2"/>
  <c r="AF266" i="2"/>
  <c r="AF265" i="2"/>
  <c r="AF263" i="2"/>
  <c r="AF262" i="2"/>
  <c r="AF260" i="2"/>
  <c r="AF259" i="2"/>
  <c r="AF257" i="2"/>
  <c r="AF256" i="2"/>
  <c r="AF254" i="2"/>
  <c r="AF253" i="2"/>
  <c r="AF251" i="2"/>
  <c r="AF250" i="2"/>
  <c r="AF248" i="2"/>
  <c r="AF247" i="2"/>
  <c r="AF245" i="2"/>
  <c r="AF244" i="2"/>
  <c r="AF242" i="2"/>
  <c r="AF241" i="2"/>
  <c r="AF239" i="2"/>
  <c r="AF238" i="2"/>
  <c r="AF236" i="2"/>
  <c r="AF235" i="2"/>
  <c r="AF233" i="2"/>
  <c r="AF232" i="2"/>
  <c r="AF230" i="2"/>
  <c r="AF229" i="2"/>
  <c r="AF227" i="2"/>
  <c r="AF226" i="2"/>
  <c r="AF224" i="2"/>
  <c r="AF223" i="2"/>
  <c r="AF221" i="2"/>
  <c r="AF220" i="2"/>
  <c r="AF218" i="2"/>
  <c r="AF217" i="2"/>
  <c r="AF215" i="2"/>
  <c r="AF214" i="2"/>
  <c r="AF212" i="2"/>
  <c r="AF211" i="2"/>
  <c r="AF209" i="2"/>
  <c r="AF208" i="2"/>
  <c r="AF206" i="2"/>
  <c r="AF205" i="2"/>
  <c r="AF203" i="2"/>
  <c r="AF202" i="2"/>
  <c r="AF200" i="2"/>
  <c r="AF199" i="2"/>
  <c r="AF197" i="2"/>
  <c r="AF196" i="2"/>
  <c r="AF194" i="2"/>
  <c r="AF193" i="2"/>
  <c r="AF191" i="2"/>
  <c r="AF190" i="2"/>
  <c r="AF188" i="2"/>
  <c r="AF187" i="2"/>
  <c r="AF185" i="2"/>
  <c r="AF184" i="2"/>
  <c r="AF182" i="2"/>
  <c r="AF181" i="2"/>
  <c r="AF179" i="2"/>
  <c r="AF178" i="2"/>
  <c r="AF176" i="2"/>
  <c r="AF175" i="2"/>
  <c r="AF173" i="2"/>
  <c r="AF172" i="2"/>
  <c r="AF170" i="2"/>
  <c r="AF169" i="2"/>
  <c r="AF167" i="2"/>
  <c r="AF166" i="2"/>
  <c r="AF164" i="2"/>
  <c r="AF163" i="2"/>
  <c r="AF161" i="2"/>
  <c r="AF160" i="2"/>
  <c r="AF158" i="2"/>
  <c r="AF157" i="2"/>
  <c r="AF155" i="2"/>
  <c r="AF154" i="2"/>
  <c r="AF152" i="2"/>
  <c r="AF151" i="2"/>
  <c r="AF149" i="2"/>
  <c r="AF148" i="2"/>
  <c r="AF146" i="2"/>
  <c r="AF145" i="2"/>
  <c r="AF143" i="2"/>
  <c r="AF142" i="2"/>
  <c r="AF140" i="2"/>
  <c r="AF139" i="2"/>
  <c r="AF137" i="2"/>
  <c r="AF136" i="2"/>
  <c r="AF134" i="2"/>
  <c r="AF133" i="2"/>
  <c r="AF131" i="2"/>
  <c r="AF130" i="2"/>
  <c r="AF128" i="2"/>
  <c r="AF127" i="2"/>
  <c r="AF125" i="2"/>
  <c r="AF124" i="2"/>
  <c r="AF122" i="2"/>
  <c r="AF121" i="2"/>
  <c r="AF119" i="2"/>
  <c r="AF118" i="2"/>
  <c r="AF116" i="2"/>
  <c r="AF115" i="2"/>
  <c r="AF113" i="2"/>
  <c r="AF112" i="2"/>
  <c r="AF110" i="2"/>
  <c r="AF109" i="2"/>
  <c r="AF107" i="2"/>
  <c r="AF106" i="2"/>
  <c r="AF104" i="2"/>
  <c r="AF103" i="2"/>
  <c r="AF101" i="2"/>
  <c r="AF100" i="2"/>
  <c r="AF98" i="2"/>
  <c r="AF97" i="2"/>
  <c r="AF95" i="2"/>
  <c r="AF94" i="2"/>
  <c r="AF92" i="2"/>
  <c r="AF91" i="2"/>
  <c r="AF89" i="2"/>
  <c r="AF88" i="2"/>
  <c r="AF86" i="2"/>
  <c r="AF85" i="2"/>
  <c r="AF83" i="2"/>
  <c r="AF82" i="2"/>
  <c r="AF80" i="2"/>
  <c r="AF79" i="2"/>
  <c r="AF77" i="2"/>
  <c r="AF76" i="2"/>
  <c r="AF74" i="2"/>
  <c r="AF73" i="2"/>
  <c r="AF71" i="2"/>
  <c r="AF70" i="2"/>
  <c r="AF68" i="2"/>
  <c r="AF67" i="2"/>
  <c r="AF65" i="2"/>
  <c r="AF64" i="2"/>
  <c r="AF62" i="2"/>
  <c r="AF61" i="2"/>
  <c r="AF59" i="2"/>
  <c r="AF58" i="2"/>
  <c r="AF56" i="2"/>
  <c r="AF55" i="2"/>
  <c r="AF53" i="2"/>
  <c r="AF52" i="2"/>
  <c r="AF50" i="2"/>
  <c r="AF49" i="2"/>
  <c r="AF47" i="2"/>
  <c r="AF46" i="2"/>
  <c r="AF44" i="2"/>
  <c r="AF43" i="2"/>
  <c r="AF41" i="2"/>
  <c r="AF40" i="2"/>
  <c r="AF38" i="2"/>
  <c r="AF37" i="2"/>
  <c r="AF35" i="2"/>
  <c r="AF34" i="2"/>
  <c r="AF32" i="2"/>
  <c r="AF31" i="2"/>
  <c r="AF29" i="2"/>
  <c r="AF28" i="2"/>
  <c r="AF26" i="2"/>
  <c r="AF25" i="2"/>
  <c r="AF23" i="2"/>
  <c r="AF22" i="2"/>
  <c r="AF20" i="2"/>
  <c r="AF19" i="2"/>
  <c r="AF17" i="2"/>
  <c r="AF16" i="2"/>
  <c r="AF14" i="2"/>
  <c r="AF13" i="2"/>
  <c r="AF11" i="2"/>
  <c r="AF10" i="2"/>
  <c r="AF8" i="2"/>
  <c r="AF7" i="2"/>
  <c r="AF5" i="2"/>
  <c r="AF4" i="2"/>
  <c r="AF287" i="1"/>
  <c r="AF286" i="1"/>
  <c r="AF284" i="1"/>
  <c r="AF283" i="1"/>
  <c r="AF281" i="1"/>
  <c r="AF280" i="1"/>
  <c r="AF278" i="1"/>
  <c r="AF277" i="1"/>
  <c r="AF275" i="1"/>
  <c r="AF274" i="1"/>
  <c r="AF272" i="1"/>
  <c r="AF271" i="1"/>
  <c r="AF269" i="1"/>
  <c r="AF268" i="1"/>
  <c r="AF266" i="1"/>
  <c r="AF265" i="1"/>
  <c r="AF263" i="1"/>
  <c r="AF262" i="1"/>
  <c r="AF260" i="1"/>
  <c r="AF259" i="1"/>
  <c r="AF257" i="1"/>
  <c r="AF256" i="1"/>
  <c r="AF254" i="1"/>
  <c r="AF253" i="1"/>
  <c r="AF251" i="1"/>
  <c r="AF250" i="1"/>
  <c r="AF248" i="1"/>
  <c r="AF247" i="1"/>
  <c r="AF245" i="1"/>
  <c r="AF244" i="1"/>
  <c r="AF242" i="1"/>
  <c r="AF241" i="1"/>
  <c r="AF239" i="1"/>
  <c r="AF238" i="1"/>
  <c r="AF236" i="1"/>
  <c r="AF235" i="1"/>
  <c r="AF233" i="1"/>
  <c r="AF232" i="1"/>
  <c r="AF230" i="1"/>
  <c r="AF229" i="1"/>
  <c r="AF227" i="1"/>
  <c r="AF226" i="1"/>
  <c r="AF224" i="1"/>
  <c r="AF223" i="1"/>
  <c r="AF221" i="1"/>
  <c r="AF220" i="1"/>
  <c r="AF218" i="1"/>
  <c r="AF217" i="1"/>
  <c r="AF215" i="1"/>
  <c r="AF214" i="1"/>
  <c r="AF212" i="1"/>
  <c r="AF211" i="1"/>
  <c r="AF209" i="1"/>
  <c r="AF208" i="1"/>
  <c r="AF206" i="1"/>
  <c r="AF205" i="1"/>
  <c r="AF203" i="1"/>
  <c r="AF202" i="1"/>
  <c r="AF200" i="1"/>
  <c r="AF199" i="1"/>
  <c r="AF197" i="1"/>
  <c r="AF196" i="1"/>
  <c r="AF194" i="1"/>
  <c r="AF193" i="1"/>
  <c r="AF191" i="1"/>
  <c r="AF190" i="1"/>
  <c r="AF188" i="1"/>
  <c r="AF187" i="1"/>
  <c r="AF185" i="1"/>
  <c r="AF184" i="1"/>
  <c r="AF182" i="1"/>
  <c r="AF181" i="1"/>
  <c r="AF179" i="1"/>
  <c r="AF178" i="1"/>
  <c r="AF176" i="1"/>
  <c r="AF175" i="1"/>
  <c r="AF173" i="1"/>
  <c r="AF172" i="1"/>
  <c r="AF170" i="1"/>
  <c r="AF169" i="1"/>
  <c r="AF167" i="1"/>
  <c r="AF166" i="1"/>
  <c r="AF164" i="1"/>
  <c r="AF163" i="1"/>
  <c r="AF161" i="1"/>
  <c r="AF160" i="1"/>
  <c r="AF158" i="1"/>
  <c r="AF157" i="1"/>
  <c r="AF155" i="1"/>
  <c r="AF154" i="1"/>
  <c r="AF152" i="1"/>
  <c r="AF151" i="1"/>
  <c r="AF149" i="1"/>
  <c r="AF148" i="1"/>
  <c r="AF146" i="1"/>
  <c r="AF145" i="1"/>
  <c r="AF143" i="1"/>
  <c r="AF142" i="1"/>
  <c r="AF140" i="1"/>
  <c r="AF139" i="1"/>
  <c r="AF137" i="1"/>
  <c r="AF136" i="1"/>
  <c r="AF134" i="1"/>
  <c r="AF133" i="1"/>
  <c r="AF131" i="1"/>
  <c r="AF130" i="1"/>
  <c r="AF128" i="1"/>
  <c r="AF127" i="1"/>
  <c r="AF125" i="1"/>
  <c r="AF124" i="1"/>
  <c r="AF122" i="1"/>
  <c r="AF121" i="1"/>
  <c r="AF119" i="1"/>
  <c r="AF118" i="1"/>
  <c r="AF116" i="1"/>
  <c r="AF115" i="1"/>
  <c r="AF113" i="1"/>
  <c r="AF112" i="1"/>
  <c r="AF110" i="1"/>
  <c r="AF109" i="1"/>
  <c r="AF107" i="1"/>
  <c r="AF106" i="1"/>
  <c r="AF104" i="1"/>
  <c r="AF103" i="1"/>
  <c r="AF101" i="1"/>
  <c r="AF100" i="1"/>
  <c r="AF98" i="1"/>
  <c r="AF97" i="1"/>
  <c r="AF95" i="1"/>
  <c r="AF94" i="1"/>
  <c r="AF92" i="1"/>
  <c r="AF91" i="1"/>
  <c r="AF89" i="1"/>
  <c r="AF88" i="1"/>
  <c r="AF86" i="1"/>
  <c r="AF85" i="1"/>
  <c r="AF83" i="1"/>
  <c r="AF82" i="1"/>
  <c r="AF80" i="1"/>
  <c r="AF79" i="1"/>
  <c r="AF77" i="1"/>
  <c r="AF76" i="1"/>
  <c r="AF74" i="1"/>
  <c r="AF73" i="1"/>
  <c r="AF71" i="1"/>
  <c r="AF70" i="1"/>
  <c r="AF68" i="1"/>
  <c r="AF67" i="1"/>
  <c r="AF65" i="1"/>
  <c r="AF64" i="1"/>
  <c r="AF62" i="1"/>
  <c r="AF61" i="1"/>
  <c r="AF59" i="1"/>
  <c r="AF58" i="1"/>
  <c r="AF56" i="1"/>
  <c r="AF55" i="1"/>
  <c r="AF53" i="1"/>
  <c r="AF52" i="1"/>
  <c r="AF50" i="1"/>
  <c r="AF49" i="1"/>
  <c r="AF47" i="1"/>
  <c r="AF46" i="1"/>
  <c r="AF44" i="1"/>
  <c r="AF43" i="1"/>
  <c r="AF41" i="1"/>
  <c r="AF40" i="1"/>
  <c r="AF38" i="1"/>
  <c r="AF37" i="1"/>
  <c r="AF35" i="1"/>
  <c r="AF34" i="1"/>
  <c r="AF32" i="1"/>
  <c r="AF31" i="1"/>
  <c r="AF29" i="1"/>
  <c r="AF28" i="1"/>
  <c r="AF26" i="1"/>
  <c r="AF25" i="1"/>
  <c r="AF23" i="1"/>
  <c r="AF22" i="1"/>
  <c r="AF20" i="1"/>
  <c r="AF19" i="1"/>
  <c r="AF17" i="1"/>
  <c r="AF16" i="1"/>
  <c r="AF14" i="1"/>
  <c r="AF13" i="1"/>
  <c r="AF11" i="1"/>
  <c r="AF10" i="1"/>
  <c r="AF8" i="1"/>
  <c r="AF7" i="1"/>
  <c r="AF5" i="1"/>
  <c r="AF4" i="1"/>
</calcChain>
</file>

<file path=xl/sharedStrings.xml><?xml version="1.0" encoding="utf-8"?>
<sst xmlns="http://schemas.openxmlformats.org/spreadsheetml/2006/main" count="708" uniqueCount="132">
  <si>
    <t>Table 3: ESS3 -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</si>
  <si>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</si>
  <si>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</si>
  <si>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</si>
  <si>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</si>
  <si>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</si>
  <si>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</si>
  <si>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</si>
  <si>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</si>
  <si>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</si>
  <si>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</si>
  <si>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</si>
  <si>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</si>
  <si>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</si>
  <si>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</si>
  <si>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</si>
  <si>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</si>
  <si>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</si>
  <si>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</si>
  <si>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</si>
  <si>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</si>
  <si>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</si>
  <si>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</si>
  <si>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</si>
  <si>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</si>
  <si>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</si>
  <si>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</si>
  <si>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</si>
  <si>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</si>
  <si>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</si>
  <si>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</si>
  <si>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</si>
  <si>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</si>
  <si>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</si>
  <si>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</si>
  <si>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</si>
  <si>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</si>
  <si>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</si>
  <si>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</si>
  <si>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</si>
  <si>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</si>
  <si>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</si>
  <si>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</si>
  <si>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</si>
  <si>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</si>
  <si>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</si>
  <si>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</si>
  <si>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</si>
  <si>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</si>
  <si>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</si>
  <si>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</si>
  <si>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</si>
  <si>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</si>
  <si>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</si>
  <si>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</si>
  <si>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</si>
  <si>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</si>
  <si>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</si>
  <si>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</si>
  <si>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</si>
  <si>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</si>
  <si>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</si>
  <si>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</si>
  <si>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</si>
  <si>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</si>
  <si>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</si>
  <si>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</si>
  <si>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</si>
  <si>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</si>
  <si>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</si>
  <si>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</si>
  <si>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</si>
  <si>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</si>
  <si>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</si>
  <si>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</si>
  <si>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</si>
  <si>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</si>
  <si>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</si>
  <si>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</si>
  <si>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</si>
  <si>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</si>
  <si>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</si>
  <si>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</si>
  <si>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</si>
  <si>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</si>
  <si>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</si>
  <si>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</si>
  <si>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</si>
  <si>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</si>
  <si>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</si>
  <si>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</si>
  <si>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</si>
  <si>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</si>
  <si>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</si>
  <si>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</si>
  <si>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</si>
  <si>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</si>
  <si>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</si>
  <si>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</si>
  <si>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</si>
  <si>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</si>
  <si>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</si>
  <si>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</si>
  <si>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</si>
  <si>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</si>
  <si>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</si>
  <si>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</si>
  <si>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</si>
  <si>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</si>
  <si>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</si>
  <si>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</si>
  <si>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</si>
  <si>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</si>
  <si>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</si>
  <si>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</si>
  <si>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</si>
  <si>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</si>
  <si>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</si>
  <si>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</si>
  <si>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</si>
  <si>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</si>
  <si>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</si>
  <si>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</si>
  <si>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</si>
  <si>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</si>
  <si>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</si>
  <si>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</si>
  <si>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estimates are weighted sample means. CA1 = Crop rotation with legume - Crop residue cover</t>
  </si>
  <si>
    <t>CA2 = Crop rotation with legume -Minimum tillage</t>
  </si>
  <si>
    <t>CA3 = Crop rotation with legume - Zero  tillage</t>
  </si>
  <si>
    <t>CA5 = Crop residue cover - Zero tillage.</t>
  </si>
  <si>
    <t>Table 3: ESS3 - HH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</si>
</sst>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&quot;&quot;;\-#,##0&quot;&quot;"/>
    <numFmt numFmtId="169" formatCode="#,##0.000&quot;&quot;;\-#,##0.000&quot;&quot;"/>
  </numFmts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4"/>
  <sheetViews>
    <sheetView workbookViewId="0">
      <pane xSplit="1" ySplit="3" topLeftCell="S267" activePane="bottomRight" state="frozen"/>
      <selection pane="topRight" activeCell="B1" sqref="B1"/>
      <selection pane="bottomLeft" activeCell="A4" sqref="A4"/>
      <selection pane="bottomRight" activeCell="AF289" sqref="AF289:AF290"/>
    </sheetView>
  </sheetViews>
  <sheetFormatPr defaultColWidth="9.06640625" defaultRowHeight="14.25" customHeight="1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14.25" customHeight="1" x14ac:dyDescent="0.45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2" ht="14.25" customHeight="1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2" ht="14.25" customHeight="1" x14ac:dyDescent="0.45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30</v>
      </c>
      <c r="G4" s="7">
        <v>1</v>
      </c>
      <c r="H4" s="7">
        <v>0</v>
      </c>
      <c r="I4" s="8">
        <v>1</v>
      </c>
      <c r="J4" s="8">
        <v>1</v>
      </c>
      <c r="K4" s="8">
        <v>61</v>
      </c>
      <c r="L4" s="7">
        <v>0.91273973144918197</v>
      </c>
      <c r="M4" s="7">
        <v>4.319113358653754E-2</v>
      </c>
      <c r="N4" s="8">
        <v>0</v>
      </c>
      <c r="O4" s="8">
        <v>1</v>
      </c>
      <c r="P4" s="8">
        <v>55</v>
      </c>
      <c r="Q4" s="7">
        <v>0.77029310785616811</v>
      </c>
      <c r="R4" s="7">
        <v>7.3163174208025594E-2</v>
      </c>
      <c r="S4" s="8">
        <v>0</v>
      </c>
      <c r="T4" s="8">
        <v>1</v>
      </c>
      <c r="U4" s="8">
        <v>73</v>
      </c>
      <c r="V4" s="7">
        <v>0.65853670824982258</v>
      </c>
      <c r="W4" s="7">
        <v>7.8725051637174762E-2</v>
      </c>
      <c r="X4" s="8">
        <v>0</v>
      </c>
      <c r="Y4" s="8">
        <v>1</v>
      </c>
      <c r="Z4" s="8">
        <v>70</v>
      </c>
      <c r="AA4" s="7">
        <v>0.90256521587571004</v>
      </c>
      <c r="AB4" s="7">
        <v>2.3248102112366418E-2</v>
      </c>
      <c r="AC4" s="8">
        <v>0</v>
      </c>
      <c r="AD4" s="8">
        <v>1</v>
      </c>
      <c r="AE4" s="8">
        <v>289</v>
      </c>
      <c r="AF4">
        <f>(AA6/AA5)-AA4</f>
        <v>-1.5306704547082939E-2</v>
      </c>
    </row>
    <row r="5" spans="1:32" ht="14.25" customHeight="1" x14ac:dyDescent="0.45">
      <c r="A5" s="6" t="s">
        <v>14</v>
      </c>
      <c r="B5" s="7">
        <v>0.13016679037219059</v>
      </c>
      <c r="C5" s="7">
        <v>5.9549306753684021E-2</v>
      </c>
      <c r="D5" s="8">
        <v>0</v>
      </c>
      <c r="E5" s="8">
        <v>1</v>
      </c>
      <c r="F5" s="8">
        <v>30</v>
      </c>
      <c r="G5" s="7">
        <v>0.22754497354298037</v>
      </c>
      <c r="H5" s="7">
        <v>5.9023439789985963E-2</v>
      </c>
      <c r="I5" s="8">
        <v>0</v>
      </c>
      <c r="J5" s="8">
        <v>1</v>
      </c>
      <c r="K5" s="8">
        <v>61</v>
      </c>
      <c r="L5" s="7">
        <v>0.3917380576004631</v>
      </c>
      <c r="M5" s="7">
        <v>7.7908860640490393E-2</v>
      </c>
      <c r="N5" s="8">
        <v>0</v>
      </c>
      <c r="O5" s="8">
        <v>1</v>
      </c>
      <c r="P5" s="8">
        <v>55</v>
      </c>
      <c r="Q5" s="7">
        <v>0.21376507127333513</v>
      </c>
      <c r="R5" s="7">
        <v>5.8384678563788463E-2</v>
      </c>
      <c r="S5" s="8">
        <v>0</v>
      </c>
      <c r="T5" s="8">
        <v>1</v>
      </c>
      <c r="U5" s="8">
        <v>73</v>
      </c>
      <c r="V5" s="7">
        <v>0.10515996356657258</v>
      </c>
      <c r="W5" s="7">
        <v>5.4094036626233195E-2</v>
      </c>
      <c r="X5" s="8">
        <v>0</v>
      </c>
      <c r="Y5" s="8">
        <v>1</v>
      </c>
      <c r="Z5" s="8">
        <v>70</v>
      </c>
      <c r="AA5" s="7">
        <v>0.2760131133844731</v>
      </c>
      <c r="AB5" s="7">
        <v>3.8886897451717806E-2</v>
      </c>
      <c r="AC5" s="8">
        <v>0</v>
      </c>
      <c r="AD5" s="8">
        <v>1</v>
      </c>
      <c r="AE5" s="8">
        <v>289</v>
      </c>
      <c r="AF5">
        <f>(AA6/AA4)-AA5</f>
        <v>-4.6809372922681503E-3</v>
      </c>
    </row>
    <row r="6" spans="1:32" ht="14.25" customHeight="1" x14ac:dyDescent="0.45">
      <c r="A6" s="6" t="s">
        <v>15</v>
      </c>
      <c r="B6" s="7">
        <v>0.13016679037219059</v>
      </c>
      <c r="C6" s="7">
        <v>5.9549306753684021E-2</v>
      </c>
      <c r="D6" s="8">
        <v>0</v>
      </c>
      <c r="E6" s="8">
        <v>1</v>
      </c>
      <c r="F6" s="8">
        <v>30</v>
      </c>
      <c r="G6" s="7">
        <v>0.22754497354298037</v>
      </c>
      <c r="H6" s="7">
        <v>5.9023439789985963E-2</v>
      </c>
      <c r="I6" s="8">
        <v>0</v>
      </c>
      <c r="J6" s="8">
        <v>1</v>
      </c>
      <c r="K6" s="8">
        <v>61</v>
      </c>
      <c r="L6" s="7">
        <v>0.34353996876493686</v>
      </c>
      <c r="M6" s="7">
        <v>7.7084959763090918E-2</v>
      </c>
      <c r="N6" s="8">
        <v>0</v>
      </c>
      <c r="O6" s="8">
        <v>1</v>
      </c>
      <c r="P6" s="8">
        <v>55</v>
      </c>
      <c r="Q6" s="7">
        <v>0.16368140449053642</v>
      </c>
      <c r="R6" s="7">
        <v>4.8542280864558217E-2</v>
      </c>
      <c r="S6" s="8">
        <v>0</v>
      </c>
      <c r="T6" s="8">
        <v>1</v>
      </c>
      <c r="U6" s="8">
        <v>73</v>
      </c>
      <c r="V6" s="7">
        <v>5.7564445410723961E-2</v>
      </c>
      <c r="W6" s="7">
        <v>3.9846754120076419E-2</v>
      </c>
      <c r="X6" s="8">
        <v>0</v>
      </c>
      <c r="Y6" s="8">
        <v>1</v>
      </c>
      <c r="Z6" s="8">
        <v>70</v>
      </c>
      <c r="AA6" s="7">
        <v>0.24489498408868715</v>
      </c>
      <c r="AB6" s="7">
        <v>3.7767146922669213E-2</v>
      </c>
      <c r="AC6" s="8">
        <v>0</v>
      </c>
      <c r="AD6" s="8">
        <v>1</v>
      </c>
      <c r="AE6" s="8">
        <v>289</v>
      </c>
    </row>
    <row r="7" spans="1:32" ht="14.25" customHeight="1" x14ac:dyDescent="0.45">
      <c r="A7" s="6" t="s">
        <v>13</v>
      </c>
      <c r="B7" s="7">
        <v>1</v>
      </c>
      <c r="C7" s="7">
        <v>0</v>
      </c>
      <c r="D7" s="8">
        <v>1</v>
      </c>
      <c r="E7" s="8">
        <v>1</v>
      </c>
      <c r="F7" s="8">
        <v>30</v>
      </c>
      <c r="G7" s="7">
        <v>1</v>
      </c>
      <c r="H7" s="7">
        <v>0</v>
      </c>
      <c r="I7" s="8">
        <v>1</v>
      </c>
      <c r="J7" s="8">
        <v>1</v>
      </c>
      <c r="K7" s="8">
        <v>61</v>
      </c>
      <c r="L7" s="7">
        <v>0.91273973144918197</v>
      </c>
      <c r="M7" s="7">
        <v>4.319113358653754E-2</v>
      </c>
      <c r="N7" s="8">
        <v>0</v>
      </c>
      <c r="O7" s="8">
        <v>1</v>
      </c>
      <c r="P7" s="8">
        <v>55</v>
      </c>
      <c r="Q7" s="7">
        <v>0.77029310785616811</v>
      </c>
      <c r="R7" s="7">
        <v>7.3163174208025594E-2</v>
      </c>
      <c r="S7" s="8">
        <v>0</v>
      </c>
      <c r="T7" s="8">
        <v>1</v>
      </c>
      <c r="U7" s="8">
        <v>73</v>
      </c>
      <c r="V7" s="7">
        <v>0.65853670824982258</v>
      </c>
      <c r="W7" s="7">
        <v>7.8725051637174762E-2</v>
      </c>
      <c r="X7" s="8">
        <v>0</v>
      </c>
      <c r="Y7" s="8">
        <v>1</v>
      </c>
      <c r="Z7" s="8">
        <v>70</v>
      </c>
      <c r="AA7" s="7">
        <v>0.90256521587571004</v>
      </c>
      <c r="AB7" s="7">
        <v>2.3248102112366418E-2</v>
      </c>
      <c r="AC7" s="8">
        <v>0</v>
      </c>
      <c r="AD7" s="8">
        <v>1</v>
      </c>
      <c r="AE7" s="8">
        <v>289</v>
      </c>
      <c r="AF7">
        <f>(AA9/AA8)-AA7</f>
        <v>2.2727901280837903E-3</v>
      </c>
    </row>
    <row r="8" spans="1:32" ht="39.5" customHeight="1" x14ac:dyDescent="0.45">
      <c r="A8" s="6" t="s">
        <v>16</v>
      </c>
      <c r="B8" s="7">
        <v>0.79917381529480058</v>
      </c>
      <c r="C8" s="7">
        <v>0.11102593038685447</v>
      </c>
      <c r="D8" s="8">
        <v>0</v>
      </c>
      <c r="E8" s="8">
        <v>1</v>
      </c>
      <c r="F8" s="8">
        <v>30</v>
      </c>
      <c r="G8" s="7">
        <v>0.85913609305126304</v>
      </c>
      <c r="H8" s="7">
        <v>5.1613569311876474E-2</v>
      </c>
      <c r="I8" s="8">
        <v>0</v>
      </c>
      <c r="J8" s="8">
        <v>1</v>
      </c>
      <c r="K8" s="8">
        <v>61</v>
      </c>
      <c r="L8" s="7">
        <v>0.93660731788820284</v>
      </c>
      <c r="M8" s="7">
        <v>3.2725921734506148E-2</v>
      </c>
      <c r="N8" s="8">
        <v>0</v>
      </c>
      <c r="O8" s="8">
        <v>1</v>
      </c>
      <c r="P8" s="8">
        <v>55</v>
      </c>
      <c r="Q8" s="7">
        <v>0.978991251172878</v>
      </c>
      <c r="R8" s="7">
        <v>1.3211470829487152E-2</v>
      </c>
      <c r="S8" s="8">
        <v>0</v>
      </c>
      <c r="T8" s="8">
        <v>1</v>
      </c>
      <c r="U8" s="8">
        <v>73</v>
      </c>
      <c r="V8" s="7">
        <v>0.55776647549126268</v>
      </c>
      <c r="W8" s="7">
        <v>8.737343103490372E-2</v>
      </c>
      <c r="X8" s="8">
        <v>0</v>
      </c>
      <c r="Y8" s="8">
        <v>1</v>
      </c>
      <c r="Z8" s="8">
        <v>70</v>
      </c>
      <c r="AA8" s="7">
        <v>0.890410959859264</v>
      </c>
      <c r="AB8" s="7">
        <v>2.2895391539009022E-2</v>
      </c>
      <c r="AC8" s="8">
        <v>0</v>
      </c>
      <c r="AD8" s="8">
        <v>1</v>
      </c>
      <c r="AE8" s="8">
        <v>289</v>
      </c>
      <c r="AF8">
        <f>(AA9/AA7)-AA8</f>
        <v>2.2421839484942918E-3</v>
      </c>
    </row>
    <row r="9" spans="1:32" ht="14.25" customHeight="1" x14ac:dyDescent="0.45">
      <c r="A9" s="6" t="s">
        <v>17</v>
      </c>
      <c r="B9" s="7">
        <v>0.79917381529480058</v>
      </c>
      <c r="C9" s="7">
        <v>0.11102593038685447</v>
      </c>
      <c r="D9" s="8">
        <v>0</v>
      </c>
      <c r="E9" s="8">
        <v>1</v>
      </c>
      <c r="F9" s="8">
        <v>30</v>
      </c>
      <c r="G9" s="7">
        <v>0.85913609305126304</v>
      </c>
      <c r="H9" s="7">
        <v>5.1613569311876474E-2</v>
      </c>
      <c r="I9" s="8">
        <v>0</v>
      </c>
      <c r="J9" s="8">
        <v>1</v>
      </c>
      <c r="K9" s="8">
        <v>61</v>
      </c>
      <c r="L9" s="7">
        <v>0.84934704933738492</v>
      </c>
      <c r="M9" s="7">
        <v>5.23881250430967E-2</v>
      </c>
      <c r="N9" s="8">
        <v>0</v>
      </c>
      <c r="O9" s="8">
        <v>1</v>
      </c>
      <c r="P9" s="8">
        <v>55</v>
      </c>
      <c r="Q9" s="7">
        <v>0.75504181368804191</v>
      </c>
      <c r="R9" s="7">
        <v>7.3410781668343195E-2</v>
      </c>
      <c r="S9" s="8">
        <v>0</v>
      </c>
      <c r="T9" s="8">
        <v>1</v>
      </c>
      <c r="U9" s="8">
        <v>73</v>
      </c>
      <c r="V9" s="7">
        <v>0.41340693450033439</v>
      </c>
      <c r="W9" s="7">
        <v>8.524389171156975E-2</v>
      </c>
      <c r="X9" s="8">
        <v>0</v>
      </c>
      <c r="Y9" s="8">
        <v>1</v>
      </c>
      <c r="Z9" s="8">
        <v>70</v>
      </c>
      <c r="AA9" s="7">
        <v>0.80567767744298058</v>
      </c>
      <c r="AB9" s="7">
        <v>3.0788900946997117E-2</v>
      </c>
      <c r="AC9" s="8">
        <v>0</v>
      </c>
      <c r="AD9" s="8">
        <v>1</v>
      </c>
      <c r="AE9" s="8">
        <v>289</v>
      </c>
    </row>
    <row r="10" spans="1:32" ht="14.25" customHeight="1" x14ac:dyDescent="0.45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30</v>
      </c>
      <c r="G10" s="7">
        <v>1</v>
      </c>
      <c r="H10" s="7">
        <v>0</v>
      </c>
      <c r="I10" s="8">
        <v>1</v>
      </c>
      <c r="J10" s="8">
        <v>1</v>
      </c>
      <c r="K10" s="8">
        <v>61</v>
      </c>
      <c r="L10" s="7">
        <v>0.91273973144918197</v>
      </c>
      <c r="M10" s="7">
        <v>4.319113358653754E-2</v>
      </c>
      <c r="N10" s="8">
        <v>0</v>
      </c>
      <c r="O10" s="8">
        <v>1</v>
      </c>
      <c r="P10" s="8">
        <v>55</v>
      </c>
      <c r="Q10" s="7">
        <v>0.77029310785616811</v>
      </c>
      <c r="R10" s="7">
        <v>7.3163174208025594E-2</v>
      </c>
      <c r="S10" s="8">
        <v>0</v>
      </c>
      <c r="T10" s="8">
        <v>1</v>
      </c>
      <c r="U10" s="8">
        <v>73</v>
      </c>
      <c r="V10" s="7">
        <v>0.65853670824982258</v>
      </c>
      <c r="W10" s="7">
        <v>7.8725051637174762E-2</v>
      </c>
      <c r="X10" s="8">
        <v>0</v>
      </c>
      <c r="Y10" s="8">
        <v>1</v>
      </c>
      <c r="Z10" s="8">
        <v>70</v>
      </c>
      <c r="AA10" s="7">
        <v>0.90256521587571004</v>
      </c>
      <c r="AB10" s="7">
        <v>2.3248102112366418E-2</v>
      </c>
      <c r="AC10" s="8">
        <v>0</v>
      </c>
      <c r="AD10" s="8">
        <v>1</v>
      </c>
      <c r="AE10" s="8">
        <v>289</v>
      </c>
      <c r="AF10">
        <f>(AA12/AA11)-AA10</f>
        <v>3.5230226087036298E-3</v>
      </c>
    </row>
    <row r="11" spans="1:32" ht="39.5" customHeight="1" x14ac:dyDescent="0.45">
      <c r="A11" s="6" t="s">
        <v>18</v>
      </c>
      <c r="B11" s="7">
        <v>1</v>
      </c>
      <c r="C11" s="7">
        <v>0</v>
      </c>
      <c r="D11" s="8">
        <v>1</v>
      </c>
      <c r="E11" s="8">
        <v>1</v>
      </c>
      <c r="F11" s="8">
        <v>30</v>
      </c>
      <c r="G11" s="7">
        <v>1</v>
      </c>
      <c r="H11" s="7">
        <v>0</v>
      </c>
      <c r="I11" s="8">
        <v>1</v>
      </c>
      <c r="J11" s="8">
        <v>1</v>
      </c>
      <c r="K11" s="8">
        <v>61</v>
      </c>
      <c r="L11" s="7">
        <v>0.96669930780681435</v>
      </c>
      <c r="M11" s="7">
        <v>2.5228335970719683E-2</v>
      </c>
      <c r="N11" s="8">
        <v>0</v>
      </c>
      <c r="O11" s="8">
        <v>1</v>
      </c>
      <c r="P11" s="8">
        <v>55</v>
      </c>
      <c r="Q11" s="7">
        <v>0.98411438133172946</v>
      </c>
      <c r="R11" s="7">
        <v>1.5948863624994217E-2</v>
      </c>
      <c r="S11" s="8">
        <v>0</v>
      </c>
      <c r="T11" s="8">
        <v>1</v>
      </c>
      <c r="U11" s="8">
        <v>73</v>
      </c>
      <c r="V11" s="7">
        <v>0.88206256317830467</v>
      </c>
      <c r="W11" s="7">
        <v>5.2357828055255899E-2</v>
      </c>
      <c r="X11" s="8">
        <v>0</v>
      </c>
      <c r="Y11" s="8">
        <v>1</v>
      </c>
      <c r="Z11" s="8">
        <v>70</v>
      </c>
      <c r="AA11" s="7">
        <v>0.97699062412897175</v>
      </c>
      <c r="AB11" s="7">
        <v>1.0802779004579677E-2</v>
      </c>
      <c r="AC11" s="8">
        <v>0</v>
      </c>
      <c r="AD11" s="8">
        <v>1</v>
      </c>
      <c r="AE11" s="8">
        <v>289</v>
      </c>
      <c r="AF11">
        <f>(AA12/AA10)-AA11</f>
        <v>3.8135305867713631E-3</v>
      </c>
    </row>
    <row r="12" spans="1:32" ht="14.25" customHeight="1" x14ac:dyDescent="0.45">
      <c r="A12" s="6" t="s">
        <v>19</v>
      </c>
      <c r="B12" s="7">
        <v>1</v>
      </c>
      <c r="C12" s="7">
        <v>0</v>
      </c>
      <c r="D12" s="8">
        <v>1</v>
      </c>
      <c r="E12" s="8">
        <v>1</v>
      </c>
      <c r="F12" s="8">
        <v>30</v>
      </c>
      <c r="G12" s="7">
        <v>1</v>
      </c>
      <c r="H12" s="7">
        <v>0</v>
      </c>
      <c r="I12" s="8">
        <v>1</v>
      </c>
      <c r="J12" s="8">
        <v>1</v>
      </c>
      <c r="K12" s="8">
        <v>61</v>
      </c>
      <c r="L12" s="7">
        <v>0.87943903925599631</v>
      </c>
      <c r="M12" s="7">
        <v>4.888221863703298E-2</v>
      </c>
      <c r="N12" s="8">
        <v>0</v>
      </c>
      <c r="O12" s="8">
        <v>1</v>
      </c>
      <c r="P12" s="8">
        <v>55</v>
      </c>
      <c r="Q12" s="7">
        <v>0.75440748918789757</v>
      </c>
      <c r="R12" s="7">
        <v>7.3814594432214289E-2</v>
      </c>
      <c r="S12" s="8">
        <v>0</v>
      </c>
      <c r="T12" s="8">
        <v>1</v>
      </c>
      <c r="U12" s="8">
        <v>73</v>
      </c>
      <c r="V12" s="7">
        <v>0.63698631147070039</v>
      </c>
      <c r="W12" s="7">
        <v>7.9740235618361133E-2</v>
      </c>
      <c r="X12" s="8">
        <v>0</v>
      </c>
      <c r="Y12" s="8">
        <v>1</v>
      </c>
      <c r="Z12" s="8">
        <v>70</v>
      </c>
      <c r="AA12" s="7">
        <v>0.88523971363280796</v>
      </c>
      <c r="AB12" s="7">
        <v>2.5060631890956184E-2</v>
      </c>
      <c r="AC12" s="8">
        <v>0</v>
      </c>
      <c r="AD12" s="8">
        <v>1</v>
      </c>
      <c r="AE12" s="8">
        <v>289</v>
      </c>
    </row>
    <row r="13" spans="1:32" ht="14.25" customHeight="1" x14ac:dyDescent="0.45">
      <c r="A13" s="6" t="s">
        <v>13</v>
      </c>
      <c r="B13" s="7">
        <v>1</v>
      </c>
      <c r="C13" s="7">
        <v>0</v>
      </c>
      <c r="D13" s="8">
        <v>1</v>
      </c>
      <c r="E13" s="8">
        <v>1</v>
      </c>
      <c r="F13" s="8">
        <v>30</v>
      </c>
      <c r="G13" s="7">
        <v>1</v>
      </c>
      <c r="H13" s="7">
        <v>0</v>
      </c>
      <c r="I13" s="8">
        <v>1</v>
      </c>
      <c r="J13" s="8">
        <v>1</v>
      </c>
      <c r="K13" s="8">
        <v>61</v>
      </c>
      <c r="L13" s="7">
        <v>0.91273973144918197</v>
      </c>
      <c r="M13" s="7">
        <v>4.319113358653754E-2</v>
      </c>
      <c r="N13" s="8">
        <v>0</v>
      </c>
      <c r="O13" s="8">
        <v>1</v>
      </c>
      <c r="P13" s="8">
        <v>55</v>
      </c>
      <c r="Q13" s="7">
        <v>0.77029310785616811</v>
      </c>
      <c r="R13" s="7">
        <v>7.3163174208025594E-2</v>
      </c>
      <c r="S13" s="8">
        <v>0</v>
      </c>
      <c r="T13" s="8">
        <v>1</v>
      </c>
      <c r="U13" s="8">
        <v>73</v>
      </c>
      <c r="V13" s="7">
        <v>0.65853670824982258</v>
      </c>
      <c r="W13" s="7">
        <v>7.8725051637174762E-2</v>
      </c>
      <c r="X13" s="8">
        <v>0</v>
      </c>
      <c r="Y13" s="8">
        <v>1</v>
      </c>
      <c r="Z13" s="8">
        <v>70</v>
      </c>
      <c r="AA13" s="7">
        <v>0.90256521587571004</v>
      </c>
      <c r="AB13" s="7">
        <v>2.3248102112366418E-2</v>
      </c>
      <c r="AC13" s="8">
        <v>0</v>
      </c>
      <c r="AD13" s="8">
        <v>1</v>
      </c>
      <c r="AE13" s="8">
        <v>289</v>
      </c>
      <c r="AF13">
        <f>(AA15/AA14)-AA13</f>
        <v>8.5757407084066095E-3</v>
      </c>
    </row>
    <row r="14" spans="1:32" ht="39.5" customHeight="1" x14ac:dyDescent="0.45">
      <c r="A14" s="6" t="s">
        <v>20</v>
      </c>
      <c r="B14" s="7">
        <v>0.71998796435535706</v>
      </c>
      <c r="C14" s="7">
        <v>0.11311854104787832</v>
      </c>
      <c r="D14" s="8">
        <v>0</v>
      </c>
      <c r="E14" s="8">
        <v>1</v>
      </c>
      <c r="F14" s="8">
        <v>30</v>
      </c>
      <c r="G14" s="7">
        <v>0.81708889697607556</v>
      </c>
      <c r="H14" s="7">
        <v>5.5492334817063477E-2</v>
      </c>
      <c r="I14" s="8">
        <v>0</v>
      </c>
      <c r="J14" s="8">
        <v>1</v>
      </c>
      <c r="K14" s="8">
        <v>61</v>
      </c>
      <c r="L14" s="7">
        <v>0.89270195125097485</v>
      </c>
      <c r="M14" s="7">
        <v>4.2121950331173691E-2</v>
      </c>
      <c r="N14" s="8">
        <v>0</v>
      </c>
      <c r="O14" s="8">
        <v>1</v>
      </c>
      <c r="P14" s="8">
        <v>55</v>
      </c>
      <c r="Q14" s="7">
        <v>0.79214063353652753</v>
      </c>
      <c r="R14" s="7">
        <v>7.4227984257885751E-2</v>
      </c>
      <c r="S14" s="8">
        <v>0</v>
      </c>
      <c r="T14" s="8">
        <v>1</v>
      </c>
      <c r="U14" s="8">
        <v>73</v>
      </c>
      <c r="V14" s="7">
        <v>0.46181897480982365</v>
      </c>
      <c r="W14" s="7">
        <v>8.6350561884418128E-2</v>
      </c>
      <c r="X14" s="8">
        <v>0</v>
      </c>
      <c r="Y14" s="8">
        <v>1</v>
      </c>
      <c r="Z14" s="8">
        <v>70</v>
      </c>
      <c r="AA14" s="7">
        <v>0.81495916750566311</v>
      </c>
      <c r="AB14" s="7">
        <v>2.9461639416979199E-2</v>
      </c>
      <c r="AC14" s="8">
        <v>0</v>
      </c>
      <c r="AD14" s="8">
        <v>1</v>
      </c>
      <c r="AE14" s="8">
        <v>289</v>
      </c>
      <c r="AF14">
        <f>(AA15/AA13)-AA14</f>
        <v>7.7433501596740895E-3</v>
      </c>
    </row>
    <row r="15" spans="1:32" ht="14.25" customHeight="1" x14ac:dyDescent="0.45">
      <c r="A15" s="6" t="s">
        <v>21</v>
      </c>
      <c r="B15" s="7">
        <v>0.71998796435535706</v>
      </c>
      <c r="C15" s="7">
        <v>0.11311854104787832</v>
      </c>
      <c r="D15" s="8">
        <v>0</v>
      </c>
      <c r="E15" s="8">
        <v>1</v>
      </c>
      <c r="F15" s="8">
        <v>30</v>
      </c>
      <c r="G15" s="7">
        <v>0.81708889697607556</v>
      </c>
      <c r="H15" s="7">
        <v>5.5492334817063477E-2</v>
      </c>
      <c r="I15" s="8">
        <v>0</v>
      </c>
      <c r="J15" s="8">
        <v>1</v>
      </c>
      <c r="K15" s="8">
        <v>61</v>
      </c>
      <c r="L15" s="7">
        <v>0.81907897047830813</v>
      </c>
      <c r="M15" s="7">
        <v>5.6364881488381625E-2</v>
      </c>
      <c r="N15" s="8">
        <v>0</v>
      </c>
      <c r="O15" s="8">
        <v>1</v>
      </c>
      <c r="P15" s="8">
        <v>55</v>
      </c>
      <c r="Q15" s="7">
        <v>0.59785707541407418</v>
      </c>
      <c r="R15" s="7">
        <v>8.4182852818656673E-2</v>
      </c>
      <c r="S15" s="8">
        <v>0</v>
      </c>
      <c r="T15" s="8">
        <v>1</v>
      </c>
      <c r="U15" s="8">
        <v>73</v>
      </c>
      <c r="V15" s="7">
        <v>0.34126625074290307</v>
      </c>
      <c r="W15" s="7">
        <v>8.2281737919129266E-2</v>
      </c>
      <c r="X15" s="8">
        <v>0</v>
      </c>
      <c r="Y15" s="8">
        <v>1</v>
      </c>
      <c r="Z15" s="8">
        <v>70</v>
      </c>
      <c r="AA15" s="7">
        <v>0.74254267545810526</v>
      </c>
      <c r="AB15" s="7">
        <v>3.4488756792838013E-2</v>
      </c>
      <c r="AC15" s="8">
        <v>0</v>
      </c>
      <c r="AD15" s="8">
        <v>1</v>
      </c>
      <c r="AE15" s="8">
        <v>289</v>
      </c>
    </row>
    <row r="16" spans="1:32" ht="14.25" customHeight="1" x14ac:dyDescent="0.45">
      <c r="A16" s="6" t="s">
        <v>13</v>
      </c>
      <c r="B16" s="7">
        <v>1</v>
      </c>
      <c r="C16" s="7">
        <v>0</v>
      </c>
      <c r="D16" s="8">
        <v>1</v>
      </c>
      <c r="E16" s="8">
        <v>1</v>
      </c>
      <c r="F16" s="8">
        <v>30</v>
      </c>
      <c r="G16" s="7">
        <v>1</v>
      </c>
      <c r="H16" s="7">
        <v>0</v>
      </c>
      <c r="I16" s="8">
        <v>1</v>
      </c>
      <c r="J16" s="8">
        <v>1</v>
      </c>
      <c r="K16" s="8">
        <v>61</v>
      </c>
      <c r="L16" s="7">
        <v>0.91273973144918197</v>
      </c>
      <c r="M16" s="7">
        <v>4.319113358653754E-2</v>
      </c>
      <c r="N16" s="8">
        <v>0</v>
      </c>
      <c r="O16" s="8">
        <v>1</v>
      </c>
      <c r="P16" s="8">
        <v>55</v>
      </c>
      <c r="Q16" s="7">
        <v>0.77029310785616811</v>
      </c>
      <c r="R16" s="7">
        <v>7.3163174208025594E-2</v>
      </c>
      <c r="S16" s="8">
        <v>0</v>
      </c>
      <c r="T16" s="8">
        <v>1</v>
      </c>
      <c r="U16" s="8">
        <v>73</v>
      </c>
      <c r="V16" s="7">
        <v>0.65853670824982258</v>
      </c>
      <c r="W16" s="7">
        <v>7.8725051637174762E-2</v>
      </c>
      <c r="X16" s="8">
        <v>0</v>
      </c>
      <c r="Y16" s="8">
        <v>1</v>
      </c>
      <c r="Z16" s="8">
        <v>70</v>
      </c>
      <c r="AA16" s="7">
        <v>0.90256521587571004</v>
      </c>
      <c r="AB16" s="7">
        <v>2.3248102112366418E-2</v>
      </c>
      <c r="AC16" s="8">
        <v>0</v>
      </c>
      <c r="AD16" s="8">
        <v>1</v>
      </c>
      <c r="AE16" s="8">
        <v>289</v>
      </c>
      <c r="AF16">
        <f>(AA18/AA17)-AA16</f>
        <v>5.2446279855985489E-3</v>
      </c>
    </row>
    <row r="17" spans="1:32" ht="26.25" customHeight="1" x14ac:dyDescent="0.45">
      <c r="A17" s="6" t="s">
        <v>22</v>
      </c>
      <c r="B17" s="7">
        <v>0.92567057702595223</v>
      </c>
      <c r="C17" s="7">
        <v>5.2772110959269633E-2</v>
      </c>
      <c r="D17" s="8">
        <v>0</v>
      </c>
      <c r="E17" s="8">
        <v>1</v>
      </c>
      <c r="F17" s="8">
        <v>30</v>
      </c>
      <c r="G17" s="7">
        <v>0.96708867666829124</v>
      </c>
      <c r="H17" s="7">
        <v>2.3335390502298822E-2</v>
      </c>
      <c r="I17" s="8">
        <v>0</v>
      </c>
      <c r="J17" s="8">
        <v>1</v>
      </c>
      <c r="K17" s="8">
        <v>61</v>
      </c>
      <c r="L17" s="7">
        <v>0.92438050124212068</v>
      </c>
      <c r="M17" s="7">
        <v>3.4796389331134367E-2</v>
      </c>
      <c r="N17" s="8">
        <v>0</v>
      </c>
      <c r="O17" s="8">
        <v>1</v>
      </c>
      <c r="P17" s="8">
        <v>55</v>
      </c>
      <c r="Q17" s="7">
        <v>0.98744074376457081</v>
      </c>
      <c r="R17" s="7">
        <v>9.6317749278603242E-3</v>
      </c>
      <c r="S17" s="8">
        <v>0</v>
      </c>
      <c r="T17" s="8">
        <v>1</v>
      </c>
      <c r="U17" s="8">
        <v>73</v>
      </c>
      <c r="V17" s="7">
        <v>0.81579627466349469</v>
      </c>
      <c r="W17" s="7">
        <v>6.4243143036487982E-2</v>
      </c>
      <c r="X17" s="8">
        <v>0</v>
      </c>
      <c r="Y17" s="8">
        <v>1</v>
      </c>
      <c r="Z17" s="8">
        <v>70</v>
      </c>
      <c r="AA17" s="7">
        <v>0.94255881801459418</v>
      </c>
      <c r="AB17" s="7">
        <v>1.6228337802130382E-2</v>
      </c>
      <c r="AC17" s="8">
        <v>0</v>
      </c>
      <c r="AD17" s="8">
        <v>1</v>
      </c>
      <c r="AE17" s="8">
        <v>289</v>
      </c>
      <c r="AF17">
        <f>(AA18/AA16)-AA17</f>
        <v>5.477022898822681E-3</v>
      </c>
    </row>
    <row r="18" spans="1:32" ht="14.25" customHeight="1" x14ac:dyDescent="0.45">
      <c r="A18" s="6" t="s">
        <v>23</v>
      </c>
      <c r="B18" s="7">
        <v>0.92567057702595223</v>
      </c>
      <c r="C18" s="7">
        <v>5.2772110959269633E-2</v>
      </c>
      <c r="D18" s="8">
        <v>0</v>
      </c>
      <c r="E18" s="8">
        <v>1</v>
      </c>
      <c r="F18" s="8">
        <v>30</v>
      </c>
      <c r="G18" s="7">
        <v>0.96708867666829124</v>
      </c>
      <c r="H18" s="7">
        <v>2.3335390502298822E-2</v>
      </c>
      <c r="I18" s="8">
        <v>0</v>
      </c>
      <c r="J18" s="8">
        <v>1</v>
      </c>
      <c r="K18" s="8">
        <v>61</v>
      </c>
      <c r="L18" s="7">
        <v>0.83712023269130265</v>
      </c>
      <c r="M18" s="7">
        <v>5.3467961230897088E-2</v>
      </c>
      <c r="N18" s="8">
        <v>0</v>
      </c>
      <c r="O18" s="8">
        <v>1</v>
      </c>
      <c r="P18" s="8">
        <v>55</v>
      </c>
      <c r="Q18" s="7">
        <v>0.77029310785616811</v>
      </c>
      <c r="R18" s="7">
        <v>7.3163174208025594E-2</v>
      </c>
      <c r="S18" s="8">
        <v>0</v>
      </c>
      <c r="T18" s="8">
        <v>1</v>
      </c>
      <c r="U18" s="8">
        <v>73</v>
      </c>
      <c r="V18" s="7">
        <v>0.61317898260584403</v>
      </c>
      <c r="W18" s="7">
        <v>8.174459850687571E-2</v>
      </c>
      <c r="X18" s="8">
        <v>0</v>
      </c>
      <c r="Y18" s="8">
        <v>1</v>
      </c>
      <c r="Z18" s="8">
        <v>70</v>
      </c>
      <c r="AA18" s="7">
        <v>0.85566417341192835</v>
      </c>
      <c r="AB18" s="7">
        <v>2.7236733044617493E-2</v>
      </c>
      <c r="AC18" s="8">
        <v>0</v>
      </c>
      <c r="AD18" s="8">
        <v>1</v>
      </c>
      <c r="AE18" s="8">
        <v>289</v>
      </c>
    </row>
    <row r="19" spans="1:32" ht="14.25" customHeight="1" x14ac:dyDescent="0.45">
      <c r="A19" s="6" t="s">
        <v>13</v>
      </c>
      <c r="B19" s="7">
        <v>1</v>
      </c>
      <c r="C19" s="7">
        <v>0</v>
      </c>
      <c r="D19" s="8">
        <v>1</v>
      </c>
      <c r="E19" s="8">
        <v>1</v>
      </c>
      <c r="F19" s="8">
        <v>30</v>
      </c>
      <c r="G19" s="7">
        <v>1</v>
      </c>
      <c r="H19" s="7">
        <v>0</v>
      </c>
      <c r="I19" s="8">
        <v>1</v>
      </c>
      <c r="J19" s="8">
        <v>1</v>
      </c>
      <c r="K19" s="8">
        <v>61</v>
      </c>
      <c r="L19" s="7">
        <v>0.91273973144918197</v>
      </c>
      <c r="M19" s="7">
        <v>4.319113358653754E-2</v>
      </c>
      <c r="N19" s="8">
        <v>0</v>
      </c>
      <c r="O19" s="8">
        <v>1</v>
      </c>
      <c r="P19" s="8">
        <v>55</v>
      </c>
      <c r="Q19" s="7">
        <v>0.77029310785616811</v>
      </c>
      <c r="R19" s="7">
        <v>7.3163174208025594E-2</v>
      </c>
      <c r="S19" s="8">
        <v>0</v>
      </c>
      <c r="T19" s="8">
        <v>1</v>
      </c>
      <c r="U19" s="8">
        <v>73</v>
      </c>
      <c r="V19" s="7">
        <v>0.65853670824982258</v>
      </c>
      <c r="W19" s="7">
        <v>7.8725051637174762E-2</v>
      </c>
      <c r="X19" s="8">
        <v>0</v>
      </c>
      <c r="Y19" s="8">
        <v>1</v>
      </c>
      <c r="Z19" s="8">
        <v>70</v>
      </c>
      <c r="AA19" s="7">
        <v>0.90256521587571004</v>
      </c>
      <c r="AB19" s="7">
        <v>2.3248102112366418E-2</v>
      </c>
      <c r="AC19" s="8">
        <v>0</v>
      </c>
      <c r="AD19" s="8">
        <v>1</v>
      </c>
      <c r="AE19" s="8">
        <v>289</v>
      </c>
      <c r="AF19">
        <f>(AA21/AA20)-AA19</f>
        <v>-2.3138796725737265E-2</v>
      </c>
    </row>
    <row r="20" spans="1:32" ht="26.25" customHeight="1" x14ac:dyDescent="0.45">
      <c r="A20" s="6" t="s">
        <v>24</v>
      </c>
      <c r="B20" s="7">
        <v>0.29691007821421939</v>
      </c>
      <c r="C20" s="7">
        <v>9.0434299454504388E-2</v>
      </c>
      <c r="D20" s="8">
        <v>0</v>
      </c>
      <c r="E20" s="8">
        <v>1</v>
      </c>
      <c r="F20" s="8">
        <v>30</v>
      </c>
      <c r="G20" s="7">
        <v>0.49677177668929956</v>
      </c>
      <c r="H20" s="7">
        <v>7.0999294454138578E-2</v>
      </c>
      <c r="I20" s="8">
        <v>0</v>
      </c>
      <c r="J20" s="8">
        <v>1</v>
      </c>
      <c r="K20" s="8">
        <v>61</v>
      </c>
      <c r="L20" s="7">
        <v>0.66910480046057408</v>
      </c>
      <c r="M20" s="7">
        <v>6.9382404233736442E-2</v>
      </c>
      <c r="N20" s="8">
        <v>0</v>
      </c>
      <c r="O20" s="8">
        <v>1</v>
      </c>
      <c r="P20" s="8">
        <v>55</v>
      </c>
      <c r="Q20" s="7">
        <v>0.81572970757523378</v>
      </c>
      <c r="R20" s="7">
        <v>4.8223017832801064E-2</v>
      </c>
      <c r="S20" s="8">
        <v>0</v>
      </c>
      <c r="T20" s="8">
        <v>1</v>
      </c>
      <c r="U20" s="8">
        <v>73</v>
      </c>
      <c r="V20" s="7">
        <v>0.33543852274097052</v>
      </c>
      <c r="W20" s="7">
        <v>8.1338752606745057E-2</v>
      </c>
      <c r="X20" s="8">
        <v>0</v>
      </c>
      <c r="Y20" s="8">
        <v>1</v>
      </c>
      <c r="Z20" s="8">
        <v>70</v>
      </c>
      <c r="AA20" s="7">
        <v>0.60191756282298448</v>
      </c>
      <c r="AB20" s="7">
        <v>3.8656173410834903E-2</v>
      </c>
      <c r="AC20" s="8">
        <v>0</v>
      </c>
      <c r="AD20" s="8">
        <v>1</v>
      </c>
      <c r="AE20" s="8">
        <v>289</v>
      </c>
      <c r="AF20">
        <f>(AA21/AA19)-AA20</f>
        <v>-1.5431182020790524E-2</v>
      </c>
    </row>
    <row r="21" spans="1:32" ht="14.25" customHeight="1" x14ac:dyDescent="0.45">
      <c r="A21" s="6" t="s">
        <v>25</v>
      </c>
      <c r="B21" s="7">
        <v>0.29691007821421939</v>
      </c>
      <c r="C21" s="7">
        <v>9.0434299454504388E-2</v>
      </c>
      <c r="D21" s="8">
        <v>0</v>
      </c>
      <c r="E21" s="8">
        <v>1</v>
      </c>
      <c r="F21" s="8">
        <v>30</v>
      </c>
      <c r="G21" s="7">
        <v>0.49677177668929956</v>
      </c>
      <c r="H21" s="7">
        <v>7.0999294454138578E-2</v>
      </c>
      <c r="I21" s="8">
        <v>0</v>
      </c>
      <c r="J21" s="8">
        <v>1</v>
      </c>
      <c r="K21" s="8">
        <v>61</v>
      </c>
      <c r="L21" s="7">
        <v>0.58184453190975605</v>
      </c>
      <c r="M21" s="7">
        <v>7.4492002675505389E-2</v>
      </c>
      <c r="N21" s="8">
        <v>0</v>
      </c>
      <c r="O21" s="8">
        <v>1</v>
      </c>
      <c r="P21" s="8">
        <v>55</v>
      </c>
      <c r="Q21" s="7">
        <v>0.63640247487932133</v>
      </c>
      <c r="R21" s="7">
        <v>7.6943704783188613E-2</v>
      </c>
      <c r="S21" s="8">
        <v>0</v>
      </c>
      <c r="T21" s="8">
        <v>1</v>
      </c>
      <c r="U21" s="8">
        <v>73</v>
      </c>
      <c r="V21" s="7">
        <v>0.25551387219802141</v>
      </c>
      <c r="W21" s="7">
        <v>7.6032115857136082E-2</v>
      </c>
      <c r="X21" s="8">
        <v>0</v>
      </c>
      <c r="Y21" s="8">
        <v>1</v>
      </c>
      <c r="Z21" s="8">
        <v>70</v>
      </c>
      <c r="AA21" s="7">
        <v>0.52934220689689604</v>
      </c>
      <c r="AB21" s="7">
        <v>4.0202522626211976E-2</v>
      </c>
      <c r="AC21" s="8">
        <v>0</v>
      </c>
      <c r="AD21" s="8">
        <v>1</v>
      </c>
      <c r="AE21" s="8">
        <v>289</v>
      </c>
    </row>
    <row r="22" spans="1:32" ht="14.25" customHeight="1" x14ac:dyDescent="0.45">
      <c r="A22" s="6" t="s">
        <v>13</v>
      </c>
      <c r="B22" s="7">
        <v>1</v>
      </c>
      <c r="C22" s="7">
        <v>0</v>
      </c>
      <c r="D22" s="8">
        <v>1</v>
      </c>
      <c r="E22" s="8">
        <v>1</v>
      </c>
      <c r="F22" s="8">
        <v>30</v>
      </c>
      <c r="G22" s="7">
        <v>1</v>
      </c>
      <c r="H22" s="7">
        <v>0</v>
      </c>
      <c r="I22" s="8">
        <v>1</v>
      </c>
      <c r="J22" s="8">
        <v>1</v>
      </c>
      <c r="K22" s="8">
        <v>61</v>
      </c>
      <c r="L22" s="7">
        <v>0.91273973144918197</v>
      </c>
      <c r="M22" s="7">
        <v>4.319113358653754E-2</v>
      </c>
      <c r="N22" s="8">
        <v>0</v>
      </c>
      <c r="O22" s="8">
        <v>1</v>
      </c>
      <c r="P22" s="8">
        <v>55</v>
      </c>
      <c r="Q22" s="7">
        <v>0.77029310785616811</v>
      </c>
      <c r="R22" s="7">
        <v>7.3163174208025594E-2</v>
      </c>
      <c r="S22" s="8">
        <v>0</v>
      </c>
      <c r="T22" s="8">
        <v>1</v>
      </c>
      <c r="U22" s="8">
        <v>73</v>
      </c>
      <c r="V22" s="7">
        <v>0.65853670824982258</v>
      </c>
      <c r="W22" s="7">
        <v>7.8725051637174762E-2</v>
      </c>
      <c r="X22" s="8">
        <v>0</v>
      </c>
      <c r="Y22" s="8">
        <v>1</v>
      </c>
      <c r="Z22" s="8">
        <v>70</v>
      </c>
      <c r="AA22" s="7">
        <v>0.90256521587571004</v>
      </c>
      <c r="AB22" s="7">
        <v>2.3248102112366418E-2</v>
      </c>
      <c r="AC22" s="8">
        <v>0</v>
      </c>
      <c r="AD22" s="8">
        <v>1</v>
      </c>
      <c r="AE22" s="8">
        <v>289</v>
      </c>
      <c r="AF22">
        <f>(AA24/AA23)-AA22</f>
        <v>3.9674450891165836E-2</v>
      </c>
    </row>
    <row r="23" spans="1:32" ht="14.25" customHeight="1" x14ac:dyDescent="0.45">
      <c r="A23" s="6" t="s">
        <v>26</v>
      </c>
      <c r="B23" s="7">
        <v>0.22083949263359173</v>
      </c>
      <c r="C23" s="7">
        <v>7.6981635649396321E-2</v>
      </c>
      <c r="D23" s="8">
        <v>0</v>
      </c>
      <c r="E23" s="8">
        <v>1</v>
      </c>
      <c r="F23" s="8">
        <v>30</v>
      </c>
      <c r="G23" s="7">
        <v>0.47381802682362351</v>
      </c>
      <c r="H23" s="7">
        <v>7.1195474004264972E-2</v>
      </c>
      <c r="I23" s="8">
        <v>0</v>
      </c>
      <c r="J23" s="8">
        <v>1</v>
      </c>
      <c r="K23" s="8">
        <v>61</v>
      </c>
      <c r="L23" s="7">
        <v>0.54001580449645814</v>
      </c>
      <c r="M23" s="7">
        <v>7.6978621202141204E-2</v>
      </c>
      <c r="N23" s="8">
        <v>0</v>
      </c>
      <c r="O23" s="8">
        <v>1</v>
      </c>
      <c r="P23" s="8">
        <v>55</v>
      </c>
      <c r="Q23" s="7">
        <v>0.59736595895844924</v>
      </c>
      <c r="R23" s="7">
        <v>7.8516305167266792E-2</v>
      </c>
      <c r="S23" s="8">
        <v>0</v>
      </c>
      <c r="T23" s="8">
        <v>1</v>
      </c>
      <c r="U23" s="8">
        <v>73</v>
      </c>
      <c r="V23" s="7">
        <v>0.25989961232588688</v>
      </c>
      <c r="W23" s="7">
        <v>7.3723142307638323E-2</v>
      </c>
      <c r="X23" s="8">
        <v>0</v>
      </c>
      <c r="Y23" s="8">
        <v>1</v>
      </c>
      <c r="Z23" s="8">
        <v>70</v>
      </c>
      <c r="AA23" s="7">
        <v>0.49418092931848012</v>
      </c>
      <c r="AB23" s="7">
        <v>4.0512383726764072E-2</v>
      </c>
      <c r="AC23" s="8">
        <v>0</v>
      </c>
      <c r="AD23" s="8">
        <v>1</v>
      </c>
      <c r="AE23" s="8">
        <v>289</v>
      </c>
      <c r="AF23">
        <f>(AA24/AA22)-AA23</f>
        <v>2.1722925575603624E-2</v>
      </c>
    </row>
    <row r="24" spans="1:32" ht="14.25" customHeight="1" x14ac:dyDescent="0.45">
      <c r="A24" s="6" t="s">
        <v>27</v>
      </c>
      <c r="B24" s="7">
        <v>0.22083949263359173</v>
      </c>
      <c r="C24" s="7">
        <v>7.6981635649396321E-2</v>
      </c>
      <c r="D24" s="8">
        <v>0</v>
      </c>
      <c r="E24" s="8">
        <v>1</v>
      </c>
      <c r="F24" s="8">
        <v>30</v>
      </c>
      <c r="G24" s="7">
        <v>0.47381802682362351</v>
      </c>
      <c r="H24" s="7">
        <v>7.1195474004264972E-2</v>
      </c>
      <c r="I24" s="8">
        <v>0</v>
      </c>
      <c r="J24" s="8">
        <v>1</v>
      </c>
      <c r="K24" s="8">
        <v>61</v>
      </c>
      <c r="L24" s="7">
        <v>0.54001580449645814</v>
      </c>
      <c r="M24" s="7">
        <v>7.6978621202141204E-2</v>
      </c>
      <c r="N24" s="8">
        <v>0</v>
      </c>
      <c r="O24" s="8">
        <v>1</v>
      </c>
      <c r="P24" s="8">
        <v>55</v>
      </c>
      <c r="Q24" s="7">
        <v>0.47642940319416954</v>
      </c>
      <c r="R24" s="7">
        <v>8.049682826376979E-2</v>
      </c>
      <c r="S24" s="8">
        <v>0</v>
      </c>
      <c r="T24" s="8">
        <v>1</v>
      </c>
      <c r="U24" s="8">
        <v>73</v>
      </c>
      <c r="V24" s="7">
        <v>0.15999573496872732</v>
      </c>
      <c r="W24" s="7">
        <v>6.1578526117169505E-2</v>
      </c>
      <c r="X24" s="8">
        <v>0</v>
      </c>
      <c r="Y24" s="8">
        <v>1</v>
      </c>
      <c r="Z24" s="8">
        <v>70</v>
      </c>
      <c r="AA24" s="7">
        <v>0.46563687416358973</v>
      </c>
      <c r="AB24" s="7">
        <v>4.0497625981347443E-2</v>
      </c>
      <c r="AC24" s="8">
        <v>0</v>
      </c>
      <c r="AD24" s="8">
        <v>1</v>
      </c>
      <c r="AE24" s="8">
        <v>289</v>
      </c>
    </row>
    <row r="25" spans="1:32" ht="14.25" customHeight="1" x14ac:dyDescent="0.45">
      <c r="A25" s="6" t="s">
        <v>13</v>
      </c>
      <c r="B25" s="7">
        <v>1</v>
      </c>
      <c r="C25" s="7">
        <v>0</v>
      </c>
      <c r="D25" s="8">
        <v>1</v>
      </c>
      <c r="E25" s="8">
        <v>1</v>
      </c>
      <c r="F25" s="8">
        <v>30</v>
      </c>
      <c r="G25" s="7">
        <v>1</v>
      </c>
      <c r="H25" s="7">
        <v>0</v>
      </c>
      <c r="I25" s="8">
        <v>1</v>
      </c>
      <c r="J25" s="8">
        <v>1</v>
      </c>
      <c r="K25" s="8">
        <v>61</v>
      </c>
      <c r="L25" s="7">
        <v>0.91273973144918197</v>
      </c>
      <c r="M25" s="7">
        <v>4.319113358653754E-2</v>
      </c>
      <c r="N25" s="8">
        <v>0</v>
      </c>
      <c r="O25" s="8">
        <v>1</v>
      </c>
      <c r="P25" s="8">
        <v>55</v>
      </c>
      <c r="Q25" s="7">
        <v>0.77029310785616811</v>
      </c>
      <c r="R25" s="7">
        <v>7.3163174208025594E-2</v>
      </c>
      <c r="S25" s="8">
        <v>0</v>
      </c>
      <c r="T25" s="8">
        <v>1</v>
      </c>
      <c r="U25" s="8">
        <v>73</v>
      </c>
      <c r="V25" s="7">
        <v>0.65853670824982258</v>
      </c>
      <c r="W25" s="7">
        <v>7.8725051637174762E-2</v>
      </c>
      <c r="X25" s="8">
        <v>0</v>
      </c>
      <c r="Y25" s="8">
        <v>1</v>
      </c>
      <c r="Z25" s="8">
        <v>70</v>
      </c>
      <c r="AA25" s="7">
        <v>0.90256521587571004</v>
      </c>
      <c r="AB25" s="7">
        <v>2.3248102112366418E-2</v>
      </c>
      <c r="AC25" s="8">
        <v>0</v>
      </c>
      <c r="AD25" s="8">
        <v>1</v>
      </c>
      <c r="AE25" s="8">
        <v>289</v>
      </c>
      <c r="AF25">
        <f>(AA27/AA26)-AA25</f>
        <v>-6.5885190390208237E-2</v>
      </c>
    </row>
    <row r="26" spans="1:32" ht="14.25" customHeight="1" x14ac:dyDescent="0.45">
      <c r="A26" s="6" t="s">
        <v>28</v>
      </c>
      <c r="B26" s="7">
        <v>0.29580870245528007</v>
      </c>
      <c r="C26" s="7">
        <v>0.11556730122910758</v>
      </c>
      <c r="D26" s="8">
        <v>0</v>
      </c>
      <c r="E26" s="8">
        <v>1</v>
      </c>
      <c r="F26" s="8">
        <v>30</v>
      </c>
      <c r="G26" s="7">
        <v>0.20395713984058791</v>
      </c>
      <c r="H26" s="7">
        <v>5.6648529290665377E-2</v>
      </c>
      <c r="I26" s="8">
        <v>0</v>
      </c>
      <c r="J26" s="8">
        <v>1</v>
      </c>
      <c r="K26" s="8">
        <v>61</v>
      </c>
      <c r="L26" s="7">
        <v>0.35840076841974933</v>
      </c>
      <c r="M26" s="7">
        <v>7.4712483039302405E-2</v>
      </c>
      <c r="N26" s="8">
        <v>0</v>
      </c>
      <c r="O26" s="8">
        <v>1</v>
      </c>
      <c r="P26" s="8">
        <v>55</v>
      </c>
      <c r="Q26" s="7">
        <v>0.67434863072132323</v>
      </c>
      <c r="R26" s="7">
        <v>7.7195876807747033E-2</v>
      </c>
      <c r="S26" s="8">
        <v>0</v>
      </c>
      <c r="T26" s="8">
        <v>1</v>
      </c>
      <c r="U26" s="8">
        <v>73</v>
      </c>
      <c r="V26" s="7">
        <v>0.39285830509250746</v>
      </c>
      <c r="W26" s="7">
        <v>8.1726549717313982E-2</v>
      </c>
      <c r="X26" s="8">
        <v>0</v>
      </c>
      <c r="Y26" s="8">
        <v>1</v>
      </c>
      <c r="Z26" s="8">
        <v>70</v>
      </c>
      <c r="AA26" s="7">
        <v>0.36973415314388186</v>
      </c>
      <c r="AB26" s="7">
        <v>3.9118517324785274E-2</v>
      </c>
      <c r="AC26" s="8">
        <v>0</v>
      </c>
      <c r="AD26" s="8">
        <v>1</v>
      </c>
      <c r="AE26" s="8">
        <v>289</v>
      </c>
      <c r="AF26">
        <f>(AA27/AA25)-AA26</f>
        <v>-2.6989745056828829E-2</v>
      </c>
    </row>
    <row r="27" spans="1:32" ht="14.25" customHeight="1" x14ac:dyDescent="0.45">
      <c r="A27" s="6" t="s">
        <v>29</v>
      </c>
      <c r="B27" s="7">
        <v>0.29580870245528007</v>
      </c>
      <c r="C27" s="7">
        <v>0.11556730122910758</v>
      </c>
      <c r="D27" s="8">
        <v>0</v>
      </c>
      <c r="E27" s="8">
        <v>1</v>
      </c>
      <c r="F27" s="8">
        <v>30</v>
      </c>
      <c r="G27" s="7">
        <v>0.20395713984058791</v>
      </c>
      <c r="H27" s="7">
        <v>5.6648529290665377E-2</v>
      </c>
      <c r="I27" s="8">
        <v>0</v>
      </c>
      <c r="J27" s="8">
        <v>1</v>
      </c>
      <c r="K27" s="8">
        <v>61</v>
      </c>
      <c r="L27" s="7">
        <v>0.31837939371197077</v>
      </c>
      <c r="M27" s="7">
        <v>7.3024189075486148E-2</v>
      </c>
      <c r="N27" s="8">
        <v>0</v>
      </c>
      <c r="O27" s="8">
        <v>1</v>
      </c>
      <c r="P27" s="8">
        <v>55</v>
      </c>
      <c r="Q27" s="7">
        <v>0.47684376044114823</v>
      </c>
      <c r="R27" s="7">
        <v>8.0389059715872402E-2</v>
      </c>
      <c r="S27" s="8">
        <v>0</v>
      </c>
      <c r="T27" s="8">
        <v>1</v>
      </c>
      <c r="U27" s="8">
        <v>73</v>
      </c>
      <c r="V27" s="7">
        <v>0.26276820887923014</v>
      </c>
      <c r="W27" s="7">
        <v>7.1797948688021973E-2</v>
      </c>
      <c r="X27" s="8">
        <v>0</v>
      </c>
      <c r="Y27" s="8">
        <v>1</v>
      </c>
      <c r="Z27" s="8">
        <v>70</v>
      </c>
      <c r="AA27" s="7">
        <v>0.3093491806752835</v>
      </c>
      <c r="AB27" s="7">
        <v>3.7535656706911988E-2</v>
      </c>
      <c r="AC27" s="8">
        <v>0</v>
      </c>
      <c r="AD27" s="8">
        <v>1</v>
      </c>
      <c r="AE27" s="8">
        <v>289</v>
      </c>
    </row>
    <row r="28" spans="1:32" ht="14.25" customHeight="1" x14ac:dyDescent="0.45">
      <c r="A28" s="6" t="s">
        <v>13</v>
      </c>
      <c r="B28" s="7">
        <v>1</v>
      </c>
      <c r="C28" s="7">
        <v>0</v>
      </c>
      <c r="D28" s="8">
        <v>1</v>
      </c>
      <c r="E28" s="8">
        <v>1</v>
      </c>
      <c r="F28" s="8">
        <v>30</v>
      </c>
      <c r="G28" s="7">
        <v>1</v>
      </c>
      <c r="H28" s="7">
        <v>0</v>
      </c>
      <c r="I28" s="8">
        <v>1</v>
      </c>
      <c r="J28" s="8">
        <v>1</v>
      </c>
      <c r="K28" s="8">
        <v>61</v>
      </c>
      <c r="L28" s="7">
        <v>0.91273973144918197</v>
      </c>
      <c r="M28" s="7">
        <v>4.319113358653754E-2</v>
      </c>
      <c r="N28" s="8">
        <v>0</v>
      </c>
      <c r="O28" s="8">
        <v>1</v>
      </c>
      <c r="P28" s="8">
        <v>55</v>
      </c>
      <c r="Q28" s="7">
        <v>0.77029310785616811</v>
      </c>
      <c r="R28" s="7">
        <v>7.3163174208025594E-2</v>
      </c>
      <c r="S28" s="8">
        <v>0</v>
      </c>
      <c r="T28" s="8">
        <v>1</v>
      </c>
      <c r="U28" s="8">
        <v>73</v>
      </c>
      <c r="V28" s="7">
        <v>0.65853670824982258</v>
      </c>
      <c r="W28" s="7">
        <v>7.8725051637174762E-2</v>
      </c>
      <c r="X28" s="8">
        <v>0</v>
      </c>
      <c r="Y28" s="8">
        <v>1</v>
      </c>
      <c r="Z28" s="8">
        <v>70</v>
      </c>
      <c r="AA28" s="7">
        <v>0.90256521587571004</v>
      </c>
      <c r="AB28" s="7">
        <v>2.3248102112366418E-2</v>
      </c>
      <c r="AC28" s="8">
        <v>0</v>
      </c>
      <c r="AD28" s="8">
        <v>1</v>
      </c>
      <c r="AE28" s="8">
        <v>289</v>
      </c>
      <c r="AF28">
        <f>(AA30/AA29)-AA28</f>
        <v>-8.2293034385150343E-2</v>
      </c>
    </row>
    <row r="29" spans="1:32" ht="14.25" customHeight="1" x14ac:dyDescent="0.45">
      <c r="A29" s="6" t="s">
        <v>30</v>
      </c>
      <c r="B29" s="7">
        <v>0.33752245897600625</v>
      </c>
      <c r="C29" s="7">
        <v>0.11421269389473675</v>
      </c>
      <c r="D29" s="8">
        <v>0</v>
      </c>
      <c r="E29" s="8">
        <v>1</v>
      </c>
      <c r="F29" s="8">
        <v>30</v>
      </c>
      <c r="G29" s="7">
        <v>3.47823883784288E-2</v>
      </c>
      <c r="H29" s="7">
        <v>2.0826951859673284E-2</v>
      </c>
      <c r="I29" s="8">
        <v>0</v>
      </c>
      <c r="J29" s="8">
        <v>1</v>
      </c>
      <c r="K29" s="8">
        <v>61</v>
      </c>
      <c r="L29" s="7">
        <v>0.25440927475559394</v>
      </c>
      <c r="M29" s="7">
        <v>6.7546806564124665E-2</v>
      </c>
      <c r="N29" s="8">
        <v>0</v>
      </c>
      <c r="O29" s="8">
        <v>1</v>
      </c>
      <c r="P29" s="8">
        <v>55</v>
      </c>
      <c r="Q29" s="7">
        <v>0.16955220211261907</v>
      </c>
      <c r="R29" s="7">
        <v>6.9237651596625663E-2</v>
      </c>
      <c r="S29" s="8">
        <v>0</v>
      </c>
      <c r="T29" s="8">
        <v>1</v>
      </c>
      <c r="U29" s="8">
        <v>73</v>
      </c>
      <c r="V29" s="7">
        <v>0.24138127307771998</v>
      </c>
      <c r="W29" s="7">
        <v>8.0661368122113081E-2</v>
      </c>
      <c r="X29" s="8">
        <v>0</v>
      </c>
      <c r="Y29" s="8">
        <v>1</v>
      </c>
      <c r="Z29" s="8">
        <v>70</v>
      </c>
      <c r="AA29" s="7">
        <v>0.17781334922507863</v>
      </c>
      <c r="AB29" s="7">
        <v>3.2459593105481063E-2</v>
      </c>
      <c r="AC29" s="8">
        <v>0</v>
      </c>
      <c r="AD29" s="8">
        <v>1</v>
      </c>
      <c r="AE29" s="8">
        <v>289</v>
      </c>
      <c r="AF29">
        <f>(AA30/AA28)-AA29</f>
        <v>-1.6212457343285414E-2</v>
      </c>
    </row>
    <row r="30" spans="1:32" ht="26.25" customHeight="1" x14ac:dyDescent="0.45">
      <c r="A30" s="6" t="s">
        <v>31</v>
      </c>
      <c r="B30" s="7">
        <v>0.33752245897600625</v>
      </c>
      <c r="C30" s="7">
        <v>0.11421269389473675</v>
      </c>
      <c r="D30" s="8">
        <v>0</v>
      </c>
      <c r="E30" s="8">
        <v>1</v>
      </c>
      <c r="F30" s="8">
        <v>30</v>
      </c>
      <c r="G30" s="7">
        <v>3.47823883784288E-2</v>
      </c>
      <c r="H30" s="7">
        <v>2.0826951859673284E-2</v>
      </c>
      <c r="I30" s="8">
        <v>0</v>
      </c>
      <c r="J30" s="8">
        <v>1</v>
      </c>
      <c r="K30" s="8">
        <v>61</v>
      </c>
      <c r="L30" s="7">
        <v>0.21534709504030217</v>
      </c>
      <c r="M30" s="7">
        <v>6.424529744560141E-2</v>
      </c>
      <c r="N30" s="8">
        <v>0</v>
      </c>
      <c r="O30" s="8">
        <v>1</v>
      </c>
      <c r="P30" s="8">
        <v>55</v>
      </c>
      <c r="Q30" s="7">
        <v>0.1039320504573579</v>
      </c>
      <c r="R30" s="7">
        <v>4.0808440056006888E-2</v>
      </c>
      <c r="S30" s="8">
        <v>0</v>
      </c>
      <c r="T30" s="8">
        <v>1</v>
      </c>
      <c r="U30" s="8">
        <v>73</v>
      </c>
      <c r="V30" s="7">
        <v>0.16804485421374224</v>
      </c>
      <c r="W30" s="7">
        <v>7.335666351071958E-2</v>
      </c>
      <c r="X30" s="8">
        <v>0</v>
      </c>
      <c r="Y30" s="8">
        <v>1</v>
      </c>
      <c r="Z30" s="8">
        <v>70</v>
      </c>
      <c r="AA30" s="7">
        <v>0.14585534386699797</v>
      </c>
      <c r="AB30" s="7">
        <v>2.9416603884587344E-2</v>
      </c>
      <c r="AC30" s="8">
        <v>0</v>
      </c>
      <c r="AD30" s="8">
        <v>1</v>
      </c>
      <c r="AE30" s="8">
        <v>289</v>
      </c>
    </row>
    <row r="31" spans="1:32" ht="14.25" customHeight="1" x14ac:dyDescent="0.45">
      <c r="A31" s="6" t="s">
        <v>13</v>
      </c>
      <c r="B31" s="7">
        <v>1</v>
      </c>
      <c r="C31" s="7">
        <v>0</v>
      </c>
      <c r="D31" s="8">
        <v>1</v>
      </c>
      <c r="E31" s="8">
        <v>1</v>
      </c>
      <c r="F31" s="8">
        <v>30</v>
      </c>
      <c r="G31" s="7">
        <v>1</v>
      </c>
      <c r="H31" s="7">
        <v>0</v>
      </c>
      <c r="I31" s="8">
        <v>1</v>
      </c>
      <c r="J31" s="8">
        <v>1</v>
      </c>
      <c r="K31" s="8">
        <v>61</v>
      </c>
      <c r="L31" s="7">
        <v>0.91273973144918197</v>
      </c>
      <c r="M31" s="7">
        <v>4.319113358653754E-2</v>
      </c>
      <c r="N31" s="8">
        <v>0</v>
      </c>
      <c r="O31" s="8">
        <v>1</v>
      </c>
      <c r="P31" s="8">
        <v>55</v>
      </c>
      <c r="Q31" s="7">
        <v>0.77029310785616811</v>
      </c>
      <c r="R31" s="7">
        <v>7.3163174208025594E-2</v>
      </c>
      <c r="S31" s="8">
        <v>0</v>
      </c>
      <c r="T31" s="8">
        <v>1</v>
      </c>
      <c r="U31" s="8">
        <v>73</v>
      </c>
      <c r="V31" s="7">
        <v>0.65853670824982258</v>
      </c>
      <c r="W31" s="7">
        <v>7.8725051637174762E-2</v>
      </c>
      <c r="X31" s="8">
        <v>0</v>
      </c>
      <c r="Y31" s="8">
        <v>1</v>
      </c>
      <c r="Z31" s="8">
        <v>70</v>
      </c>
      <c r="AA31" s="7">
        <v>0.90256521587571004</v>
      </c>
      <c r="AB31" s="7">
        <v>2.3248102112366418E-2</v>
      </c>
      <c r="AC31" s="8">
        <v>0</v>
      </c>
      <c r="AD31" s="8">
        <v>1</v>
      </c>
      <c r="AE31" s="8">
        <v>289</v>
      </c>
      <c r="AF31">
        <f>(AA33/AA32)-AA31</f>
        <v>4.0610056419763341E-2</v>
      </c>
    </row>
    <row r="32" spans="1:32" ht="14.25" customHeight="1" x14ac:dyDescent="0.45">
      <c r="A32" s="6" t="s">
        <v>32</v>
      </c>
      <c r="B32" s="7">
        <v>0.8807183467855858</v>
      </c>
      <c r="C32" s="7">
        <v>5.8279938603113868E-2</v>
      </c>
      <c r="D32" s="8">
        <v>0</v>
      </c>
      <c r="E32" s="8">
        <v>1</v>
      </c>
      <c r="F32" s="8">
        <v>30</v>
      </c>
      <c r="G32" s="7">
        <v>0.54094050078981271</v>
      </c>
      <c r="H32" s="7">
        <v>7.1173712714800094E-2</v>
      </c>
      <c r="I32" s="8">
        <v>0</v>
      </c>
      <c r="J32" s="8">
        <v>1</v>
      </c>
      <c r="K32" s="8">
        <v>61</v>
      </c>
      <c r="L32" s="7">
        <v>0.48346140944352428</v>
      </c>
      <c r="M32" s="7">
        <v>7.6685026228219974E-2</v>
      </c>
      <c r="N32" s="8">
        <v>0</v>
      </c>
      <c r="O32" s="8">
        <v>1</v>
      </c>
      <c r="P32" s="8">
        <v>55</v>
      </c>
      <c r="Q32" s="7">
        <v>0.44134588510507772</v>
      </c>
      <c r="R32" s="7">
        <v>8.0894115891955082E-2</v>
      </c>
      <c r="S32" s="8">
        <v>0</v>
      </c>
      <c r="T32" s="8">
        <v>1</v>
      </c>
      <c r="U32" s="8">
        <v>73</v>
      </c>
      <c r="V32" s="7">
        <v>0.20063141493586031</v>
      </c>
      <c r="W32" s="7">
        <v>6.9153247809359233E-2</v>
      </c>
      <c r="X32" s="8">
        <v>0</v>
      </c>
      <c r="Y32" s="8">
        <v>1</v>
      </c>
      <c r="Z32" s="8">
        <v>70</v>
      </c>
      <c r="AA32" s="7">
        <v>0.50135235214164198</v>
      </c>
      <c r="AB32" s="7">
        <v>4.0501737834490306E-2</v>
      </c>
      <c r="AC32" s="8">
        <v>0</v>
      </c>
      <c r="AD32" s="8">
        <v>1</v>
      </c>
      <c r="AE32" s="8">
        <v>289</v>
      </c>
      <c r="AF32">
        <f>(AA33/AA31)-AA32</f>
        <v>2.2557868338521136E-2</v>
      </c>
    </row>
    <row r="33" spans="1:32" ht="14.25" customHeight="1" x14ac:dyDescent="0.45">
      <c r="A33" s="6" t="s">
        <v>33</v>
      </c>
      <c r="B33" s="7">
        <v>0.8807183467855858</v>
      </c>
      <c r="C33" s="7">
        <v>5.8279938603113868E-2</v>
      </c>
      <c r="D33" s="8">
        <v>0</v>
      </c>
      <c r="E33" s="8">
        <v>1</v>
      </c>
      <c r="F33" s="8">
        <v>30</v>
      </c>
      <c r="G33" s="7">
        <v>0.54094050078981271</v>
      </c>
      <c r="H33" s="7">
        <v>7.1173712714800094E-2</v>
      </c>
      <c r="I33" s="8">
        <v>0</v>
      </c>
      <c r="J33" s="8">
        <v>1</v>
      </c>
      <c r="K33" s="8">
        <v>61</v>
      </c>
      <c r="L33" s="7">
        <v>0.43165243057675662</v>
      </c>
      <c r="M33" s="7">
        <v>7.5221880869572988E-2</v>
      </c>
      <c r="N33" s="8">
        <v>0</v>
      </c>
      <c r="O33" s="8">
        <v>1</v>
      </c>
      <c r="P33" s="8">
        <v>55</v>
      </c>
      <c r="Q33" s="7">
        <v>0.40775330451183517</v>
      </c>
      <c r="R33" s="7">
        <v>8.0749291676899565E-2</v>
      </c>
      <c r="S33" s="8">
        <v>0</v>
      </c>
      <c r="T33" s="8">
        <v>1</v>
      </c>
      <c r="U33" s="8">
        <v>73</v>
      </c>
      <c r="V33" s="7">
        <v>0.16928432537423221</v>
      </c>
      <c r="W33" s="7">
        <v>6.7705297644247014E-2</v>
      </c>
      <c r="X33" s="8">
        <v>0</v>
      </c>
      <c r="Y33" s="8">
        <v>1</v>
      </c>
      <c r="Z33" s="8">
        <v>70</v>
      </c>
      <c r="AA33" s="7">
        <v>0.47286314124716922</v>
      </c>
      <c r="AB33" s="7">
        <v>4.0283567812352851E-2</v>
      </c>
      <c r="AC33" s="8">
        <v>0</v>
      </c>
      <c r="AD33" s="8">
        <v>1</v>
      </c>
      <c r="AE33" s="8">
        <v>289</v>
      </c>
    </row>
    <row r="34" spans="1:32" ht="14.25" customHeight="1" x14ac:dyDescent="0.45">
      <c r="A34" s="6" t="s">
        <v>13</v>
      </c>
      <c r="B34" s="7">
        <v>1</v>
      </c>
      <c r="C34" s="7">
        <v>0</v>
      </c>
      <c r="D34" s="8">
        <v>1</v>
      </c>
      <c r="E34" s="8">
        <v>1</v>
      </c>
      <c r="F34" s="8">
        <v>30</v>
      </c>
      <c r="G34" s="7">
        <v>1</v>
      </c>
      <c r="H34" s="7">
        <v>0</v>
      </c>
      <c r="I34" s="8">
        <v>1</v>
      </c>
      <c r="J34" s="8">
        <v>1</v>
      </c>
      <c r="K34" s="8">
        <v>61</v>
      </c>
      <c r="L34" s="7">
        <v>0.91273973144918197</v>
      </c>
      <c r="M34" s="7">
        <v>4.319113358653754E-2</v>
      </c>
      <c r="N34" s="8">
        <v>0</v>
      </c>
      <c r="O34" s="8">
        <v>1</v>
      </c>
      <c r="P34" s="8">
        <v>55</v>
      </c>
      <c r="Q34" s="7">
        <v>0.77029310785616811</v>
      </c>
      <c r="R34" s="7">
        <v>7.3163174208025594E-2</v>
      </c>
      <c r="S34" s="8">
        <v>0</v>
      </c>
      <c r="T34" s="8">
        <v>1</v>
      </c>
      <c r="U34" s="8">
        <v>73</v>
      </c>
      <c r="V34" s="7">
        <v>0.65853670824982258</v>
      </c>
      <c r="W34" s="7">
        <v>7.8725051637174762E-2</v>
      </c>
      <c r="X34" s="8">
        <v>0</v>
      </c>
      <c r="Y34" s="8">
        <v>1</v>
      </c>
      <c r="Z34" s="8">
        <v>70</v>
      </c>
      <c r="AA34" s="7">
        <v>0.90256521587571004</v>
      </c>
      <c r="AB34" s="7">
        <v>2.3248102112366418E-2</v>
      </c>
      <c r="AC34" s="8">
        <v>0</v>
      </c>
      <c r="AD34" s="8">
        <v>1</v>
      </c>
      <c r="AE34" s="8">
        <v>289</v>
      </c>
      <c r="AF34">
        <f>(AA36/AA35)-AA34</f>
        <v>3.7045838161333999E-2</v>
      </c>
    </row>
    <row r="35" spans="1:32" ht="14.25" customHeight="1" x14ac:dyDescent="0.45">
      <c r="A35" s="6" t="s">
        <v>34</v>
      </c>
      <c r="B35" s="7">
        <v>0.4894319374513672</v>
      </c>
      <c r="C35" s="7">
        <v>0.10893259880381885</v>
      </c>
      <c r="D35" s="8">
        <v>0</v>
      </c>
      <c r="E35" s="8">
        <v>1</v>
      </c>
      <c r="F35" s="8">
        <v>30</v>
      </c>
      <c r="G35" s="7">
        <v>0.44872874557568304</v>
      </c>
      <c r="H35" s="7">
        <v>7.0135939137786235E-2</v>
      </c>
      <c r="I35" s="8">
        <v>0</v>
      </c>
      <c r="J35" s="8">
        <v>1</v>
      </c>
      <c r="K35" s="8">
        <v>61</v>
      </c>
      <c r="L35" s="7">
        <v>0.44597262530741871</v>
      </c>
      <c r="M35" s="7">
        <v>7.6059185228833259E-2</v>
      </c>
      <c r="N35" s="8">
        <v>0</v>
      </c>
      <c r="O35" s="8">
        <v>1</v>
      </c>
      <c r="P35" s="8">
        <v>55</v>
      </c>
      <c r="Q35" s="7">
        <v>0.33484401603436165</v>
      </c>
      <c r="R35" s="7">
        <v>8.021197421991548E-2</v>
      </c>
      <c r="S35" s="8">
        <v>0</v>
      </c>
      <c r="T35" s="8">
        <v>1</v>
      </c>
      <c r="U35" s="8">
        <v>73</v>
      </c>
      <c r="V35" s="7">
        <v>0.18261413580493294</v>
      </c>
      <c r="W35" s="7">
        <v>6.8799354339987712E-2</v>
      </c>
      <c r="X35" s="8">
        <v>0</v>
      </c>
      <c r="Y35" s="8">
        <v>1</v>
      </c>
      <c r="Z35" s="8">
        <v>70</v>
      </c>
      <c r="AA35" s="7">
        <v>0.4132225092291546</v>
      </c>
      <c r="AB35" s="7">
        <v>3.9940293908986763E-2</v>
      </c>
      <c r="AC35" s="8">
        <v>0</v>
      </c>
      <c r="AD35" s="8">
        <v>1</v>
      </c>
      <c r="AE35" s="8">
        <v>289</v>
      </c>
      <c r="AF35">
        <f>(AA36/AA34)-AA35</f>
        <v>1.6960740268137764E-2</v>
      </c>
    </row>
    <row r="36" spans="1:32" ht="26.25" customHeight="1" x14ac:dyDescent="0.45">
      <c r="A36" s="6" t="s">
        <v>35</v>
      </c>
      <c r="B36" s="7">
        <v>0.4894319374513672</v>
      </c>
      <c r="C36" s="7">
        <v>0.10893259880381885</v>
      </c>
      <c r="D36" s="8">
        <v>0</v>
      </c>
      <c r="E36" s="8">
        <v>1</v>
      </c>
      <c r="F36" s="8">
        <v>30</v>
      </c>
      <c r="G36" s="7">
        <v>0.44872874557568304</v>
      </c>
      <c r="H36" s="7">
        <v>7.0135939137786235E-2</v>
      </c>
      <c r="I36" s="8">
        <v>0</v>
      </c>
      <c r="J36" s="8">
        <v>1</v>
      </c>
      <c r="K36" s="8">
        <v>61</v>
      </c>
      <c r="L36" s="7">
        <v>0.39416364644065105</v>
      </c>
      <c r="M36" s="7">
        <v>7.4143245762085072E-2</v>
      </c>
      <c r="N36" s="8">
        <v>0</v>
      </c>
      <c r="O36" s="8">
        <v>1</v>
      </c>
      <c r="P36" s="8">
        <v>55</v>
      </c>
      <c r="Q36" s="7">
        <v>0.3182125134601968</v>
      </c>
      <c r="R36" s="7">
        <v>8.0213697897336025E-2</v>
      </c>
      <c r="S36" s="8">
        <v>0</v>
      </c>
      <c r="T36" s="8">
        <v>1</v>
      </c>
      <c r="U36" s="8">
        <v>73</v>
      </c>
      <c r="V36" s="7">
        <v>0.15734030682478442</v>
      </c>
      <c r="W36" s="7">
        <v>6.7579911086224978E-2</v>
      </c>
      <c r="X36" s="8">
        <v>0</v>
      </c>
      <c r="Y36" s="8">
        <v>1</v>
      </c>
      <c r="Z36" s="8">
        <v>70</v>
      </c>
      <c r="AA36" s="7">
        <v>0.38826843744863809</v>
      </c>
      <c r="AB36" s="7">
        <v>3.940325954688928E-2</v>
      </c>
      <c r="AC36" s="8">
        <v>0</v>
      </c>
      <c r="AD36" s="8">
        <v>1</v>
      </c>
      <c r="AE36" s="8">
        <v>289</v>
      </c>
    </row>
    <row r="37" spans="1:32" ht="14.25" customHeight="1" x14ac:dyDescent="0.45">
      <c r="A37" s="6" t="s">
        <v>13</v>
      </c>
      <c r="B37" s="7">
        <v>1</v>
      </c>
      <c r="C37" s="7">
        <v>0</v>
      </c>
      <c r="D37" s="8">
        <v>1</v>
      </c>
      <c r="E37" s="8">
        <v>1</v>
      </c>
      <c r="F37" s="8">
        <v>30</v>
      </c>
      <c r="G37" s="7">
        <v>1</v>
      </c>
      <c r="H37" s="7">
        <v>0</v>
      </c>
      <c r="I37" s="8">
        <v>1</v>
      </c>
      <c r="J37" s="8">
        <v>1</v>
      </c>
      <c r="K37" s="8">
        <v>61</v>
      </c>
      <c r="L37" s="7">
        <v>0.91273973144918197</v>
      </c>
      <c r="M37" s="7">
        <v>4.319113358653754E-2</v>
      </c>
      <c r="N37" s="8">
        <v>0</v>
      </c>
      <c r="O37" s="8">
        <v>1</v>
      </c>
      <c r="P37" s="8">
        <v>55</v>
      </c>
      <c r="Q37" s="7">
        <v>0.77029310785616811</v>
      </c>
      <c r="R37" s="7">
        <v>7.3163174208025594E-2</v>
      </c>
      <c r="S37" s="8">
        <v>0</v>
      </c>
      <c r="T37" s="8">
        <v>1</v>
      </c>
      <c r="U37" s="8">
        <v>73</v>
      </c>
      <c r="V37" s="7">
        <v>0.65853670824982258</v>
      </c>
      <c r="W37" s="7">
        <v>7.8725051637174762E-2</v>
      </c>
      <c r="X37" s="8">
        <v>0</v>
      </c>
      <c r="Y37" s="8">
        <v>1</v>
      </c>
      <c r="Z37" s="8">
        <v>70</v>
      </c>
      <c r="AA37" s="7">
        <v>0.90256521587571004</v>
      </c>
      <c r="AB37" s="7">
        <v>2.3248102112366418E-2</v>
      </c>
      <c r="AC37" s="8">
        <v>0</v>
      </c>
      <c r="AD37" s="8">
        <v>1</v>
      </c>
      <c r="AE37" s="8">
        <v>289</v>
      </c>
      <c r="AF37">
        <f>(AA39/AA38)-AA37</f>
        <v>2.945249274547479E-2</v>
      </c>
    </row>
    <row r="38" spans="1:32" ht="14.25" customHeight="1" x14ac:dyDescent="0.45">
      <c r="A38" s="6" t="s">
        <v>36</v>
      </c>
      <c r="B38" s="7">
        <v>0.72893239565623269</v>
      </c>
      <c r="C38" s="7">
        <v>8.902381100148167E-2</v>
      </c>
      <c r="D38" s="8">
        <v>0</v>
      </c>
      <c r="E38" s="8">
        <v>1</v>
      </c>
      <c r="F38" s="8">
        <v>30</v>
      </c>
      <c r="G38" s="7">
        <v>0.32479990825338129</v>
      </c>
      <c r="H38" s="7">
        <v>6.8586146510135823E-2</v>
      </c>
      <c r="I38" s="8">
        <v>0</v>
      </c>
      <c r="J38" s="8">
        <v>1</v>
      </c>
      <c r="K38" s="8">
        <v>61</v>
      </c>
      <c r="L38" s="7">
        <v>0.15180128791918751</v>
      </c>
      <c r="M38" s="7">
        <v>5.7394585526529353E-2</v>
      </c>
      <c r="N38" s="8">
        <v>0</v>
      </c>
      <c r="O38" s="8">
        <v>1</v>
      </c>
      <c r="P38" s="8">
        <v>55</v>
      </c>
      <c r="Q38" s="7">
        <v>0.33816527182499029</v>
      </c>
      <c r="R38" s="7">
        <v>7.9496187777029978E-2</v>
      </c>
      <c r="S38" s="8">
        <v>0</v>
      </c>
      <c r="T38" s="8">
        <v>1</v>
      </c>
      <c r="U38" s="8">
        <v>73</v>
      </c>
      <c r="V38" s="7">
        <v>0.26911799543093445</v>
      </c>
      <c r="W38" s="7">
        <v>7.1124564652368341E-2</v>
      </c>
      <c r="X38" s="8">
        <v>0</v>
      </c>
      <c r="Y38" s="8">
        <v>1</v>
      </c>
      <c r="Z38" s="8">
        <v>70</v>
      </c>
      <c r="AA38" s="7">
        <v>0.28189538649826235</v>
      </c>
      <c r="AB38" s="7">
        <v>3.5929536319725487E-2</v>
      </c>
      <c r="AC38" s="8">
        <v>0</v>
      </c>
      <c r="AD38" s="8">
        <v>1</v>
      </c>
      <c r="AE38" s="8">
        <v>289</v>
      </c>
      <c r="AF38">
        <f>(AA39/AA37)-AA38</f>
        <v>9.1988054489418603E-3</v>
      </c>
    </row>
    <row r="39" spans="1:32" ht="14.25" customHeight="1" x14ac:dyDescent="0.45">
      <c r="A39" s="6" t="s">
        <v>37</v>
      </c>
      <c r="B39" s="7">
        <v>0.72893239565623269</v>
      </c>
      <c r="C39" s="7">
        <v>8.902381100148167E-2</v>
      </c>
      <c r="D39" s="8">
        <v>0</v>
      </c>
      <c r="E39" s="8">
        <v>1</v>
      </c>
      <c r="F39" s="8">
        <v>30</v>
      </c>
      <c r="G39" s="7">
        <v>0.32479990825338129</v>
      </c>
      <c r="H39" s="7">
        <v>6.8586146510135823E-2</v>
      </c>
      <c r="I39" s="8">
        <v>0</v>
      </c>
      <c r="J39" s="8">
        <v>1</v>
      </c>
      <c r="K39" s="8">
        <v>61</v>
      </c>
      <c r="L39" s="7">
        <v>0.15180128791918751</v>
      </c>
      <c r="M39" s="7">
        <v>5.7394585526529353E-2</v>
      </c>
      <c r="N39" s="8">
        <v>0</v>
      </c>
      <c r="O39" s="8">
        <v>1</v>
      </c>
      <c r="P39" s="8">
        <v>55</v>
      </c>
      <c r="Q39" s="7">
        <v>0.26236745817611284</v>
      </c>
      <c r="R39" s="7">
        <v>7.6696457806148172E-2</v>
      </c>
      <c r="S39" s="8">
        <v>0</v>
      </c>
      <c r="T39" s="8">
        <v>1</v>
      </c>
      <c r="U39" s="8">
        <v>73</v>
      </c>
      <c r="V39" s="7">
        <v>0.18490296079323174</v>
      </c>
      <c r="W39" s="7">
        <v>5.8299577625769518E-2</v>
      </c>
      <c r="X39" s="8">
        <v>0</v>
      </c>
      <c r="Y39" s="8">
        <v>1</v>
      </c>
      <c r="Z39" s="8">
        <v>70</v>
      </c>
      <c r="AA39" s="7">
        <v>0.26273149219499375</v>
      </c>
      <c r="AB39" s="7">
        <v>3.5477448892027169E-2</v>
      </c>
      <c r="AC39" s="8">
        <v>0</v>
      </c>
      <c r="AD39" s="8">
        <v>1</v>
      </c>
      <c r="AE39" s="8">
        <v>289</v>
      </c>
    </row>
    <row r="40" spans="1:32" ht="14.25" customHeight="1" x14ac:dyDescent="0.45">
      <c r="A40" s="6" t="s">
        <v>13</v>
      </c>
      <c r="B40" s="7">
        <v>1</v>
      </c>
      <c r="C40" s="7">
        <v>0</v>
      </c>
      <c r="D40" s="8">
        <v>1</v>
      </c>
      <c r="E40" s="8">
        <v>1</v>
      </c>
      <c r="F40" s="8">
        <v>30</v>
      </c>
      <c r="G40" s="7">
        <v>1</v>
      </c>
      <c r="H40" s="7">
        <v>0</v>
      </c>
      <c r="I40" s="8">
        <v>1</v>
      </c>
      <c r="J40" s="8">
        <v>1</v>
      </c>
      <c r="K40" s="8">
        <v>61</v>
      </c>
      <c r="L40" s="7">
        <v>0.91273973144918197</v>
      </c>
      <c r="M40" s="7">
        <v>4.319113358653754E-2</v>
      </c>
      <c r="N40" s="8">
        <v>0</v>
      </c>
      <c r="O40" s="8">
        <v>1</v>
      </c>
      <c r="P40" s="8">
        <v>55</v>
      </c>
      <c r="Q40" s="7">
        <v>0.77029310785616811</v>
      </c>
      <c r="R40" s="7">
        <v>7.3163174208025594E-2</v>
      </c>
      <c r="S40" s="8">
        <v>0</v>
      </c>
      <c r="T40" s="8">
        <v>1</v>
      </c>
      <c r="U40" s="8">
        <v>73</v>
      </c>
      <c r="V40" s="7">
        <v>0.65853670824982258</v>
      </c>
      <c r="W40" s="7">
        <v>7.8725051637174762E-2</v>
      </c>
      <c r="X40" s="8">
        <v>0</v>
      </c>
      <c r="Y40" s="8">
        <v>1</v>
      </c>
      <c r="Z40" s="8">
        <v>70</v>
      </c>
      <c r="AA40" s="7">
        <v>0.90256521587571004</v>
      </c>
      <c r="AB40" s="7">
        <v>2.3248102112366418E-2</v>
      </c>
      <c r="AC40" s="8">
        <v>0</v>
      </c>
      <c r="AD40" s="8">
        <v>1</v>
      </c>
      <c r="AE40" s="8">
        <v>289</v>
      </c>
      <c r="AF40">
        <f>(AA42/AA41)-AA40</f>
        <v>7.9491929701157593E-3</v>
      </c>
    </row>
    <row r="41" spans="1:32" ht="26.25" customHeight="1" x14ac:dyDescent="0.45">
      <c r="A41" s="6" t="s">
        <v>38</v>
      </c>
      <c r="B41" s="7">
        <v>0.71998796435535706</v>
      </c>
      <c r="C41" s="7">
        <v>0.11311854104787832</v>
      </c>
      <c r="D41" s="8">
        <v>0</v>
      </c>
      <c r="E41" s="8">
        <v>1</v>
      </c>
      <c r="F41" s="8">
        <v>30</v>
      </c>
      <c r="G41" s="7">
        <v>0.8042407061751119</v>
      </c>
      <c r="H41" s="7">
        <v>5.6411702520922181E-2</v>
      </c>
      <c r="I41" s="8">
        <v>0</v>
      </c>
      <c r="J41" s="8">
        <v>1</v>
      </c>
      <c r="K41" s="8">
        <v>61</v>
      </c>
      <c r="L41" s="7">
        <v>0.89270195125097485</v>
      </c>
      <c r="M41" s="7">
        <v>4.2121950331173691E-2</v>
      </c>
      <c r="N41" s="8">
        <v>0</v>
      </c>
      <c r="O41" s="8">
        <v>1</v>
      </c>
      <c r="P41" s="8">
        <v>55</v>
      </c>
      <c r="Q41" s="7">
        <v>0.78205413715993244</v>
      </c>
      <c r="R41" s="7">
        <v>7.4169259039094562E-2</v>
      </c>
      <c r="S41" s="8">
        <v>0</v>
      </c>
      <c r="T41" s="8">
        <v>1</v>
      </c>
      <c r="U41" s="8">
        <v>73</v>
      </c>
      <c r="V41" s="7">
        <v>0.46181897480982365</v>
      </c>
      <c r="W41" s="7">
        <v>8.6350561884418128E-2</v>
      </c>
      <c r="X41" s="8">
        <v>0</v>
      </c>
      <c r="Y41" s="8">
        <v>1</v>
      </c>
      <c r="Z41" s="8">
        <v>70</v>
      </c>
      <c r="AA41" s="7">
        <v>0.80925310000793194</v>
      </c>
      <c r="AB41" s="7">
        <v>2.96741507605978E-2</v>
      </c>
      <c r="AC41" s="8">
        <v>0</v>
      </c>
      <c r="AD41" s="8">
        <v>1</v>
      </c>
      <c r="AE41" s="8">
        <v>289</v>
      </c>
      <c r="AF41">
        <f>(AA42/AA40)-AA41</f>
        <v>7.1273620348707434E-3</v>
      </c>
    </row>
    <row r="42" spans="1:32" ht="26.25" customHeight="1" x14ac:dyDescent="0.45">
      <c r="A42" s="6" t="s">
        <v>39</v>
      </c>
      <c r="B42" s="7">
        <v>0.71998796435535706</v>
      </c>
      <c r="C42" s="7">
        <v>0.11311854104787832</v>
      </c>
      <c r="D42" s="8">
        <v>0</v>
      </c>
      <c r="E42" s="8">
        <v>1</v>
      </c>
      <c r="F42" s="8">
        <v>30</v>
      </c>
      <c r="G42" s="7">
        <v>0.8042407061751119</v>
      </c>
      <c r="H42" s="7">
        <v>5.6411702520922181E-2</v>
      </c>
      <c r="I42" s="8">
        <v>0</v>
      </c>
      <c r="J42" s="8">
        <v>1</v>
      </c>
      <c r="K42" s="8">
        <v>61</v>
      </c>
      <c r="L42" s="7">
        <v>0.81907897047830813</v>
      </c>
      <c r="M42" s="7">
        <v>5.6364881488381625E-2</v>
      </c>
      <c r="N42" s="8">
        <v>0</v>
      </c>
      <c r="O42" s="8">
        <v>1</v>
      </c>
      <c r="P42" s="8">
        <v>55</v>
      </c>
      <c r="Q42" s="7">
        <v>0.58777057903747909</v>
      </c>
      <c r="R42" s="7">
        <v>8.3784810040631305E-2</v>
      </c>
      <c r="S42" s="8">
        <v>0</v>
      </c>
      <c r="T42" s="8">
        <v>1</v>
      </c>
      <c r="U42" s="8">
        <v>73</v>
      </c>
      <c r="V42" s="7">
        <v>0.34126625074290307</v>
      </c>
      <c r="W42" s="7">
        <v>8.2281737919129266E-2</v>
      </c>
      <c r="X42" s="8">
        <v>0</v>
      </c>
      <c r="Y42" s="8">
        <v>1</v>
      </c>
      <c r="Z42" s="8">
        <v>70</v>
      </c>
      <c r="AA42" s="7">
        <v>0.73683660796037409</v>
      </c>
      <c r="AB42" s="7">
        <v>3.4626368306152941E-2</v>
      </c>
      <c r="AC42" s="8">
        <v>0</v>
      </c>
      <c r="AD42" s="8">
        <v>1</v>
      </c>
      <c r="AE42" s="8">
        <v>289</v>
      </c>
    </row>
    <row r="43" spans="1:32" ht="14.25" customHeight="1" x14ac:dyDescent="0.45">
      <c r="A43" s="6" t="s">
        <v>13</v>
      </c>
      <c r="B43" s="7">
        <v>1</v>
      </c>
      <c r="C43" s="7">
        <v>0</v>
      </c>
      <c r="D43" s="8">
        <v>1</v>
      </c>
      <c r="E43" s="8">
        <v>1</v>
      </c>
      <c r="F43" s="8">
        <v>30</v>
      </c>
      <c r="G43" s="7">
        <v>1</v>
      </c>
      <c r="H43" s="7">
        <v>0</v>
      </c>
      <c r="I43" s="8">
        <v>1</v>
      </c>
      <c r="J43" s="8">
        <v>1</v>
      </c>
      <c r="K43" s="8">
        <v>61</v>
      </c>
      <c r="L43" s="7">
        <v>0.91273973144918197</v>
      </c>
      <c r="M43" s="7">
        <v>4.319113358653754E-2</v>
      </c>
      <c r="N43" s="8">
        <v>0</v>
      </c>
      <c r="O43" s="8">
        <v>1</v>
      </c>
      <c r="P43" s="8">
        <v>55</v>
      </c>
      <c r="Q43" s="7">
        <v>0.77029310785616811</v>
      </c>
      <c r="R43" s="7">
        <v>7.3163174208025594E-2</v>
      </c>
      <c r="S43" s="8">
        <v>0</v>
      </c>
      <c r="T43" s="8">
        <v>1</v>
      </c>
      <c r="U43" s="8">
        <v>73</v>
      </c>
      <c r="V43" s="7">
        <v>0.65853670824982258</v>
      </c>
      <c r="W43" s="7">
        <v>7.8725051637174762E-2</v>
      </c>
      <c r="X43" s="8">
        <v>0</v>
      </c>
      <c r="Y43" s="8">
        <v>1</v>
      </c>
      <c r="Z43" s="8">
        <v>70</v>
      </c>
      <c r="AA43" s="7">
        <v>0.90256521587571004</v>
      </c>
      <c r="AB43" s="7">
        <v>2.3248102112366418E-2</v>
      </c>
      <c r="AC43" s="8">
        <v>0</v>
      </c>
      <c r="AD43" s="8">
        <v>1</v>
      </c>
      <c r="AE43" s="8">
        <v>289</v>
      </c>
      <c r="AF43">
        <f>(AA45/AA44)-AA43</f>
        <v>-2.2148474141353125E-2</v>
      </c>
    </row>
    <row r="44" spans="1:32" ht="14.25" customHeight="1" x14ac:dyDescent="0.45">
      <c r="A44" s="6" t="s">
        <v>40</v>
      </c>
      <c r="B44" s="7">
        <v>0.29691007821421939</v>
      </c>
      <c r="C44" s="7">
        <v>9.0434299454504388E-2</v>
      </c>
      <c r="D44" s="8">
        <v>0</v>
      </c>
      <c r="E44" s="8">
        <v>1</v>
      </c>
      <c r="F44" s="8">
        <v>30</v>
      </c>
      <c r="G44" s="7">
        <v>0.47852637519700286</v>
      </c>
      <c r="H44" s="7">
        <v>7.0841094266787655E-2</v>
      </c>
      <c r="I44" s="8">
        <v>0</v>
      </c>
      <c r="J44" s="8">
        <v>1</v>
      </c>
      <c r="K44" s="8">
        <v>61</v>
      </c>
      <c r="L44" s="7">
        <v>0.65648588818467313</v>
      </c>
      <c r="M44" s="7">
        <v>7.0002600340418331E-2</v>
      </c>
      <c r="N44" s="8">
        <v>0</v>
      </c>
      <c r="O44" s="8">
        <v>1</v>
      </c>
      <c r="P44" s="8">
        <v>55</v>
      </c>
      <c r="Q44" s="7">
        <v>0.79588055624962939</v>
      </c>
      <c r="R44" s="7">
        <v>5.0588570102129408E-2</v>
      </c>
      <c r="S44" s="8">
        <v>0</v>
      </c>
      <c r="T44" s="8">
        <v>1</v>
      </c>
      <c r="U44" s="8">
        <v>73</v>
      </c>
      <c r="V44" s="7">
        <v>0.30585942795052035</v>
      </c>
      <c r="W44" s="7">
        <v>7.9216084987864505E-2</v>
      </c>
      <c r="X44" s="8">
        <v>0</v>
      </c>
      <c r="Y44" s="8">
        <v>1</v>
      </c>
      <c r="Z44" s="8">
        <v>70</v>
      </c>
      <c r="AA44" s="7">
        <v>0.58607907057708142</v>
      </c>
      <c r="AB44" s="7">
        <v>3.8942949569521081E-2</v>
      </c>
      <c r="AC44" s="8">
        <v>0</v>
      </c>
      <c r="AD44" s="8">
        <v>1</v>
      </c>
      <c r="AE44" s="8">
        <v>289</v>
      </c>
      <c r="AF44">
        <f>(AA45/AA43)-AA44</f>
        <v>-1.4382071135846108E-2</v>
      </c>
    </row>
    <row r="45" spans="1:32" ht="26.25" customHeight="1" x14ac:dyDescent="0.45">
      <c r="A45" s="6" t="s">
        <v>41</v>
      </c>
      <c r="B45" s="7">
        <v>0.29691007821421939</v>
      </c>
      <c r="C45" s="7">
        <v>9.0434299454504388E-2</v>
      </c>
      <c r="D45" s="8">
        <v>0</v>
      </c>
      <c r="E45" s="8">
        <v>1</v>
      </c>
      <c r="F45" s="8">
        <v>30</v>
      </c>
      <c r="G45" s="7">
        <v>0.47852637519700286</v>
      </c>
      <c r="H45" s="7">
        <v>7.0841094266787655E-2</v>
      </c>
      <c r="I45" s="8">
        <v>0</v>
      </c>
      <c r="J45" s="8">
        <v>1</v>
      </c>
      <c r="K45" s="8">
        <v>61</v>
      </c>
      <c r="L45" s="7">
        <v>0.56922561963385521</v>
      </c>
      <c r="M45" s="7">
        <v>7.488534229979793E-2</v>
      </c>
      <c r="N45" s="8">
        <v>0</v>
      </c>
      <c r="O45" s="8">
        <v>1</v>
      </c>
      <c r="P45" s="8">
        <v>55</v>
      </c>
      <c r="Q45" s="7">
        <v>0.62984728749452901</v>
      </c>
      <c r="R45" s="7">
        <v>7.7045511923117843E-2</v>
      </c>
      <c r="S45" s="8">
        <v>0</v>
      </c>
      <c r="T45" s="8">
        <v>1</v>
      </c>
      <c r="U45" s="8">
        <v>73</v>
      </c>
      <c r="V45" s="7">
        <v>0.22593477740757123</v>
      </c>
      <c r="W45" s="7">
        <v>7.2966979981181859E-2</v>
      </c>
      <c r="X45" s="8">
        <v>0</v>
      </c>
      <c r="Y45" s="8">
        <v>1</v>
      </c>
      <c r="Z45" s="8">
        <v>70</v>
      </c>
      <c r="AA45" s="7">
        <v>0.51599382571617425</v>
      </c>
      <c r="AB45" s="7">
        <v>4.0336028278805579E-2</v>
      </c>
      <c r="AC45" s="8">
        <v>0</v>
      </c>
      <c r="AD45" s="8">
        <v>1</v>
      </c>
      <c r="AE45" s="8">
        <v>289</v>
      </c>
    </row>
    <row r="46" spans="1:32" ht="14.25" customHeight="1" x14ac:dyDescent="0.45">
      <c r="A46" s="6" t="s">
        <v>13</v>
      </c>
      <c r="B46" s="7">
        <v>1</v>
      </c>
      <c r="C46" s="7">
        <v>0</v>
      </c>
      <c r="D46" s="8">
        <v>1</v>
      </c>
      <c r="E46" s="8">
        <v>1</v>
      </c>
      <c r="F46" s="8">
        <v>30</v>
      </c>
      <c r="G46" s="7">
        <v>1</v>
      </c>
      <c r="H46" s="7">
        <v>0</v>
      </c>
      <c r="I46" s="8">
        <v>1</v>
      </c>
      <c r="J46" s="8">
        <v>1</v>
      </c>
      <c r="K46" s="8">
        <v>61</v>
      </c>
      <c r="L46" s="7">
        <v>0.91273973144918197</v>
      </c>
      <c r="M46" s="7">
        <v>4.319113358653754E-2</v>
      </c>
      <c r="N46" s="8">
        <v>0</v>
      </c>
      <c r="O46" s="8">
        <v>1</v>
      </c>
      <c r="P46" s="8">
        <v>55</v>
      </c>
      <c r="Q46" s="7">
        <v>0.77029310785616811</v>
      </c>
      <c r="R46" s="7">
        <v>7.3163174208025594E-2</v>
      </c>
      <c r="S46" s="8">
        <v>0</v>
      </c>
      <c r="T46" s="8">
        <v>1</v>
      </c>
      <c r="U46" s="8">
        <v>73</v>
      </c>
      <c r="V46" s="7">
        <v>0.65853670824982258</v>
      </c>
      <c r="W46" s="7">
        <v>7.8725051637174762E-2</v>
      </c>
      <c r="X46" s="8">
        <v>0</v>
      </c>
      <c r="Y46" s="8">
        <v>1</v>
      </c>
      <c r="Z46" s="8">
        <v>70</v>
      </c>
      <c r="AA46" s="7">
        <v>0.90256521587571004</v>
      </c>
      <c r="AB46" s="7">
        <v>2.3248102112366418E-2</v>
      </c>
      <c r="AC46" s="8">
        <v>0</v>
      </c>
      <c r="AD46" s="8">
        <v>1</v>
      </c>
      <c r="AE46" s="8">
        <v>289</v>
      </c>
      <c r="AF46">
        <f>(AA48/AA47)-AA46</f>
        <v>3.972128619873172E-3</v>
      </c>
    </row>
    <row r="47" spans="1:32" ht="14.25" customHeight="1" x14ac:dyDescent="0.45">
      <c r="A47" s="6" t="s">
        <v>42</v>
      </c>
      <c r="B47" s="7">
        <v>0.88373917384473755</v>
      </c>
      <c r="C47" s="7">
        <v>6.5637894232017879E-2</v>
      </c>
      <c r="D47" s="8">
        <v>0</v>
      </c>
      <c r="E47" s="8">
        <v>1</v>
      </c>
      <c r="F47" s="8">
        <v>30</v>
      </c>
      <c r="G47" s="7">
        <v>0.96708867666829124</v>
      </c>
      <c r="H47" s="7">
        <v>2.3335390502298822E-2</v>
      </c>
      <c r="I47" s="8">
        <v>0</v>
      </c>
      <c r="J47" s="8">
        <v>1</v>
      </c>
      <c r="K47" s="8">
        <v>61</v>
      </c>
      <c r="L47" s="7">
        <v>0.92438050124212068</v>
      </c>
      <c r="M47" s="7">
        <v>3.4796389331134367E-2</v>
      </c>
      <c r="N47" s="8">
        <v>0</v>
      </c>
      <c r="O47" s="8">
        <v>1</v>
      </c>
      <c r="P47" s="8">
        <v>55</v>
      </c>
      <c r="Q47" s="7">
        <v>0.91163408858832118</v>
      </c>
      <c r="R47" s="7">
        <v>4.1385817286864961E-2</v>
      </c>
      <c r="S47" s="8">
        <v>0</v>
      </c>
      <c r="T47" s="8">
        <v>1</v>
      </c>
      <c r="U47" s="8">
        <v>73</v>
      </c>
      <c r="V47" s="7">
        <v>0.79321873455244019</v>
      </c>
      <c r="W47" s="7">
        <v>6.5826991842619254E-2</v>
      </c>
      <c r="X47" s="8">
        <v>0</v>
      </c>
      <c r="Y47" s="8">
        <v>1</v>
      </c>
      <c r="Z47" s="8">
        <v>70</v>
      </c>
      <c r="AA47" s="7">
        <v>0.92434876147780487</v>
      </c>
      <c r="AB47" s="7">
        <v>1.809715288505577E-2</v>
      </c>
      <c r="AC47" s="8">
        <v>0</v>
      </c>
      <c r="AD47" s="8">
        <v>1</v>
      </c>
      <c r="AE47" s="8">
        <v>289</v>
      </c>
      <c r="AF47">
        <f>(AA48/AA46)-AA47</f>
        <v>4.067996534353413E-3</v>
      </c>
    </row>
    <row r="48" spans="1:32" ht="26.25" customHeight="1" x14ac:dyDescent="0.45">
      <c r="A48" s="6" t="s">
        <v>43</v>
      </c>
      <c r="B48" s="7">
        <v>0.88373917384473755</v>
      </c>
      <c r="C48" s="7">
        <v>6.5637894232017879E-2</v>
      </c>
      <c r="D48" s="8">
        <v>0</v>
      </c>
      <c r="E48" s="8">
        <v>1</v>
      </c>
      <c r="F48" s="8">
        <v>30</v>
      </c>
      <c r="G48" s="7">
        <v>0.96708867666829124</v>
      </c>
      <c r="H48" s="7">
        <v>2.3335390502298822E-2</v>
      </c>
      <c r="I48" s="8">
        <v>0</v>
      </c>
      <c r="J48" s="8">
        <v>1</v>
      </c>
      <c r="K48" s="8">
        <v>61</v>
      </c>
      <c r="L48" s="7">
        <v>0.83712023269130265</v>
      </c>
      <c r="M48" s="7">
        <v>5.3467961230897088E-2</v>
      </c>
      <c r="N48" s="8">
        <v>0</v>
      </c>
      <c r="O48" s="8">
        <v>1</v>
      </c>
      <c r="P48" s="8">
        <v>55</v>
      </c>
      <c r="Q48" s="7">
        <v>0.69448645267991838</v>
      </c>
      <c r="R48" s="7">
        <v>7.7361659352715398E-2</v>
      </c>
      <c r="S48" s="8">
        <v>0</v>
      </c>
      <c r="T48" s="8">
        <v>1</v>
      </c>
      <c r="U48" s="8">
        <v>73</v>
      </c>
      <c r="V48" s="7">
        <v>0.59912375795788231</v>
      </c>
      <c r="W48" s="7">
        <v>8.2394764438279575E-2</v>
      </c>
      <c r="X48" s="8">
        <v>0</v>
      </c>
      <c r="Y48" s="8">
        <v>1</v>
      </c>
      <c r="Z48" s="8">
        <v>70</v>
      </c>
      <c r="AA48" s="7">
        <v>0.83795667161787046</v>
      </c>
      <c r="AB48" s="7">
        <v>2.8168652468805754E-2</v>
      </c>
      <c r="AC48" s="8">
        <v>0</v>
      </c>
      <c r="AD48" s="8">
        <v>1</v>
      </c>
      <c r="AE48" s="8">
        <v>289</v>
      </c>
    </row>
    <row r="49" spans="1:32" ht="14.25" customHeight="1" x14ac:dyDescent="0.45">
      <c r="A49" s="6" t="s">
        <v>13</v>
      </c>
      <c r="B49" s="7">
        <v>1</v>
      </c>
      <c r="C49" s="7">
        <v>0</v>
      </c>
      <c r="D49" s="8">
        <v>1</v>
      </c>
      <c r="E49" s="8">
        <v>1</v>
      </c>
      <c r="F49" s="8">
        <v>30</v>
      </c>
      <c r="G49" s="7">
        <v>1</v>
      </c>
      <c r="H49" s="7">
        <v>0</v>
      </c>
      <c r="I49" s="8">
        <v>1</v>
      </c>
      <c r="J49" s="8">
        <v>1</v>
      </c>
      <c r="K49" s="8">
        <v>61</v>
      </c>
      <c r="L49" s="7">
        <v>0.91273973144918197</v>
      </c>
      <c r="M49" s="7">
        <v>4.319113358653754E-2</v>
      </c>
      <c r="N49" s="8">
        <v>0</v>
      </c>
      <c r="O49" s="8">
        <v>1</v>
      </c>
      <c r="P49" s="8">
        <v>55</v>
      </c>
      <c r="Q49" s="7">
        <v>0.77029310785616811</v>
      </c>
      <c r="R49" s="7">
        <v>7.3163174208025594E-2</v>
      </c>
      <c r="S49" s="8">
        <v>0</v>
      </c>
      <c r="T49" s="8">
        <v>1</v>
      </c>
      <c r="U49" s="8">
        <v>73</v>
      </c>
      <c r="V49" s="7">
        <v>0.65853670824982258</v>
      </c>
      <c r="W49" s="7">
        <v>7.8725051637174762E-2</v>
      </c>
      <c r="X49" s="8">
        <v>0</v>
      </c>
      <c r="Y49" s="8">
        <v>1</v>
      </c>
      <c r="Z49" s="8">
        <v>70</v>
      </c>
      <c r="AA49" s="7">
        <v>0.90256521587571004</v>
      </c>
      <c r="AB49" s="7">
        <v>2.3248102112366418E-2</v>
      </c>
      <c r="AC49" s="8">
        <v>0</v>
      </c>
      <c r="AD49" s="8">
        <v>1</v>
      </c>
      <c r="AE49" s="8">
        <v>289</v>
      </c>
      <c r="AF49">
        <f>(AA51/AA50)-AA49</f>
        <v>-0.19434692529912667</v>
      </c>
    </row>
    <row r="50" spans="1:32" ht="14.25" customHeight="1" x14ac:dyDescent="0.45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30</v>
      </c>
      <c r="G50" s="7">
        <v>4.3984681938985942E-2</v>
      </c>
      <c r="H50" s="7">
        <v>2.2428515599090256E-2</v>
      </c>
      <c r="I50" s="8">
        <v>0</v>
      </c>
      <c r="J50" s="8">
        <v>1</v>
      </c>
      <c r="K50" s="8">
        <v>61</v>
      </c>
      <c r="L50" s="7">
        <v>4.6686566157947883E-2</v>
      </c>
      <c r="M50" s="7">
        <v>2.9932730284583084E-2</v>
      </c>
      <c r="N50" s="8">
        <v>0</v>
      </c>
      <c r="O50" s="8">
        <v>1</v>
      </c>
      <c r="P50" s="8">
        <v>55</v>
      </c>
      <c r="Q50" s="7">
        <v>4.5823463093928804E-2</v>
      </c>
      <c r="R50" s="7">
        <v>2.1566040924099809E-2</v>
      </c>
      <c r="S50" s="8">
        <v>0</v>
      </c>
      <c r="T50" s="8">
        <v>1</v>
      </c>
      <c r="U50" s="8">
        <v>73</v>
      </c>
      <c r="V50" s="7">
        <v>6.8897826628121606E-2</v>
      </c>
      <c r="W50" s="7">
        <v>4.7551151202023072E-2</v>
      </c>
      <c r="X50" s="8">
        <v>0</v>
      </c>
      <c r="Y50" s="8">
        <v>1</v>
      </c>
      <c r="Z50" s="8">
        <v>70</v>
      </c>
      <c r="AA50" s="7">
        <v>4.4048985501015846E-2</v>
      </c>
      <c r="AB50" s="7">
        <v>1.4289951777276724E-2</v>
      </c>
      <c r="AC50" s="8">
        <v>0</v>
      </c>
      <c r="AD50" s="8">
        <v>1</v>
      </c>
      <c r="AE50" s="8">
        <v>289</v>
      </c>
      <c r="AF50">
        <f>(AA51/AA49)-AA50</f>
        <v>-9.4849488370346499E-3</v>
      </c>
    </row>
    <row r="51" spans="1:32" ht="14.25" customHeight="1" x14ac:dyDescent="0.45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30</v>
      </c>
      <c r="G51" s="7">
        <v>4.3984681938985942E-2</v>
      </c>
      <c r="H51" s="7">
        <v>2.2428515599090256E-2</v>
      </c>
      <c r="I51" s="8">
        <v>0</v>
      </c>
      <c r="J51" s="8">
        <v>1</v>
      </c>
      <c r="K51" s="8">
        <v>61</v>
      </c>
      <c r="L51" s="7">
        <v>2.0302479228320684E-2</v>
      </c>
      <c r="M51" s="7">
        <v>1.4934776425295669E-2</v>
      </c>
      <c r="N51" s="8">
        <v>0</v>
      </c>
      <c r="O51" s="8">
        <v>1</v>
      </c>
      <c r="P51" s="8">
        <v>55</v>
      </c>
      <c r="Q51" s="7">
        <v>3.2529499153116842E-2</v>
      </c>
      <c r="R51" s="7">
        <v>1.6797851740817542E-2</v>
      </c>
      <c r="S51" s="8">
        <v>0</v>
      </c>
      <c r="T51" s="8">
        <v>1</v>
      </c>
      <c r="U51" s="8">
        <v>73</v>
      </c>
      <c r="V51" s="7">
        <v>6.8897826628121606E-2</v>
      </c>
      <c r="W51" s="7">
        <v>4.7551151202023072E-2</v>
      </c>
      <c r="X51" s="8">
        <v>0</v>
      </c>
      <c r="Y51" s="8">
        <v>1</v>
      </c>
      <c r="Z51" s="8">
        <v>70</v>
      </c>
      <c r="AA51" s="7">
        <v>3.1196297213162145E-2</v>
      </c>
      <c r="AB51" s="7">
        <v>9.8178261742147589E-3</v>
      </c>
      <c r="AC51" s="8">
        <v>0</v>
      </c>
      <c r="AD51" s="8">
        <v>1</v>
      </c>
      <c r="AE51" s="8">
        <v>289</v>
      </c>
    </row>
    <row r="52" spans="1:32" ht="14.25" customHeight="1" x14ac:dyDescent="0.45">
      <c r="A52" s="6" t="s">
        <v>14</v>
      </c>
      <c r="B52" s="7">
        <v>0.13016679037219059</v>
      </c>
      <c r="C52" s="7">
        <v>5.9549306753684021E-2</v>
      </c>
      <c r="D52" s="8">
        <v>0</v>
      </c>
      <c r="E52" s="8">
        <v>1</v>
      </c>
      <c r="F52" s="8">
        <v>30</v>
      </c>
      <c r="G52" s="7">
        <v>0.22754497354298037</v>
      </c>
      <c r="H52" s="7">
        <v>5.9023439789985963E-2</v>
      </c>
      <c r="I52" s="8">
        <v>0</v>
      </c>
      <c r="J52" s="8">
        <v>1</v>
      </c>
      <c r="K52" s="8">
        <v>61</v>
      </c>
      <c r="L52" s="7">
        <v>0.3917380576004631</v>
      </c>
      <c r="M52" s="7">
        <v>7.7908860640490393E-2</v>
      </c>
      <c r="N52" s="8">
        <v>0</v>
      </c>
      <c r="O52" s="8">
        <v>1</v>
      </c>
      <c r="P52" s="8">
        <v>55</v>
      </c>
      <c r="Q52" s="7">
        <v>0.21376507127333513</v>
      </c>
      <c r="R52" s="7">
        <v>5.8384678563788463E-2</v>
      </c>
      <c r="S52" s="8">
        <v>0</v>
      </c>
      <c r="T52" s="8">
        <v>1</v>
      </c>
      <c r="U52" s="8">
        <v>73</v>
      </c>
      <c r="V52" s="7">
        <v>0.10515996356657258</v>
      </c>
      <c r="W52" s="7">
        <v>5.4094036626233195E-2</v>
      </c>
      <c r="X52" s="8">
        <v>0</v>
      </c>
      <c r="Y52" s="8">
        <v>1</v>
      </c>
      <c r="Z52" s="8">
        <v>70</v>
      </c>
      <c r="AA52" s="7">
        <v>0.2760131133844731</v>
      </c>
      <c r="AB52" s="7">
        <v>3.8886897451717806E-2</v>
      </c>
      <c r="AC52" s="8">
        <v>0</v>
      </c>
      <c r="AD52" s="8">
        <v>1</v>
      </c>
      <c r="AE52" s="8">
        <v>289</v>
      </c>
      <c r="AF52">
        <f>(AA54/AA53)-AA52</f>
        <v>-2.1222433707923649E-3</v>
      </c>
    </row>
    <row r="53" spans="1:32" ht="14.25" customHeight="1" x14ac:dyDescent="0.45">
      <c r="A53" s="6" t="s">
        <v>26</v>
      </c>
      <c r="B53" s="7">
        <v>0.22083949263359173</v>
      </c>
      <c r="C53" s="7">
        <v>7.6981635649396321E-2</v>
      </c>
      <c r="D53" s="8">
        <v>0</v>
      </c>
      <c r="E53" s="8">
        <v>1</v>
      </c>
      <c r="F53" s="8">
        <v>30</v>
      </c>
      <c r="G53" s="7">
        <v>0.47381802682362351</v>
      </c>
      <c r="H53" s="7">
        <v>7.1195474004264972E-2</v>
      </c>
      <c r="I53" s="8">
        <v>0</v>
      </c>
      <c r="J53" s="8">
        <v>1</v>
      </c>
      <c r="K53" s="8">
        <v>61</v>
      </c>
      <c r="L53" s="7">
        <v>0.54001580449645814</v>
      </c>
      <c r="M53" s="7">
        <v>7.6978621202141204E-2</v>
      </c>
      <c r="N53" s="8">
        <v>0</v>
      </c>
      <c r="O53" s="8">
        <v>1</v>
      </c>
      <c r="P53" s="8">
        <v>55</v>
      </c>
      <c r="Q53" s="7">
        <v>0.59736595895844924</v>
      </c>
      <c r="R53" s="7">
        <v>7.8516305167266792E-2</v>
      </c>
      <c r="S53" s="8">
        <v>0</v>
      </c>
      <c r="T53" s="8">
        <v>1</v>
      </c>
      <c r="U53" s="8">
        <v>73</v>
      </c>
      <c r="V53" s="7">
        <v>0.25989961232588688</v>
      </c>
      <c r="W53" s="7">
        <v>7.3723142307638323E-2</v>
      </c>
      <c r="X53" s="8">
        <v>0</v>
      </c>
      <c r="Y53" s="8">
        <v>1</v>
      </c>
      <c r="Z53" s="8">
        <v>70</v>
      </c>
      <c r="AA53" s="7">
        <v>0.49418092931848012</v>
      </c>
      <c r="AB53" s="7">
        <v>4.0512383726764072E-2</v>
      </c>
      <c r="AC53" s="8">
        <v>0</v>
      </c>
      <c r="AD53" s="8">
        <v>1</v>
      </c>
      <c r="AE53" s="8">
        <v>289</v>
      </c>
      <c r="AF53">
        <f>(AA54/AA52)-AA53</f>
        <v>-3.7997187465411142E-3</v>
      </c>
    </row>
    <row r="54" spans="1:32" ht="14.25" customHeight="1" x14ac:dyDescent="0.45">
      <c r="A54" s="6" t="s">
        <v>46</v>
      </c>
      <c r="B54" s="7">
        <v>0.11000666517539091</v>
      </c>
      <c r="C54" s="7">
        <v>5.6036360017377829E-2</v>
      </c>
      <c r="D54" s="8">
        <v>0</v>
      </c>
      <c r="E54" s="8">
        <v>1</v>
      </c>
      <c r="F54" s="8">
        <v>30</v>
      </c>
      <c r="G54" s="7">
        <v>0.13376990687043103</v>
      </c>
      <c r="H54" s="7">
        <v>4.9827140034299423E-2</v>
      </c>
      <c r="I54" s="8">
        <v>0</v>
      </c>
      <c r="J54" s="8">
        <v>1</v>
      </c>
      <c r="K54" s="8">
        <v>61</v>
      </c>
      <c r="L54" s="7">
        <v>0.13948037912625671</v>
      </c>
      <c r="M54" s="7">
        <v>5.6108724537184518E-2</v>
      </c>
      <c r="N54" s="8">
        <v>0</v>
      </c>
      <c r="O54" s="8">
        <v>1</v>
      </c>
      <c r="P54" s="8">
        <v>55</v>
      </c>
      <c r="Q54" s="7">
        <v>0.15931808341555093</v>
      </c>
      <c r="R54" s="7">
        <v>5.2305537764381529E-2</v>
      </c>
      <c r="S54" s="8">
        <v>0</v>
      </c>
      <c r="T54" s="8">
        <v>1</v>
      </c>
      <c r="U54" s="8">
        <v>73</v>
      </c>
      <c r="V54" s="7">
        <v>6.7155518380567505E-2</v>
      </c>
      <c r="W54" s="7">
        <v>4.6510239897329692E-2</v>
      </c>
      <c r="X54" s="8">
        <v>0</v>
      </c>
      <c r="Y54" s="8">
        <v>1</v>
      </c>
      <c r="Z54" s="8">
        <v>70</v>
      </c>
      <c r="AA54" s="7">
        <v>0.13535164467520777</v>
      </c>
      <c r="AB54" s="7">
        <v>2.8453106174582719E-2</v>
      </c>
      <c r="AC54" s="8">
        <v>0</v>
      </c>
      <c r="AD54" s="8">
        <v>1</v>
      </c>
      <c r="AE54" s="8">
        <v>289</v>
      </c>
    </row>
    <row r="55" spans="1:32" ht="14.25" customHeight="1" x14ac:dyDescent="0.45">
      <c r="A55" s="6" t="s">
        <v>14</v>
      </c>
      <c r="B55" s="7">
        <v>0.13016679037219059</v>
      </c>
      <c r="C55" s="7">
        <v>5.9549306753684021E-2</v>
      </c>
      <c r="D55" s="8">
        <v>0</v>
      </c>
      <c r="E55" s="8">
        <v>1</v>
      </c>
      <c r="F55" s="8">
        <v>30</v>
      </c>
      <c r="G55" s="7">
        <v>0.22754497354298037</v>
      </c>
      <c r="H55" s="7">
        <v>5.9023439789985963E-2</v>
      </c>
      <c r="I55" s="8">
        <v>0</v>
      </c>
      <c r="J55" s="8">
        <v>1</v>
      </c>
      <c r="K55" s="8">
        <v>61</v>
      </c>
      <c r="L55" s="7">
        <v>0.3917380576004631</v>
      </c>
      <c r="M55" s="7">
        <v>7.7908860640490393E-2</v>
      </c>
      <c r="N55" s="8">
        <v>0</v>
      </c>
      <c r="O55" s="8">
        <v>1</v>
      </c>
      <c r="P55" s="8">
        <v>55</v>
      </c>
      <c r="Q55" s="7">
        <v>0.21376507127333513</v>
      </c>
      <c r="R55" s="7">
        <v>5.8384678563788463E-2</v>
      </c>
      <c r="S55" s="8">
        <v>0</v>
      </c>
      <c r="T55" s="8">
        <v>1</v>
      </c>
      <c r="U55" s="8">
        <v>73</v>
      </c>
      <c r="V55" s="7">
        <v>0.10515996356657258</v>
      </c>
      <c r="W55" s="7">
        <v>5.4094036626233195E-2</v>
      </c>
      <c r="X55" s="8">
        <v>0</v>
      </c>
      <c r="Y55" s="8">
        <v>1</v>
      </c>
      <c r="Z55" s="8">
        <v>70</v>
      </c>
      <c r="AA55" s="7">
        <v>0.2760131133844731</v>
      </c>
      <c r="AB55" s="7">
        <v>3.8886897451717806E-2</v>
      </c>
      <c r="AC55" s="8">
        <v>0</v>
      </c>
      <c r="AD55" s="8">
        <v>1</v>
      </c>
      <c r="AE55" s="8">
        <v>289</v>
      </c>
      <c r="AF55">
        <f>(AA57/AA56)-AA55</f>
        <v>-2.401395459704142E-2</v>
      </c>
    </row>
    <row r="56" spans="1:32" ht="14.25" customHeight="1" x14ac:dyDescent="0.45">
      <c r="A56" s="6" t="s">
        <v>28</v>
      </c>
      <c r="B56" s="7">
        <v>0.29580870245528007</v>
      </c>
      <c r="C56" s="7">
        <v>0.11556730122910758</v>
      </c>
      <c r="D56" s="8">
        <v>0</v>
      </c>
      <c r="E56" s="8">
        <v>1</v>
      </c>
      <c r="F56" s="8">
        <v>30</v>
      </c>
      <c r="G56" s="7">
        <v>0.20395713984058791</v>
      </c>
      <c r="H56" s="7">
        <v>5.6648529290665377E-2</v>
      </c>
      <c r="I56" s="8">
        <v>0</v>
      </c>
      <c r="J56" s="8">
        <v>1</v>
      </c>
      <c r="K56" s="8">
        <v>61</v>
      </c>
      <c r="L56" s="7">
        <v>0.35840076841974933</v>
      </c>
      <c r="M56" s="7">
        <v>7.4712483039302405E-2</v>
      </c>
      <c r="N56" s="8">
        <v>0</v>
      </c>
      <c r="O56" s="8">
        <v>1</v>
      </c>
      <c r="P56" s="8">
        <v>55</v>
      </c>
      <c r="Q56" s="7">
        <v>0.67434863072132323</v>
      </c>
      <c r="R56" s="7">
        <v>7.7195876807747033E-2</v>
      </c>
      <c r="S56" s="8">
        <v>0</v>
      </c>
      <c r="T56" s="8">
        <v>1</v>
      </c>
      <c r="U56" s="8">
        <v>73</v>
      </c>
      <c r="V56" s="7">
        <v>0.39285830509250746</v>
      </c>
      <c r="W56" s="7">
        <v>8.1726549717313982E-2</v>
      </c>
      <c r="X56" s="8">
        <v>0</v>
      </c>
      <c r="Y56" s="8">
        <v>1</v>
      </c>
      <c r="Z56" s="8">
        <v>70</v>
      </c>
      <c r="AA56" s="7">
        <v>0.36973415314388186</v>
      </c>
      <c r="AB56" s="7">
        <v>3.9118517324785274E-2</v>
      </c>
      <c r="AC56" s="8">
        <v>0</v>
      </c>
      <c r="AD56" s="8">
        <v>1</v>
      </c>
      <c r="AE56" s="8">
        <v>289</v>
      </c>
      <c r="AF56">
        <f>(AA57/AA55)-AA56</f>
        <v>-3.2167961361332209E-2</v>
      </c>
    </row>
    <row r="57" spans="1:32" ht="14.25" customHeight="1" x14ac:dyDescent="0.45">
      <c r="A57" s="6" t="s">
        <v>47</v>
      </c>
      <c r="B57" s="7">
        <v>1.9405802648263307E-2</v>
      </c>
      <c r="C57" s="7">
        <v>1.9803496515025221E-2</v>
      </c>
      <c r="D57" s="8">
        <v>0</v>
      </c>
      <c r="E57" s="8">
        <v>1</v>
      </c>
      <c r="F57" s="8">
        <v>30</v>
      </c>
      <c r="G57" s="7">
        <v>9.2921505514010749E-3</v>
      </c>
      <c r="H57" s="7">
        <v>9.3751880809466587E-3</v>
      </c>
      <c r="I57" s="8">
        <v>0</v>
      </c>
      <c r="J57" s="8">
        <v>1</v>
      </c>
      <c r="K57" s="8">
        <v>61</v>
      </c>
      <c r="L57" s="7">
        <v>0.13573628865385873</v>
      </c>
      <c r="M57" s="7">
        <v>6.4806953168521572E-2</v>
      </c>
      <c r="N57" s="8">
        <v>0</v>
      </c>
      <c r="O57" s="8">
        <v>1</v>
      </c>
      <c r="P57" s="8">
        <v>55</v>
      </c>
      <c r="Q57" s="7">
        <v>0.16751406364866248</v>
      </c>
      <c r="R57" s="7">
        <v>5.2453594711020464E-2</v>
      </c>
      <c r="S57" s="8">
        <v>0</v>
      </c>
      <c r="T57" s="8">
        <v>1</v>
      </c>
      <c r="U57" s="8">
        <v>73</v>
      </c>
      <c r="V57" s="7">
        <v>7.6030919736272698E-2</v>
      </c>
      <c r="W57" s="7">
        <v>4.7200001050501365E-2</v>
      </c>
      <c r="X57" s="8">
        <v>0</v>
      </c>
      <c r="Y57" s="8">
        <v>1</v>
      </c>
      <c r="Z57" s="8">
        <v>70</v>
      </c>
      <c r="AA57" s="7">
        <v>9.317269556724167E-2</v>
      </c>
      <c r="AB57" s="7">
        <v>2.8206351855418685E-2</v>
      </c>
      <c r="AC57" s="8">
        <v>0</v>
      </c>
      <c r="AD57" s="8">
        <v>1</v>
      </c>
      <c r="AE57" s="8">
        <v>289</v>
      </c>
    </row>
    <row r="58" spans="1:32" ht="14.25" customHeight="1" x14ac:dyDescent="0.45">
      <c r="A58" s="6" t="s">
        <v>14</v>
      </c>
      <c r="B58" s="7">
        <v>0.13016679037219059</v>
      </c>
      <c r="C58" s="7">
        <v>5.9549306753684021E-2</v>
      </c>
      <c r="D58" s="8">
        <v>0</v>
      </c>
      <c r="E58" s="8">
        <v>1</v>
      </c>
      <c r="F58" s="8">
        <v>30</v>
      </c>
      <c r="G58" s="7">
        <v>0.22754497354298037</v>
      </c>
      <c r="H58" s="7">
        <v>5.9023439789985963E-2</v>
      </c>
      <c r="I58" s="8">
        <v>0</v>
      </c>
      <c r="J58" s="8">
        <v>1</v>
      </c>
      <c r="K58" s="8">
        <v>61</v>
      </c>
      <c r="L58" s="7">
        <v>0.3917380576004631</v>
      </c>
      <c r="M58" s="7">
        <v>7.7908860640490393E-2</v>
      </c>
      <c r="N58" s="8">
        <v>0</v>
      </c>
      <c r="O58" s="8">
        <v>1</v>
      </c>
      <c r="P58" s="8">
        <v>55</v>
      </c>
      <c r="Q58" s="7">
        <v>0.21376507127333513</v>
      </c>
      <c r="R58" s="7">
        <v>5.8384678563788463E-2</v>
      </c>
      <c r="S58" s="8">
        <v>0</v>
      </c>
      <c r="T58" s="8">
        <v>1</v>
      </c>
      <c r="U58" s="8">
        <v>73</v>
      </c>
      <c r="V58" s="7">
        <v>0.10515996356657258</v>
      </c>
      <c r="W58" s="7">
        <v>5.4094036626233195E-2</v>
      </c>
      <c r="X58" s="8">
        <v>0</v>
      </c>
      <c r="Y58" s="8">
        <v>1</v>
      </c>
      <c r="Z58" s="8">
        <v>70</v>
      </c>
      <c r="AA58" s="7">
        <v>0.2760131133844731</v>
      </c>
      <c r="AB58" s="7">
        <v>3.8886897451717806E-2</v>
      </c>
      <c r="AC58" s="8">
        <v>0</v>
      </c>
      <c r="AD58" s="8">
        <v>1</v>
      </c>
      <c r="AE58" s="8">
        <v>289</v>
      </c>
      <c r="AF58">
        <f>(AA60/AA59)-AA58</f>
        <v>-0.12470681155639735</v>
      </c>
    </row>
    <row r="59" spans="1:32" ht="14.25" customHeight="1" x14ac:dyDescent="0.45">
      <c r="A59" s="6" t="s">
        <v>30</v>
      </c>
      <c r="B59" s="7">
        <v>0.33752245897600625</v>
      </c>
      <c r="C59" s="7">
        <v>0.11421269389473675</v>
      </c>
      <c r="D59" s="8">
        <v>0</v>
      </c>
      <c r="E59" s="8">
        <v>1</v>
      </c>
      <c r="F59" s="8">
        <v>30</v>
      </c>
      <c r="G59" s="7">
        <v>3.47823883784288E-2</v>
      </c>
      <c r="H59" s="7">
        <v>2.0826951859673284E-2</v>
      </c>
      <c r="I59" s="8">
        <v>0</v>
      </c>
      <c r="J59" s="8">
        <v>1</v>
      </c>
      <c r="K59" s="8">
        <v>61</v>
      </c>
      <c r="L59" s="7">
        <v>0.25440927475559394</v>
      </c>
      <c r="M59" s="7">
        <v>6.7546806564124665E-2</v>
      </c>
      <c r="N59" s="8">
        <v>0</v>
      </c>
      <c r="O59" s="8">
        <v>1</v>
      </c>
      <c r="P59" s="8">
        <v>55</v>
      </c>
      <c r="Q59" s="7">
        <v>0.16955220211261907</v>
      </c>
      <c r="R59" s="7">
        <v>6.9237651596625663E-2</v>
      </c>
      <c r="S59" s="8">
        <v>0</v>
      </c>
      <c r="T59" s="8">
        <v>1</v>
      </c>
      <c r="U59" s="8">
        <v>73</v>
      </c>
      <c r="V59" s="7">
        <v>0.24138127307771998</v>
      </c>
      <c r="W59" s="7">
        <v>8.0661368122113081E-2</v>
      </c>
      <c r="X59" s="8">
        <v>0</v>
      </c>
      <c r="Y59" s="8">
        <v>1</v>
      </c>
      <c r="Z59" s="8">
        <v>70</v>
      </c>
      <c r="AA59" s="7">
        <v>0.17781334922507863</v>
      </c>
      <c r="AB59" s="7">
        <v>3.2459593105481063E-2</v>
      </c>
      <c r="AC59" s="8">
        <v>0</v>
      </c>
      <c r="AD59" s="8">
        <v>1</v>
      </c>
      <c r="AE59" s="8">
        <v>289</v>
      </c>
      <c r="AF59">
        <f>(AA60/AA58)-AA59</f>
        <v>-8.0338704064164101E-2</v>
      </c>
    </row>
    <row r="60" spans="1:32" ht="14.25" customHeight="1" x14ac:dyDescent="0.45">
      <c r="A60" s="6" t="s">
        <v>48</v>
      </c>
      <c r="B60" s="7">
        <v>9.2997910723123509E-2</v>
      </c>
      <c r="C60" s="7">
        <v>4.7629135356607913E-2</v>
      </c>
      <c r="D60" s="8">
        <v>0</v>
      </c>
      <c r="E60" s="8">
        <v>1</v>
      </c>
      <c r="F60" s="8">
        <v>30</v>
      </c>
      <c r="G60" s="7">
        <v>0</v>
      </c>
      <c r="H60" s="7">
        <v>0</v>
      </c>
      <c r="I60" s="8">
        <v>0</v>
      </c>
      <c r="J60" s="8">
        <v>0</v>
      </c>
      <c r="K60" s="8">
        <v>61</v>
      </c>
      <c r="L60" s="7">
        <v>3.6279448571017933E-2</v>
      </c>
      <c r="M60" s="7">
        <v>2.6473877908784322E-2</v>
      </c>
      <c r="N60" s="8">
        <v>0</v>
      </c>
      <c r="O60" s="8">
        <v>1</v>
      </c>
      <c r="P60" s="8">
        <v>55</v>
      </c>
      <c r="Q60" s="7">
        <v>3.3044964524075397E-2</v>
      </c>
      <c r="R60" s="7">
        <v>1.9590174605322398E-2</v>
      </c>
      <c r="S60" s="8">
        <v>0</v>
      </c>
      <c r="T60" s="8">
        <v>1</v>
      </c>
      <c r="U60" s="8">
        <v>73</v>
      </c>
      <c r="V60" s="7">
        <v>8.8754013557051977E-3</v>
      </c>
      <c r="W60" s="7">
        <v>8.9932309951545782E-3</v>
      </c>
      <c r="X60" s="8">
        <v>0</v>
      </c>
      <c r="Y60" s="8">
        <v>1</v>
      </c>
      <c r="Z60" s="8">
        <v>70</v>
      </c>
      <c r="AA60" s="7">
        <v>2.6904280286910786E-2</v>
      </c>
      <c r="AB60" s="7">
        <v>1.1397730959102981E-2</v>
      </c>
      <c r="AC60" s="8">
        <v>0</v>
      </c>
      <c r="AD60" s="8">
        <v>1</v>
      </c>
      <c r="AE60" s="8">
        <v>289</v>
      </c>
    </row>
    <row r="61" spans="1:32" ht="14.25" customHeight="1" x14ac:dyDescent="0.45">
      <c r="A61" s="6" t="s">
        <v>14</v>
      </c>
      <c r="B61" s="7">
        <v>0.13016679037219059</v>
      </c>
      <c r="C61" s="7">
        <v>5.9549306753684021E-2</v>
      </c>
      <c r="D61" s="8">
        <v>0</v>
      </c>
      <c r="E61" s="8">
        <v>1</v>
      </c>
      <c r="F61" s="8">
        <v>30</v>
      </c>
      <c r="G61" s="7">
        <v>0.22754497354298037</v>
      </c>
      <c r="H61" s="7">
        <v>5.9023439789985963E-2</v>
      </c>
      <c r="I61" s="8">
        <v>0</v>
      </c>
      <c r="J61" s="8">
        <v>1</v>
      </c>
      <c r="K61" s="8">
        <v>61</v>
      </c>
      <c r="L61" s="7">
        <v>0.3917380576004631</v>
      </c>
      <c r="M61" s="7">
        <v>7.7908860640490393E-2</v>
      </c>
      <c r="N61" s="8">
        <v>0</v>
      </c>
      <c r="O61" s="8">
        <v>1</v>
      </c>
      <c r="P61" s="8">
        <v>55</v>
      </c>
      <c r="Q61" s="7">
        <v>0.21376507127333513</v>
      </c>
      <c r="R61" s="7">
        <v>5.8384678563788463E-2</v>
      </c>
      <c r="S61" s="8">
        <v>0</v>
      </c>
      <c r="T61" s="8">
        <v>1</v>
      </c>
      <c r="U61" s="8">
        <v>73</v>
      </c>
      <c r="V61" s="7">
        <v>0.10515996356657258</v>
      </c>
      <c r="W61" s="7">
        <v>5.4094036626233195E-2</v>
      </c>
      <c r="X61" s="8">
        <v>0</v>
      </c>
      <c r="Y61" s="8">
        <v>1</v>
      </c>
      <c r="Z61" s="8">
        <v>70</v>
      </c>
      <c r="AA61" s="7">
        <v>0.2760131133844731</v>
      </c>
      <c r="AB61" s="7">
        <v>3.8886897451717806E-2</v>
      </c>
      <c r="AC61" s="8">
        <v>0</v>
      </c>
      <c r="AD61" s="8">
        <v>1</v>
      </c>
      <c r="AE61" s="8">
        <v>289</v>
      </c>
      <c r="AF61">
        <f>(AA63/AA62)-AA61</f>
        <v>-5.5307193815057692E-2</v>
      </c>
    </row>
    <row r="62" spans="1:32" ht="14.25" customHeight="1" x14ac:dyDescent="0.45">
      <c r="A62" s="6" t="s">
        <v>32</v>
      </c>
      <c r="B62" s="7">
        <v>0.8807183467855858</v>
      </c>
      <c r="C62" s="7">
        <v>5.8279938603113868E-2</v>
      </c>
      <c r="D62" s="8">
        <v>0</v>
      </c>
      <c r="E62" s="8">
        <v>1</v>
      </c>
      <c r="F62" s="8">
        <v>30</v>
      </c>
      <c r="G62" s="7">
        <v>0.54094050078981271</v>
      </c>
      <c r="H62" s="7">
        <v>7.1173712714800094E-2</v>
      </c>
      <c r="I62" s="8">
        <v>0</v>
      </c>
      <c r="J62" s="8">
        <v>1</v>
      </c>
      <c r="K62" s="8">
        <v>61</v>
      </c>
      <c r="L62" s="7">
        <v>0.48346140944352428</v>
      </c>
      <c r="M62" s="7">
        <v>7.6685026228219974E-2</v>
      </c>
      <c r="N62" s="8">
        <v>0</v>
      </c>
      <c r="O62" s="8">
        <v>1</v>
      </c>
      <c r="P62" s="8">
        <v>55</v>
      </c>
      <c r="Q62" s="7">
        <v>0.44134588510507772</v>
      </c>
      <c r="R62" s="7">
        <v>8.0894115891955082E-2</v>
      </c>
      <c r="S62" s="8">
        <v>0</v>
      </c>
      <c r="T62" s="8">
        <v>1</v>
      </c>
      <c r="U62" s="8">
        <v>73</v>
      </c>
      <c r="V62" s="7">
        <v>0.20063141493586031</v>
      </c>
      <c r="W62" s="7">
        <v>6.9153247809359233E-2</v>
      </c>
      <c r="X62" s="8">
        <v>0</v>
      </c>
      <c r="Y62" s="8">
        <v>1</v>
      </c>
      <c r="Z62" s="8">
        <v>70</v>
      </c>
      <c r="AA62" s="7">
        <v>0.50135235214164198</v>
      </c>
      <c r="AB62" s="7">
        <v>4.0501737834490306E-2</v>
      </c>
      <c r="AC62" s="8">
        <v>0</v>
      </c>
      <c r="AD62" s="8">
        <v>1</v>
      </c>
      <c r="AE62" s="8">
        <v>289</v>
      </c>
      <c r="AF62">
        <f>(AA63/AA61)-AA62</f>
        <v>-0.10046041425179869</v>
      </c>
    </row>
    <row r="63" spans="1:32" ht="14.25" customHeight="1" x14ac:dyDescent="0.45">
      <c r="A63" s="6" t="s">
        <v>49</v>
      </c>
      <c r="B63" s="7">
        <v>0.13016679037219059</v>
      </c>
      <c r="C63" s="7">
        <v>5.9549306753684021E-2</v>
      </c>
      <c r="D63" s="8">
        <v>0</v>
      </c>
      <c r="E63" s="8">
        <v>1</v>
      </c>
      <c r="F63" s="8">
        <v>30</v>
      </c>
      <c r="G63" s="7">
        <v>0.10726540928059965</v>
      </c>
      <c r="H63" s="7">
        <v>4.1338102397182767E-2</v>
      </c>
      <c r="I63" s="8">
        <v>0</v>
      </c>
      <c r="J63" s="8">
        <v>1</v>
      </c>
      <c r="K63" s="8">
        <v>61</v>
      </c>
      <c r="L63" s="7">
        <v>0.13689738176817837</v>
      </c>
      <c r="M63" s="7">
        <v>5.2845093277619909E-2</v>
      </c>
      <c r="N63" s="8">
        <v>0</v>
      </c>
      <c r="O63" s="8">
        <v>1</v>
      </c>
      <c r="P63" s="8">
        <v>55</v>
      </c>
      <c r="Q63" s="7">
        <v>8.9166566576414794E-2</v>
      </c>
      <c r="R63" s="7">
        <v>3.6839875150426575E-2</v>
      </c>
      <c r="S63" s="8">
        <v>0</v>
      </c>
      <c r="T63" s="8">
        <v>1</v>
      </c>
      <c r="U63" s="8">
        <v>73</v>
      </c>
      <c r="V63" s="7">
        <v>0</v>
      </c>
      <c r="W63" s="7">
        <v>0</v>
      </c>
      <c r="X63" s="8">
        <v>0</v>
      </c>
      <c r="Y63" s="8">
        <v>0</v>
      </c>
      <c r="Z63" s="8">
        <v>70</v>
      </c>
      <c r="AA63" s="7">
        <v>0.11065143190771046</v>
      </c>
      <c r="AB63" s="7">
        <v>2.529545518027242E-2</v>
      </c>
      <c r="AC63" s="8">
        <v>0</v>
      </c>
      <c r="AD63" s="8">
        <v>1</v>
      </c>
      <c r="AE63" s="8">
        <v>289</v>
      </c>
    </row>
    <row r="64" spans="1:32" ht="14.25" customHeight="1" x14ac:dyDescent="0.45">
      <c r="A64" s="6" t="s">
        <v>14</v>
      </c>
      <c r="B64" s="7">
        <v>0.13016679037219059</v>
      </c>
      <c r="C64" s="7">
        <v>5.9549306753684021E-2</v>
      </c>
      <c r="D64" s="8">
        <v>0</v>
      </c>
      <c r="E64" s="8">
        <v>1</v>
      </c>
      <c r="F64" s="8">
        <v>30</v>
      </c>
      <c r="G64" s="7">
        <v>0.22754497354298037</v>
      </c>
      <c r="H64" s="7">
        <v>5.9023439789985963E-2</v>
      </c>
      <c r="I64" s="8">
        <v>0</v>
      </c>
      <c r="J64" s="8">
        <v>1</v>
      </c>
      <c r="K64" s="8">
        <v>61</v>
      </c>
      <c r="L64" s="7">
        <v>0.3917380576004631</v>
      </c>
      <c r="M64" s="7">
        <v>7.7908860640490393E-2</v>
      </c>
      <c r="N64" s="8">
        <v>0</v>
      </c>
      <c r="O64" s="8">
        <v>1</v>
      </c>
      <c r="P64" s="8">
        <v>55</v>
      </c>
      <c r="Q64" s="7">
        <v>0.21376507127333513</v>
      </c>
      <c r="R64" s="7">
        <v>5.8384678563788463E-2</v>
      </c>
      <c r="S64" s="8">
        <v>0</v>
      </c>
      <c r="T64" s="8">
        <v>1</v>
      </c>
      <c r="U64" s="8">
        <v>73</v>
      </c>
      <c r="V64" s="7">
        <v>0.10515996356657258</v>
      </c>
      <c r="W64" s="7">
        <v>5.4094036626233195E-2</v>
      </c>
      <c r="X64" s="8">
        <v>0</v>
      </c>
      <c r="Y64" s="8">
        <v>1</v>
      </c>
      <c r="Z64" s="8">
        <v>70</v>
      </c>
      <c r="AA64" s="7">
        <v>0.2760131133844731</v>
      </c>
      <c r="AB64" s="7">
        <v>3.8886897451717806E-2</v>
      </c>
      <c r="AC64" s="8">
        <v>0</v>
      </c>
      <c r="AD64" s="8">
        <v>1</v>
      </c>
      <c r="AE64" s="8">
        <v>289</v>
      </c>
      <c r="AF64">
        <f>(AA66/AA65)-AA64</f>
        <v>-4.1104808742297411E-2</v>
      </c>
    </row>
    <row r="65" spans="1:32" ht="14.25" customHeight="1" x14ac:dyDescent="0.45">
      <c r="A65" s="6" t="s">
        <v>34</v>
      </c>
      <c r="B65" s="7">
        <v>0.4894319374513672</v>
      </c>
      <c r="C65" s="7">
        <v>0.10893259880381885</v>
      </c>
      <c r="D65" s="8">
        <v>0</v>
      </c>
      <c r="E65" s="8">
        <v>1</v>
      </c>
      <c r="F65" s="8">
        <v>30</v>
      </c>
      <c r="G65" s="7">
        <v>0.44872874557568304</v>
      </c>
      <c r="H65" s="7">
        <v>7.0135939137786235E-2</v>
      </c>
      <c r="I65" s="8">
        <v>0</v>
      </c>
      <c r="J65" s="8">
        <v>1</v>
      </c>
      <c r="K65" s="8">
        <v>61</v>
      </c>
      <c r="L65" s="7">
        <v>0.44597262530741871</v>
      </c>
      <c r="M65" s="7">
        <v>7.6059185228833259E-2</v>
      </c>
      <c r="N65" s="8">
        <v>0</v>
      </c>
      <c r="O65" s="8">
        <v>1</v>
      </c>
      <c r="P65" s="8">
        <v>55</v>
      </c>
      <c r="Q65" s="7">
        <v>0.33484401603436165</v>
      </c>
      <c r="R65" s="7">
        <v>8.021197421991548E-2</v>
      </c>
      <c r="S65" s="8">
        <v>0</v>
      </c>
      <c r="T65" s="8">
        <v>1</v>
      </c>
      <c r="U65" s="8">
        <v>73</v>
      </c>
      <c r="V65" s="7">
        <v>0.18261413580493294</v>
      </c>
      <c r="W65" s="7">
        <v>6.8799354339987712E-2</v>
      </c>
      <c r="X65" s="8">
        <v>0</v>
      </c>
      <c r="Y65" s="8">
        <v>1</v>
      </c>
      <c r="Z65" s="8">
        <v>70</v>
      </c>
      <c r="AA65" s="7">
        <v>0.4132225092291546</v>
      </c>
      <c r="AB65" s="7">
        <v>3.9940293908986763E-2</v>
      </c>
      <c r="AC65" s="8">
        <v>0</v>
      </c>
      <c r="AD65" s="8">
        <v>1</v>
      </c>
      <c r="AE65" s="8">
        <v>289</v>
      </c>
      <c r="AF65">
        <f>(AA66/AA64)-AA65</f>
        <v>-6.1538497217038857E-2</v>
      </c>
    </row>
    <row r="66" spans="1:32" ht="26.25" customHeight="1" x14ac:dyDescent="0.45">
      <c r="A66" s="6" t="s">
        <v>50</v>
      </c>
      <c r="B66" s="7">
        <v>9.2997910723123509E-2</v>
      </c>
      <c r="C66" s="7">
        <v>4.7629135356607913E-2</v>
      </c>
      <c r="D66" s="8">
        <v>0</v>
      </c>
      <c r="E66" s="8">
        <v>1</v>
      </c>
      <c r="F66" s="8">
        <v>30</v>
      </c>
      <c r="G66" s="7">
        <v>8.3159570183268749E-2</v>
      </c>
      <c r="H66" s="7">
        <v>3.4847141211512965E-2</v>
      </c>
      <c r="I66" s="8">
        <v>0</v>
      </c>
      <c r="J66" s="8">
        <v>1</v>
      </c>
      <c r="K66" s="8">
        <v>61</v>
      </c>
      <c r="L66" s="7">
        <v>0.13689738176817837</v>
      </c>
      <c r="M66" s="7">
        <v>5.2845093277619909E-2</v>
      </c>
      <c r="N66" s="8">
        <v>0</v>
      </c>
      <c r="O66" s="8">
        <v>1</v>
      </c>
      <c r="P66" s="8">
        <v>55</v>
      </c>
      <c r="Q66" s="7">
        <v>6.7565620714096136E-2</v>
      </c>
      <c r="R66" s="7">
        <v>3.0320602127897989E-2</v>
      </c>
      <c r="S66" s="8">
        <v>0</v>
      </c>
      <c r="T66" s="8">
        <v>1</v>
      </c>
      <c r="U66" s="8">
        <v>73</v>
      </c>
      <c r="V66" s="7">
        <v>0</v>
      </c>
      <c r="W66" s="7">
        <v>0</v>
      </c>
      <c r="X66" s="8">
        <v>0</v>
      </c>
      <c r="Y66" s="8">
        <v>0</v>
      </c>
      <c r="Z66" s="8">
        <v>70</v>
      </c>
      <c r="AA66" s="7">
        <v>9.7069399083006505E-2</v>
      </c>
      <c r="AB66" s="7">
        <v>2.4116493806464544E-2</v>
      </c>
      <c r="AC66" s="8">
        <v>0</v>
      </c>
      <c r="AD66" s="8">
        <v>1</v>
      </c>
      <c r="AE66" s="8">
        <v>289</v>
      </c>
    </row>
    <row r="67" spans="1:32" ht="14.25" customHeight="1" x14ac:dyDescent="0.45">
      <c r="A67" s="6" t="s">
        <v>14</v>
      </c>
      <c r="B67" s="7">
        <v>0.13016679037219059</v>
      </c>
      <c r="C67" s="7">
        <v>5.9549306753684021E-2</v>
      </c>
      <c r="D67" s="8">
        <v>0</v>
      </c>
      <c r="E67" s="8">
        <v>1</v>
      </c>
      <c r="F67" s="8">
        <v>30</v>
      </c>
      <c r="G67" s="7">
        <v>0.22754497354298037</v>
      </c>
      <c r="H67" s="7">
        <v>5.9023439789985963E-2</v>
      </c>
      <c r="I67" s="8">
        <v>0</v>
      </c>
      <c r="J67" s="8">
        <v>1</v>
      </c>
      <c r="K67" s="8">
        <v>61</v>
      </c>
      <c r="L67" s="7">
        <v>0.3917380576004631</v>
      </c>
      <c r="M67" s="7">
        <v>7.7908860640490393E-2</v>
      </c>
      <c r="N67" s="8">
        <v>0</v>
      </c>
      <c r="O67" s="8">
        <v>1</v>
      </c>
      <c r="P67" s="8">
        <v>55</v>
      </c>
      <c r="Q67" s="7">
        <v>0.21376507127333513</v>
      </c>
      <c r="R67" s="7">
        <v>5.8384678563788463E-2</v>
      </c>
      <c r="S67" s="8">
        <v>0</v>
      </c>
      <c r="T67" s="8">
        <v>1</v>
      </c>
      <c r="U67" s="8">
        <v>73</v>
      </c>
      <c r="V67" s="7">
        <v>0.10515996356657258</v>
      </c>
      <c r="W67" s="7">
        <v>5.4094036626233195E-2</v>
      </c>
      <c r="X67" s="8">
        <v>0</v>
      </c>
      <c r="Y67" s="8">
        <v>1</v>
      </c>
      <c r="Z67" s="8">
        <v>70</v>
      </c>
      <c r="AA67" s="7">
        <v>0.2760131133844731</v>
      </c>
      <c r="AB67" s="7">
        <v>3.8886897451717806E-2</v>
      </c>
      <c r="AC67" s="8">
        <v>0</v>
      </c>
      <c r="AD67" s="8">
        <v>1</v>
      </c>
      <c r="AE67" s="8">
        <v>289</v>
      </c>
      <c r="AF67">
        <f>(AA69/AA68)-AA67</f>
        <v>-6.0531992306647742E-3</v>
      </c>
    </row>
    <row r="68" spans="1:32" ht="14.25" customHeight="1" x14ac:dyDescent="0.45">
      <c r="A68" s="6" t="s">
        <v>36</v>
      </c>
      <c r="B68" s="7">
        <v>0.72893239565623269</v>
      </c>
      <c r="C68" s="7">
        <v>8.902381100148167E-2</v>
      </c>
      <c r="D68" s="8">
        <v>0</v>
      </c>
      <c r="E68" s="8">
        <v>1</v>
      </c>
      <c r="F68" s="8">
        <v>30</v>
      </c>
      <c r="G68" s="7">
        <v>0.32479990825338129</v>
      </c>
      <c r="H68" s="7">
        <v>6.8586146510135823E-2</v>
      </c>
      <c r="I68" s="8">
        <v>0</v>
      </c>
      <c r="J68" s="8">
        <v>1</v>
      </c>
      <c r="K68" s="8">
        <v>61</v>
      </c>
      <c r="L68" s="7">
        <v>0.15180128791918751</v>
      </c>
      <c r="M68" s="7">
        <v>5.7394585526529353E-2</v>
      </c>
      <c r="N68" s="8">
        <v>0</v>
      </c>
      <c r="O68" s="8">
        <v>1</v>
      </c>
      <c r="P68" s="8">
        <v>55</v>
      </c>
      <c r="Q68" s="7">
        <v>0.33816527182499029</v>
      </c>
      <c r="R68" s="7">
        <v>7.9496187777029978E-2</v>
      </c>
      <c r="S68" s="8">
        <v>0</v>
      </c>
      <c r="T68" s="8">
        <v>1</v>
      </c>
      <c r="U68" s="8">
        <v>73</v>
      </c>
      <c r="V68" s="7">
        <v>0.26911799543093445</v>
      </c>
      <c r="W68" s="7">
        <v>7.1124564652368341E-2</v>
      </c>
      <c r="X68" s="8">
        <v>0</v>
      </c>
      <c r="Y68" s="8">
        <v>1</v>
      </c>
      <c r="Z68" s="8">
        <v>70</v>
      </c>
      <c r="AA68" s="7">
        <v>0.28189538649826235</v>
      </c>
      <c r="AB68" s="7">
        <v>3.5929536319725487E-2</v>
      </c>
      <c r="AC68" s="8">
        <v>0</v>
      </c>
      <c r="AD68" s="8">
        <v>1</v>
      </c>
      <c r="AE68" s="8">
        <v>289</v>
      </c>
      <c r="AF68">
        <f>(AA69/AA67)-AA68</f>
        <v>-6.1822024169639334E-3</v>
      </c>
    </row>
    <row r="69" spans="1:32" ht="14.25" customHeight="1" x14ac:dyDescent="0.45">
      <c r="A69" s="6" t="s">
        <v>51</v>
      </c>
      <c r="B69" s="7">
        <v>0.11076098772392728</v>
      </c>
      <c r="C69" s="7">
        <v>5.6275896072265824E-2</v>
      </c>
      <c r="D69" s="8">
        <v>0</v>
      </c>
      <c r="E69" s="8">
        <v>1</v>
      </c>
      <c r="F69" s="8">
        <v>30</v>
      </c>
      <c r="G69" s="7">
        <v>0.13167197778851797</v>
      </c>
      <c r="H69" s="7">
        <v>4.9486141469646368E-2</v>
      </c>
      <c r="I69" s="8">
        <v>0</v>
      </c>
      <c r="J69" s="8">
        <v>1</v>
      </c>
      <c r="K69" s="8">
        <v>61</v>
      </c>
      <c r="L69" s="7">
        <v>4.5265693708224974E-2</v>
      </c>
      <c r="M69" s="7">
        <v>3.1592200943601607E-2</v>
      </c>
      <c r="N69" s="8">
        <v>0</v>
      </c>
      <c r="O69" s="8">
        <v>1</v>
      </c>
      <c r="P69" s="8">
        <v>55</v>
      </c>
      <c r="Q69" s="7">
        <v>6.4756700475686588E-2</v>
      </c>
      <c r="R69" s="7">
        <v>3.7189072188403088E-2</v>
      </c>
      <c r="S69" s="8">
        <v>0</v>
      </c>
      <c r="T69" s="8">
        <v>1</v>
      </c>
      <c r="U69" s="8">
        <v>73</v>
      </c>
      <c r="V69" s="7">
        <v>0</v>
      </c>
      <c r="W69" s="7">
        <v>0</v>
      </c>
      <c r="X69" s="8">
        <v>0</v>
      </c>
      <c r="Y69" s="8">
        <v>0</v>
      </c>
      <c r="Z69" s="8">
        <v>70</v>
      </c>
      <c r="AA69" s="7">
        <v>7.6100454339425527E-2</v>
      </c>
      <c r="AB69" s="7">
        <v>2.0907947423420791E-2</v>
      </c>
      <c r="AC69" s="8">
        <v>0</v>
      </c>
      <c r="AD69" s="8">
        <v>1</v>
      </c>
      <c r="AE69" s="8">
        <v>289</v>
      </c>
    </row>
    <row r="70" spans="1:32" ht="14.25" customHeight="1" x14ac:dyDescent="0.45">
      <c r="A70" s="6" t="s">
        <v>26</v>
      </c>
      <c r="B70" s="7">
        <v>0.22083949263359173</v>
      </c>
      <c r="C70" s="7">
        <v>7.6981635649396321E-2</v>
      </c>
      <c r="D70" s="8">
        <v>0</v>
      </c>
      <c r="E70" s="8">
        <v>1</v>
      </c>
      <c r="F70" s="8">
        <v>30</v>
      </c>
      <c r="G70" s="7">
        <v>0.47381802682362351</v>
      </c>
      <c r="H70" s="7">
        <v>7.1195474004264972E-2</v>
      </c>
      <c r="I70" s="8">
        <v>0</v>
      </c>
      <c r="J70" s="8">
        <v>1</v>
      </c>
      <c r="K70" s="8">
        <v>61</v>
      </c>
      <c r="L70" s="7">
        <v>0.54001580449645814</v>
      </c>
      <c r="M70" s="7">
        <v>7.6978621202141204E-2</v>
      </c>
      <c r="N70" s="8">
        <v>0</v>
      </c>
      <c r="O70" s="8">
        <v>1</v>
      </c>
      <c r="P70" s="8">
        <v>55</v>
      </c>
      <c r="Q70" s="7">
        <v>0.59736595895844924</v>
      </c>
      <c r="R70" s="7">
        <v>7.8516305167266792E-2</v>
      </c>
      <c r="S70" s="8">
        <v>0</v>
      </c>
      <c r="T70" s="8">
        <v>1</v>
      </c>
      <c r="U70" s="8">
        <v>73</v>
      </c>
      <c r="V70" s="7">
        <v>0.25989961232588688</v>
      </c>
      <c r="W70" s="7">
        <v>7.3723142307638323E-2</v>
      </c>
      <c r="X70" s="8">
        <v>0</v>
      </c>
      <c r="Y70" s="8">
        <v>1</v>
      </c>
      <c r="Z70" s="8">
        <v>70</v>
      </c>
      <c r="AA70" s="7">
        <v>0.49418092931848012</v>
      </c>
      <c r="AB70" s="7">
        <v>4.0512383726764072E-2</v>
      </c>
      <c r="AC70" s="8">
        <v>0</v>
      </c>
      <c r="AD70" s="8">
        <v>1</v>
      </c>
      <c r="AE70" s="8">
        <v>289</v>
      </c>
      <c r="AF70">
        <f>(AA72/AA71)-AA70</f>
        <v>-1.095507940931878E-2</v>
      </c>
    </row>
    <row r="71" spans="1:32" ht="14.25" customHeight="1" x14ac:dyDescent="0.45">
      <c r="A71" s="6" t="s">
        <v>28</v>
      </c>
      <c r="B71" s="7">
        <v>0.29580870245528007</v>
      </c>
      <c r="C71" s="7">
        <v>0.11556730122910758</v>
      </c>
      <c r="D71" s="8">
        <v>0</v>
      </c>
      <c r="E71" s="8">
        <v>1</v>
      </c>
      <c r="F71" s="8">
        <v>30</v>
      </c>
      <c r="G71" s="7">
        <v>0.20395713984058791</v>
      </c>
      <c r="H71" s="7">
        <v>5.6648529290665377E-2</v>
      </c>
      <c r="I71" s="8">
        <v>0</v>
      </c>
      <c r="J71" s="8">
        <v>1</v>
      </c>
      <c r="K71" s="8">
        <v>61</v>
      </c>
      <c r="L71" s="7">
        <v>0.35840076841974933</v>
      </c>
      <c r="M71" s="7">
        <v>7.4712483039302405E-2</v>
      </c>
      <c r="N71" s="8">
        <v>0</v>
      </c>
      <c r="O71" s="8">
        <v>1</v>
      </c>
      <c r="P71" s="8">
        <v>55</v>
      </c>
      <c r="Q71" s="7">
        <v>0.67434863072132323</v>
      </c>
      <c r="R71" s="7">
        <v>7.7195876807747033E-2</v>
      </c>
      <c r="S71" s="8">
        <v>0</v>
      </c>
      <c r="T71" s="8">
        <v>1</v>
      </c>
      <c r="U71" s="8">
        <v>73</v>
      </c>
      <c r="V71" s="7">
        <v>0.39285830509250746</v>
      </c>
      <c r="W71" s="7">
        <v>8.1726549717313982E-2</v>
      </c>
      <c r="X71" s="8">
        <v>0</v>
      </c>
      <c r="Y71" s="8">
        <v>1</v>
      </c>
      <c r="Z71" s="8">
        <v>70</v>
      </c>
      <c r="AA71" s="7">
        <v>0.36973415314388186</v>
      </c>
      <c r="AB71" s="7">
        <v>3.9118517324785274E-2</v>
      </c>
      <c r="AC71" s="8">
        <v>0</v>
      </c>
      <c r="AD71" s="8">
        <v>1</v>
      </c>
      <c r="AE71" s="8">
        <v>289</v>
      </c>
      <c r="AF71">
        <f>(AA72/AA70)-AA71</f>
        <v>-8.196323993348742E-3</v>
      </c>
    </row>
    <row r="72" spans="1:32" ht="14.25" customHeight="1" x14ac:dyDescent="0.45">
      <c r="A72" s="6" t="s">
        <v>52</v>
      </c>
      <c r="B72" s="7">
        <v>4.6660686855633994E-2</v>
      </c>
      <c r="C72" s="7">
        <v>3.3947575891345672E-2</v>
      </c>
      <c r="D72" s="8">
        <v>0</v>
      </c>
      <c r="E72" s="8">
        <v>1</v>
      </c>
      <c r="F72" s="8">
        <v>30</v>
      </c>
      <c r="G72" s="7">
        <v>3.8668835402028263E-2</v>
      </c>
      <c r="H72" s="7">
        <v>2.7890203268279776E-2</v>
      </c>
      <c r="I72" s="8">
        <v>0</v>
      </c>
      <c r="J72" s="8">
        <v>1</v>
      </c>
      <c r="K72" s="8">
        <v>61</v>
      </c>
      <c r="L72" s="7">
        <v>0.17036236935703797</v>
      </c>
      <c r="M72" s="7">
        <v>5.0489670951948916E-2</v>
      </c>
      <c r="N72" s="8">
        <v>0</v>
      </c>
      <c r="O72" s="8">
        <v>1</v>
      </c>
      <c r="P72" s="8">
        <v>55</v>
      </c>
      <c r="Q72" s="7">
        <v>0.44430021648537821</v>
      </c>
      <c r="R72" s="7">
        <v>8.2064458346332719E-2</v>
      </c>
      <c r="S72" s="8">
        <v>0</v>
      </c>
      <c r="T72" s="8">
        <v>1</v>
      </c>
      <c r="U72" s="8">
        <v>73</v>
      </c>
      <c r="V72" s="7">
        <v>0.23847576851765728</v>
      </c>
      <c r="W72" s="7">
        <v>7.1911909843304617E-2</v>
      </c>
      <c r="X72" s="8">
        <v>0</v>
      </c>
      <c r="Y72" s="8">
        <v>1</v>
      </c>
      <c r="Z72" s="8">
        <v>70</v>
      </c>
      <c r="AA72" s="7">
        <v>0.17866510039339634</v>
      </c>
      <c r="AB72" s="7">
        <v>2.9277418938811573E-2</v>
      </c>
      <c r="AC72" s="8">
        <v>0</v>
      </c>
      <c r="AD72" s="8">
        <v>1</v>
      </c>
      <c r="AE72" s="8">
        <v>289</v>
      </c>
    </row>
    <row r="73" spans="1:32" ht="14.25" customHeight="1" x14ac:dyDescent="0.45">
      <c r="A73" s="6" t="s">
        <v>26</v>
      </c>
      <c r="B73" s="7">
        <v>0.22083949263359173</v>
      </c>
      <c r="C73" s="7">
        <v>7.6981635649396321E-2</v>
      </c>
      <c r="D73" s="8">
        <v>0</v>
      </c>
      <c r="E73" s="8">
        <v>1</v>
      </c>
      <c r="F73" s="8">
        <v>30</v>
      </c>
      <c r="G73" s="7">
        <v>0.47381802682362351</v>
      </c>
      <c r="H73" s="7">
        <v>7.1195474004264972E-2</v>
      </c>
      <c r="I73" s="8">
        <v>0</v>
      </c>
      <c r="J73" s="8">
        <v>1</v>
      </c>
      <c r="K73" s="8">
        <v>61</v>
      </c>
      <c r="L73" s="7">
        <v>0.54001580449645814</v>
      </c>
      <c r="M73" s="7">
        <v>7.6978621202141204E-2</v>
      </c>
      <c r="N73" s="8">
        <v>0</v>
      </c>
      <c r="O73" s="8">
        <v>1</v>
      </c>
      <c r="P73" s="8">
        <v>55</v>
      </c>
      <c r="Q73" s="7">
        <v>0.59736595895844924</v>
      </c>
      <c r="R73" s="7">
        <v>7.8516305167266792E-2</v>
      </c>
      <c r="S73" s="8">
        <v>0</v>
      </c>
      <c r="T73" s="8">
        <v>1</v>
      </c>
      <c r="U73" s="8">
        <v>73</v>
      </c>
      <c r="V73" s="7">
        <v>0.25989961232588688</v>
      </c>
      <c r="W73" s="7">
        <v>7.3723142307638323E-2</v>
      </c>
      <c r="X73" s="8">
        <v>0</v>
      </c>
      <c r="Y73" s="8">
        <v>1</v>
      </c>
      <c r="Z73" s="8">
        <v>70</v>
      </c>
      <c r="AA73" s="7">
        <v>0.49418092931848012</v>
      </c>
      <c r="AB73" s="7">
        <v>4.0512383726764072E-2</v>
      </c>
      <c r="AC73" s="8">
        <v>0</v>
      </c>
      <c r="AD73" s="8">
        <v>1</v>
      </c>
      <c r="AE73" s="8">
        <v>289</v>
      </c>
      <c r="AF73">
        <f>(AA75/AA74)-AA73</f>
        <v>6.9695150030006481E-2</v>
      </c>
    </row>
    <row r="74" spans="1:32" ht="14.25" customHeight="1" x14ac:dyDescent="0.45">
      <c r="A74" s="6" t="s">
        <v>30</v>
      </c>
      <c r="B74" s="7">
        <v>0.33752245897600625</v>
      </c>
      <c r="C74" s="7">
        <v>0.11421269389473675</v>
      </c>
      <c r="D74" s="8">
        <v>0</v>
      </c>
      <c r="E74" s="8">
        <v>1</v>
      </c>
      <c r="F74" s="8">
        <v>30</v>
      </c>
      <c r="G74" s="7">
        <v>3.47823883784288E-2</v>
      </c>
      <c r="H74" s="7">
        <v>2.0826951859673284E-2</v>
      </c>
      <c r="I74" s="8">
        <v>0</v>
      </c>
      <c r="J74" s="8">
        <v>1</v>
      </c>
      <c r="K74" s="8">
        <v>61</v>
      </c>
      <c r="L74" s="7">
        <v>0.25440927475559394</v>
      </c>
      <c r="M74" s="7">
        <v>6.7546806564124665E-2</v>
      </c>
      <c r="N74" s="8">
        <v>0</v>
      </c>
      <c r="O74" s="8">
        <v>1</v>
      </c>
      <c r="P74" s="8">
        <v>55</v>
      </c>
      <c r="Q74" s="7">
        <v>0.16955220211261907</v>
      </c>
      <c r="R74" s="7">
        <v>6.9237651596625663E-2</v>
      </c>
      <c r="S74" s="8">
        <v>0</v>
      </c>
      <c r="T74" s="8">
        <v>1</v>
      </c>
      <c r="U74" s="8">
        <v>73</v>
      </c>
      <c r="V74" s="7">
        <v>0.24138127307771998</v>
      </c>
      <c r="W74" s="7">
        <v>8.0661368122113081E-2</v>
      </c>
      <c r="X74" s="8">
        <v>0</v>
      </c>
      <c r="Y74" s="8">
        <v>1</v>
      </c>
      <c r="Z74" s="8">
        <v>70</v>
      </c>
      <c r="AA74" s="7">
        <v>0.17781334922507863</v>
      </c>
      <c r="AB74" s="7">
        <v>3.2459593105481063E-2</v>
      </c>
      <c r="AC74" s="8">
        <v>0</v>
      </c>
      <c r="AD74" s="8">
        <v>1</v>
      </c>
      <c r="AE74" s="8">
        <v>289</v>
      </c>
      <c r="AF74">
        <f>(AA75/AA73)-AA74</f>
        <v>2.5077309374666651E-2</v>
      </c>
    </row>
    <row r="75" spans="1:32" ht="26.25" customHeight="1" x14ac:dyDescent="0.45">
      <c r="A75" s="6" t="s">
        <v>53</v>
      </c>
      <c r="B75" s="7">
        <v>7.2837785526323834E-2</v>
      </c>
      <c r="C75" s="7">
        <v>4.2943652143772125E-2</v>
      </c>
      <c r="D75" s="8">
        <v>0</v>
      </c>
      <c r="E75" s="8">
        <v>1</v>
      </c>
      <c r="F75" s="8">
        <v>30</v>
      </c>
      <c r="G75" s="7">
        <v>1.436268227398518E-2</v>
      </c>
      <c r="H75" s="7">
        <v>1.4417460457178262E-2</v>
      </c>
      <c r="I75" s="8">
        <v>0</v>
      </c>
      <c r="J75" s="8">
        <v>1</v>
      </c>
      <c r="K75" s="8">
        <v>61</v>
      </c>
      <c r="L75" s="7">
        <v>0.16811182637260397</v>
      </c>
      <c r="M75" s="7">
        <v>5.8710346015194148E-2</v>
      </c>
      <c r="N75" s="8">
        <v>0</v>
      </c>
      <c r="O75" s="8">
        <v>1</v>
      </c>
      <c r="P75" s="8">
        <v>55</v>
      </c>
      <c r="Q75" s="7">
        <v>0.13053005367372686</v>
      </c>
      <c r="R75" s="7">
        <v>6.5846241142009224E-2</v>
      </c>
      <c r="S75" s="8">
        <v>0</v>
      </c>
      <c r="T75" s="8">
        <v>1</v>
      </c>
      <c r="U75" s="8">
        <v>73</v>
      </c>
      <c r="V75" s="7">
        <v>1.4700958128282419E-2</v>
      </c>
      <c r="W75" s="7">
        <v>7.2773530283025446E-3</v>
      </c>
      <c r="X75" s="8">
        <v>0</v>
      </c>
      <c r="Y75" s="8">
        <v>1</v>
      </c>
      <c r="Z75" s="8">
        <v>70</v>
      </c>
      <c r="AA75" s="7">
        <v>0.1002646942168606</v>
      </c>
      <c r="AB75" s="7">
        <v>2.7223573450156267E-2</v>
      </c>
      <c r="AC75" s="8">
        <v>0</v>
      </c>
      <c r="AD75" s="8">
        <v>1</v>
      </c>
      <c r="AE75" s="8">
        <v>289</v>
      </c>
    </row>
    <row r="76" spans="1:32" ht="14.25" customHeight="1" x14ac:dyDescent="0.45">
      <c r="A76" s="6" t="s">
        <v>26</v>
      </c>
      <c r="B76" s="7">
        <v>0.22083949263359173</v>
      </c>
      <c r="C76" s="7">
        <v>7.6981635649396321E-2</v>
      </c>
      <c r="D76" s="8">
        <v>0</v>
      </c>
      <c r="E76" s="8">
        <v>1</v>
      </c>
      <c r="F76" s="8">
        <v>30</v>
      </c>
      <c r="G76" s="7">
        <v>0.47381802682362351</v>
      </c>
      <c r="H76" s="7">
        <v>7.1195474004264972E-2</v>
      </c>
      <c r="I76" s="8">
        <v>0</v>
      </c>
      <c r="J76" s="8">
        <v>1</v>
      </c>
      <c r="K76" s="8">
        <v>61</v>
      </c>
      <c r="L76" s="7">
        <v>0.54001580449645814</v>
      </c>
      <c r="M76" s="7">
        <v>7.6978621202141204E-2</v>
      </c>
      <c r="N76" s="8">
        <v>0</v>
      </c>
      <c r="O76" s="8">
        <v>1</v>
      </c>
      <c r="P76" s="8">
        <v>55</v>
      </c>
      <c r="Q76" s="7">
        <v>0.59736595895844924</v>
      </c>
      <c r="R76" s="7">
        <v>7.8516305167266792E-2</v>
      </c>
      <c r="S76" s="8">
        <v>0</v>
      </c>
      <c r="T76" s="8">
        <v>1</v>
      </c>
      <c r="U76" s="8">
        <v>73</v>
      </c>
      <c r="V76" s="7">
        <v>0.25989961232588688</v>
      </c>
      <c r="W76" s="7">
        <v>7.3723142307638323E-2</v>
      </c>
      <c r="X76" s="8">
        <v>0</v>
      </c>
      <c r="Y76" s="8">
        <v>1</v>
      </c>
      <c r="Z76" s="8">
        <v>70</v>
      </c>
      <c r="AA76" s="7">
        <v>0.49418092931848012</v>
      </c>
      <c r="AB76" s="7">
        <v>4.0512383726764072E-2</v>
      </c>
      <c r="AC76" s="8">
        <v>0</v>
      </c>
      <c r="AD76" s="8">
        <v>1</v>
      </c>
      <c r="AE76" s="8">
        <v>289</v>
      </c>
      <c r="AF76">
        <f>(AA78/AA77)-AA76</f>
        <v>3.2962556220514361E-3</v>
      </c>
    </row>
    <row r="77" spans="1:32" ht="14.25" customHeight="1" x14ac:dyDescent="0.45">
      <c r="A77" s="6" t="s">
        <v>32</v>
      </c>
      <c r="B77" s="7">
        <v>0.8807183467855858</v>
      </c>
      <c r="C77" s="7">
        <v>5.8279938603113868E-2</v>
      </c>
      <c r="D77" s="8">
        <v>0</v>
      </c>
      <c r="E77" s="8">
        <v>1</v>
      </c>
      <c r="F77" s="8">
        <v>30</v>
      </c>
      <c r="G77" s="7">
        <v>0.54094050078981271</v>
      </c>
      <c r="H77" s="7">
        <v>7.1173712714800094E-2</v>
      </c>
      <c r="I77" s="8">
        <v>0</v>
      </c>
      <c r="J77" s="8">
        <v>1</v>
      </c>
      <c r="K77" s="8">
        <v>61</v>
      </c>
      <c r="L77" s="7">
        <v>0.48346140944352428</v>
      </c>
      <c r="M77" s="7">
        <v>7.6685026228219974E-2</v>
      </c>
      <c r="N77" s="8">
        <v>0</v>
      </c>
      <c r="O77" s="8">
        <v>1</v>
      </c>
      <c r="P77" s="8">
        <v>55</v>
      </c>
      <c r="Q77" s="7">
        <v>0.44134588510507772</v>
      </c>
      <c r="R77" s="7">
        <v>8.0894115891955082E-2</v>
      </c>
      <c r="S77" s="8">
        <v>0</v>
      </c>
      <c r="T77" s="8">
        <v>1</v>
      </c>
      <c r="U77" s="8">
        <v>73</v>
      </c>
      <c r="V77" s="7">
        <v>0.20063141493586031</v>
      </c>
      <c r="W77" s="7">
        <v>6.9153247809359233E-2</v>
      </c>
      <c r="X77" s="8">
        <v>0</v>
      </c>
      <c r="Y77" s="8">
        <v>1</v>
      </c>
      <c r="Z77" s="8">
        <v>70</v>
      </c>
      <c r="AA77" s="7">
        <v>0.50135235214164198</v>
      </c>
      <c r="AB77" s="7">
        <v>4.0501737834490306E-2</v>
      </c>
      <c r="AC77" s="8">
        <v>0</v>
      </c>
      <c r="AD77" s="8">
        <v>1</v>
      </c>
      <c r="AE77" s="8">
        <v>289</v>
      </c>
      <c r="AF77">
        <f>(AA78/AA76)-AA77</f>
        <v>3.3440900110303096E-3</v>
      </c>
    </row>
    <row r="78" spans="1:32" ht="26.25" customHeight="1" x14ac:dyDescent="0.45">
      <c r="A78" s="6" t="s">
        <v>54</v>
      </c>
      <c r="B78" s="7">
        <v>0.1908999223479286</v>
      </c>
      <c r="C78" s="7">
        <v>7.184688460036677E-2</v>
      </c>
      <c r="D78" s="8">
        <v>0</v>
      </c>
      <c r="E78" s="8">
        <v>1</v>
      </c>
      <c r="F78" s="8">
        <v>30</v>
      </c>
      <c r="G78" s="7">
        <v>0.290706796365584</v>
      </c>
      <c r="H78" s="7">
        <v>6.3428954888774355E-2</v>
      </c>
      <c r="I78" s="8">
        <v>0</v>
      </c>
      <c r="J78" s="8">
        <v>1</v>
      </c>
      <c r="K78" s="8">
        <v>61</v>
      </c>
      <c r="L78" s="7">
        <v>0.25234266078297291</v>
      </c>
      <c r="M78" s="7">
        <v>6.5723390358220765E-2</v>
      </c>
      <c r="N78" s="8">
        <v>0</v>
      </c>
      <c r="O78" s="8">
        <v>1</v>
      </c>
      <c r="P78" s="8">
        <v>55</v>
      </c>
      <c r="Q78" s="7">
        <v>0.26605366269179509</v>
      </c>
      <c r="R78" s="7">
        <v>6.9871763821700988E-2</v>
      </c>
      <c r="S78" s="8">
        <v>0</v>
      </c>
      <c r="T78" s="8">
        <v>1</v>
      </c>
      <c r="U78" s="8">
        <v>73</v>
      </c>
      <c r="V78" s="7">
        <v>3.239293337691565E-2</v>
      </c>
      <c r="W78" s="7">
        <v>1.4935718385532233E-2</v>
      </c>
      <c r="X78" s="8">
        <v>0</v>
      </c>
      <c r="Y78" s="8">
        <v>1</v>
      </c>
      <c r="Z78" s="8">
        <v>70</v>
      </c>
      <c r="AA78" s="7">
        <v>0.24941135680673812</v>
      </c>
      <c r="AB78" s="7">
        <v>3.4726943293617203E-2</v>
      </c>
      <c r="AC78" s="8">
        <v>0</v>
      </c>
      <c r="AD78" s="8">
        <v>1</v>
      </c>
      <c r="AE78" s="8">
        <v>289</v>
      </c>
    </row>
    <row r="79" spans="1:32" ht="14.25" customHeight="1" x14ac:dyDescent="0.45">
      <c r="A79" s="6" t="s">
        <v>26</v>
      </c>
      <c r="B79" s="7">
        <v>0.22083949263359173</v>
      </c>
      <c r="C79" s="7">
        <v>7.6981635649396321E-2</v>
      </c>
      <c r="D79" s="8">
        <v>0</v>
      </c>
      <c r="E79" s="8">
        <v>1</v>
      </c>
      <c r="F79" s="8">
        <v>30</v>
      </c>
      <c r="G79" s="7">
        <v>0.47381802682362351</v>
      </c>
      <c r="H79" s="7">
        <v>7.1195474004264972E-2</v>
      </c>
      <c r="I79" s="8">
        <v>0</v>
      </c>
      <c r="J79" s="8">
        <v>1</v>
      </c>
      <c r="K79" s="8">
        <v>61</v>
      </c>
      <c r="L79" s="7">
        <v>0.54001580449645814</v>
      </c>
      <c r="M79" s="7">
        <v>7.6978621202141204E-2</v>
      </c>
      <c r="N79" s="8">
        <v>0</v>
      </c>
      <c r="O79" s="8">
        <v>1</v>
      </c>
      <c r="P79" s="8">
        <v>55</v>
      </c>
      <c r="Q79" s="7">
        <v>0.59736595895844924</v>
      </c>
      <c r="R79" s="7">
        <v>7.8516305167266792E-2</v>
      </c>
      <c r="S79" s="8">
        <v>0</v>
      </c>
      <c r="T79" s="8">
        <v>1</v>
      </c>
      <c r="U79" s="8">
        <v>73</v>
      </c>
      <c r="V79" s="7">
        <v>0.25989961232588688</v>
      </c>
      <c r="W79" s="7">
        <v>7.3723142307638323E-2</v>
      </c>
      <c r="X79" s="8">
        <v>0</v>
      </c>
      <c r="Y79" s="8">
        <v>1</v>
      </c>
      <c r="Z79" s="8">
        <v>70</v>
      </c>
      <c r="AA79" s="7">
        <v>0.49418092931848012</v>
      </c>
      <c r="AB79" s="7">
        <v>4.0512383726764072E-2</v>
      </c>
      <c r="AC79" s="8">
        <v>0</v>
      </c>
      <c r="AD79" s="8">
        <v>1</v>
      </c>
      <c r="AE79" s="8">
        <v>289</v>
      </c>
      <c r="AF79">
        <f>(AA81/AA80)-AA79</f>
        <v>3.1978296000433892E-2</v>
      </c>
    </row>
    <row r="80" spans="1:32" ht="14.25" customHeight="1" x14ac:dyDescent="0.45">
      <c r="A80" s="6" t="s">
        <v>34</v>
      </c>
      <c r="B80" s="7">
        <v>0.4894319374513672</v>
      </c>
      <c r="C80" s="7">
        <v>0.10893259880381885</v>
      </c>
      <c r="D80" s="8">
        <v>0</v>
      </c>
      <c r="E80" s="8">
        <v>1</v>
      </c>
      <c r="F80" s="8">
        <v>30</v>
      </c>
      <c r="G80" s="7">
        <v>0.44872874557568304</v>
      </c>
      <c r="H80" s="7">
        <v>7.0135939137786235E-2</v>
      </c>
      <c r="I80" s="8">
        <v>0</v>
      </c>
      <c r="J80" s="8">
        <v>1</v>
      </c>
      <c r="K80" s="8">
        <v>61</v>
      </c>
      <c r="L80" s="7">
        <v>0.44597262530741871</v>
      </c>
      <c r="M80" s="7">
        <v>7.6059185228833259E-2</v>
      </c>
      <c r="N80" s="8">
        <v>0</v>
      </c>
      <c r="O80" s="8">
        <v>1</v>
      </c>
      <c r="P80" s="8">
        <v>55</v>
      </c>
      <c r="Q80" s="7">
        <v>0.33484401603436165</v>
      </c>
      <c r="R80" s="7">
        <v>8.021197421991548E-2</v>
      </c>
      <c r="S80" s="8">
        <v>0</v>
      </c>
      <c r="T80" s="8">
        <v>1</v>
      </c>
      <c r="U80" s="8">
        <v>73</v>
      </c>
      <c r="V80" s="7">
        <v>0.18261413580493294</v>
      </c>
      <c r="W80" s="7">
        <v>6.8799354339987712E-2</v>
      </c>
      <c r="X80" s="8">
        <v>0</v>
      </c>
      <c r="Y80" s="8">
        <v>1</v>
      </c>
      <c r="Z80" s="8">
        <v>70</v>
      </c>
      <c r="AA80" s="7">
        <v>0.4132225092291546</v>
      </c>
      <c r="AB80" s="7">
        <v>3.9940293908986763E-2</v>
      </c>
      <c r="AC80" s="8">
        <v>0</v>
      </c>
      <c r="AD80" s="8">
        <v>1</v>
      </c>
      <c r="AE80" s="8">
        <v>289</v>
      </c>
      <c r="AF80">
        <f>(AA81/AA79)-AA80</f>
        <v>2.6739501527093423E-2</v>
      </c>
    </row>
    <row r="81" spans="1:32" ht="26.25" customHeight="1" x14ac:dyDescent="0.45">
      <c r="A81" s="6" t="s">
        <v>55</v>
      </c>
      <c r="B81" s="7">
        <v>0.12358116107726613</v>
      </c>
      <c r="C81" s="7">
        <v>5.5965387415851116E-2</v>
      </c>
      <c r="D81" s="8">
        <v>0</v>
      </c>
      <c r="E81" s="8">
        <v>1</v>
      </c>
      <c r="F81" s="8">
        <v>30</v>
      </c>
      <c r="G81" s="7">
        <v>0.23657032139002063</v>
      </c>
      <c r="H81" s="7">
        <v>5.8656708142551708E-2</v>
      </c>
      <c r="I81" s="8">
        <v>0</v>
      </c>
      <c r="J81" s="8">
        <v>1</v>
      </c>
      <c r="K81" s="8">
        <v>61</v>
      </c>
      <c r="L81" s="7">
        <v>0.24444434778854224</v>
      </c>
      <c r="M81" s="7">
        <v>6.5451333405022641E-2</v>
      </c>
      <c r="N81" s="8">
        <v>0</v>
      </c>
      <c r="O81" s="8">
        <v>1</v>
      </c>
      <c r="P81" s="8">
        <v>55</v>
      </c>
      <c r="Q81" s="7">
        <v>0.22177509556487729</v>
      </c>
      <c r="R81" s="7">
        <v>6.7108617991291239E-2</v>
      </c>
      <c r="S81" s="8">
        <v>0</v>
      </c>
      <c r="T81" s="8">
        <v>1</v>
      </c>
      <c r="U81" s="8">
        <v>73</v>
      </c>
      <c r="V81" s="7">
        <v>2.8813407170007587E-2</v>
      </c>
      <c r="W81" s="7">
        <v>1.4341015471635675E-2</v>
      </c>
      <c r="X81" s="8">
        <v>0</v>
      </c>
      <c r="Y81" s="8">
        <v>1</v>
      </c>
      <c r="Z81" s="8">
        <v>70</v>
      </c>
      <c r="AA81" s="7">
        <v>0.21742083534034978</v>
      </c>
      <c r="AB81" s="7">
        <v>3.3600142773666276E-2</v>
      </c>
      <c r="AC81" s="8">
        <v>0</v>
      </c>
      <c r="AD81" s="8">
        <v>1</v>
      </c>
      <c r="AE81" s="8">
        <v>289</v>
      </c>
    </row>
    <row r="82" spans="1:32" ht="14.25" customHeight="1" x14ac:dyDescent="0.45">
      <c r="A82" s="6" t="s">
        <v>26</v>
      </c>
      <c r="B82" s="7">
        <v>0.22083949263359173</v>
      </c>
      <c r="C82" s="7">
        <v>7.6981635649396321E-2</v>
      </c>
      <c r="D82" s="8">
        <v>0</v>
      </c>
      <c r="E82" s="8">
        <v>1</v>
      </c>
      <c r="F82" s="8">
        <v>30</v>
      </c>
      <c r="G82" s="7">
        <v>0.47381802682362351</v>
      </c>
      <c r="H82" s="7">
        <v>7.1195474004264972E-2</v>
      </c>
      <c r="I82" s="8">
        <v>0</v>
      </c>
      <c r="J82" s="8">
        <v>1</v>
      </c>
      <c r="K82" s="8">
        <v>61</v>
      </c>
      <c r="L82" s="7">
        <v>0.54001580449645814</v>
      </c>
      <c r="M82" s="7">
        <v>7.6978621202141204E-2</v>
      </c>
      <c r="N82" s="8">
        <v>0</v>
      </c>
      <c r="O82" s="8">
        <v>1</v>
      </c>
      <c r="P82" s="8">
        <v>55</v>
      </c>
      <c r="Q82" s="7">
        <v>0.59736595895844924</v>
      </c>
      <c r="R82" s="7">
        <v>7.8516305167266792E-2</v>
      </c>
      <c r="S82" s="8">
        <v>0</v>
      </c>
      <c r="T82" s="8">
        <v>1</v>
      </c>
      <c r="U82" s="8">
        <v>73</v>
      </c>
      <c r="V82" s="7">
        <v>0.25989961232588688</v>
      </c>
      <c r="W82" s="7">
        <v>7.3723142307638323E-2</v>
      </c>
      <c r="X82" s="8">
        <v>0</v>
      </c>
      <c r="Y82" s="8">
        <v>1</v>
      </c>
      <c r="Z82" s="8">
        <v>70</v>
      </c>
      <c r="AA82" s="7">
        <v>0.49418092931848012</v>
      </c>
      <c r="AB82" s="7">
        <v>4.0512383726764072E-2</v>
      </c>
      <c r="AC82" s="8">
        <v>0</v>
      </c>
      <c r="AD82" s="8">
        <v>1</v>
      </c>
      <c r="AE82" s="8">
        <v>289</v>
      </c>
      <c r="AF82">
        <f>(AA84/AA83)-AA82</f>
        <v>0.11704108613764019</v>
      </c>
    </row>
    <row r="83" spans="1:32" ht="14.25" customHeight="1" x14ac:dyDescent="0.45">
      <c r="A83" s="6" t="s">
        <v>36</v>
      </c>
      <c r="B83" s="7">
        <v>0.72893239565623269</v>
      </c>
      <c r="C83" s="7">
        <v>8.902381100148167E-2</v>
      </c>
      <c r="D83" s="8">
        <v>0</v>
      </c>
      <c r="E83" s="8">
        <v>1</v>
      </c>
      <c r="F83" s="8">
        <v>30</v>
      </c>
      <c r="G83" s="7">
        <v>0.32479990825338129</v>
      </c>
      <c r="H83" s="7">
        <v>6.8586146510135823E-2</v>
      </c>
      <c r="I83" s="8">
        <v>0</v>
      </c>
      <c r="J83" s="8">
        <v>1</v>
      </c>
      <c r="K83" s="8">
        <v>61</v>
      </c>
      <c r="L83" s="7">
        <v>0.15180128791918751</v>
      </c>
      <c r="M83" s="7">
        <v>5.7394585526529353E-2</v>
      </c>
      <c r="N83" s="8">
        <v>0</v>
      </c>
      <c r="O83" s="8">
        <v>1</v>
      </c>
      <c r="P83" s="8">
        <v>55</v>
      </c>
      <c r="Q83" s="7">
        <v>0.33816527182499029</v>
      </c>
      <c r="R83" s="7">
        <v>7.9496187777029978E-2</v>
      </c>
      <c r="S83" s="8">
        <v>0</v>
      </c>
      <c r="T83" s="8">
        <v>1</v>
      </c>
      <c r="U83" s="8">
        <v>73</v>
      </c>
      <c r="V83" s="7">
        <v>0.26911799543093445</v>
      </c>
      <c r="W83" s="7">
        <v>7.1124564652368341E-2</v>
      </c>
      <c r="X83" s="8">
        <v>0</v>
      </c>
      <c r="Y83" s="8">
        <v>1</v>
      </c>
      <c r="Z83" s="8">
        <v>70</v>
      </c>
      <c r="AA83" s="7">
        <v>0.28189538649826235</v>
      </c>
      <c r="AB83" s="7">
        <v>3.5929536319725487E-2</v>
      </c>
      <c r="AC83" s="8">
        <v>0</v>
      </c>
      <c r="AD83" s="8">
        <v>1</v>
      </c>
      <c r="AE83" s="8">
        <v>289</v>
      </c>
      <c r="AF83">
        <f>(AA84/AA82)-AA83</f>
        <v>6.6763689684357641E-2</v>
      </c>
    </row>
    <row r="84" spans="1:32" ht="14.25" customHeight="1" x14ac:dyDescent="0.45">
      <c r="A84" s="6" t="s">
        <v>56</v>
      </c>
      <c r="B84" s="7">
        <v>0.17417880577795775</v>
      </c>
      <c r="C84" s="7">
        <v>7.0076368068473324E-2</v>
      </c>
      <c r="D84" s="8">
        <v>0</v>
      </c>
      <c r="E84" s="8">
        <v>1</v>
      </c>
      <c r="F84" s="8">
        <v>30</v>
      </c>
      <c r="G84" s="7">
        <v>0.25770821178111775</v>
      </c>
      <c r="H84" s="7">
        <v>6.6429694257954808E-2</v>
      </c>
      <c r="I84" s="8">
        <v>0</v>
      </c>
      <c r="J84" s="8">
        <v>1</v>
      </c>
      <c r="K84" s="8">
        <v>61</v>
      </c>
      <c r="L84" s="7">
        <v>9.1255734622011198E-2</v>
      </c>
      <c r="M84" s="7">
        <v>4.8445659792632177E-2</v>
      </c>
      <c r="N84" s="8">
        <v>0</v>
      </c>
      <c r="O84" s="8">
        <v>1</v>
      </c>
      <c r="P84" s="8">
        <v>55</v>
      </c>
      <c r="Q84" s="7">
        <v>0.24849225566320762</v>
      </c>
      <c r="R84" s="7">
        <v>7.6226463148230283E-2</v>
      </c>
      <c r="S84" s="8">
        <v>0</v>
      </c>
      <c r="T84" s="8">
        <v>1</v>
      </c>
      <c r="U84" s="8">
        <v>73</v>
      </c>
      <c r="V84" s="7">
        <v>3.7788542629239814E-2</v>
      </c>
      <c r="W84" s="7">
        <v>2.2928731103272142E-2</v>
      </c>
      <c r="X84" s="8">
        <v>0</v>
      </c>
      <c r="Y84" s="8">
        <v>1</v>
      </c>
      <c r="Z84" s="8">
        <v>70</v>
      </c>
      <c r="AA84" s="7">
        <v>0.17230066628324991</v>
      </c>
      <c r="AB84" s="7">
        <v>3.1986341905768455E-2</v>
      </c>
      <c r="AC84" s="8">
        <v>0</v>
      </c>
      <c r="AD84" s="8">
        <v>1</v>
      </c>
      <c r="AE84" s="8">
        <v>289</v>
      </c>
    </row>
    <row r="85" spans="1:32" ht="14.25" customHeight="1" x14ac:dyDescent="0.45">
      <c r="A85" s="6" t="s">
        <v>26</v>
      </c>
      <c r="B85" s="7">
        <v>0.22083949263359173</v>
      </c>
      <c r="C85" s="7">
        <v>7.6981635649396321E-2</v>
      </c>
      <c r="D85" s="8">
        <v>0</v>
      </c>
      <c r="E85" s="8">
        <v>1</v>
      </c>
      <c r="F85" s="8">
        <v>30</v>
      </c>
      <c r="G85" s="7">
        <v>0.47381802682362351</v>
      </c>
      <c r="H85" s="7">
        <v>7.1195474004264972E-2</v>
      </c>
      <c r="I85" s="8">
        <v>0</v>
      </c>
      <c r="J85" s="8">
        <v>1</v>
      </c>
      <c r="K85" s="8">
        <v>61</v>
      </c>
      <c r="L85" s="7">
        <v>0.54001580449645814</v>
      </c>
      <c r="M85" s="7">
        <v>7.6978621202141204E-2</v>
      </c>
      <c r="N85" s="8">
        <v>0</v>
      </c>
      <c r="O85" s="8">
        <v>1</v>
      </c>
      <c r="P85" s="8">
        <v>55</v>
      </c>
      <c r="Q85" s="7">
        <v>0.59736595895844924</v>
      </c>
      <c r="R85" s="7">
        <v>7.8516305167266792E-2</v>
      </c>
      <c r="S85" s="8">
        <v>0</v>
      </c>
      <c r="T85" s="8">
        <v>1</v>
      </c>
      <c r="U85" s="8">
        <v>73</v>
      </c>
      <c r="V85" s="7">
        <v>0.25989961232588688</v>
      </c>
      <c r="W85" s="7">
        <v>7.3723142307638323E-2</v>
      </c>
      <c r="X85" s="8">
        <v>0</v>
      </c>
      <c r="Y85" s="8">
        <v>1</v>
      </c>
      <c r="Z85" s="8">
        <v>70</v>
      </c>
      <c r="AA85" s="7">
        <v>0.49418092931848012</v>
      </c>
      <c r="AB85" s="7">
        <v>4.0512383726764072E-2</v>
      </c>
      <c r="AC85" s="8">
        <v>0</v>
      </c>
      <c r="AD85" s="8">
        <v>1</v>
      </c>
      <c r="AE85" s="8">
        <v>289</v>
      </c>
      <c r="AF85">
        <f>(AA87/AA86)-AA85</f>
        <v>6.0848977669394677E-2</v>
      </c>
    </row>
    <row r="86" spans="1:32" ht="26.25" customHeight="1" x14ac:dyDescent="0.45">
      <c r="A86" s="6" t="s">
        <v>38</v>
      </c>
      <c r="B86" s="7">
        <v>0.71998796435535706</v>
      </c>
      <c r="C86" s="7">
        <v>0.11311854104787832</v>
      </c>
      <c r="D86" s="8">
        <v>0</v>
      </c>
      <c r="E86" s="8">
        <v>1</v>
      </c>
      <c r="F86" s="8">
        <v>30</v>
      </c>
      <c r="G86" s="7">
        <v>0.8042407061751119</v>
      </c>
      <c r="H86" s="7">
        <v>5.6411702520922181E-2</v>
      </c>
      <c r="I86" s="8">
        <v>0</v>
      </c>
      <c r="J86" s="8">
        <v>1</v>
      </c>
      <c r="K86" s="8">
        <v>61</v>
      </c>
      <c r="L86" s="7">
        <v>0.89270195125097485</v>
      </c>
      <c r="M86" s="7">
        <v>4.2121950331173691E-2</v>
      </c>
      <c r="N86" s="8">
        <v>0</v>
      </c>
      <c r="O86" s="8">
        <v>1</v>
      </c>
      <c r="P86" s="8">
        <v>55</v>
      </c>
      <c r="Q86" s="7">
        <v>0.78205413715993244</v>
      </c>
      <c r="R86" s="7">
        <v>7.4169259039094562E-2</v>
      </c>
      <c r="S86" s="8">
        <v>0</v>
      </c>
      <c r="T86" s="8">
        <v>1</v>
      </c>
      <c r="U86" s="8">
        <v>73</v>
      </c>
      <c r="V86" s="7">
        <v>0.46181897480982365</v>
      </c>
      <c r="W86" s="7">
        <v>8.6350561884418128E-2</v>
      </c>
      <c r="X86" s="8">
        <v>0</v>
      </c>
      <c r="Y86" s="8">
        <v>1</v>
      </c>
      <c r="Z86" s="8">
        <v>70</v>
      </c>
      <c r="AA86" s="7">
        <v>0.80925310000793194</v>
      </c>
      <c r="AB86" s="7">
        <v>2.96741507605978E-2</v>
      </c>
      <c r="AC86" s="8">
        <v>0</v>
      </c>
      <c r="AD86" s="8">
        <v>1</v>
      </c>
      <c r="AE86" s="8">
        <v>289</v>
      </c>
      <c r="AF86">
        <f>(AA87/AA85)-AA86</f>
        <v>9.9644119976828205E-2</v>
      </c>
    </row>
    <row r="87" spans="1:32" ht="26.25" customHeight="1" x14ac:dyDescent="0.45">
      <c r="A87" s="6" t="s">
        <v>57</v>
      </c>
      <c r="B87" s="7">
        <v>0.22083949263359173</v>
      </c>
      <c r="C87" s="7">
        <v>7.6981635649396321E-2</v>
      </c>
      <c r="D87" s="8">
        <v>0</v>
      </c>
      <c r="E87" s="8">
        <v>1</v>
      </c>
      <c r="F87" s="8">
        <v>30</v>
      </c>
      <c r="G87" s="7">
        <v>0.45353268013723491</v>
      </c>
      <c r="H87" s="7">
        <v>7.1185695955353429E-2</v>
      </c>
      <c r="I87" s="8">
        <v>0</v>
      </c>
      <c r="J87" s="8">
        <v>1</v>
      </c>
      <c r="K87" s="8">
        <v>61</v>
      </c>
      <c r="L87" s="7">
        <v>0.48591644653663713</v>
      </c>
      <c r="M87" s="7">
        <v>7.6869105194510637E-2</v>
      </c>
      <c r="N87" s="8">
        <v>0</v>
      </c>
      <c r="O87" s="8">
        <v>1</v>
      </c>
      <c r="P87" s="8">
        <v>55</v>
      </c>
      <c r="Q87" s="7">
        <v>0.5211244659019324</v>
      </c>
      <c r="R87" s="7">
        <v>8.090037201023606E-2</v>
      </c>
      <c r="S87" s="8">
        <v>0</v>
      </c>
      <c r="T87" s="8">
        <v>1</v>
      </c>
      <c r="U87" s="8">
        <v>73</v>
      </c>
      <c r="V87" s="7">
        <v>0.20111824971368938</v>
      </c>
      <c r="W87" s="7">
        <v>6.6966023667727859E-2</v>
      </c>
      <c r="X87" s="8">
        <v>0</v>
      </c>
      <c r="Y87" s="8">
        <v>1</v>
      </c>
      <c r="Z87" s="8">
        <v>70</v>
      </c>
      <c r="AA87" s="7">
        <v>0.44915967282705183</v>
      </c>
      <c r="AB87" s="7">
        <v>4.04993197802559E-2</v>
      </c>
      <c r="AC87" s="8">
        <v>0</v>
      </c>
      <c r="AD87" s="8">
        <v>1</v>
      </c>
      <c r="AE87" s="8">
        <v>289</v>
      </c>
    </row>
    <row r="88" spans="1:32" ht="14.25" customHeight="1" x14ac:dyDescent="0.45">
      <c r="A88" s="6" t="s">
        <v>26</v>
      </c>
      <c r="B88" s="7">
        <v>0.22083949263359173</v>
      </c>
      <c r="C88" s="7">
        <v>7.6981635649396321E-2</v>
      </c>
      <c r="D88" s="8">
        <v>0</v>
      </c>
      <c r="E88" s="8">
        <v>1</v>
      </c>
      <c r="F88" s="8">
        <v>30</v>
      </c>
      <c r="G88" s="7">
        <v>0.47381802682362351</v>
      </c>
      <c r="H88" s="7">
        <v>7.1195474004264972E-2</v>
      </c>
      <c r="I88" s="8">
        <v>0</v>
      </c>
      <c r="J88" s="8">
        <v>1</v>
      </c>
      <c r="K88" s="8">
        <v>61</v>
      </c>
      <c r="L88" s="7">
        <v>0.54001580449645814</v>
      </c>
      <c r="M88" s="7">
        <v>7.6978621202141204E-2</v>
      </c>
      <c r="N88" s="8">
        <v>0</v>
      </c>
      <c r="O88" s="8">
        <v>1</v>
      </c>
      <c r="P88" s="8">
        <v>55</v>
      </c>
      <c r="Q88" s="7">
        <v>0.59736595895844924</v>
      </c>
      <c r="R88" s="7">
        <v>7.8516305167266792E-2</v>
      </c>
      <c r="S88" s="8">
        <v>0</v>
      </c>
      <c r="T88" s="8">
        <v>1</v>
      </c>
      <c r="U88" s="8">
        <v>73</v>
      </c>
      <c r="V88" s="7">
        <v>0.25989961232588688</v>
      </c>
      <c r="W88" s="7">
        <v>7.3723142307638323E-2</v>
      </c>
      <c r="X88" s="8">
        <v>0</v>
      </c>
      <c r="Y88" s="8">
        <v>1</v>
      </c>
      <c r="Z88" s="8">
        <v>70</v>
      </c>
      <c r="AA88" s="7">
        <v>0.49418092931848012</v>
      </c>
      <c r="AB88" s="7">
        <v>4.0512383726764072E-2</v>
      </c>
      <c r="AC88" s="8">
        <v>0</v>
      </c>
      <c r="AD88" s="8">
        <v>1</v>
      </c>
      <c r="AE88" s="8">
        <v>289</v>
      </c>
      <c r="AF88">
        <f>(AA90/AA89)-AA88</f>
        <v>2.737625966378221E-3</v>
      </c>
    </row>
    <row r="89" spans="1:32" ht="14.25" customHeight="1" x14ac:dyDescent="0.45">
      <c r="A89" s="6" t="s">
        <v>40</v>
      </c>
      <c r="B89" s="7">
        <v>0.29691007821421939</v>
      </c>
      <c r="C89" s="7">
        <v>9.0434299454504388E-2</v>
      </c>
      <c r="D89" s="8">
        <v>0</v>
      </c>
      <c r="E89" s="8">
        <v>1</v>
      </c>
      <c r="F89" s="8">
        <v>30</v>
      </c>
      <c r="G89" s="7">
        <v>0.47852637519700286</v>
      </c>
      <c r="H89" s="7">
        <v>7.0841094266787655E-2</v>
      </c>
      <c r="I89" s="8">
        <v>0</v>
      </c>
      <c r="J89" s="8">
        <v>1</v>
      </c>
      <c r="K89" s="8">
        <v>61</v>
      </c>
      <c r="L89" s="7">
        <v>0.65648588818467313</v>
      </c>
      <c r="M89" s="7">
        <v>7.0002600340418331E-2</v>
      </c>
      <c r="N89" s="8">
        <v>0</v>
      </c>
      <c r="O89" s="8">
        <v>1</v>
      </c>
      <c r="P89" s="8">
        <v>55</v>
      </c>
      <c r="Q89" s="7">
        <v>0.79588055624962939</v>
      </c>
      <c r="R89" s="7">
        <v>5.0588570102129408E-2</v>
      </c>
      <c r="S89" s="8">
        <v>0</v>
      </c>
      <c r="T89" s="8">
        <v>1</v>
      </c>
      <c r="U89" s="8">
        <v>73</v>
      </c>
      <c r="V89" s="7">
        <v>0.30585942795052035</v>
      </c>
      <c r="W89" s="7">
        <v>7.9216084987864505E-2</v>
      </c>
      <c r="X89" s="8">
        <v>0</v>
      </c>
      <c r="Y89" s="8">
        <v>1</v>
      </c>
      <c r="Z89" s="8">
        <v>70</v>
      </c>
      <c r="AA89" s="7">
        <v>0.58607907057708142</v>
      </c>
      <c r="AB89" s="7">
        <v>3.8942949569521081E-2</v>
      </c>
      <c r="AC89" s="8">
        <v>0</v>
      </c>
      <c r="AD89" s="8">
        <v>1</v>
      </c>
      <c r="AE89" s="8">
        <v>289</v>
      </c>
      <c r="AF89">
        <f>(AA90/AA88)-AA89</f>
        <v>3.2467163072750216E-3</v>
      </c>
    </row>
    <row r="90" spans="1:32" ht="26.25" customHeight="1" x14ac:dyDescent="0.45">
      <c r="A90" s="6" t="s">
        <v>58</v>
      </c>
      <c r="B90" s="7">
        <v>0.13726154938276161</v>
      </c>
      <c r="C90" s="7">
        <v>6.1928778289348389E-2</v>
      </c>
      <c r="D90" s="8">
        <v>0</v>
      </c>
      <c r="E90" s="8">
        <v>1</v>
      </c>
      <c r="F90" s="8">
        <v>30</v>
      </c>
      <c r="G90" s="7">
        <v>0.26830216533441492</v>
      </c>
      <c r="H90" s="7">
        <v>6.4616810756995602E-2</v>
      </c>
      <c r="I90" s="8">
        <v>0</v>
      </c>
      <c r="J90" s="8">
        <v>1</v>
      </c>
      <c r="K90" s="8">
        <v>61</v>
      </c>
      <c r="L90" s="7">
        <v>0.25359970422877043</v>
      </c>
      <c r="M90" s="7">
        <v>6.8136583686331895E-2</v>
      </c>
      <c r="N90" s="8">
        <v>0</v>
      </c>
      <c r="O90" s="8">
        <v>1</v>
      </c>
      <c r="P90" s="8">
        <v>55</v>
      </c>
      <c r="Q90" s="7">
        <v>0.50273531503522473</v>
      </c>
      <c r="R90" s="7">
        <v>8.1019057459747232E-2</v>
      </c>
      <c r="S90" s="8">
        <v>0</v>
      </c>
      <c r="T90" s="8">
        <v>1</v>
      </c>
      <c r="U90" s="8">
        <v>73</v>
      </c>
      <c r="V90" s="7">
        <v>0.15242502679687669</v>
      </c>
      <c r="W90" s="7">
        <v>6.6780262961082637E-2</v>
      </c>
      <c r="X90" s="8">
        <v>0</v>
      </c>
      <c r="Y90" s="8">
        <v>1</v>
      </c>
      <c r="Z90" s="8">
        <v>70</v>
      </c>
      <c r="AA90" s="7">
        <v>0.29123356503385583</v>
      </c>
      <c r="AB90" s="7">
        <v>3.7519736574501646E-2</v>
      </c>
      <c r="AC90" s="8">
        <v>0</v>
      </c>
      <c r="AD90" s="8">
        <v>1</v>
      </c>
      <c r="AE90" s="8">
        <v>289</v>
      </c>
    </row>
    <row r="91" spans="1:32" ht="14.25" customHeight="1" x14ac:dyDescent="0.45">
      <c r="A91" s="6" t="s">
        <v>26</v>
      </c>
      <c r="B91" s="7">
        <v>0.22083949263359173</v>
      </c>
      <c r="C91" s="7">
        <v>7.6981635649396321E-2</v>
      </c>
      <c r="D91" s="8">
        <v>0</v>
      </c>
      <c r="E91" s="8">
        <v>1</v>
      </c>
      <c r="F91" s="8">
        <v>30</v>
      </c>
      <c r="G91" s="7">
        <v>0.47381802682362351</v>
      </c>
      <c r="H91" s="7">
        <v>7.1195474004264972E-2</v>
      </c>
      <c r="I91" s="8">
        <v>0</v>
      </c>
      <c r="J91" s="8">
        <v>1</v>
      </c>
      <c r="K91" s="8">
        <v>61</v>
      </c>
      <c r="L91" s="7">
        <v>0.54001580449645814</v>
      </c>
      <c r="M91" s="7">
        <v>7.6978621202141204E-2</v>
      </c>
      <c r="N91" s="8">
        <v>0</v>
      </c>
      <c r="O91" s="8">
        <v>1</v>
      </c>
      <c r="P91" s="8">
        <v>55</v>
      </c>
      <c r="Q91" s="7">
        <v>0.59736595895844924</v>
      </c>
      <c r="R91" s="7">
        <v>7.8516305167266792E-2</v>
      </c>
      <c r="S91" s="8">
        <v>0</v>
      </c>
      <c r="T91" s="8">
        <v>1</v>
      </c>
      <c r="U91" s="8">
        <v>73</v>
      </c>
      <c r="V91" s="7">
        <v>0.25989961232588688</v>
      </c>
      <c r="W91" s="7">
        <v>7.3723142307638323E-2</v>
      </c>
      <c r="X91" s="8">
        <v>0</v>
      </c>
      <c r="Y91" s="8">
        <v>1</v>
      </c>
      <c r="Z91" s="8">
        <v>70</v>
      </c>
      <c r="AA91" s="7">
        <v>0.49418092931848012</v>
      </c>
      <c r="AB91" s="7">
        <v>4.0512383726764072E-2</v>
      </c>
      <c r="AC91" s="8">
        <v>0</v>
      </c>
      <c r="AD91" s="8">
        <v>1</v>
      </c>
      <c r="AE91" s="8">
        <v>289</v>
      </c>
      <c r="AF91">
        <f>(AA93/AA92)-AA91</f>
        <v>6.195672005446573E-3</v>
      </c>
    </row>
    <row r="92" spans="1:32" ht="14.25" customHeight="1" x14ac:dyDescent="0.45">
      <c r="A92" s="6" t="s">
        <v>42</v>
      </c>
      <c r="B92" s="7">
        <v>0.88373917384473755</v>
      </c>
      <c r="C92" s="7">
        <v>6.5637894232017879E-2</v>
      </c>
      <c r="D92" s="8">
        <v>0</v>
      </c>
      <c r="E92" s="8">
        <v>1</v>
      </c>
      <c r="F92" s="8">
        <v>30</v>
      </c>
      <c r="G92" s="7">
        <v>0.96708867666829124</v>
      </c>
      <c r="H92" s="7">
        <v>2.3335390502298822E-2</v>
      </c>
      <c r="I92" s="8">
        <v>0</v>
      </c>
      <c r="J92" s="8">
        <v>1</v>
      </c>
      <c r="K92" s="8">
        <v>61</v>
      </c>
      <c r="L92" s="7">
        <v>0.92438050124212068</v>
      </c>
      <c r="M92" s="7">
        <v>3.4796389331134367E-2</v>
      </c>
      <c r="N92" s="8">
        <v>0</v>
      </c>
      <c r="O92" s="8">
        <v>1</v>
      </c>
      <c r="P92" s="8">
        <v>55</v>
      </c>
      <c r="Q92" s="7">
        <v>0.91163408858832118</v>
      </c>
      <c r="R92" s="7">
        <v>4.1385817286864961E-2</v>
      </c>
      <c r="S92" s="8">
        <v>0</v>
      </c>
      <c r="T92" s="8">
        <v>1</v>
      </c>
      <c r="U92" s="8">
        <v>73</v>
      </c>
      <c r="V92" s="7">
        <v>0.79321873455244019</v>
      </c>
      <c r="W92" s="7">
        <v>6.5826991842619254E-2</v>
      </c>
      <c r="X92" s="8">
        <v>0</v>
      </c>
      <c r="Y92" s="8">
        <v>1</v>
      </c>
      <c r="Z92" s="8">
        <v>70</v>
      </c>
      <c r="AA92" s="7">
        <v>0.92434876147780487</v>
      </c>
      <c r="AB92" s="7">
        <v>1.809715288505577E-2</v>
      </c>
      <c r="AC92" s="8">
        <v>0</v>
      </c>
      <c r="AD92" s="8">
        <v>1</v>
      </c>
      <c r="AE92" s="8">
        <v>289</v>
      </c>
      <c r="AF92">
        <f>(AA93/AA91)-AA92</f>
        <v>1.1588795530121376E-2</v>
      </c>
    </row>
    <row r="93" spans="1:32" ht="26.25" customHeight="1" x14ac:dyDescent="0.45">
      <c r="A93" s="6" t="s">
        <v>59</v>
      </c>
      <c r="B93" s="7">
        <v>0.1908999223479286</v>
      </c>
      <c r="C93" s="7">
        <v>7.184688460036677E-2</v>
      </c>
      <c r="D93" s="8">
        <v>0</v>
      </c>
      <c r="E93" s="8">
        <v>1</v>
      </c>
      <c r="F93" s="8">
        <v>30</v>
      </c>
      <c r="G93" s="7">
        <v>0.45945534454963832</v>
      </c>
      <c r="H93" s="7">
        <v>7.1250366439407076E-2</v>
      </c>
      <c r="I93" s="8">
        <v>0</v>
      </c>
      <c r="J93" s="8">
        <v>1</v>
      </c>
      <c r="K93" s="8">
        <v>61</v>
      </c>
      <c r="L93" s="7">
        <v>0.49200206807307528</v>
      </c>
      <c r="M93" s="7">
        <v>7.6891681258838288E-2</v>
      </c>
      <c r="N93" s="8">
        <v>0</v>
      </c>
      <c r="O93" s="8">
        <v>1</v>
      </c>
      <c r="P93" s="8">
        <v>55</v>
      </c>
      <c r="Q93" s="7">
        <v>0.57406330817943341</v>
      </c>
      <c r="R93" s="7">
        <v>7.9152010771862027E-2</v>
      </c>
      <c r="S93" s="8">
        <v>0</v>
      </c>
      <c r="T93" s="8">
        <v>1</v>
      </c>
      <c r="U93" s="8">
        <v>73</v>
      </c>
      <c r="V93" s="7">
        <v>0.22164034153238552</v>
      </c>
      <c r="W93" s="7">
        <v>7.0246186909698E-2</v>
      </c>
      <c r="X93" s="8">
        <v>0</v>
      </c>
      <c r="Y93" s="8">
        <v>1</v>
      </c>
      <c r="Z93" s="8">
        <v>70</v>
      </c>
      <c r="AA93" s="7">
        <v>0.46252249170624499</v>
      </c>
      <c r="AB93" s="7">
        <v>4.0543461837159275E-2</v>
      </c>
      <c r="AC93" s="8">
        <v>0</v>
      </c>
      <c r="AD93" s="8">
        <v>1</v>
      </c>
      <c r="AE93" s="8">
        <v>289</v>
      </c>
    </row>
    <row r="94" spans="1:32" ht="14.25" customHeight="1" x14ac:dyDescent="0.45">
      <c r="A94" s="6" t="s">
        <v>26</v>
      </c>
      <c r="B94" s="7">
        <v>0.22083949263359173</v>
      </c>
      <c r="C94" s="7">
        <v>7.6981635649396321E-2</v>
      </c>
      <c r="D94" s="8">
        <v>0</v>
      </c>
      <c r="E94" s="8">
        <v>1</v>
      </c>
      <c r="F94" s="8">
        <v>30</v>
      </c>
      <c r="G94" s="7">
        <v>0.47381802682362351</v>
      </c>
      <c r="H94" s="7">
        <v>7.1195474004264972E-2</v>
      </c>
      <c r="I94" s="8">
        <v>0</v>
      </c>
      <c r="J94" s="8">
        <v>1</v>
      </c>
      <c r="K94" s="8">
        <v>61</v>
      </c>
      <c r="L94" s="7">
        <v>0.54001580449645814</v>
      </c>
      <c r="M94" s="7">
        <v>7.6978621202141204E-2</v>
      </c>
      <c r="N94" s="8">
        <v>0</v>
      </c>
      <c r="O94" s="8">
        <v>1</v>
      </c>
      <c r="P94" s="8">
        <v>55</v>
      </c>
      <c r="Q94" s="7">
        <v>0.59736595895844924</v>
      </c>
      <c r="R94" s="7">
        <v>7.8516305167266792E-2</v>
      </c>
      <c r="S94" s="8">
        <v>0</v>
      </c>
      <c r="T94" s="8">
        <v>1</v>
      </c>
      <c r="U94" s="8">
        <v>73</v>
      </c>
      <c r="V94" s="7">
        <v>0.25989961232588688</v>
      </c>
      <c r="W94" s="7">
        <v>7.3723142307638323E-2</v>
      </c>
      <c r="X94" s="8">
        <v>0</v>
      </c>
      <c r="Y94" s="8">
        <v>1</v>
      </c>
      <c r="Z94" s="8">
        <v>70</v>
      </c>
      <c r="AA94" s="7">
        <v>0.49418092931848012</v>
      </c>
      <c r="AB94" s="7">
        <v>4.0512383726764072E-2</v>
      </c>
      <c r="AC94" s="8">
        <v>0</v>
      </c>
      <c r="AD94" s="8">
        <v>1</v>
      </c>
      <c r="AE94" s="8">
        <v>289</v>
      </c>
      <c r="AF94">
        <f>(AA96/AA95)-AA94</f>
        <v>-5.4328943838572619E-2</v>
      </c>
    </row>
    <row r="95" spans="1:32" ht="14.25" customHeight="1" x14ac:dyDescent="0.45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30</v>
      </c>
      <c r="G95" s="7">
        <v>4.3984681938985942E-2</v>
      </c>
      <c r="H95" s="7">
        <v>2.2428515599090256E-2</v>
      </c>
      <c r="I95" s="8">
        <v>0</v>
      </c>
      <c r="J95" s="8">
        <v>1</v>
      </c>
      <c r="K95" s="8">
        <v>61</v>
      </c>
      <c r="L95" s="7">
        <v>4.6686566157947883E-2</v>
      </c>
      <c r="M95" s="7">
        <v>2.9932730284583084E-2</v>
      </c>
      <c r="N95" s="8">
        <v>0</v>
      </c>
      <c r="O95" s="8">
        <v>1</v>
      </c>
      <c r="P95" s="8">
        <v>55</v>
      </c>
      <c r="Q95" s="7">
        <v>4.5823463093928804E-2</v>
      </c>
      <c r="R95" s="7">
        <v>2.1566040924099809E-2</v>
      </c>
      <c r="S95" s="8">
        <v>0</v>
      </c>
      <c r="T95" s="8">
        <v>1</v>
      </c>
      <c r="U95" s="8">
        <v>73</v>
      </c>
      <c r="V95" s="7">
        <v>6.8897826628121606E-2</v>
      </c>
      <c r="W95" s="7">
        <v>4.7551151202023072E-2</v>
      </c>
      <c r="X95" s="8">
        <v>0</v>
      </c>
      <c r="Y95" s="8">
        <v>1</v>
      </c>
      <c r="Z95" s="8">
        <v>70</v>
      </c>
      <c r="AA95" s="7">
        <v>4.4048985501015846E-2</v>
      </c>
      <c r="AB95" s="7">
        <v>1.4289951777276724E-2</v>
      </c>
      <c r="AC95" s="8">
        <v>0</v>
      </c>
      <c r="AD95" s="8">
        <v>1</v>
      </c>
      <c r="AE95" s="8">
        <v>289</v>
      </c>
      <c r="AF95">
        <f>(AA96/AA94)-AA95</f>
        <v>-4.842628918787166E-3</v>
      </c>
    </row>
    <row r="96" spans="1:32" ht="26.25" customHeight="1" x14ac:dyDescent="0.45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30</v>
      </c>
      <c r="G96" s="7">
        <v>7.9590487692778808E-3</v>
      </c>
      <c r="H96" s="7">
        <v>8.0408576976945933E-3</v>
      </c>
      <c r="I96" s="8">
        <v>0</v>
      </c>
      <c r="J96" s="8">
        <v>1</v>
      </c>
      <c r="K96" s="8">
        <v>61</v>
      </c>
      <c r="L96" s="7">
        <v>2.0302479228320684E-2</v>
      </c>
      <c r="M96" s="7">
        <v>1.4934776425295669E-2</v>
      </c>
      <c r="N96" s="8">
        <v>0</v>
      </c>
      <c r="O96" s="8">
        <v>1</v>
      </c>
      <c r="P96" s="8">
        <v>55</v>
      </c>
      <c r="Q96" s="7">
        <v>3.586597425362003E-2</v>
      </c>
      <c r="R96" s="7">
        <v>2.0143426017179774E-2</v>
      </c>
      <c r="S96" s="8">
        <v>0</v>
      </c>
      <c r="T96" s="8">
        <v>1</v>
      </c>
      <c r="U96" s="8">
        <v>73</v>
      </c>
      <c r="V96" s="7">
        <v>3.9318731837671414E-2</v>
      </c>
      <c r="W96" s="7">
        <v>3.862370775086587E-2</v>
      </c>
      <c r="X96" s="8">
        <v>0</v>
      </c>
      <c r="Y96" s="8">
        <v>1</v>
      </c>
      <c r="Z96" s="8">
        <v>70</v>
      </c>
      <c r="AA96" s="7">
        <v>1.9375033730997478E-2</v>
      </c>
      <c r="AB96" s="7">
        <v>7.6741495973154045E-3</v>
      </c>
      <c r="AC96" s="8">
        <v>0</v>
      </c>
      <c r="AD96" s="8">
        <v>1</v>
      </c>
      <c r="AE96" s="8">
        <v>289</v>
      </c>
    </row>
    <row r="97" spans="1:32" ht="14.25" customHeight="1" x14ac:dyDescent="0.45">
      <c r="A97" s="6" t="s">
        <v>26</v>
      </c>
      <c r="B97" s="7">
        <v>0.22083949263359173</v>
      </c>
      <c r="C97" s="7">
        <v>7.6981635649396321E-2</v>
      </c>
      <c r="D97" s="8">
        <v>0</v>
      </c>
      <c r="E97" s="8">
        <v>1</v>
      </c>
      <c r="F97" s="8">
        <v>30</v>
      </c>
      <c r="G97" s="7">
        <v>0.47381802682362351</v>
      </c>
      <c r="H97" s="7">
        <v>7.1195474004264972E-2</v>
      </c>
      <c r="I97" s="8">
        <v>0</v>
      </c>
      <c r="J97" s="8">
        <v>1</v>
      </c>
      <c r="K97" s="8">
        <v>61</v>
      </c>
      <c r="L97" s="7">
        <v>0.54001580449645814</v>
      </c>
      <c r="M97" s="7">
        <v>7.6978621202141204E-2</v>
      </c>
      <c r="N97" s="8">
        <v>0</v>
      </c>
      <c r="O97" s="8">
        <v>1</v>
      </c>
      <c r="P97" s="8">
        <v>55</v>
      </c>
      <c r="Q97" s="7">
        <v>0.59736595895844924</v>
      </c>
      <c r="R97" s="7">
        <v>7.8516305167266792E-2</v>
      </c>
      <c r="S97" s="8">
        <v>0</v>
      </c>
      <c r="T97" s="8">
        <v>1</v>
      </c>
      <c r="U97" s="8">
        <v>73</v>
      </c>
      <c r="V97" s="7">
        <v>0.25989961232588688</v>
      </c>
      <c r="W97" s="7">
        <v>7.3723142307638323E-2</v>
      </c>
      <c r="X97" s="8">
        <v>0</v>
      </c>
      <c r="Y97" s="8">
        <v>1</v>
      </c>
      <c r="Z97" s="8">
        <v>70</v>
      </c>
      <c r="AA97" s="7">
        <v>0.49418092931848012</v>
      </c>
      <c r="AB97" s="7">
        <v>4.0512383726764072E-2</v>
      </c>
      <c r="AC97" s="8">
        <v>0</v>
      </c>
      <c r="AD97" s="8">
        <v>1</v>
      </c>
      <c r="AE97" s="8">
        <v>289</v>
      </c>
      <c r="AF97">
        <f>(AA99/AA98)-AA97</f>
        <v>3.1815826194644958E-2</v>
      </c>
    </row>
    <row r="98" spans="1:32" ht="39.5" customHeight="1" x14ac:dyDescent="0.45">
      <c r="A98" s="6" t="s">
        <v>16</v>
      </c>
      <c r="B98" s="7">
        <v>0.79917381529480058</v>
      </c>
      <c r="C98" s="7">
        <v>0.11102593038685447</v>
      </c>
      <c r="D98" s="8">
        <v>0</v>
      </c>
      <c r="E98" s="8">
        <v>1</v>
      </c>
      <c r="F98" s="8">
        <v>30</v>
      </c>
      <c r="G98" s="7">
        <v>0.85913609305126304</v>
      </c>
      <c r="H98" s="7">
        <v>5.1613569311876474E-2</v>
      </c>
      <c r="I98" s="8">
        <v>0</v>
      </c>
      <c r="J98" s="8">
        <v>1</v>
      </c>
      <c r="K98" s="8">
        <v>61</v>
      </c>
      <c r="L98" s="7">
        <v>0.93660731788820284</v>
      </c>
      <c r="M98" s="7">
        <v>3.2725921734506148E-2</v>
      </c>
      <c r="N98" s="8">
        <v>0</v>
      </c>
      <c r="O98" s="8">
        <v>1</v>
      </c>
      <c r="P98" s="8">
        <v>55</v>
      </c>
      <c r="Q98" s="7">
        <v>0.978991251172878</v>
      </c>
      <c r="R98" s="7">
        <v>1.3211470829487152E-2</v>
      </c>
      <c r="S98" s="8">
        <v>0</v>
      </c>
      <c r="T98" s="8">
        <v>1</v>
      </c>
      <c r="U98" s="8">
        <v>73</v>
      </c>
      <c r="V98" s="7">
        <v>0.55776647549126268</v>
      </c>
      <c r="W98" s="7">
        <v>8.737343103490372E-2</v>
      </c>
      <c r="X98" s="8">
        <v>0</v>
      </c>
      <c r="Y98" s="8">
        <v>1</v>
      </c>
      <c r="Z98" s="8">
        <v>70</v>
      </c>
      <c r="AA98" s="7">
        <v>0.890410959859264</v>
      </c>
      <c r="AB98" s="7">
        <v>2.2895391539009022E-2</v>
      </c>
      <c r="AC98" s="8">
        <v>0</v>
      </c>
      <c r="AD98" s="8">
        <v>1</v>
      </c>
      <c r="AE98" s="8">
        <v>289</v>
      </c>
      <c r="AF98">
        <f>(AA99/AA97)-AA98</f>
        <v>5.7325482753366908E-2</v>
      </c>
    </row>
    <row r="99" spans="1:32" ht="14.25" customHeight="1" x14ac:dyDescent="0.45">
      <c r="A99" s="6" t="s">
        <v>61</v>
      </c>
      <c r="B99" s="7">
        <v>0.22083949263359173</v>
      </c>
      <c r="C99" s="7">
        <v>7.6981635649396321E-2</v>
      </c>
      <c r="D99" s="8">
        <v>0</v>
      </c>
      <c r="E99" s="8">
        <v>1</v>
      </c>
      <c r="F99" s="8">
        <v>30</v>
      </c>
      <c r="G99" s="7">
        <v>0.45353268013723491</v>
      </c>
      <c r="H99" s="7">
        <v>7.1185695955353429E-2</v>
      </c>
      <c r="I99" s="8">
        <v>0</v>
      </c>
      <c r="J99" s="8">
        <v>1</v>
      </c>
      <c r="K99" s="8">
        <v>61</v>
      </c>
      <c r="L99" s="7">
        <v>0.49280508696832553</v>
      </c>
      <c r="M99" s="7">
        <v>7.6897099458780357E-2</v>
      </c>
      <c r="N99" s="8">
        <v>0</v>
      </c>
      <c r="O99" s="8">
        <v>1</v>
      </c>
      <c r="P99" s="8">
        <v>55</v>
      </c>
      <c r="Q99" s="7">
        <v>0.59736595895844924</v>
      </c>
      <c r="R99" s="7">
        <v>7.8516305167266792E-2</v>
      </c>
      <c r="S99" s="8">
        <v>0</v>
      </c>
      <c r="T99" s="8">
        <v>1</v>
      </c>
      <c r="U99" s="8">
        <v>73</v>
      </c>
      <c r="V99" s="7">
        <v>0.23854671082923434</v>
      </c>
      <c r="W99" s="7">
        <v>7.291706690947336E-2</v>
      </c>
      <c r="X99" s="8">
        <v>0</v>
      </c>
      <c r="Y99" s="8">
        <v>1</v>
      </c>
      <c r="Z99" s="8">
        <v>70</v>
      </c>
      <c r="AA99" s="7">
        <v>0.46835327595930032</v>
      </c>
      <c r="AB99" s="7">
        <v>4.0523039046204953E-2</v>
      </c>
      <c r="AC99" s="8">
        <v>0</v>
      </c>
      <c r="AD99" s="8">
        <v>1</v>
      </c>
      <c r="AE99" s="8">
        <v>289</v>
      </c>
    </row>
    <row r="100" spans="1:32" ht="14.25" customHeight="1" x14ac:dyDescent="0.45">
      <c r="A100" s="6" t="s">
        <v>26</v>
      </c>
      <c r="B100" s="7">
        <v>0.22083949263359173</v>
      </c>
      <c r="C100" s="7">
        <v>7.6981635649396321E-2</v>
      </c>
      <c r="D100" s="8">
        <v>0</v>
      </c>
      <c r="E100" s="8">
        <v>1</v>
      </c>
      <c r="F100" s="8">
        <v>30</v>
      </c>
      <c r="G100" s="7">
        <v>0.47381802682362351</v>
      </c>
      <c r="H100" s="7">
        <v>7.1195474004264972E-2</v>
      </c>
      <c r="I100" s="8">
        <v>0</v>
      </c>
      <c r="J100" s="8">
        <v>1</v>
      </c>
      <c r="K100" s="8">
        <v>61</v>
      </c>
      <c r="L100" s="7">
        <v>0.54001580449645814</v>
      </c>
      <c r="M100" s="7">
        <v>7.6978621202141204E-2</v>
      </c>
      <c r="N100" s="8">
        <v>0</v>
      </c>
      <c r="O100" s="8">
        <v>1</v>
      </c>
      <c r="P100" s="8">
        <v>55</v>
      </c>
      <c r="Q100" s="7">
        <v>0.59736595895844924</v>
      </c>
      <c r="R100" s="7">
        <v>7.8516305167266792E-2</v>
      </c>
      <c r="S100" s="8">
        <v>0</v>
      </c>
      <c r="T100" s="8">
        <v>1</v>
      </c>
      <c r="U100" s="8">
        <v>73</v>
      </c>
      <c r="V100" s="7">
        <v>0.25989961232588688</v>
      </c>
      <c r="W100" s="7">
        <v>7.3723142307638323E-2</v>
      </c>
      <c r="X100" s="8">
        <v>0</v>
      </c>
      <c r="Y100" s="8">
        <v>1</v>
      </c>
      <c r="Z100" s="8">
        <v>70</v>
      </c>
      <c r="AA100" s="7">
        <v>0.49418092931848012</v>
      </c>
      <c r="AB100" s="7">
        <v>4.0512383726764072E-2</v>
      </c>
      <c r="AC100" s="8">
        <v>0</v>
      </c>
      <c r="AD100" s="8">
        <v>1</v>
      </c>
      <c r="AE100" s="8">
        <v>289</v>
      </c>
      <c r="AF100">
        <f>(AA102/AA101)-AA100</f>
        <v>-1.8566546185322386E-3</v>
      </c>
    </row>
    <row r="101" spans="1:32" ht="39.5" customHeight="1" x14ac:dyDescent="0.45">
      <c r="A101" s="6" t="s">
        <v>18</v>
      </c>
      <c r="B101" s="7">
        <v>1</v>
      </c>
      <c r="C101" s="7">
        <v>0</v>
      </c>
      <c r="D101" s="8">
        <v>1</v>
      </c>
      <c r="E101" s="8">
        <v>1</v>
      </c>
      <c r="F101" s="8">
        <v>30</v>
      </c>
      <c r="G101" s="7">
        <v>1</v>
      </c>
      <c r="H101" s="7">
        <v>0</v>
      </c>
      <c r="I101" s="8">
        <v>1</v>
      </c>
      <c r="J101" s="8">
        <v>1</v>
      </c>
      <c r="K101" s="8">
        <v>61</v>
      </c>
      <c r="L101" s="7">
        <v>0.96669930780681435</v>
      </c>
      <c r="M101" s="7">
        <v>2.5228335970719683E-2</v>
      </c>
      <c r="N101" s="8">
        <v>0</v>
      </c>
      <c r="O101" s="8">
        <v>1</v>
      </c>
      <c r="P101" s="8">
        <v>55</v>
      </c>
      <c r="Q101" s="7">
        <v>0.98411438133172946</v>
      </c>
      <c r="R101" s="7">
        <v>1.5948863624994217E-2</v>
      </c>
      <c r="S101" s="8">
        <v>0</v>
      </c>
      <c r="T101" s="8">
        <v>1</v>
      </c>
      <c r="U101" s="8">
        <v>73</v>
      </c>
      <c r="V101" s="7">
        <v>0.88206256317830467</v>
      </c>
      <c r="W101" s="7">
        <v>5.2357828055255899E-2</v>
      </c>
      <c r="X101" s="8">
        <v>0</v>
      </c>
      <c r="Y101" s="8">
        <v>1</v>
      </c>
      <c r="Z101" s="8">
        <v>70</v>
      </c>
      <c r="AA101" s="7">
        <v>0.97699062412897175</v>
      </c>
      <c r="AB101" s="7">
        <v>1.0802779004579677E-2</v>
      </c>
      <c r="AC101" s="8">
        <v>0</v>
      </c>
      <c r="AD101" s="8">
        <v>1</v>
      </c>
      <c r="AE101" s="8">
        <v>289</v>
      </c>
      <c r="AF101">
        <f>(AA102/AA100)-AA101</f>
        <v>-3.670587120901847E-3</v>
      </c>
    </row>
    <row r="102" spans="1:32" ht="14.25" customHeight="1" x14ac:dyDescent="0.45">
      <c r="A102" s="6" t="s">
        <v>62</v>
      </c>
      <c r="B102" s="7">
        <v>0.22083949263359173</v>
      </c>
      <c r="C102" s="7">
        <v>7.6981635649396321E-2</v>
      </c>
      <c r="D102" s="8">
        <v>0</v>
      </c>
      <c r="E102" s="8">
        <v>1</v>
      </c>
      <c r="F102" s="8">
        <v>30</v>
      </c>
      <c r="G102" s="7">
        <v>0.47381802682362351</v>
      </c>
      <c r="H102" s="7">
        <v>7.1195474004264972E-2</v>
      </c>
      <c r="I102" s="8">
        <v>0</v>
      </c>
      <c r="J102" s="8">
        <v>1</v>
      </c>
      <c r="K102" s="8">
        <v>61</v>
      </c>
      <c r="L102" s="7">
        <v>0.50671511230327249</v>
      </c>
      <c r="M102" s="7">
        <v>7.6963040310464331E-2</v>
      </c>
      <c r="N102" s="8">
        <v>0</v>
      </c>
      <c r="O102" s="8">
        <v>1</v>
      </c>
      <c r="P102" s="8">
        <v>55</v>
      </c>
      <c r="Q102" s="7">
        <v>0.59736595895844924</v>
      </c>
      <c r="R102" s="7">
        <v>7.8516305167266792E-2</v>
      </c>
      <c r="S102" s="8">
        <v>0</v>
      </c>
      <c r="T102" s="8">
        <v>1</v>
      </c>
      <c r="U102" s="8">
        <v>73</v>
      </c>
      <c r="V102" s="7">
        <v>0.25810892657197665</v>
      </c>
      <c r="W102" s="7">
        <v>7.3693783747789482E-2</v>
      </c>
      <c r="X102" s="8">
        <v>0</v>
      </c>
      <c r="Y102" s="8">
        <v>1</v>
      </c>
      <c r="Z102" s="8">
        <v>70</v>
      </c>
      <c r="AA102" s="7">
        <v>0.48099620041294544</v>
      </c>
      <c r="AB102" s="7">
        <v>4.0524067718729274E-2</v>
      </c>
      <c r="AC102" s="8">
        <v>0</v>
      </c>
      <c r="AD102" s="8">
        <v>1</v>
      </c>
      <c r="AE102" s="8">
        <v>289</v>
      </c>
    </row>
    <row r="103" spans="1:32" ht="14.25" customHeight="1" x14ac:dyDescent="0.45">
      <c r="A103" s="6" t="s">
        <v>26</v>
      </c>
      <c r="B103" s="7">
        <v>0.22083949263359173</v>
      </c>
      <c r="C103" s="7">
        <v>7.6981635649396321E-2</v>
      </c>
      <c r="D103" s="8">
        <v>0</v>
      </c>
      <c r="E103" s="8">
        <v>1</v>
      </c>
      <c r="F103" s="8">
        <v>30</v>
      </c>
      <c r="G103" s="7">
        <v>0.47381802682362351</v>
      </c>
      <c r="H103" s="7">
        <v>7.1195474004264972E-2</v>
      </c>
      <c r="I103" s="8">
        <v>0</v>
      </c>
      <c r="J103" s="8">
        <v>1</v>
      </c>
      <c r="K103" s="8">
        <v>61</v>
      </c>
      <c r="L103" s="7">
        <v>0.54001580449645814</v>
      </c>
      <c r="M103" s="7">
        <v>7.6978621202141204E-2</v>
      </c>
      <c r="N103" s="8">
        <v>0</v>
      </c>
      <c r="O103" s="8">
        <v>1</v>
      </c>
      <c r="P103" s="8">
        <v>55</v>
      </c>
      <c r="Q103" s="7">
        <v>0.59736595895844924</v>
      </c>
      <c r="R103" s="7">
        <v>7.8516305167266792E-2</v>
      </c>
      <c r="S103" s="8">
        <v>0</v>
      </c>
      <c r="T103" s="8">
        <v>1</v>
      </c>
      <c r="U103" s="8">
        <v>73</v>
      </c>
      <c r="V103" s="7">
        <v>0.25989961232588688</v>
      </c>
      <c r="W103" s="7">
        <v>7.3723142307638323E-2</v>
      </c>
      <c r="X103" s="8">
        <v>0</v>
      </c>
      <c r="Y103" s="8">
        <v>1</v>
      </c>
      <c r="Z103" s="8">
        <v>70</v>
      </c>
      <c r="AA103" s="7">
        <v>0.49418092931848012</v>
      </c>
      <c r="AB103" s="7">
        <v>4.0512383726764072E-2</v>
      </c>
      <c r="AC103" s="8">
        <v>0</v>
      </c>
      <c r="AD103" s="8">
        <v>1</v>
      </c>
      <c r="AE103" s="8">
        <v>289</v>
      </c>
      <c r="AF103">
        <f>(AA105/AA104)-AA103</f>
        <v>5.8223723653901938E-2</v>
      </c>
    </row>
    <row r="104" spans="1:32" ht="39.5" customHeight="1" x14ac:dyDescent="0.45">
      <c r="A104" s="6" t="s">
        <v>20</v>
      </c>
      <c r="B104" s="7">
        <v>0.71998796435535706</v>
      </c>
      <c r="C104" s="7">
        <v>0.11311854104787832</v>
      </c>
      <c r="D104" s="8">
        <v>0</v>
      </c>
      <c r="E104" s="8">
        <v>1</v>
      </c>
      <c r="F104" s="8">
        <v>30</v>
      </c>
      <c r="G104" s="7">
        <v>0.81708889697607556</v>
      </c>
      <c r="H104" s="7">
        <v>5.5492334817063477E-2</v>
      </c>
      <c r="I104" s="8">
        <v>0</v>
      </c>
      <c r="J104" s="8">
        <v>1</v>
      </c>
      <c r="K104" s="8">
        <v>61</v>
      </c>
      <c r="L104" s="7">
        <v>0.89270195125097485</v>
      </c>
      <c r="M104" s="7">
        <v>4.2121950331173691E-2</v>
      </c>
      <c r="N104" s="8">
        <v>0</v>
      </c>
      <c r="O104" s="8">
        <v>1</v>
      </c>
      <c r="P104" s="8">
        <v>55</v>
      </c>
      <c r="Q104" s="7">
        <v>0.79214063353652753</v>
      </c>
      <c r="R104" s="7">
        <v>7.4227984257885751E-2</v>
      </c>
      <c r="S104" s="8">
        <v>0</v>
      </c>
      <c r="T104" s="8">
        <v>1</v>
      </c>
      <c r="U104" s="8">
        <v>73</v>
      </c>
      <c r="V104" s="7">
        <v>0.46181897480982365</v>
      </c>
      <c r="W104" s="7">
        <v>8.6350561884418128E-2</v>
      </c>
      <c r="X104" s="8">
        <v>0</v>
      </c>
      <c r="Y104" s="8">
        <v>1</v>
      </c>
      <c r="Z104" s="8">
        <v>70</v>
      </c>
      <c r="AA104" s="7">
        <v>0.81495916750566311</v>
      </c>
      <c r="AB104" s="7">
        <v>2.9461639416979199E-2</v>
      </c>
      <c r="AC104" s="8">
        <v>0</v>
      </c>
      <c r="AD104" s="8">
        <v>1</v>
      </c>
      <c r="AE104" s="8">
        <v>289</v>
      </c>
      <c r="AF104">
        <f>(AA105/AA103)-AA104</f>
        <v>9.601737854089476E-2</v>
      </c>
    </row>
    <row r="105" spans="1:32" ht="14.25" customHeight="1" x14ac:dyDescent="0.45">
      <c r="A105" s="6" t="s">
        <v>63</v>
      </c>
      <c r="B105" s="7">
        <v>0.22083949263359173</v>
      </c>
      <c r="C105" s="7">
        <v>7.6981635649396321E-2</v>
      </c>
      <c r="D105" s="8">
        <v>0</v>
      </c>
      <c r="E105" s="8">
        <v>1</v>
      </c>
      <c r="F105" s="8">
        <v>30</v>
      </c>
      <c r="G105" s="7">
        <v>0.45353268013723491</v>
      </c>
      <c r="H105" s="7">
        <v>7.1185695955353429E-2</v>
      </c>
      <c r="I105" s="8">
        <v>0</v>
      </c>
      <c r="J105" s="8">
        <v>1</v>
      </c>
      <c r="K105" s="8">
        <v>61</v>
      </c>
      <c r="L105" s="7">
        <v>0.48591644653663713</v>
      </c>
      <c r="M105" s="7">
        <v>7.6869105194510637E-2</v>
      </c>
      <c r="N105" s="8">
        <v>0</v>
      </c>
      <c r="O105" s="8">
        <v>1</v>
      </c>
      <c r="P105" s="8">
        <v>55</v>
      </c>
      <c r="Q105" s="7">
        <v>0.52661032131470964</v>
      </c>
      <c r="R105" s="7">
        <v>8.0864893441080998E-2</v>
      </c>
      <c r="S105" s="8">
        <v>0</v>
      </c>
      <c r="T105" s="8">
        <v>1</v>
      </c>
      <c r="U105" s="8">
        <v>73</v>
      </c>
      <c r="V105" s="7">
        <v>0.20111824971368938</v>
      </c>
      <c r="W105" s="7">
        <v>6.6966023667727859E-2</v>
      </c>
      <c r="X105" s="8">
        <v>0</v>
      </c>
      <c r="Y105" s="8">
        <v>1</v>
      </c>
      <c r="Z105" s="8">
        <v>70</v>
      </c>
      <c r="AA105" s="7">
        <v>0.45018723611262718</v>
      </c>
      <c r="AB105" s="7">
        <v>4.0496402551312836E-2</v>
      </c>
      <c r="AC105" s="8">
        <v>0</v>
      </c>
      <c r="AD105" s="8">
        <v>1</v>
      </c>
      <c r="AE105" s="8">
        <v>289</v>
      </c>
    </row>
    <row r="106" spans="1:32" ht="14.25" customHeight="1" x14ac:dyDescent="0.45">
      <c r="A106" s="6" t="s">
        <v>26</v>
      </c>
      <c r="B106" s="7">
        <v>0.22083949263359173</v>
      </c>
      <c r="C106" s="7">
        <v>7.6981635649396321E-2</v>
      </c>
      <c r="D106" s="8">
        <v>0</v>
      </c>
      <c r="E106" s="8">
        <v>1</v>
      </c>
      <c r="F106" s="8">
        <v>30</v>
      </c>
      <c r="G106" s="7">
        <v>0.47381802682362351</v>
      </c>
      <c r="H106" s="7">
        <v>7.1195474004264972E-2</v>
      </c>
      <c r="I106" s="8">
        <v>0</v>
      </c>
      <c r="J106" s="8">
        <v>1</v>
      </c>
      <c r="K106" s="8">
        <v>61</v>
      </c>
      <c r="L106" s="7">
        <v>0.54001580449645814</v>
      </c>
      <c r="M106" s="7">
        <v>7.6978621202141204E-2</v>
      </c>
      <c r="N106" s="8">
        <v>0</v>
      </c>
      <c r="O106" s="8">
        <v>1</v>
      </c>
      <c r="P106" s="8">
        <v>55</v>
      </c>
      <c r="Q106" s="7">
        <v>0.59736595895844924</v>
      </c>
      <c r="R106" s="7">
        <v>7.8516305167266792E-2</v>
      </c>
      <c r="S106" s="8">
        <v>0</v>
      </c>
      <c r="T106" s="8">
        <v>1</v>
      </c>
      <c r="U106" s="8">
        <v>73</v>
      </c>
      <c r="V106" s="7">
        <v>0.25989961232588688</v>
      </c>
      <c r="W106" s="7">
        <v>7.3723142307638323E-2</v>
      </c>
      <c r="X106" s="8">
        <v>0</v>
      </c>
      <c r="Y106" s="8">
        <v>1</v>
      </c>
      <c r="Z106" s="8">
        <v>70</v>
      </c>
      <c r="AA106" s="7">
        <v>0.49418092931848012</v>
      </c>
      <c r="AB106" s="7">
        <v>4.0512383726764072E-2</v>
      </c>
      <c r="AC106" s="8">
        <v>0</v>
      </c>
      <c r="AD106" s="8">
        <v>1</v>
      </c>
      <c r="AE106" s="8">
        <v>289</v>
      </c>
      <c r="AF106">
        <f>(AA108/AA107)-AA106</f>
        <v>1.6925268267790061E-3</v>
      </c>
    </row>
    <row r="107" spans="1:32" ht="26.25" customHeight="1" x14ac:dyDescent="0.45">
      <c r="A107" s="6" t="s">
        <v>22</v>
      </c>
      <c r="B107" s="7">
        <v>0.92567057702595223</v>
      </c>
      <c r="C107" s="7">
        <v>5.2772110959269633E-2</v>
      </c>
      <c r="D107" s="8">
        <v>0</v>
      </c>
      <c r="E107" s="8">
        <v>1</v>
      </c>
      <c r="F107" s="8">
        <v>30</v>
      </c>
      <c r="G107" s="7">
        <v>0.96708867666829124</v>
      </c>
      <c r="H107" s="7">
        <v>2.3335390502298822E-2</v>
      </c>
      <c r="I107" s="8">
        <v>0</v>
      </c>
      <c r="J107" s="8">
        <v>1</v>
      </c>
      <c r="K107" s="8">
        <v>61</v>
      </c>
      <c r="L107" s="7">
        <v>0.92438050124212068</v>
      </c>
      <c r="M107" s="7">
        <v>3.4796389331134367E-2</v>
      </c>
      <c r="N107" s="8">
        <v>0</v>
      </c>
      <c r="O107" s="8">
        <v>1</v>
      </c>
      <c r="P107" s="8">
        <v>55</v>
      </c>
      <c r="Q107" s="7">
        <v>0.98744074376457081</v>
      </c>
      <c r="R107" s="7">
        <v>9.6317749278603242E-3</v>
      </c>
      <c r="S107" s="8">
        <v>0</v>
      </c>
      <c r="T107" s="8">
        <v>1</v>
      </c>
      <c r="U107" s="8">
        <v>73</v>
      </c>
      <c r="V107" s="7">
        <v>0.81579627466349469</v>
      </c>
      <c r="W107" s="7">
        <v>6.4243143036487982E-2</v>
      </c>
      <c r="X107" s="8">
        <v>0</v>
      </c>
      <c r="Y107" s="8">
        <v>1</v>
      </c>
      <c r="Z107" s="8">
        <v>70</v>
      </c>
      <c r="AA107" s="7">
        <v>0.94255881801459418</v>
      </c>
      <c r="AB107" s="7">
        <v>1.6228337802130382E-2</v>
      </c>
      <c r="AC107" s="8">
        <v>0</v>
      </c>
      <c r="AD107" s="8">
        <v>1</v>
      </c>
      <c r="AE107" s="8">
        <v>289</v>
      </c>
      <c r="AF107">
        <f>(AA108/AA106)-AA107</f>
        <v>3.2281822115372005E-3</v>
      </c>
    </row>
    <row r="108" spans="1:32" ht="14.25" customHeight="1" x14ac:dyDescent="0.45">
      <c r="A108" s="6" t="s">
        <v>64</v>
      </c>
      <c r="B108" s="7">
        <v>0.1908999223479286</v>
      </c>
      <c r="C108" s="7">
        <v>7.184688460036677E-2</v>
      </c>
      <c r="D108" s="8">
        <v>0</v>
      </c>
      <c r="E108" s="8">
        <v>1</v>
      </c>
      <c r="F108" s="8">
        <v>30</v>
      </c>
      <c r="G108" s="7">
        <v>0.45945534454963832</v>
      </c>
      <c r="H108" s="7">
        <v>7.1250366439407076E-2</v>
      </c>
      <c r="I108" s="8">
        <v>0</v>
      </c>
      <c r="J108" s="8">
        <v>1</v>
      </c>
      <c r="K108" s="8">
        <v>61</v>
      </c>
      <c r="L108" s="7">
        <v>0.49200206807307528</v>
      </c>
      <c r="M108" s="7">
        <v>7.6891681258838288E-2</v>
      </c>
      <c r="N108" s="8">
        <v>0</v>
      </c>
      <c r="O108" s="8">
        <v>1</v>
      </c>
      <c r="P108" s="8">
        <v>55</v>
      </c>
      <c r="Q108" s="7">
        <v>0.59736595895844924</v>
      </c>
      <c r="R108" s="7">
        <v>7.8516305167266792E-2</v>
      </c>
      <c r="S108" s="8">
        <v>0</v>
      </c>
      <c r="T108" s="8">
        <v>1</v>
      </c>
      <c r="U108" s="8">
        <v>73</v>
      </c>
      <c r="V108" s="7">
        <v>0.23016265699547833</v>
      </c>
      <c r="W108" s="7">
        <v>7.0605602472172763E-2</v>
      </c>
      <c r="X108" s="8">
        <v>0</v>
      </c>
      <c r="Y108" s="8">
        <v>1</v>
      </c>
      <c r="Z108" s="8">
        <v>70</v>
      </c>
      <c r="AA108" s="7">
        <v>0.46738989870908715</v>
      </c>
      <c r="AB108" s="7">
        <v>4.0533537170281513E-2</v>
      </c>
      <c r="AC108" s="8">
        <v>0</v>
      </c>
      <c r="AD108" s="8">
        <v>1</v>
      </c>
      <c r="AE108" s="8">
        <v>289</v>
      </c>
    </row>
    <row r="109" spans="1:32" ht="14.25" customHeight="1" x14ac:dyDescent="0.45">
      <c r="A109" s="6" t="s">
        <v>26</v>
      </c>
      <c r="B109" s="7">
        <v>0.22083949263359173</v>
      </c>
      <c r="C109" s="7">
        <v>7.6981635649396321E-2</v>
      </c>
      <c r="D109" s="8">
        <v>0</v>
      </c>
      <c r="E109" s="8">
        <v>1</v>
      </c>
      <c r="F109" s="8">
        <v>30</v>
      </c>
      <c r="G109" s="7">
        <v>0.47381802682362351</v>
      </c>
      <c r="H109" s="7">
        <v>7.1195474004264972E-2</v>
      </c>
      <c r="I109" s="8">
        <v>0</v>
      </c>
      <c r="J109" s="8">
        <v>1</v>
      </c>
      <c r="K109" s="8">
        <v>61</v>
      </c>
      <c r="L109" s="7">
        <v>0.54001580449645814</v>
      </c>
      <c r="M109" s="7">
        <v>7.6978621202141204E-2</v>
      </c>
      <c r="N109" s="8">
        <v>0</v>
      </c>
      <c r="O109" s="8">
        <v>1</v>
      </c>
      <c r="P109" s="8">
        <v>55</v>
      </c>
      <c r="Q109" s="7">
        <v>0.59736595895844924</v>
      </c>
      <c r="R109" s="7">
        <v>7.8516305167266792E-2</v>
      </c>
      <c r="S109" s="8">
        <v>0</v>
      </c>
      <c r="T109" s="8">
        <v>1</v>
      </c>
      <c r="U109" s="8">
        <v>73</v>
      </c>
      <c r="V109" s="7">
        <v>0.25989961232588688</v>
      </c>
      <c r="W109" s="7">
        <v>7.3723142307638323E-2</v>
      </c>
      <c r="X109" s="8">
        <v>0</v>
      </c>
      <c r="Y109" s="8">
        <v>1</v>
      </c>
      <c r="Z109" s="8">
        <v>70</v>
      </c>
      <c r="AA109" s="7">
        <v>0.49418092931848012</v>
      </c>
      <c r="AB109" s="7">
        <v>4.0512383726764072E-2</v>
      </c>
      <c r="AC109" s="8">
        <v>0</v>
      </c>
      <c r="AD109" s="8">
        <v>1</v>
      </c>
      <c r="AE109" s="8">
        <v>289</v>
      </c>
      <c r="AF109">
        <f>(AA111/AA110)-AA109</f>
        <v>6.5692517486082291E-3</v>
      </c>
    </row>
    <row r="110" spans="1:32" ht="26.25" customHeight="1" x14ac:dyDescent="0.45">
      <c r="A110" s="6" t="s">
        <v>24</v>
      </c>
      <c r="B110" s="7">
        <v>0.29691007821421939</v>
      </c>
      <c r="C110" s="7">
        <v>9.0434299454504388E-2</v>
      </c>
      <c r="D110" s="8">
        <v>0</v>
      </c>
      <c r="E110" s="8">
        <v>1</v>
      </c>
      <c r="F110" s="8">
        <v>30</v>
      </c>
      <c r="G110" s="7">
        <v>0.49677177668929956</v>
      </c>
      <c r="H110" s="7">
        <v>7.0999294454138578E-2</v>
      </c>
      <c r="I110" s="8">
        <v>0</v>
      </c>
      <c r="J110" s="8">
        <v>1</v>
      </c>
      <c r="K110" s="8">
        <v>61</v>
      </c>
      <c r="L110" s="7">
        <v>0.66910480046057408</v>
      </c>
      <c r="M110" s="7">
        <v>6.9382404233736442E-2</v>
      </c>
      <c r="N110" s="8">
        <v>0</v>
      </c>
      <c r="O110" s="8">
        <v>1</v>
      </c>
      <c r="P110" s="8">
        <v>55</v>
      </c>
      <c r="Q110" s="7">
        <v>0.81572970757523378</v>
      </c>
      <c r="R110" s="7">
        <v>4.8223017832801064E-2</v>
      </c>
      <c r="S110" s="8">
        <v>0</v>
      </c>
      <c r="T110" s="8">
        <v>1</v>
      </c>
      <c r="U110" s="8">
        <v>73</v>
      </c>
      <c r="V110" s="7">
        <v>0.33543852274097052</v>
      </c>
      <c r="W110" s="7">
        <v>8.1338752606745057E-2</v>
      </c>
      <c r="X110" s="8">
        <v>0</v>
      </c>
      <c r="Y110" s="8">
        <v>1</v>
      </c>
      <c r="Z110" s="8">
        <v>70</v>
      </c>
      <c r="AA110" s="7">
        <v>0.60191756282298448</v>
      </c>
      <c r="AB110" s="7">
        <v>3.8656173410834903E-2</v>
      </c>
      <c r="AC110" s="8">
        <v>0</v>
      </c>
      <c r="AD110" s="8">
        <v>1</v>
      </c>
      <c r="AE110" s="8">
        <v>289</v>
      </c>
      <c r="AF110">
        <f>(AA111/AA109)-AA110</f>
        <v>8.0014176337115384E-3</v>
      </c>
    </row>
    <row r="111" spans="1:32" ht="14.25" customHeight="1" x14ac:dyDescent="0.45">
      <c r="A111" s="6" t="s">
        <v>65</v>
      </c>
      <c r="B111" s="7">
        <v>0.13726154938276161</v>
      </c>
      <c r="C111" s="7">
        <v>6.1928778289348389E-2</v>
      </c>
      <c r="D111" s="8">
        <v>0</v>
      </c>
      <c r="E111" s="8">
        <v>1</v>
      </c>
      <c r="F111" s="8">
        <v>30</v>
      </c>
      <c r="G111" s="7">
        <v>0.27626121410369281</v>
      </c>
      <c r="H111" s="7">
        <v>6.4792655505742716E-2</v>
      </c>
      <c r="I111" s="8">
        <v>0</v>
      </c>
      <c r="J111" s="8">
        <v>1</v>
      </c>
      <c r="K111" s="8">
        <v>61</v>
      </c>
      <c r="L111" s="7">
        <v>0.26621861650467138</v>
      </c>
      <c r="M111" s="7">
        <v>6.8658099502082626E-2</v>
      </c>
      <c r="N111" s="8">
        <v>0</v>
      </c>
      <c r="O111" s="8">
        <v>1</v>
      </c>
      <c r="P111" s="8">
        <v>55</v>
      </c>
      <c r="Q111" s="7">
        <v>0.51798382539701116</v>
      </c>
      <c r="R111" s="7">
        <v>8.0629300568166876E-2</v>
      </c>
      <c r="S111" s="8">
        <v>0</v>
      </c>
      <c r="T111" s="8">
        <v>1</v>
      </c>
      <c r="U111" s="8">
        <v>73</v>
      </c>
      <c r="V111" s="7">
        <v>0.15242502679687669</v>
      </c>
      <c r="W111" s="7">
        <v>6.6780262961082637E-2</v>
      </c>
      <c r="X111" s="8">
        <v>0</v>
      </c>
      <c r="Y111" s="8">
        <v>1</v>
      </c>
      <c r="Z111" s="8">
        <v>70</v>
      </c>
      <c r="AA111" s="7">
        <v>0.30141032857106997</v>
      </c>
      <c r="AB111" s="7">
        <v>3.7687317255133815E-2</v>
      </c>
      <c r="AC111" s="8">
        <v>0</v>
      </c>
      <c r="AD111" s="8">
        <v>1</v>
      </c>
      <c r="AE111" s="8">
        <v>289</v>
      </c>
    </row>
    <row r="112" spans="1:32" ht="14.25" customHeight="1" x14ac:dyDescent="0.45">
      <c r="A112" s="6" t="s">
        <v>28</v>
      </c>
      <c r="B112" s="7">
        <v>0.29580870245528007</v>
      </c>
      <c r="C112" s="7">
        <v>0.11556730122910758</v>
      </c>
      <c r="D112" s="8">
        <v>0</v>
      </c>
      <c r="E112" s="8">
        <v>1</v>
      </c>
      <c r="F112" s="8">
        <v>30</v>
      </c>
      <c r="G112" s="7">
        <v>0.20395713984058791</v>
      </c>
      <c r="H112" s="7">
        <v>5.6648529290665377E-2</v>
      </c>
      <c r="I112" s="8">
        <v>0</v>
      </c>
      <c r="J112" s="8">
        <v>1</v>
      </c>
      <c r="K112" s="8">
        <v>61</v>
      </c>
      <c r="L112" s="7">
        <v>0.35840076841974933</v>
      </c>
      <c r="M112" s="7">
        <v>7.4712483039302405E-2</v>
      </c>
      <c r="N112" s="8">
        <v>0</v>
      </c>
      <c r="O112" s="8">
        <v>1</v>
      </c>
      <c r="P112" s="8">
        <v>55</v>
      </c>
      <c r="Q112" s="7">
        <v>0.67434863072132323</v>
      </c>
      <c r="R112" s="7">
        <v>7.7195876807747033E-2</v>
      </c>
      <c r="S112" s="8">
        <v>0</v>
      </c>
      <c r="T112" s="8">
        <v>1</v>
      </c>
      <c r="U112" s="8">
        <v>73</v>
      </c>
      <c r="V112" s="7">
        <v>0.39285830509250746</v>
      </c>
      <c r="W112" s="7">
        <v>8.1726549717313982E-2</v>
      </c>
      <c r="X112" s="8">
        <v>0</v>
      </c>
      <c r="Y112" s="8">
        <v>1</v>
      </c>
      <c r="Z112" s="8">
        <v>70</v>
      </c>
      <c r="AA112" s="7">
        <v>0.36973415314388186</v>
      </c>
      <c r="AB112" s="7">
        <v>3.9118517324785274E-2</v>
      </c>
      <c r="AC112" s="8">
        <v>0</v>
      </c>
      <c r="AD112" s="8">
        <v>1</v>
      </c>
      <c r="AE112" s="8">
        <v>289</v>
      </c>
      <c r="AF112">
        <f>(AA114/AA113)-AA112</f>
        <v>2.0737750038617053E-2</v>
      </c>
    </row>
    <row r="113" spans="1:32" ht="14.25" customHeight="1" x14ac:dyDescent="0.45">
      <c r="A113" s="6" t="s">
        <v>30</v>
      </c>
      <c r="B113" s="7">
        <v>0.33752245897600625</v>
      </c>
      <c r="C113" s="7">
        <v>0.11421269389473675</v>
      </c>
      <c r="D113" s="8">
        <v>0</v>
      </c>
      <c r="E113" s="8">
        <v>1</v>
      </c>
      <c r="F113" s="8">
        <v>30</v>
      </c>
      <c r="G113" s="7">
        <v>3.47823883784288E-2</v>
      </c>
      <c r="H113" s="7">
        <v>2.0826951859673284E-2</v>
      </c>
      <c r="I113" s="8">
        <v>0</v>
      </c>
      <c r="J113" s="8">
        <v>1</v>
      </c>
      <c r="K113" s="8">
        <v>61</v>
      </c>
      <c r="L113" s="7">
        <v>0.25440927475559394</v>
      </c>
      <c r="M113" s="7">
        <v>6.7546806564124665E-2</v>
      </c>
      <c r="N113" s="8">
        <v>0</v>
      </c>
      <c r="O113" s="8">
        <v>1</v>
      </c>
      <c r="P113" s="8">
        <v>55</v>
      </c>
      <c r="Q113" s="7">
        <v>0.16955220211261907</v>
      </c>
      <c r="R113" s="7">
        <v>6.9237651596625663E-2</v>
      </c>
      <c r="S113" s="8">
        <v>0</v>
      </c>
      <c r="T113" s="8">
        <v>1</v>
      </c>
      <c r="U113" s="8">
        <v>73</v>
      </c>
      <c r="V113" s="7">
        <v>0.24138127307771998</v>
      </c>
      <c r="W113" s="7">
        <v>8.0661368122113081E-2</v>
      </c>
      <c r="X113" s="8">
        <v>0</v>
      </c>
      <c r="Y113" s="8">
        <v>1</v>
      </c>
      <c r="Z113" s="8">
        <v>70</v>
      </c>
      <c r="AA113" s="7">
        <v>0.17781334922507863</v>
      </c>
      <c r="AB113" s="7">
        <v>3.2459593105481063E-2</v>
      </c>
      <c r="AC113" s="8">
        <v>0</v>
      </c>
      <c r="AD113" s="8">
        <v>1</v>
      </c>
      <c r="AE113" s="8">
        <v>289</v>
      </c>
      <c r="AF113">
        <f>(AA114/AA112)-AA113</f>
        <v>9.9732436357428955E-3</v>
      </c>
    </row>
    <row r="114" spans="1:32" ht="26.25" customHeight="1" x14ac:dyDescent="0.45">
      <c r="A114" s="6" t="s">
        <v>66</v>
      </c>
      <c r="B114" s="7">
        <v>0.25506509465910016</v>
      </c>
      <c r="C114" s="7">
        <v>0.11693438665599837</v>
      </c>
      <c r="D114" s="8">
        <v>0</v>
      </c>
      <c r="E114" s="8">
        <v>1</v>
      </c>
      <c r="F114" s="8">
        <v>30</v>
      </c>
      <c r="G114" s="7">
        <v>3.47823883784288E-2</v>
      </c>
      <c r="H114" s="7">
        <v>2.0826951859673284E-2</v>
      </c>
      <c r="I114" s="8">
        <v>0</v>
      </c>
      <c r="J114" s="8">
        <v>1</v>
      </c>
      <c r="K114" s="8">
        <v>61</v>
      </c>
      <c r="L114" s="7">
        <v>3.054806720081156E-2</v>
      </c>
      <c r="M114" s="7">
        <v>2.1758086294277511E-2</v>
      </c>
      <c r="N114" s="8">
        <v>0</v>
      </c>
      <c r="O114" s="8">
        <v>1</v>
      </c>
      <c r="P114" s="8">
        <v>55</v>
      </c>
      <c r="Q114" s="7">
        <v>0.15322848075497819</v>
      </c>
      <c r="R114" s="7">
        <v>6.8318045618643936E-2</v>
      </c>
      <c r="S114" s="8">
        <v>0</v>
      </c>
      <c r="T114" s="8">
        <v>1</v>
      </c>
      <c r="U114" s="8">
        <v>73</v>
      </c>
      <c r="V114" s="7">
        <v>3.5637682988127035E-2</v>
      </c>
      <c r="W114" s="7">
        <v>1.3962166821098661E-2</v>
      </c>
      <c r="X114" s="8">
        <v>0</v>
      </c>
      <c r="Y114" s="8">
        <v>1</v>
      </c>
      <c r="Z114" s="8">
        <v>70</v>
      </c>
      <c r="AA114" s="7">
        <v>6.9431116883170774E-2</v>
      </c>
      <c r="AB114" s="7">
        <v>1.9404009255563143E-2</v>
      </c>
      <c r="AC114" s="8">
        <v>0</v>
      </c>
      <c r="AD114" s="8">
        <v>1</v>
      </c>
      <c r="AE114" s="8">
        <v>289</v>
      </c>
    </row>
    <row r="115" spans="1:32" ht="14.25" customHeight="1" x14ac:dyDescent="0.45">
      <c r="A115" s="6" t="s">
        <v>28</v>
      </c>
      <c r="B115" s="7">
        <v>0.29580870245528007</v>
      </c>
      <c r="C115" s="7">
        <v>0.11556730122910758</v>
      </c>
      <c r="D115" s="8">
        <v>0</v>
      </c>
      <c r="E115" s="8">
        <v>1</v>
      </c>
      <c r="F115" s="8">
        <v>30</v>
      </c>
      <c r="G115" s="7">
        <v>0.20395713984058791</v>
      </c>
      <c r="H115" s="7">
        <v>5.6648529290665377E-2</v>
      </c>
      <c r="I115" s="8">
        <v>0</v>
      </c>
      <c r="J115" s="8">
        <v>1</v>
      </c>
      <c r="K115" s="8">
        <v>61</v>
      </c>
      <c r="L115" s="7">
        <v>0.35840076841974933</v>
      </c>
      <c r="M115" s="7">
        <v>7.4712483039302405E-2</v>
      </c>
      <c r="N115" s="8">
        <v>0</v>
      </c>
      <c r="O115" s="8">
        <v>1</v>
      </c>
      <c r="P115" s="8">
        <v>55</v>
      </c>
      <c r="Q115" s="7">
        <v>0.67434863072132323</v>
      </c>
      <c r="R115" s="7">
        <v>7.7195876807747033E-2</v>
      </c>
      <c r="S115" s="8">
        <v>0</v>
      </c>
      <c r="T115" s="8">
        <v>1</v>
      </c>
      <c r="U115" s="8">
        <v>73</v>
      </c>
      <c r="V115" s="7">
        <v>0.39285830509250746</v>
      </c>
      <c r="W115" s="7">
        <v>8.1726549717313982E-2</v>
      </c>
      <c r="X115" s="8">
        <v>0</v>
      </c>
      <c r="Y115" s="8">
        <v>1</v>
      </c>
      <c r="Z115" s="8">
        <v>70</v>
      </c>
      <c r="AA115" s="7">
        <v>0.36973415314388186</v>
      </c>
      <c r="AB115" s="7">
        <v>3.9118517324785274E-2</v>
      </c>
      <c r="AC115" s="8">
        <v>0</v>
      </c>
      <c r="AD115" s="8">
        <v>1</v>
      </c>
      <c r="AE115" s="8">
        <v>289</v>
      </c>
      <c r="AF115">
        <f>(AA117/AA116)-AA115</f>
        <v>-6.5909173245899511E-2</v>
      </c>
    </row>
    <row r="116" spans="1:32" ht="14.25" customHeight="1" x14ac:dyDescent="0.45">
      <c r="A116" s="6" t="s">
        <v>32</v>
      </c>
      <c r="B116" s="7">
        <v>0.8807183467855858</v>
      </c>
      <c r="C116" s="7">
        <v>5.8279938603113868E-2</v>
      </c>
      <c r="D116" s="8">
        <v>0</v>
      </c>
      <c r="E116" s="8">
        <v>1</v>
      </c>
      <c r="F116" s="8">
        <v>30</v>
      </c>
      <c r="G116" s="7">
        <v>0.54094050078981271</v>
      </c>
      <c r="H116" s="7">
        <v>7.1173712714800094E-2</v>
      </c>
      <c r="I116" s="8">
        <v>0</v>
      </c>
      <c r="J116" s="8">
        <v>1</v>
      </c>
      <c r="K116" s="8">
        <v>61</v>
      </c>
      <c r="L116" s="7">
        <v>0.48346140944352428</v>
      </c>
      <c r="M116" s="7">
        <v>7.6685026228219974E-2</v>
      </c>
      <c r="N116" s="8">
        <v>0</v>
      </c>
      <c r="O116" s="8">
        <v>1</v>
      </c>
      <c r="P116" s="8">
        <v>55</v>
      </c>
      <c r="Q116" s="7">
        <v>0.44134588510507772</v>
      </c>
      <c r="R116" s="7">
        <v>8.0894115891955082E-2</v>
      </c>
      <c r="S116" s="8">
        <v>0</v>
      </c>
      <c r="T116" s="8">
        <v>1</v>
      </c>
      <c r="U116" s="8">
        <v>73</v>
      </c>
      <c r="V116" s="7">
        <v>0.20063141493586031</v>
      </c>
      <c r="W116" s="7">
        <v>6.9153247809359233E-2</v>
      </c>
      <c r="X116" s="8">
        <v>0</v>
      </c>
      <c r="Y116" s="8">
        <v>1</v>
      </c>
      <c r="Z116" s="8">
        <v>70</v>
      </c>
      <c r="AA116" s="7">
        <v>0.50135235214164198</v>
      </c>
      <c r="AB116" s="7">
        <v>4.0501737834490306E-2</v>
      </c>
      <c r="AC116" s="8">
        <v>0</v>
      </c>
      <c r="AD116" s="8">
        <v>1</v>
      </c>
      <c r="AE116" s="8">
        <v>289</v>
      </c>
      <c r="AF116">
        <f>(AA117/AA115)-AA116</f>
        <v>-8.9371562658112746E-2</v>
      </c>
    </row>
    <row r="117" spans="1:32" ht="14.25" customHeight="1" x14ac:dyDescent="0.45">
      <c r="A117" s="6" t="s">
        <v>67</v>
      </c>
      <c r="B117" s="7">
        <v>0.28231997886647081</v>
      </c>
      <c r="C117" s="7">
        <v>0.11626233228929406</v>
      </c>
      <c r="D117" s="8">
        <v>0</v>
      </c>
      <c r="E117" s="8">
        <v>1</v>
      </c>
      <c r="F117" s="8">
        <v>30</v>
      </c>
      <c r="G117" s="7">
        <v>0.12544100634948377</v>
      </c>
      <c r="H117" s="7">
        <v>4.8293483417232011E-2</v>
      </c>
      <c r="I117" s="8">
        <v>0</v>
      </c>
      <c r="J117" s="8">
        <v>1</v>
      </c>
      <c r="K117" s="8">
        <v>61</v>
      </c>
      <c r="L117" s="7">
        <v>0.10161422761223397</v>
      </c>
      <c r="M117" s="7">
        <v>4.2656841570890072E-2</v>
      </c>
      <c r="N117" s="8">
        <v>0</v>
      </c>
      <c r="O117" s="8">
        <v>1</v>
      </c>
      <c r="P117" s="8">
        <v>55</v>
      </c>
      <c r="Q117" s="7">
        <v>0.27661583289955888</v>
      </c>
      <c r="R117" s="7">
        <v>6.8540574715036426E-2</v>
      </c>
      <c r="S117" s="8">
        <v>0</v>
      </c>
      <c r="T117" s="8">
        <v>1</v>
      </c>
      <c r="U117" s="8">
        <v>73</v>
      </c>
      <c r="V117" s="7">
        <v>8.9827856487516303E-2</v>
      </c>
      <c r="W117" s="7">
        <v>3.8185653388822995E-2</v>
      </c>
      <c r="X117" s="8">
        <v>0</v>
      </c>
      <c r="Y117" s="8">
        <v>1</v>
      </c>
      <c r="Z117" s="8">
        <v>70</v>
      </c>
      <c r="AA117" s="7">
        <v>0.15232336831124055</v>
      </c>
      <c r="AB117" s="7">
        <v>2.7100675664620964E-2</v>
      </c>
      <c r="AC117" s="8">
        <v>0</v>
      </c>
      <c r="AD117" s="8">
        <v>1</v>
      </c>
      <c r="AE117" s="8">
        <v>289</v>
      </c>
    </row>
    <row r="118" spans="1:32" ht="14.25" customHeight="1" x14ac:dyDescent="0.45">
      <c r="A118" s="6" t="s">
        <v>28</v>
      </c>
      <c r="B118" s="7">
        <v>0.29580870245528007</v>
      </c>
      <c r="C118" s="7">
        <v>0.11556730122910758</v>
      </c>
      <c r="D118" s="8">
        <v>0</v>
      </c>
      <c r="E118" s="8">
        <v>1</v>
      </c>
      <c r="F118" s="8">
        <v>30</v>
      </c>
      <c r="G118" s="7">
        <v>0.20395713984058791</v>
      </c>
      <c r="H118" s="7">
        <v>5.6648529290665377E-2</v>
      </c>
      <c r="I118" s="8">
        <v>0</v>
      </c>
      <c r="J118" s="8">
        <v>1</v>
      </c>
      <c r="K118" s="8">
        <v>61</v>
      </c>
      <c r="L118" s="7">
        <v>0.35840076841974933</v>
      </c>
      <c r="M118" s="7">
        <v>7.4712483039302405E-2</v>
      </c>
      <c r="N118" s="8">
        <v>0</v>
      </c>
      <c r="O118" s="8">
        <v>1</v>
      </c>
      <c r="P118" s="8">
        <v>55</v>
      </c>
      <c r="Q118" s="7">
        <v>0.67434863072132323</v>
      </c>
      <c r="R118" s="7">
        <v>7.7195876807747033E-2</v>
      </c>
      <c r="S118" s="8">
        <v>0</v>
      </c>
      <c r="T118" s="8">
        <v>1</v>
      </c>
      <c r="U118" s="8">
        <v>73</v>
      </c>
      <c r="V118" s="7">
        <v>0.39285830509250746</v>
      </c>
      <c r="W118" s="7">
        <v>8.1726549717313982E-2</v>
      </c>
      <c r="X118" s="8">
        <v>0</v>
      </c>
      <c r="Y118" s="8">
        <v>1</v>
      </c>
      <c r="Z118" s="8">
        <v>70</v>
      </c>
      <c r="AA118" s="7">
        <v>0.36973415314388186</v>
      </c>
      <c r="AB118" s="7">
        <v>3.9118517324785274E-2</v>
      </c>
      <c r="AC118" s="8">
        <v>0</v>
      </c>
      <c r="AD118" s="8">
        <v>1</v>
      </c>
      <c r="AE118" s="8">
        <v>289</v>
      </c>
      <c r="AF118">
        <f>(AA120/AA119)-AA118</f>
        <v>-7.4262819184846174E-2</v>
      </c>
    </row>
    <row r="119" spans="1:32" ht="14.25" customHeight="1" x14ac:dyDescent="0.45">
      <c r="A119" s="6" t="s">
        <v>34</v>
      </c>
      <c r="B119" s="7">
        <v>0.4894319374513672</v>
      </c>
      <c r="C119" s="7">
        <v>0.10893259880381885</v>
      </c>
      <c r="D119" s="8">
        <v>0</v>
      </c>
      <c r="E119" s="8">
        <v>1</v>
      </c>
      <c r="F119" s="8">
        <v>30</v>
      </c>
      <c r="G119" s="7">
        <v>0.44872874557568304</v>
      </c>
      <c r="H119" s="7">
        <v>7.0135939137786235E-2</v>
      </c>
      <c r="I119" s="8">
        <v>0</v>
      </c>
      <c r="J119" s="8">
        <v>1</v>
      </c>
      <c r="K119" s="8">
        <v>61</v>
      </c>
      <c r="L119" s="7">
        <v>0.44597262530741871</v>
      </c>
      <c r="M119" s="7">
        <v>7.6059185228833259E-2</v>
      </c>
      <c r="N119" s="8">
        <v>0</v>
      </c>
      <c r="O119" s="8">
        <v>1</v>
      </c>
      <c r="P119" s="8">
        <v>55</v>
      </c>
      <c r="Q119" s="7">
        <v>0.33484401603436165</v>
      </c>
      <c r="R119" s="7">
        <v>8.021197421991548E-2</v>
      </c>
      <c r="S119" s="8">
        <v>0</v>
      </c>
      <c r="T119" s="8">
        <v>1</v>
      </c>
      <c r="U119" s="8">
        <v>73</v>
      </c>
      <c r="V119" s="7">
        <v>0.18261413580493294</v>
      </c>
      <c r="W119" s="7">
        <v>6.8799354339987712E-2</v>
      </c>
      <c r="X119" s="8">
        <v>0</v>
      </c>
      <c r="Y119" s="8">
        <v>1</v>
      </c>
      <c r="Z119" s="8">
        <v>70</v>
      </c>
      <c r="AA119" s="7">
        <v>0.4132225092291546</v>
      </c>
      <c r="AB119" s="7">
        <v>3.9940293908986763E-2</v>
      </c>
      <c r="AC119" s="8">
        <v>0</v>
      </c>
      <c r="AD119" s="8">
        <v>1</v>
      </c>
      <c r="AE119" s="8">
        <v>289</v>
      </c>
      <c r="AF119">
        <f>(AA120/AA118)-AA119</f>
        <v>-8.299765716815255E-2</v>
      </c>
    </row>
    <row r="120" spans="1:32" ht="26.25" customHeight="1" x14ac:dyDescent="0.45">
      <c r="A120" s="6" t="s">
        <v>68</v>
      </c>
      <c r="B120" s="7">
        <v>0.21915300595600992</v>
      </c>
      <c r="C120" s="7">
        <v>0.11198618152672382</v>
      </c>
      <c r="D120" s="8">
        <v>0</v>
      </c>
      <c r="E120" s="8">
        <v>1</v>
      </c>
      <c r="F120" s="8">
        <v>30</v>
      </c>
      <c r="G120" s="7">
        <v>0.10345474153933819</v>
      </c>
      <c r="H120" s="7">
        <v>4.4262853607690236E-2</v>
      </c>
      <c r="I120" s="8">
        <v>0</v>
      </c>
      <c r="J120" s="8">
        <v>1</v>
      </c>
      <c r="K120" s="8">
        <v>61</v>
      </c>
      <c r="L120" s="7">
        <v>9.0024264990423347E-2</v>
      </c>
      <c r="M120" s="7">
        <v>4.1239137269869927E-2</v>
      </c>
      <c r="N120" s="8">
        <v>0</v>
      </c>
      <c r="O120" s="8">
        <v>1</v>
      </c>
      <c r="P120" s="8">
        <v>55</v>
      </c>
      <c r="Q120" s="7">
        <v>0.20162839349397452</v>
      </c>
      <c r="R120" s="7">
        <v>6.3542655505340759E-2</v>
      </c>
      <c r="S120" s="8">
        <v>0</v>
      </c>
      <c r="T120" s="8">
        <v>1</v>
      </c>
      <c r="U120" s="8">
        <v>73</v>
      </c>
      <c r="V120" s="7">
        <v>7.1810577356588939E-2</v>
      </c>
      <c r="W120" s="7">
        <v>3.6740009994751167E-2</v>
      </c>
      <c r="X120" s="8">
        <v>0</v>
      </c>
      <c r="Y120" s="8">
        <v>1</v>
      </c>
      <c r="Z120" s="8">
        <v>70</v>
      </c>
      <c r="AA120" s="7">
        <v>0.12209540602383825</v>
      </c>
      <c r="AB120" s="7">
        <v>2.5353795666201252E-2</v>
      </c>
      <c r="AC120" s="8">
        <v>0</v>
      </c>
      <c r="AD120" s="8">
        <v>1</v>
      </c>
      <c r="AE120" s="8">
        <v>289</v>
      </c>
    </row>
    <row r="121" spans="1:32" ht="14.25" customHeight="1" x14ac:dyDescent="0.45">
      <c r="A121" s="6" t="s">
        <v>28</v>
      </c>
      <c r="B121" s="7">
        <v>0.29580870245528007</v>
      </c>
      <c r="C121" s="7">
        <v>0.11556730122910758</v>
      </c>
      <c r="D121" s="8">
        <v>0</v>
      </c>
      <c r="E121" s="8">
        <v>1</v>
      </c>
      <c r="F121" s="8">
        <v>30</v>
      </c>
      <c r="G121" s="7">
        <v>0.20395713984058791</v>
      </c>
      <c r="H121" s="7">
        <v>5.6648529290665377E-2</v>
      </c>
      <c r="I121" s="8">
        <v>0</v>
      </c>
      <c r="J121" s="8">
        <v>1</v>
      </c>
      <c r="K121" s="8">
        <v>61</v>
      </c>
      <c r="L121" s="7">
        <v>0.35840076841974933</v>
      </c>
      <c r="M121" s="7">
        <v>7.4712483039302405E-2</v>
      </c>
      <c r="N121" s="8">
        <v>0</v>
      </c>
      <c r="O121" s="8">
        <v>1</v>
      </c>
      <c r="P121" s="8">
        <v>55</v>
      </c>
      <c r="Q121" s="7">
        <v>0.67434863072132323</v>
      </c>
      <c r="R121" s="7">
        <v>7.7195876807747033E-2</v>
      </c>
      <c r="S121" s="8">
        <v>0</v>
      </c>
      <c r="T121" s="8">
        <v>1</v>
      </c>
      <c r="U121" s="8">
        <v>73</v>
      </c>
      <c r="V121" s="7">
        <v>0.39285830509250746</v>
      </c>
      <c r="W121" s="7">
        <v>8.1726549717313982E-2</v>
      </c>
      <c r="X121" s="8">
        <v>0</v>
      </c>
      <c r="Y121" s="8">
        <v>1</v>
      </c>
      <c r="Z121" s="8">
        <v>70</v>
      </c>
      <c r="AA121" s="7">
        <v>0.36973415314388186</v>
      </c>
      <c r="AB121" s="7">
        <v>3.9118517324785274E-2</v>
      </c>
      <c r="AC121" s="8">
        <v>0</v>
      </c>
      <c r="AD121" s="8">
        <v>1</v>
      </c>
      <c r="AE121" s="8">
        <v>289</v>
      </c>
      <c r="AF121">
        <f>(AA123/AA122)-AA121</f>
        <v>-9.2022383941831432E-2</v>
      </c>
    </row>
    <row r="122" spans="1:32" ht="14.25" customHeight="1" x14ac:dyDescent="0.45">
      <c r="A122" s="6" t="s">
        <v>36</v>
      </c>
      <c r="B122" s="7">
        <v>0.72893239565623269</v>
      </c>
      <c r="C122" s="7">
        <v>8.902381100148167E-2</v>
      </c>
      <c r="D122" s="8">
        <v>0</v>
      </c>
      <c r="E122" s="8">
        <v>1</v>
      </c>
      <c r="F122" s="8">
        <v>30</v>
      </c>
      <c r="G122" s="7">
        <v>0.32479990825338129</v>
      </c>
      <c r="H122" s="7">
        <v>6.8586146510135823E-2</v>
      </c>
      <c r="I122" s="8">
        <v>0</v>
      </c>
      <c r="J122" s="8">
        <v>1</v>
      </c>
      <c r="K122" s="8">
        <v>61</v>
      </c>
      <c r="L122" s="7">
        <v>0.15180128791918751</v>
      </c>
      <c r="M122" s="7">
        <v>5.7394585526529353E-2</v>
      </c>
      <c r="N122" s="8">
        <v>0</v>
      </c>
      <c r="O122" s="8">
        <v>1</v>
      </c>
      <c r="P122" s="8">
        <v>55</v>
      </c>
      <c r="Q122" s="7">
        <v>0.33816527182499029</v>
      </c>
      <c r="R122" s="7">
        <v>7.9496187777029978E-2</v>
      </c>
      <c r="S122" s="8">
        <v>0</v>
      </c>
      <c r="T122" s="8">
        <v>1</v>
      </c>
      <c r="U122" s="8">
        <v>73</v>
      </c>
      <c r="V122" s="7">
        <v>0.26911799543093445</v>
      </c>
      <c r="W122" s="7">
        <v>7.1124564652368341E-2</v>
      </c>
      <c r="X122" s="8">
        <v>0</v>
      </c>
      <c r="Y122" s="8">
        <v>1</v>
      </c>
      <c r="Z122" s="8">
        <v>70</v>
      </c>
      <c r="AA122" s="7">
        <v>0.28189538649826235</v>
      </c>
      <c r="AB122" s="7">
        <v>3.5929536319725487E-2</v>
      </c>
      <c r="AC122" s="8">
        <v>0</v>
      </c>
      <c r="AD122" s="8">
        <v>1</v>
      </c>
      <c r="AE122" s="8">
        <v>289</v>
      </c>
      <c r="AF122">
        <f>(AA123/AA121)-AA122</f>
        <v>-7.01603713565494E-2</v>
      </c>
    </row>
    <row r="123" spans="1:32" ht="14.25" customHeight="1" x14ac:dyDescent="0.45">
      <c r="A123" s="6" t="s">
        <v>69</v>
      </c>
      <c r="B123" s="7">
        <v>0.17852963288471699</v>
      </c>
      <c r="C123" s="7">
        <v>0.11404335891949469</v>
      </c>
      <c r="D123" s="8">
        <v>0</v>
      </c>
      <c r="E123" s="8">
        <v>1</v>
      </c>
      <c r="F123" s="8">
        <v>30</v>
      </c>
      <c r="G123" s="7">
        <v>1.7221790010418063E-2</v>
      </c>
      <c r="H123" s="7">
        <v>1.1888295930087571E-2</v>
      </c>
      <c r="I123" s="8">
        <v>0</v>
      </c>
      <c r="J123" s="8">
        <v>1</v>
      </c>
      <c r="K123" s="8">
        <v>61</v>
      </c>
      <c r="L123" s="7">
        <v>2.099385158189785E-2</v>
      </c>
      <c r="M123" s="7">
        <v>1.5521215829388344E-2</v>
      </c>
      <c r="N123" s="8">
        <v>0</v>
      </c>
      <c r="O123" s="8">
        <v>1</v>
      </c>
      <c r="P123" s="8">
        <v>55</v>
      </c>
      <c r="Q123" s="7">
        <v>0.27076452397061207</v>
      </c>
      <c r="R123" s="7">
        <v>7.5806666312390858E-2</v>
      </c>
      <c r="S123" s="8">
        <v>0</v>
      </c>
      <c r="T123" s="8">
        <v>1</v>
      </c>
      <c r="U123" s="8">
        <v>73</v>
      </c>
      <c r="V123" s="7">
        <v>4.74763579578905E-2</v>
      </c>
      <c r="W123" s="7">
        <v>1.5313868733241967E-2</v>
      </c>
      <c r="X123" s="8">
        <v>0</v>
      </c>
      <c r="Y123" s="8">
        <v>1</v>
      </c>
      <c r="Z123" s="8">
        <v>70</v>
      </c>
      <c r="AA123" s="7">
        <v>7.8285666514328237E-2</v>
      </c>
      <c r="AB123" s="7">
        <v>1.9635901930660275E-2</v>
      </c>
      <c r="AC123" s="8">
        <v>0</v>
      </c>
      <c r="AD123" s="8">
        <v>1</v>
      </c>
      <c r="AE123" s="8">
        <v>289</v>
      </c>
    </row>
    <row r="124" spans="1:32" ht="14.25" customHeight="1" x14ac:dyDescent="0.45">
      <c r="A124" s="6" t="s">
        <v>28</v>
      </c>
      <c r="B124" s="7">
        <v>0.29580870245528007</v>
      </c>
      <c r="C124" s="7">
        <v>0.11556730122910758</v>
      </c>
      <c r="D124" s="8">
        <v>0</v>
      </c>
      <c r="E124" s="8">
        <v>1</v>
      </c>
      <c r="F124" s="8">
        <v>30</v>
      </c>
      <c r="G124" s="7">
        <v>0.20395713984058791</v>
      </c>
      <c r="H124" s="7">
        <v>5.6648529290665377E-2</v>
      </c>
      <c r="I124" s="8">
        <v>0</v>
      </c>
      <c r="J124" s="8">
        <v>1</v>
      </c>
      <c r="K124" s="8">
        <v>61</v>
      </c>
      <c r="L124" s="7">
        <v>0.35840076841974933</v>
      </c>
      <c r="M124" s="7">
        <v>7.4712483039302405E-2</v>
      </c>
      <c r="N124" s="8">
        <v>0</v>
      </c>
      <c r="O124" s="8">
        <v>1</v>
      </c>
      <c r="P124" s="8">
        <v>55</v>
      </c>
      <c r="Q124" s="7">
        <v>0.67434863072132323</v>
      </c>
      <c r="R124" s="7">
        <v>7.7195876807747033E-2</v>
      </c>
      <c r="S124" s="8">
        <v>0</v>
      </c>
      <c r="T124" s="8">
        <v>1</v>
      </c>
      <c r="U124" s="8">
        <v>73</v>
      </c>
      <c r="V124" s="7">
        <v>0.39285830509250746</v>
      </c>
      <c r="W124" s="7">
        <v>8.1726549717313982E-2</v>
      </c>
      <c r="X124" s="8">
        <v>0</v>
      </c>
      <c r="Y124" s="8">
        <v>1</v>
      </c>
      <c r="Z124" s="8">
        <v>70</v>
      </c>
      <c r="AA124" s="7">
        <v>0.36973415314388186</v>
      </c>
      <c r="AB124" s="7">
        <v>3.9118517324785274E-2</v>
      </c>
      <c r="AC124" s="8">
        <v>0</v>
      </c>
      <c r="AD124" s="8">
        <v>1</v>
      </c>
      <c r="AE124" s="8">
        <v>289</v>
      </c>
      <c r="AF124">
        <f>(AA126/AA125)-AA124</f>
        <v>-5.499043239064999E-2</v>
      </c>
    </row>
    <row r="125" spans="1:32" ht="26.25" customHeight="1" x14ac:dyDescent="0.45">
      <c r="A125" s="6" t="s">
        <v>38</v>
      </c>
      <c r="B125" s="7">
        <v>0.71998796435535706</v>
      </c>
      <c r="C125" s="7">
        <v>0.11311854104787832</v>
      </c>
      <c r="D125" s="8">
        <v>0</v>
      </c>
      <c r="E125" s="8">
        <v>1</v>
      </c>
      <c r="F125" s="8">
        <v>30</v>
      </c>
      <c r="G125" s="7">
        <v>0.8042407061751119</v>
      </c>
      <c r="H125" s="7">
        <v>5.6411702520922181E-2</v>
      </c>
      <c r="I125" s="8">
        <v>0</v>
      </c>
      <c r="J125" s="8">
        <v>1</v>
      </c>
      <c r="K125" s="8">
        <v>61</v>
      </c>
      <c r="L125" s="7">
        <v>0.89270195125097485</v>
      </c>
      <c r="M125" s="7">
        <v>4.2121950331173691E-2</v>
      </c>
      <c r="N125" s="8">
        <v>0</v>
      </c>
      <c r="O125" s="8">
        <v>1</v>
      </c>
      <c r="P125" s="8">
        <v>55</v>
      </c>
      <c r="Q125" s="7">
        <v>0.78205413715993244</v>
      </c>
      <c r="R125" s="7">
        <v>7.4169259039094562E-2</v>
      </c>
      <c r="S125" s="8">
        <v>0</v>
      </c>
      <c r="T125" s="8">
        <v>1</v>
      </c>
      <c r="U125" s="8">
        <v>73</v>
      </c>
      <c r="V125" s="7">
        <v>0.46181897480982365</v>
      </c>
      <c r="W125" s="7">
        <v>8.6350561884418128E-2</v>
      </c>
      <c r="X125" s="8">
        <v>0</v>
      </c>
      <c r="Y125" s="8">
        <v>1</v>
      </c>
      <c r="Z125" s="8">
        <v>70</v>
      </c>
      <c r="AA125" s="7">
        <v>0.80925310000793194</v>
      </c>
      <c r="AB125" s="7">
        <v>2.96741507605978E-2</v>
      </c>
      <c r="AC125" s="8">
        <v>0</v>
      </c>
      <c r="AD125" s="8">
        <v>1</v>
      </c>
      <c r="AE125" s="8">
        <v>289</v>
      </c>
      <c r="AF125">
        <f>(AA126/AA124)-AA125</f>
        <v>-0.12035993295321157</v>
      </c>
    </row>
    <row r="126" spans="1:32" ht="26.25" customHeight="1" x14ac:dyDescent="0.45">
      <c r="A126" s="6" t="s">
        <v>70</v>
      </c>
      <c r="B126" s="7">
        <v>0.12331638335490414</v>
      </c>
      <c r="C126" s="7">
        <v>6.9567979541751229E-2</v>
      </c>
      <c r="D126" s="8">
        <v>0</v>
      </c>
      <c r="E126" s="8">
        <v>1</v>
      </c>
      <c r="F126" s="8">
        <v>30</v>
      </c>
      <c r="G126" s="7">
        <v>0.10297856442706955</v>
      </c>
      <c r="H126" s="7">
        <v>4.1704005542349036E-2</v>
      </c>
      <c r="I126" s="8">
        <v>0</v>
      </c>
      <c r="J126" s="8">
        <v>1</v>
      </c>
      <c r="K126" s="8">
        <v>61</v>
      </c>
      <c r="L126" s="7">
        <v>0.25799136010241264</v>
      </c>
      <c r="M126" s="7">
        <v>7.0826907147925916E-2</v>
      </c>
      <c r="N126" s="8">
        <v>0</v>
      </c>
      <c r="O126" s="8">
        <v>1</v>
      </c>
      <c r="P126" s="8">
        <v>55</v>
      </c>
      <c r="Q126" s="7">
        <v>0.53506656718065038</v>
      </c>
      <c r="R126" s="7">
        <v>8.0860522625959649E-2</v>
      </c>
      <c r="S126" s="8">
        <v>0</v>
      </c>
      <c r="T126" s="8">
        <v>1</v>
      </c>
      <c r="U126" s="8">
        <v>73</v>
      </c>
      <c r="V126" s="7">
        <v>0.24901484765810467</v>
      </c>
      <c r="W126" s="7">
        <v>7.026952407926948E-2</v>
      </c>
      <c r="X126" s="8">
        <v>0</v>
      </c>
      <c r="Y126" s="8">
        <v>1</v>
      </c>
      <c r="Z126" s="8">
        <v>70</v>
      </c>
      <c r="AA126" s="7">
        <v>0.25470733172758375</v>
      </c>
      <c r="AB126" s="7">
        <v>3.6048271309245684E-2</v>
      </c>
      <c r="AC126" s="8">
        <v>0</v>
      </c>
      <c r="AD126" s="8">
        <v>1</v>
      </c>
      <c r="AE126" s="8">
        <v>289</v>
      </c>
    </row>
    <row r="127" spans="1:32" ht="14.25" customHeight="1" x14ac:dyDescent="0.45">
      <c r="A127" s="6" t="s">
        <v>28</v>
      </c>
      <c r="B127" s="7">
        <v>0.29580870245528007</v>
      </c>
      <c r="C127" s="7">
        <v>0.11556730122910758</v>
      </c>
      <c r="D127" s="8">
        <v>0</v>
      </c>
      <c r="E127" s="8">
        <v>1</v>
      </c>
      <c r="F127" s="8">
        <v>30</v>
      </c>
      <c r="G127" s="7">
        <v>0.20395713984058791</v>
      </c>
      <c r="H127" s="7">
        <v>5.6648529290665377E-2</v>
      </c>
      <c r="I127" s="8">
        <v>0</v>
      </c>
      <c r="J127" s="8">
        <v>1</v>
      </c>
      <c r="K127" s="8">
        <v>61</v>
      </c>
      <c r="L127" s="7">
        <v>0.35840076841974933</v>
      </c>
      <c r="M127" s="7">
        <v>7.4712483039302405E-2</v>
      </c>
      <c r="N127" s="8">
        <v>0</v>
      </c>
      <c r="O127" s="8">
        <v>1</v>
      </c>
      <c r="P127" s="8">
        <v>55</v>
      </c>
      <c r="Q127" s="7">
        <v>0.67434863072132323</v>
      </c>
      <c r="R127" s="7">
        <v>7.7195876807747033E-2</v>
      </c>
      <c r="S127" s="8">
        <v>0</v>
      </c>
      <c r="T127" s="8">
        <v>1</v>
      </c>
      <c r="U127" s="8">
        <v>73</v>
      </c>
      <c r="V127" s="7">
        <v>0.39285830509250746</v>
      </c>
      <c r="W127" s="7">
        <v>8.1726549717313982E-2</v>
      </c>
      <c r="X127" s="8">
        <v>0</v>
      </c>
      <c r="Y127" s="8">
        <v>1</v>
      </c>
      <c r="Z127" s="8">
        <v>70</v>
      </c>
      <c r="AA127" s="7">
        <v>0.36973415314388186</v>
      </c>
      <c r="AB127" s="7">
        <v>3.9118517324785274E-2</v>
      </c>
      <c r="AC127" s="8">
        <v>0</v>
      </c>
      <c r="AD127" s="8">
        <v>1</v>
      </c>
      <c r="AE127" s="8">
        <v>289</v>
      </c>
      <c r="AF127">
        <f>(AA129/AA128)-AA127</f>
        <v>1.520611748407924E-2</v>
      </c>
    </row>
    <row r="128" spans="1:32" ht="14.25" customHeight="1" x14ac:dyDescent="0.45">
      <c r="A128" s="6" t="s">
        <v>40</v>
      </c>
      <c r="B128" s="7">
        <v>0.29691007821421939</v>
      </c>
      <c r="C128" s="7">
        <v>9.0434299454504388E-2</v>
      </c>
      <c r="D128" s="8">
        <v>0</v>
      </c>
      <c r="E128" s="8">
        <v>1</v>
      </c>
      <c r="F128" s="8">
        <v>30</v>
      </c>
      <c r="G128" s="7">
        <v>0.47852637519700286</v>
      </c>
      <c r="H128" s="7">
        <v>7.0841094266787655E-2</v>
      </c>
      <c r="I128" s="8">
        <v>0</v>
      </c>
      <c r="J128" s="8">
        <v>1</v>
      </c>
      <c r="K128" s="8">
        <v>61</v>
      </c>
      <c r="L128" s="7">
        <v>0.65648588818467313</v>
      </c>
      <c r="M128" s="7">
        <v>7.0002600340418331E-2</v>
      </c>
      <c r="N128" s="8">
        <v>0</v>
      </c>
      <c r="O128" s="8">
        <v>1</v>
      </c>
      <c r="P128" s="8">
        <v>55</v>
      </c>
      <c r="Q128" s="7">
        <v>0.79588055624962939</v>
      </c>
      <c r="R128" s="7">
        <v>5.0588570102129408E-2</v>
      </c>
      <c r="S128" s="8">
        <v>0</v>
      </c>
      <c r="T128" s="8">
        <v>1</v>
      </c>
      <c r="U128" s="8">
        <v>73</v>
      </c>
      <c r="V128" s="7">
        <v>0.30585942795052035</v>
      </c>
      <c r="W128" s="7">
        <v>7.9216084987864505E-2</v>
      </c>
      <c r="X128" s="8">
        <v>0</v>
      </c>
      <c r="Y128" s="8">
        <v>1</v>
      </c>
      <c r="Z128" s="8">
        <v>70</v>
      </c>
      <c r="AA128" s="7">
        <v>0.58607907057708142</v>
      </c>
      <c r="AB128" s="7">
        <v>3.8942949569521081E-2</v>
      </c>
      <c r="AC128" s="8">
        <v>0</v>
      </c>
      <c r="AD128" s="8">
        <v>1</v>
      </c>
      <c r="AE128" s="8">
        <v>289</v>
      </c>
      <c r="AF128">
        <f>(AA129/AA127)-AA128</f>
        <v>2.4103770577794004E-2</v>
      </c>
    </row>
    <row r="129" spans="1:32" ht="26.25" customHeight="1" x14ac:dyDescent="0.45">
      <c r="A129" s="6" t="s">
        <v>71</v>
      </c>
      <c r="B129" s="7">
        <v>4.6660686855633994E-2</v>
      </c>
      <c r="C129" s="7">
        <v>3.3947575891345672E-2</v>
      </c>
      <c r="D129" s="8">
        <v>0</v>
      </c>
      <c r="E129" s="8">
        <v>1</v>
      </c>
      <c r="F129" s="8">
        <v>30</v>
      </c>
      <c r="G129" s="7">
        <v>7.5645499754631695E-2</v>
      </c>
      <c r="H129" s="7">
        <v>3.5252190786670169E-2</v>
      </c>
      <c r="I129" s="8">
        <v>0</v>
      </c>
      <c r="J129" s="8">
        <v>1</v>
      </c>
      <c r="K129" s="8">
        <v>61</v>
      </c>
      <c r="L129" s="7">
        <v>0.22228896623003519</v>
      </c>
      <c r="M129" s="7">
        <v>6.9467250206647554E-2</v>
      </c>
      <c r="N129" s="8">
        <v>0</v>
      </c>
      <c r="O129" s="8">
        <v>1</v>
      </c>
      <c r="P129" s="8">
        <v>55</v>
      </c>
      <c r="Q129" s="7">
        <v>0.54396248166970995</v>
      </c>
      <c r="R129" s="7">
        <v>7.9920944958845497E-2</v>
      </c>
      <c r="S129" s="8">
        <v>0</v>
      </c>
      <c r="T129" s="8">
        <v>1</v>
      </c>
      <c r="U129" s="8">
        <v>73</v>
      </c>
      <c r="V129" s="7">
        <v>0.18579332932968354</v>
      </c>
      <c r="W129" s="7">
        <v>6.8220476995793367E-2</v>
      </c>
      <c r="X129" s="8">
        <v>0</v>
      </c>
      <c r="Y129" s="8">
        <v>1</v>
      </c>
      <c r="Z129" s="8">
        <v>70</v>
      </c>
      <c r="AA129" s="7">
        <v>0.22560543603732564</v>
      </c>
      <c r="AB129" s="7">
        <v>3.5526272398984336E-2</v>
      </c>
      <c r="AC129" s="8">
        <v>0</v>
      </c>
      <c r="AD129" s="8">
        <v>1</v>
      </c>
      <c r="AE129" s="8">
        <v>289</v>
      </c>
    </row>
    <row r="130" spans="1:32" ht="14.25" customHeight="1" x14ac:dyDescent="0.45">
      <c r="A130" s="6" t="s">
        <v>28</v>
      </c>
      <c r="B130" s="7">
        <v>0.29580870245528007</v>
      </c>
      <c r="C130" s="7">
        <v>0.11556730122910758</v>
      </c>
      <c r="D130" s="8">
        <v>0</v>
      </c>
      <c r="E130" s="8">
        <v>1</v>
      </c>
      <c r="F130" s="8">
        <v>30</v>
      </c>
      <c r="G130" s="7">
        <v>0.20395713984058791</v>
      </c>
      <c r="H130" s="7">
        <v>5.6648529290665377E-2</v>
      </c>
      <c r="I130" s="8">
        <v>0</v>
      </c>
      <c r="J130" s="8">
        <v>1</v>
      </c>
      <c r="K130" s="8">
        <v>61</v>
      </c>
      <c r="L130" s="7">
        <v>0.35840076841974933</v>
      </c>
      <c r="M130" s="7">
        <v>7.4712483039302405E-2</v>
      </c>
      <c r="N130" s="8">
        <v>0</v>
      </c>
      <c r="O130" s="8">
        <v>1</v>
      </c>
      <c r="P130" s="8">
        <v>55</v>
      </c>
      <c r="Q130" s="7">
        <v>0.67434863072132323</v>
      </c>
      <c r="R130" s="7">
        <v>7.7195876807747033E-2</v>
      </c>
      <c r="S130" s="8">
        <v>0</v>
      </c>
      <c r="T130" s="8">
        <v>1</v>
      </c>
      <c r="U130" s="8">
        <v>73</v>
      </c>
      <c r="V130" s="7">
        <v>0.39285830509250746</v>
      </c>
      <c r="W130" s="7">
        <v>8.1726549717313982E-2</v>
      </c>
      <c r="X130" s="8">
        <v>0</v>
      </c>
      <c r="Y130" s="8">
        <v>1</v>
      </c>
      <c r="Z130" s="8">
        <v>70</v>
      </c>
      <c r="AA130" s="7">
        <v>0.36973415314388186</v>
      </c>
      <c r="AB130" s="7">
        <v>3.9118517324785274E-2</v>
      </c>
      <c r="AC130" s="8">
        <v>0</v>
      </c>
      <c r="AD130" s="8">
        <v>1</v>
      </c>
      <c r="AE130" s="8">
        <v>289</v>
      </c>
      <c r="AF130">
        <f>(AA132/AA131)-AA130</f>
        <v>-4.3262473252829725E-3</v>
      </c>
    </row>
    <row r="131" spans="1:32" ht="14.25" customHeight="1" x14ac:dyDescent="0.45">
      <c r="A131" s="6" t="s">
        <v>42</v>
      </c>
      <c r="B131" s="7">
        <v>0.88373917384473755</v>
      </c>
      <c r="C131" s="7">
        <v>6.5637894232017879E-2</v>
      </c>
      <c r="D131" s="8">
        <v>0</v>
      </c>
      <c r="E131" s="8">
        <v>1</v>
      </c>
      <c r="F131" s="8">
        <v>30</v>
      </c>
      <c r="G131" s="7">
        <v>0.96708867666829124</v>
      </c>
      <c r="H131" s="7">
        <v>2.3335390502298822E-2</v>
      </c>
      <c r="I131" s="8">
        <v>0</v>
      </c>
      <c r="J131" s="8">
        <v>1</v>
      </c>
      <c r="K131" s="8">
        <v>61</v>
      </c>
      <c r="L131" s="7">
        <v>0.92438050124212068</v>
      </c>
      <c r="M131" s="7">
        <v>3.4796389331134367E-2</v>
      </c>
      <c r="N131" s="8">
        <v>0</v>
      </c>
      <c r="O131" s="8">
        <v>1</v>
      </c>
      <c r="P131" s="8">
        <v>55</v>
      </c>
      <c r="Q131" s="7">
        <v>0.91163408858832118</v>
      </c>
      <c r="R131" s="7">
        <v>4.1385817286864961E-2</v>
      </c>
      <c r="S131" s="8">
        <v>0</v>
      </c>
      <c r="T131" s="8">
        <v>1</v>
      </c>
      <c r="U131" s="8">
        <v>73</v>
      </c>
      <c r="V131" s="7">
        <v>0.79321873455244019</v>
      </c>
      <c r="W131" s="7">
        <v>6.5826991842619254E-2</v>
      </c>
      <c r="X131" s="8">
        <v>0</v>
      </c>
      <c r="Y131" s="8">
        <v>1</v>
      </c>
      <c r="Z131" s="8">
        <v>70</v>
      </c>
      <c r="AA131" s="7">
        <v>0.92434876147780487</v>
      </c>
      <c r="AB131" s="7">
        <v>1.809715288505577E-2</v>
      </c>
      <c r="AC131" s="8">
        <v>0</v>
      </c>
      <c r="AD131" s="8">
        <v>1</v>
      </c>
      <c r="AE131" s="8">
        <v>289</v>
      </c>
      <c r="AF131">
        <f>(AA132/AA130)-AA131</f>
        <v>-1.0815774855983507E-2</v>
      </c>
    </row>
    <row r="132" spans="1:32" ht="14.25" customHeight="1" x14ac:dyDescent="0.45">
      <c r="A132" s="6" t="s">
        <v>72</v>
      </c>
      <c r="B132" s="7">
        <v>0.29580870245528007</v>
      </c>
      <c r="C132" s="7">
        <v>0.11556730122910758</v>
      </c>
      <c r="D132" s="8">
        <v>0</v>
      </c>
      <c r="E132" s="8">
        <v>1</v>
      </c>
      <c r="F132" s="8">
        <v>30</v>
      </c>
      <c r="G132" s="7">
        <v>0.17104581650887909</v>
      </c>
      <c r="H132" s="7">
        <v>5.3435223811779356E-2</v>
      </c>
      <c r="I132" s="8">
        <v>0</v>
      </c>
      <c r="J132" s="8">
        <v>1</v>
      </c>
      <c r="K132" s="8">
        <v>61</v>
      </c>
      <c r="L132" s="7">
        <v>0.32510007622656362</v>
      </c>
      <c r="M132" s="7">
        <v>7.3566155602260791E-2</v>
      </c>
      <c r="N132" s="8">
        <v>0</v>
      </c>
      <c r="O132" s="8">
        <v>1</v>
      </c>
      <c r="P132" s="8">
        <v>55</v>
      </c>
      <c r="Q132" s="7">
        <v>0.6389248263962487</v>
      </c>
      <c r="R132" s="7">
        <v>7.7878443536985559E-2</v>
      </c>
      <c r="S132" s="8">
        <v>0</v>
      </c>
      <c r="T132" s="8">
        <v>1</v>
      </c>
      <c r="U132" s="8">
        <v>73</v>
      </c>
      <c r="V132" s="7">
        <v>0.35082658918481452</v>
      </c>
      <c r="W132" s="7">
        <v>7.9115989404580742E-2</v>
      </c>
      <c r="X132" s="8">
        <v>0</v>
      </c>
      <c r="Y132" s="8">
        <v>1</v>
      </c>
      <c r="Z132" s="8">
        <v>70</v>
      </c>
      <c r="AA132" s="7">
        <v>0.33776434517762027</v>
      </c>
      <c r="AB132" s="7">
        <v>3.8521061749511719E-2</v>
      </c>
      <c r="AC132" s="8">
        <v>0</v>
      </c>
      <c r="AD132" s="8">
        <v>1</v>
      </c>
      <c r="AE132" s="8">
        <v>289</v>
      </c>
    </row>
    <row r="133" spans="1:32" ht="14.25" customHeight="1" x14ac:dyDescent="0.45">
      <c r="A133" s="6" t="s">
        <v>28</v>
      </c>
      <c r="B133" s="7">
        <v>0.29580870245528007</v>
      </c>
      <c r="C133" s="7">
        <v>0.11556730122910758</v>
      </c>
      <c r="D133" s="8">
        <v>0</v>
      </c>
      <c r="E133" s="8">
        <v>1</v>
      </c>
      <c r="F133" s="8">
        <v>30</v>
      </c>
      <c r="G133" s="7">
        <v>0.20395713984058791</v>
      </c>
      <c r="H133" s="7">
        <v>5.6648529290665377E-2</v>
      </c>
      <c r="I133" s="8">
        <v>0</v>
      </c>
      <c r="J133" s="8">
        <v>1</v>
      </c>
      <c r="K133" s="8">
        <v>61</v>
      </c>
      <c r="L133" s="7">
        <v>0.35840076841974933</v>
      </c>
      <c r="M133" s="7">
        <v>7.4712483039302405E-2</v>
      </c>
      <c r="N133" s="8">
        <v>0</v>
      </c>
      <c r="O133" s="8">
        <v>1</v>
      </c>
      <c r="P133" s="8">
        <v>55</v>
      </c>
      <c r="Q133" s="7">
        <v>0.67434863072132323</v>
      </c>
      <c r="R133" s="7">
        <v>7.7195876807747033E-2</v>
      </c>
      <c r="S133" s="8">
        <v>0</v>
      </c>
      <c r="T133" s="8">
        <v>1</v>
      </c>
      <c r="U133" s="8">
        <v>73</v>
      </c>
      <c r="V133" s="7">
        <v>0.39285830509250746</v>
      </c>
      <c r="W133" s="7">
        <v>8.1726549717313982E-2</v>
      </c>
      <c r="X133" s="8">
        <v>0</v>
      </c>
      <c r="Y133" s="8">
        <v>1</v>
      </c>
      <c r="Z133" s="8">
        <v>70</v>
      </c>
      <c r="AA133" s="7">
        <v>0.36973415314388186</v>
      </c>
      <c r="AB133" s="7">
        <v>3.9118517324785274E-2</v>
      </c>
      <c r="AC133" s="8">
        <v>0</v>
      </c>
      <c r="AD133" s="8">
        <v>1</v>
      </c>
      <c r="AE133" s="8">
        <v>289</v>
      </c>
      <c r="AF133">
        <f>(AA135/AA134)-AA133</f>
        <v>0.19833971410431278</v>
      </c>
    </row>
    <row r="134" spans="1:32" ht="14.25" customHeight="1" x14ac:dyDescent="0.45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30</v>
      </c>
      <c r="G134" s="7">
        <v>4.3984681938985942E-2</v>
      </c>
      <c r="H134" s="7">
        <v>2.2428515599090256E-2</v>
      </c>
      <c r="I134" s="8">
        <v>0</v>
      </c>
      <c r="J134" s="8">
        <v>1</v>
      </c>
      <c r="K134" s="8">
        <v>61</v>
      </c>
      <c r="L134" s="7">
        <v>4.6686566157947883E-2</v>
      </c>
      <c r="M134" s="7">
        <v>2.9932730284583084E-2</v>
      </c>
      <c r="N134" s="8">
        <v>0</v>
      </c>
      <c r="O134" s="8">
        <v>1</v>
      </c>
      <c r="P134" s="8">
        <v>55</v>
      </c>
      <c r="Q134" s="7">
        <v>4.5823463093928804E-2</v>
      </c>
      <c r="R134" s="7">
        <v>2.1566040924099809E-2</v>
      </c>
      <c r="S134" s="8">
        <v>0</v>
      </c>
      <c r="T134" s="8">
        <v>1</v>
      </c>
      <c r="U134" s="8">
        <v>73</v>
      </c>
      <c r="V134" s="7">
        <v>6.8897826628121606E-2</v>
      </c>
      <c r="W134" s="7">
        <v>4.7551151202023072E-2</v>
      </c>
      <c r="X134" s="8">
        <v>0</v>
      </c>
      <c r="Y134" s="8">
        <v>1</v>
      </c>
      <c r="Z134" s="8">
        <v>70</v>
      </c>
      <c r="AA134" s="7">
        <v>4.4048985501015846E-2</v>
      </c>
      <c r="AB134" s="7">
        <v>1.4289951777276724E-2</v>
      </c>
      <c r="AC134" s="8">
        <v>0</v>
      </c>
      <c r="AD134" s="8">
        <v>1</v>
      </c>
      <c r="AE134" s="8">
        <v>289</v>
      </c>
      <c r="AF134">
        <f>(AA135/AA133)-AA134</f>
        <v>2.3629581191155567E-2</v>
      </c>
    </row>
    <row r="135" spans="1:32" ht="14.25" customHeight="1" x14ac:dyDescent="0.45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30</v>
      </c>
      <c r="G135" s="7">
        <v>0</v>
      </c>
      <c r="H135" s="7">
        <v>0</v>
      </c>
      <c r="I135" s="8">
        <v>0</v>
      </c>
      <c r="J135" s="8">
        <v>0</v>
      </c>
      <c r="K135" s="8">
        <v>61</v>
      </c>
      <c r="L135" s="7">
        <v>3.4067653882046939E-2</v>
      </c>
      <c r="M135" s="7">
        <v>2.7280262731780348E-2</v>
      </c>
      <c r="N135" s="8">
        <v>0</v>
      </c>
      <c r="O135" s="8">
        <v>1</v>
      </c>
      <c r="P135" s="8">
        <v>55</v>
      </c>
      <c r="Q135" s="7">
        <v>4.0466615217437968E-2</v>
      </c>
      <c r="R135" s="7">
        <v>2.0761280070779767E-2</v>
      </c>
      <c r="S135" s="8">
        <v>0</v>
      </c>
      <c r="T135" s="8">
        <v>1</v>
      </c>
      <c r="U135" s="8">
        <v>73</v>
      </c>
      <c r="V135" s="7">
        <v>6.8897826628121606E-2</v>
      </c>
      <c r="W135" s="7">
        <v>4.7551151202023072E-2</v>
      </c>
      <c r="X135" s="8">
        <v>0</v>
      </c>
      <c r="Y135" s="8">
        <v>1</v>
      </c>
      <c r="Z135" s="8">
        <v>70</v>
      </c>
      <c r="AA135" s="7">
        <v>2.5023077541921727E-2</v>
      </c>
      <c r="AB135" s="7">
        <v>1.1709022090460311E-2</v>
      </c>
      <c r="AC135" s="8">
        <v>0</v>
      </c>
      <c r="AD135" s="8">
        <v>1</v>
      </c>
      <c r="AE135" s="8">
        <v>289</v>
      </c>
    </row>
    <row r="136" spans="1:32" ht="14.25" customHeight="1" x14ac:dyDescent="0.45">
      <c r="A136" s="6" t="s">
        <v>28</v>
      </c>
      <c r="B136" s="7">
        <v>0.29580870245528007</v>
      </c>
      <c r="C136" s="7">
        <v>0.11556730122910758</v>
      </c>
      <c r="D136" s="8">
        <v>0</v>
      </c>
      <c r="E136" s="8">
        <v>1</v>
      </c>
      <c r="F136" s="8">
        <v>30</v>
      </c>
      <c r="G136" s="7">
        <v>0.20395713984058791</v>
      </c>
      <c r="H136" s="7">
        <v>5.6648529290665377E-2</v>
      </c>
      <c r="I136" s="8">
        <v>0</v>
      </c>
      <c r="J136" s="8">
        <v>1</v>
      </c>
      <c r="K136" s="8">
        <v>61</v>
      </c>
      <c r="L136" s="7">
        <v>0.35840076841974933</v>
      </c>
      <c r="M136" s="7">
        <v>7.4712483039302405E-2</v>
      </c>
      <c r="N136" s="8">
        <v>0</v>
      </c>
      <c r="O136" s="8">
        <v>1</v>
      </c>
      <c r="P136" s="8">
        <v>55</v>
      </c>
      <c r="Q136" s="7">
        <v>0.67434863072132323</v>
      </c>
      <c r="R136" s="7">
        <v>7.7195876807747033E-2</v>
      </c>
      <c r="S136" s="8">
        <v>0</v>
      </c>
      <c r="T136" s="8">
        <v>1</v>
      </c>
      <c r="U136" s="8">
        <v>73</v>
      </c>
      <c r="V136" s="7">
        <v>0.39285830509250746</v>
      </c>
      <c r="W136" s="7">
        <v>8.1726549717313982E-2</v>
      </c>
      <c r="X136" s="8">
        <v>0</v>
      </c>
      <c r="Y136" s="8">
        <v>1</v>
      </c>
      <c r="Z136" s="8">
        <v>70</v>
      </c>
      <c r="AA136" s="7">
        <v>0.36973415314388186</v>
      </c>
      <c r="AB136" s="7">
        <v>3.9118517324785274E-2</v>
      </c>
      <c r="AC136" s="8">
        <v>0</v>
      </c>
      <c r="AD136" s="8">
        <v>1</v>
      </c>
      <c r="AE136" s="8">
        <v>289</v>
      </c>
      <c r="AF136">
        <f>(AA138/AA137)-AA136</f>
        <v>-2.4834011500423747E-2</v>
      </c>
    </row>
    <row r="137" spans="1:32" ht="39.5" customHeight="1" x14ac:dyDescent="0.45">
      <c r="A137" s="6" t="s">
        <v>16</v>
      </c>
      <c r="B137" s="7">
        <v>0.79917381529480058</v>
      </c>
      <c r="C137" s="7">
        <v>0.11102593038685447</v>
      </c>
      <c r="D137" s="8">
        <v>0</v>
      </c>
      <c r="E137" s="8">
        <v>1</v>
      </c>
      <c r="F137" s="8">
        <v>30</v>
      </c>
      <c r="G137" s="7">
        <v>0.85913609305126304</v>
      </c>
      <c r="H137" s="7">
        <v>5.1613569311876474E-2</v>
      </c>
      <c r="I137" s="8">
        <v>0</v>
      </c>
      <c r="J137" s="8">
        <v>1</v>
      </c>
      <c r="K137" s="8">
        <v>61</v>
      </c>
      <c r="L137" s="7">
        <v>0.93660731788820284</v>
      </c>
      <c r="M137" s="7">
        <v>3.2725921734506148E-2</v>
      </c>
      <c r="N137" s="8">
        <v>0</v>
      </c>
      <c r="O137" s="8">
        <v>1</v>
      </c>
      <c r="P137" s="8">
        <v>55</v>
      </c>
      <c r="Q137" s="7">
        <v>0.978991251172878</v>
      </c>
      <c r="R137" s="7">
        <v>1.3211470829487152E-2</v>
      </c>
      <c r="S137" s="8">
        <v>0</v>
      </c>
      <c r="T137" s="8">
        <v>1</v>
      </c>
      <c r="U137" s="8">
        <v>73</v>
      </c>
      <c r="V137" s="7">
        <v>0.55776647549126268</v>
      </c>
      <c r="W137" s="7">
        <v>8.737343103490372E-2</v>
      </c>
      <c r="X137" s="8">
        <v>0</v>
      </c>
      <c r="Y137" s="8">
        <v>1</v>
      </c>
      <c r="Z137" s="8">
        <v>70</v>
      </c>
      <c r="AA137" s="7">
        <v>0.890410959859264</v>
      </c>
      <c r="AB137" s="7">
        <v>2.2895391539009022E-2</v>
      </c>
      <c r="AC137" s="8">
        <v>0</v>
      </c>
      <c r="AD137" s="8">
        <v>1</v>
      </c>
      <c r="AE137" s="8">
        <v>289</v>
      </c>
      <c r="AF137">
        <f>(AA138/AA136)-AA137</f>
        <v>-5.9806419907990627E-2</v>
      </c>
    </row>
    <row r="138" spans="1:32" ht="14.25" customHeight="1" x14ac:dyDescent="0.45">
      <c r="A138" s="6" t="s">
        <v>74</v>
      </c>
      <c r="B138" s="7">
        <v>0.12331638335490414</v>
      </c>
      <c r="C138" s="7">
        <v>6.9567979541751229E-2</v>
      </c>
      <c r="D138" s="8">
        <v>0</v>
      </c>
      <c r="E138" s="8">
        <v>1</v>
      </c>
      <c r="F138" s="8">
        <v>30</v>
      </c>
      <c r="G138" s="7">
        <v>0.1450257605022571</v>
      </c>
      <c r="H138" s="7">
        <v>4.7353218305592693E-2</v>
      </c>
      <c r="I138" s="8">
        <v>0</v>
      </c>
      <c r="J138" s="8">
        <v>1</v>
      </c>
      <c r="K138" s="8">
        <v>61</v>
      </c>
      <c r="L138" s="7">
        <v>0.29500808630795217</v>
      </c>
      <c r="M138" s="7">
        <v>7.2668463085267726E-2</v>
      </c>
      <c r="N138" s="8">
        <v>0</v>
      </c>
      <c r="O138" s="8">
        <v>1</v>
      </c>
      <c r="P138" s="8">
        <v>55</v>
      </c>
      <c r="Q138" s="7">
        <v>0.65333988189420122</v>
      </c>
      <c r="R138" s="7">
        <v>7.7465446104964877E-2</v>
      </c>
      <c r="S138" s="8">
        <v>0</v>
      </c>
      <c r="T138" s="8">
        <v>1</v>
      </c>
      <c r="U138" s="8">
        <v>73</v>
      </c>
      <c r="V138" s="7">
        <v>0.30348716365390882</v>
      </c>
      <c r="W138" s="7">
        <v>7.6373267730488692E-2</v>
      </c>
      <c r="X138" s="8">
        <v>0</v>
      </c>
      <c r="Y138" s="8">
        <v>1</v>
      </c>
      <c r="Z138" s="8">
        <v>70</v>
      </c>
      <c r="AA138" s="7">
        <v>0.30710286617634763</v>
      </c>
      <c r="AB138" s="7">
        <v>3.757912181094706E-2</v>
      </c>
      <c r="AC138" s="8">
        <v>0</v>
      </c>
      <c r="AD138" s="8">
        <v>1</v>
      </c>
      <c r="AE138" s="8">
        <v>289</v>
      </c>
    </row>
    <row r="139" spans="1:32" ht="14.25" customHeight="1" x14ac:dyDescent="0.45">
      <c r="A139" s="6" t="s">
        <v>28</v>
      </c>
      <c r="B139" s="7">
        <v>0.29580870245528007</v>
      </c>
      <c r="C139" s="7">
        <v>0.11556730122910758</v>
      </c>
      <c r="D139" s="8">
        <v>0</v>
      </c>
      <c r="E139" s="8">
        <v>1</v>
      </c>
      <c r="F139" s="8">
        <v>30</v>
      </c>
      <c r="G139" s="7">
        <v>0.20395713984058791</v>
      </c>
      <c r="H139" s="7">
        <v>5.6648529290665377E-2</v>
      </c>
      <c r="I139" s="8">
        <v>0</v>
      </c>
      <c r="J139" s="8">
        <v>1</v>
      </c>
      <c r="K139" s="8">
        <v>61</v>
      </c>
      <c r="L139" s="7">
        <v>0.35840076841974933</v>
      </c>
      <c r="M139" s="7">
        <v>7.4712483039302405E-2</v>
      </c>
      <c r="N139" s="8">
        <v>0</v>
      </c>
      <c r="O139" s="8">
        <v>1</v>
      </c>
      <c r="P139" s="8">
        <v>55</v>
      </c>
      <c r="Q139" s="7">
        <v>0.67434863072132323</v>
      </c>
      <c r="R139" s="7">
        <v>7.7195876807747033E-2</v>
      </c>
      <c r="S139" s="8">
        <v>0</v>
      </c>
      <c r="T139" s="8">
        <v>1</v>
      </c>
      <c r="U139" s="8">
        <v>73</v>
      </c>
      <c r="V139" s="7">
        <v>0.39285830509250746</v>
      </c>
      <c r="W139" s="7">
        <v>8.1726549717313982E-2</v>
      </c>
      <c r="X139" s="8">
        <v>0</v>
      </c>
      <c r="Y139" s="8">
        <v>1</v>
      </c>
      <c r="Z139" s="8">
        <v>70</v>
      </c>
      <c r="AA139" s="7">
        <v>0.36973415314388186</v>
      </c>
      <c r="AB139" s="7">
        <v>3.9118517324785274E-2</v>
      </c>
      <c r="AC139" s="8">
        <v>0</v>
      </c>
      <c r="AD139" s="8">
        <v>1</v>
      </c>
      <c r="AE139" s="8">
        <v>289</v>
      </c>
      <c r="AF139">
        <f>(AA141/AA140)-AA139</f>
        <v>-7.8331707267351725E-3</v>
      </c>
    </row>
    <row r="140" spans="1:32" ht="39.5" customHeight="1" x14ac:dyDescent="0.45">
      <c r="A140" s="6" t="s">
        <v>18</v>
      </c>
      <c r="B140" s="7">
        <v>1</v>
      </c>
      <c r="C140" s="7">
        <v>0</v>
      </c>
      <c r="D140" s="8">
        <v>1</v>
      </c>
      <c r="E140" s="8">
        <v>1</v>
      </c>
      <c r="F140" s="8">
        <v>30</v>
      </c>
      <c r="G140" s="7">
        <v>1</v>
      </c>
      <c r="H140" s="7">
        <v>0</v>
      </c>
      <c r="I140" s="8">
        <v>1</v>
      </c>
      <c r="J140" s="8">
        <v>1</v>
      </c>
      <c r="K140" s="8">
        <v>61</v>
      </c>
      <c r="L140" s="7">
        <v>0.96669930780681435</v>
      </c>
      <c r="M140" s="7">
        <v>2.5228335970719683E-2</v>
      </c>
      <c r="N140" s="8">
        <v>0</v>
      </c>
      <c r="O140" s="8">
        <v>1</v>
      </c>
      <c r="P140" s="8">
        <v>55</v>
      </c>
      <c r="Q140" s="7">
        <v>0.98411438133172946</v>
      </c>
      <c r="R140" s="7">
        <v>1.5948863624994217E-2</v>
      </c>
      <c r="S140" s="8">
        <v>0</v>
      </c>
      <c r="T140" s="8">
        <v>1</v>
      </c>
      <c r="U140" s="8">
        <v>73</v>
      </c>
      <c r="V140" s="7">
        <v>0.88206256317830467</v>
      </c>
      <c r="W140" s="7">
        <v>5.2357828055255899E-2</v>
      </c>
      <c r="X140" s="8">
        <v>0</v>
      </c>
      <c r="Y140" s="8">
        <v>1</v>
      </c>
      <c r="Z140" s="8">
        <v>70</v>
      </c>
      <c r="AA140" s="7">
        <v>0.97699062412897175</v>
      </c>
      <c r="AB140" s="7">
        <v>1.0802779004579677E-2</v>
      </c>
      <c r="AC140" s="8">
        <v>0</v>
      </c>
      <c r="AD140" s="8">
        <v>1</v>
      </c>
      <c r="AE140" s="8">
        <v>289</v>
      </c>
      <c r="AF140">
        <f>(AA141/AA139)-AA140</f>
        <v>-2.0698478331385495E-2</v>
      </c>
    </row>
    <row r="141" spans="1:32" ht="14.25" customHeight="1" x14ac:dyDescent="0.45">
      <c r="A141" s="6" t="s">
        <v>75</v>
      </c>
      <c r="B141" s="7">
        <v>0.29580870245528007</v>
      </c>
      <c r="C141" s="7">
        <v>0.11556730122910758</v>
      </c>
      <c r="D141" s="8">
        <v>0</v>
      </c>
      <c r="E141" s="8">
        <v>1</v>
      </c>
      <c r="F141" s="8">
        <v>30</v>
      </c>
      <c r="G141" s="7">
        <v>0.20395713984058791</v>
      </c>
      <c r="H141" s="7">
        <v>5.6648529290665377E-2</v>
      </c>
      <c r="I141" s="8">
        <v>0</v>
      </c>
      <c r="J141" s="8">
        <v>1</v>
      </c>
      <c r="K141" s="8">
        <v>61</v>
      </c>
      <c r="L141" s="7">
        <v>0.32510007622656362</v>
      </c>
      <c r="M141" s="7">
        <v>7.3566155602260791E-2</v>
      </c>
      <c r="N141" s="8">
        <v>0</v>
      </c>
      <c r="O141" s="8">
        <v>1</v>
      </c>
      <c r="P141" s="8">
        <v>55</v>
      </c>
      <c r="Q141" s="7">
        <v>0.65846301205305269</v>
      </c>
      <c r="R141" s="7">
        <v>7.7654589653134237E-2</v>
      </c>
      <c r="S141" s="8">
        <v>0</v>
      </c>
      <c r="T141" s="8">
        <v>1</v>
      </c>
      <c r="U141" s="8">
        <v>73</v>
      </c>
      <c r="V141" s="7">
        <v>0.39106761933859724</v>
      </c>
      <c r="W141" s="7">
        <v>8.1668135662348304E-2</v>
      </c>
      <c r="X141" s="8">
        <v>0</v>
      </c>
      <c r="Y141" s="8">
        <v>1</v>
      </c>
      <c r="Z141" s="8">
        <v>70</v>
      </c>
      <c r="AA141" s="7">
        <v>0.35357386668461616</v>
      </c>
      <c r="AB141" s="7">
        <v>3.8735988767341842E-2</v>
      </c>
      <c r="AC141" s="8">
        <v>0</v>
      </c>
      <c r="AD141" s="8">
        <v>1</v>
      </c>
      <c r="AE141" s="8">
        <v>289</v>
      </c>
    </row>
    <row r="142" spans="1:32" ht="14.25" customHeight="1" x14ac:dyDescent="0.45">
      <c r="A142" s="6" t="s">
        <v>28</v>
      </c>
      <c r="B142" s="7">
        <v>0.29580870245528007</v>
      </c>
      <c r="C142" s="7">
        <v>0.11556730122910758</v>
      </c>
      <c r="D142" s="8">
        <v>0</v>
      </c>
      <c r="E142" s="8">
        <v>1</v>
      </c>
      <c r="F142" s="8">
        <v>30</v>
      </c>
      <c r="G142" s="7">
        <v>0.20395713984058791</v>
      </c>
      <c r="H142" s="7">
        <v>5.6648529290665377E-2</v>
      </c>
      <c r="I142" s="8">
        <v>0</v>
      </c>
      <c r="J142" s="8">
        <v>1</v>
      </c>
      <c r="K142" s="8">
        <v>61</v>
      </c>
      <c r="L142" s="7">
        <v>0.35840076841974933</v>
      </c>
      <c r="M142" s="7">
        <v>7.4712483039302405E-2</v>
      </c>
      <c r="N142" s="8">
        <v>0</v>
      </c>
      <c r="O142" s="8">
        <v>1</v>
      </c>
      <c r="P142" s="8">
        <v>55</v>
      </c>
      <c r="Q142" s="7">
        <v>0.67434863072132323</v>
      </c>
      <c r="R142" s="7">
        <v>7.7195876807747033E-2</v>
      </c>
      <c r="S142" s="8">
        <v>0</v>
      </c>
      <c r="T142" s="8">
        <v>1</v>
      </c>
      <c r="U142" s="8">
        <v>73</v>
      </c>
      <c r="V142" s="7">
        <v>0.39285830509250746</v>
      </c>
      <c r="W142" s="7">
        <v>8.1726549717313982E-2</v>
      </c>
      <c r="X142" s="8">
        <v>0</v>
      </c>
      <c r="Y142" s="8">
        <v>1</v>
      </c>
      <c r="Z142" s="8">
        <v>70</v>
      </c>
      <c r="AA142" s="7">
        <v>0.36973415314388186</v>
      </c>
      <c r="AB142" s="7">
        <v>3.9118517324785274E-2</v>
      </c>
      <c r="AC142" s="8">
        <v>0</v>
      </c>
      <c r="AD142" s="8">
        <v>1</v>
      </c>
      <c r="AE142" s="8">
        <v>289</v>
      </c>
      <c r="AF142">
        <f>(AA144/AA143)-AA142</f>
        <v>-5.4875866044857613E-2</v>
      </c>
    </row>
    <row r="143" spans="1:32" ht="39.5" customHeight="1" x14ac:dyDescent="0.45">
      <c r="A143" s="6" t="s">
        <v>20</v>
      </c>
      <c r="B143" s="7">
        <v>0.71998796435535706</v>
      </c>
      <c r="C143" s="7">
        <v>0.11311854104787832</v>
      </c>
      <c r="D143" s="8">
        <v>0</v>
      </c>
      <c r="E143" s="8">
        <v>1</v>
      </c>
      <c r="F143" s="8">
        <v>30</v>
      </c>
      <c r="G143" s="7">
        <v>0.81708889697607556</v>
      </c>
      <c r="H143" s="7">
        <v>5.5492334817063477E-2</v>
      </c>
      <c r="I143" s="8">
        <v>0</v>
      </c>
      <c r="J143" s="8">
        <v>1</v>
      </c>
      <c r="K143" s="8">
        <v>61</v>
      </c>
      <c r="L143" s="7">
        <v>0.89270195125097485</v>
      </c>
      <c r="M143" s="7">
        <v>4.2121950331173691E-2</v>
      </c>
      <c r="N143" s="8">
        <v>0</v>
      </c>
      <c r="O143" s="8">
        <v>1</v>
      </c>
      <c r="P143" s="8">
        <v>55</v>
      </c>
      <c r="Q143" s="7">
        <v>0.79214063353652753</v>
      </c>
      <c r="R143" s="7">
        <v>7.4227984257885751E-2</v>
      </c>
      <c r="S143" s="8">
        <v>0</v>
      </c>
      <c r="T143" s="8">
        <v>1</v>
      </c>
      <c r="U143" s="8">
        <v>73</v>
      </c>
      <c r="V143" s="7">
        <v>0.46181897480982365</v>
      </c>
      <c r="W143" s="7">
        <v>8.6350561884418128E-2</v>
      </c>
      <c r="X143" s="8">
        <v>0</v>
      </c>
      <c r="Y143" s="8">
        <v>1</v>
      </c>
      <c r="Z143" s="8">
        <v>70</v>
      </c>
      <c r="AA143" s="7">
        <v>0.81495916750566311</v>
      </c>
      <c r="AB143" s="7">
        <v>2.9461639416979199E-2</v>
      </c>
      <c r="AC143" s="8">
        <v>0</v>
      </c>
      <c r="AD143" s="8">
        <v>1</v>
      </c>
      <c r="AE143" s="8">
        <v>289</v>
      </c>
      <c r="AF143">
        <f>(AA144/AA142)-AA143</f>
        <v>-0.12095606999731523</v>
      </c>
    </row>
    <row r="144" spans="1:32" ht="14.25" customHeight="1" x14ac:dyDescent="0.45">
      <c r="A144" s="6" t="s">
        <v>76</v>
      </c>
      <c r="B144" s="7">
        <v>0.12331638335490414</v>
      </c>
      <c r="C144" s="7">
        <v>6.9567979541751229E-2</v>
      </c>
      <c r="D144" s="8">
        <v>0</v>
      </c>
      <c r="E144" s="8">
        <v>1</v>
      </c>
      <c r="F144" s="8">
        <v>30</v>
      </c>
      <c r="G144" s="7">
        <v>0.10297856442706955</v>
      </c>
      <c r="H144" s="7">
        <v>4.1704005542349036E-2</v>
      </c>
      <c r="I144" s="8">
        <v>0</v>
      </c>
      <c r="J144" s="8">
        <v>1</v>
      </c>
      <c r="K144" s="8">
        <v>61</v>
      </c>
      <c r="L144" s="7">
        <v>0.25799136010241264</v>
      </c>
      <c r="M144" s="7">
        <v>7.0826907147925916E-2</v>
      </c>
      <c r="N144" s="8">
        <v>0</v>
      </c>
      <c r="O144" s="8">
        <v>1</v>
      </c>
      <c r="P144" s="8">
        <v>55</v>
      </c>
      <c r="Q144" s="7">
        <v>0.54515306355724547</v>
      </c>
      <c r="R144" s="7">
        <v>8.0839622104266373E-2</v>
      </c>
      <c r="S144" s="8">
        <v>0</v>
      </c>
      <c r="T144" s="8">
        <v>1</v>
      </c>
      <c r="U144" s="8">
        <v>73</v>
      </c>
      <c r="V144" s="7">
        <v>0.24901484765810467</v>
      </c>
      <c r="W144" s="7">
        <v>7.026952407926948E-2</v>
      </c>
      <c r="X144" s="8">
        <v>0</v>
      </c>
      <c r="Y144" s="8">
        <v>1</v>
      </c>
      <c r="Z144" s="8">
        <v>70</v>
      </c>
      <c r="AA144" s="7">
        <v>0.25659664753647987</v>
      </c>
      <c r="AB144" s="7">
        <v>3.6054984219803694E-2</v>
      </c>
      <c r="AC144" s="8">
        <v>0</v>
      </c>
      <c r="AD144" s="8">
        <v>1</v>
      </c>
      <c r="AE144" s="8">
        <v>289</v>
      </c>
    </row>
    <row r="145" spans="1:32" ht="14.25" customHeight="1" x14ac:dyDescent="0.45">
      <c r="A145" s="6" t="s">
        <v>28</v>
      </c>
      <c r="B145" s="7">
        <v>0.29580870245528007</v>
      </c>
      <c r="C145" s="7">
        <v>0.11556730122910758</v>
      </c>
      <c r="D145" s="8">
        <v>0</v>
      </c>
      <c r="E145" s="8">
        <v>1</v>
      </c>
      <c r="F145" s="8">
        <v>30</v>
      </c>
      <c r="G145" s="7">
        <v>0.20395713984058791</v>
      </c>
      <c r="H145" s="7">
        <v>5.6648529290665377E-2</v>
      </c>
      <c r="I145" s="8">
        <v>0</v>
      </c>
      <c r="J145" s="8">
        <v>1</v>
      </c>
      <c r="K145" s="8">
        <v>61</v>
      </c>
      <c r="L145" s="7">
        <v>0.35840076841974933</v>
      </c>
      <c r="M145" s="7">
        <v>7.4712483039302405E-2</v>
      </c>
      <c r="N145" s="8">
        <v>0</v>
      </c>
      <c r="O145" s="8">
        <v>1</v>
      </c>
      <c r="P145" s="8">
        <v>55</v>
      </c>
      <c r="Q145" s="7">
        <v>0.67434863072132323</v>
      </c>
      <c r="R145" s="7">
        <v>7.7195876807747033E-2</v>
      </c>
      <c r="S145" s="8">
        <v>0</v>
      </c>
      <c r="T145" s="8">
        <v>1</v>
      </c>
      <c r="U145" s="8">
        <v>73</v>
      </c>
      <c r="V145" s="7">
        <v>0.39285830509250746</v>
      </c>
      <c r="W145" s="7">
        <v>8.1726549717313982E-2</v>
      </c>
      <c r="X145" s="8">
        <v>0</v>
      </c>
      <c r="Y145" s="8">
        <v>1</v>
      </c>
      <c r="Z145" s="8">
        <v>70</v>
      </c>
      <c r="AA145" s="7">
        <v>0.36973415314388186</v>
      </c>
      <c r="AB145" s="7">
        <v>3.9118517324785274E-2</v>
      </c>
      <c r="AC145" s="8">
        <v>0</v>
      </c>
      <c r="AD145" s="8">
        <v>1</v>
      </c>
      <c r="AE145" s="8">
        <v>289</v>
      </c>
      <c r="AF145">
        <f>(AA147/AA146)-AA145</f>
        <v>-6.308885666481967E-3</v>
      </c>
    </row>
    <row r="146" spans="1:32" ht="26.25" customHeight="1" x14ac:dyDescent="0.45">
      <c r="A146" s="6" t="s">
        <v>22</v>
      </c>
      <c r="B146" s="7">
        <v>0.92567057702595223</v>
      </c>
      <c r="C146" s="7">
        <v>5.2772110959269633E-2</v>
      </c>
      <c r="D146" s="8">
        <v>0</v>
      </c>
      <c r="E146" s="8">
        <v>1</v>
      </c>
      <c r="F146" s="8">
        <v>30</v>
      </c>
      <c r="G146" s="7">
        <v>0.96708867666829124</v>
      </c>
      <c r="H146" s="7">
        <v>2.3335390502298822E-2</v>
      </c>
      <c r="I146" s="8">
        <v>0</v>
      </c>
      <c r="J146" s="8">
        <v>1</v>
      </c>
      <c r="K146" s="8">
        <v>61</v>
      </c>
      <c r="L146" s="7">
        <v>0.92438050124212068</v>
      </c>
      <c r="M146" s="7">
        <v>3.4796389331134367E-2</v>
      </c>
      <c r="N146" s="8">
        <v>0</v>
      </c>
      <c r="O146" s="8">
        <v>1</v>
      </c>
      <c r="P146" s="8">
        <v>55</v>
      </c>
      <c r="Q146" s="7">
        <v>0.98744074376457081</v>
      </c>
      <c r="R146" s="7">
        <v>9.6317749278603242E-3</v>
      </c>
      <c r="S146" s="8">
        <v>0</v>
      </c>
      <c r="T146" s="8">
        <v>1</v>
      </c>
      <c r="U146" s="8">
        <v>73</v>
      </c>
      <c r="V146" s="7">
        <v>0.81579627466349469</v>
      </c>
      <c r="W146" s="7">
        <v>6.4243143036487982E-2</v>
      </c>
      <c r="X146" s="8">
        <v>0</v>
      </c>
      <c r="Y146" s="8">
        <v>1</v>
      </c>
      <c r="Z146" s="8">
        <v>70</v>
      </c>
      <c r="AA146" s="7">
        <v>0.94255881801459418</v>
      </c>
      <c r="AB146" s="7">
        <v>1.6228337802130382E-2</v>
      </c>
      <c r="AC146" s="8">
        <v>0</v>
      </c>
      <c r="AD146" s="8">
        <v>1</v>
      </c>
      <c r="AE146" s="8">
        <v>289</v>
      </c>
      <c r="AF146">
        <f>(AA147/AA145)-AA146</f>
        <v>-1.6083166151205863E-2</v>
      </c>
    </row>
    <row r="147" spans="1:32" ht="14.25" customHeight="1" x14ac:dyDescent="0.45">
      <c r="A147" s="6" t="s">
        <v>77</v>
      </c>
      <c r="B147" s="7">
        <v>0.29580870245528007</v>
      </c>
      <c r="C147" s="7">
        <v>0.11556730122910758</v>
      </c>
      <c r="D147" s="8">
        <v>0</v>
      </c>
      <c r="E147" s="8">
        <v>1</v>
      </c>
      <c r="F147" s="8">
        <v>30</v>
      </c>
      <c r="G147" s="7">
        <v>0.17104581650887909</v>
      </c>
      <c r="H147" s="7">
        <v>5.3435223811779356E-2</v>
      </c>
      <c r="I147" s="8">
        <v>0</v>
      </c>
      <c r="J147" s="8">
        <v>1</v>
      </c>
      <c r="K147" s="8">
        <v>61</v>
      </c>
      <c r="L147" s="7">
        <v>0.32510007622656362</v>
      </c>
      <c r="M147" s="7">
        <v>7.3566155602260791E-2</v>
      </c>
      <c r="N147" s="8">
        <v>0</v>
      </c>
      <c r="O147" s="8">
        <v>1</v>
      </c>
      <c r="P147" s="8">
        <v>55</v>
      </c>
      <c r="Q147" s="7">
        <v>0.66178937448589403</v>
      </c>
      <c r="R147" s="7">
        <v>7.7327675243402921E-2</v>
      </c>
      <c r="S147" s="8">
        <v>0</v>
      </c>
      <c r="T147" s="8">
        <v>1</v>
      </c>
      <c r="U147" s="8">
        <v>73</v>
      </c>
      <c r="V147" s="7">
        <v>0.35934890464790731</v>
      </c>
      <c r="W147" s="7">
        <v>7.9486929781723836E-2</v>
      </c>
      <c r="X147" s="8">
        <v>0</v>
      </c>
      <c r="Y147" s="8">
        <v>1</v>
      </c>
      <c r="Z147" s="8">
        <v>70</v>
      </c>
      <c r="AA147" s="7">
        <v>0.34254969055013579</v>
      </c>
      <c r="AB147" s="7">
        <v>3.8560984229810975E-2</v>
      </c>
      <c r="AC147" s="8">
        <v>0</v>
      </c>
      <c r="AD147" s="8">
        <v>1</v>
      </c>
      <c r="AE147" s="8">
        <v>289</v>
      </c>
    </row>
    <row r="148" spans="1:32" ht="14.25" customHeight="1" x14ac:dyDescent="0.45">
      <c r="A148" s="6" t="s">
        <v>28</v>
      </c>
      <c r="B148" s="7">
        <v>0.29580870245528007</v>
      </c>
      <c r="C148" s="7">
        <v>0.11556730122910758</v>
      </c>
      <c r="D148" s="8">
        <v>0</v>
      </c>
      <c r="E148" s="8">
        <v>1</v>
      </c>
      <c r="F148" s="8">
        <v>30</v>
      </c>
      <c r="G148" s="7">
        <v>0.20395713984058791</v>
      </c>
      <c r="H148" s="7">
        <v>5.6648529290665377E-2</v>
      </c>
      <c r="I148" s="8">
        <v>0</v>
      </c>
      <c r="J148" s="8">
        <v>1</v>
      </c>
      <c r="K148" s="8">
        <v>61</v>
      </c>
      <c r="L148" s="7">
        <v>0.35840076841974933</v>
      </c>
      <c r="M148" s="7">
        <v>7.4712483039302405E-2</v>
      </c>
      <c r="N148" s="8">
        <v>0</v>
      </c>
      <c r="O148" s="8">
        <v>1</v>
      </c>
      <c r="P148" s="8">
        <v>55</v>
      </c>
      <c r="Q148" s="7">
        <v>0.67434863072132323</v>
      </c>
      <c r="R148" s="7">
        <v>7.7195876807747033E-2</v>
      </c>
      <c r="S148" s="8">
        <v>0</v>
      </c>
      <c r="T148" s="8">
        <v>1</v>
      </c>
      <c r="U148" s="8">
        <v>73</v>
      </c>
      <c r="V148" s="7">
        <v>0.39285830509250746</v>
      </c>
      <c r="W148" s="7">
        <v>8.1726549717313982E-2</v>
      </c>
      <c r="X148" s="8">
        <v>0</v>
      </c>
      <c r="Y148" s="8">
        <v>1</v>
      </c>
      <c r="Z148" s="8">
        <v>70</v>
      </c>
      <c r="AA148" s="7">
        <v>0.36973415314388186</v>
      </c>
      <c r="AB148" s="7">
        <v>3.9118517324785274E-2</v>
      </c>
      <c r="AC148" s="8">
        <v>0</v>
      </c>
      <c r="AD148" s="8">
        <v>1</v>
      </c>
      <c r="AE148" s="8">
        <v>289</v>
      </c>
      <c r="AF148">
        <f>(AA150/AA149)-AA148</f>
        <v>1.4151748239503104E-2</v>
      </c>
    </row>
    <row r="149" spans="1:32" ht="26.25" customHeight="1" x14ac:dyDescent="0.45">
      <c r="A149" s="6" t="s">
        <v>24</v>
      </c>
      <c r="B149" s="7">
        <v>0.29691007821421939</v>
      </c>
      <c r="C149" s="7">
        <v>9.0434299454504388E-2</v>
      </c>
      <c r="D149" s="8">
        <v>0</v>
      </c>
      <c r="E149" s="8">
        <v>1</v>
      </c>
      <c r="F149" s="8">
        <v>30</v>
      </c>
      <c r="G149" s="7">
        <v>0.49677177668929956</v>
      </c>
      <c r="H149" s="7">
        <v>7.0999294454138578E-2</v>
      </c>
      <c r="I149" s="8">
        <v>0</v>
      </c>
      <c r="J149" s="8">
        <v>1</v>
      </c>
      <c r="K149" s="8">
        <v>61</v>
      </c>
      <c r="L149" s="7">
        <v>0.66910480046057408</v>
      </c>
      <c r="M149" s="7">
        <v>6.9382404233736442E-2</v>
      </c>
      <c r="N149" s="8">
        <v>0</v>
      </c>
      <c r="O149" s="8">
        <v>1</v>
      </c>
      <c r="P149" s="8">
        <v>55</v>
      </c>
      <c r="Q149" s="7">
        <v>0.81572970757523378</v>
      </c>
      <c r="R149" s="7">
        <v>4.8223017832801064E-2</v>
      </c>
      <c r="S149" s="8">
        <v>0</v>
      </c>
      <c r="T149" s="8">
        <v>1</v>
      </c>
      <c r="U149" s="8">
        <v>73</v>
      </c>
      <c r="V149" s="7">
        <v>0.33543852274097052</v>
      </c>
      <c r="W149" s="7">
        <v>8.1338752606745057E-2</v>
      </c>
      <c r="X149" s="8">
        <v>0</v>
      </c>
      <c r="Y149" s="8">
        <v>1</v>
      </c>
      <c r="Z149" s="8">
        <v>70</v>
      </c>
      <c r="AA149" s="7">
        <v>0.60191756282298448</v>
      </c>
      <c r="AB149" s="7">
        <v>3.8656173410834903E-2</v>
      </c>
      <c r="AC149" s="8">
        <v>0</v>
      </c>
      <c r="AD149" s="8">
        <v>1</v>
      </c>
      <c r="AE149" s="8">
        <v>289</v>
      </c>
      <c r="AF149">
        <f>(AA150/AA148)-AA149</f>
        <v>2.3038677215981518E-2</v>
      </c>
    </row>
    <row r="150" spans="1:32" ht="14.25" customHeight="1" x14ac:dyDescent="0.45">
      <c r="A150" s="6" t="s">
        <v>78</v>
      </c>
      <c r="B150" s="7">
        <v>4.6660686855633994E-2</v>
      </c>
      <c r="C150" s="7">
        <v>3.3947575891345672E-2</v>
      </c>
      <c r="D150" s="8">
        <v>0</v>
      </c>
      <c r="E150" s="8">
        <v>1</v>
      </c>
      <c r="F150" s="8">
        <v>30</v>
      </c>
      <c r="G150" s="7">
        <v>7.5645499754631695E-2</v>
      </c>
      <c r="H150" s="7">
        <v>3.5252190786670169E-2</v>
      </c>
      <c r="I150" s="8">
        <v>0</v>
      </c>
      <c r="J150" s="8">
        <v>1</v>
      </c>
      <c r="K150" s="8">
        <v>61</v>
      </c>
      <c r="L150" s="7">
        <v>0.22228896623003519</v>
      </c>
      <c r="M150" s="7">
        <v>6.9467250206647554E-2</v>
      </c>
      <c r="N150" s="8">
        <v>0</v>
      </c>
      <c r="O150" s="8">
        <v>1</v>
      </c>
      <c r="P150" s="8">
        <v>55</v>
      </c>
      <c r="Q150" s="7">
        <v>0.56381163299531434</v>
      </c>
      <c r="R150" s="7">
        <v>7.9433134523941726E-2</v>
      </c>
      <c r="S150" s="8">
        <v>0</v>
      </c>
      <c r="T150" s="8">
        <v>1</v>
      </c>
      <c r="U150" s="8">
        <v>73</v>
      </c>
      <c r="V150" s="7">
        <v>0.21537242412013372</v>
      </c>
      <c r="W150" s="7">
        <v>7.1960631723518284E-2</v>
      </c>
      <c r="X150" s="8">
        <v>0</v>
      </c>
      <c r="Y150" s="8">
        <v>1</v>
      </c>
      <c r="Z150" s="8">
        <v>70</v>
      </c>
      <c r="AA150" s="7">
        <v>0.23106766616279165</v>
      </c>
      <c r="AB150" s="7">
        <v>3.5573338145664213E-2</v>
      </c>
      <c r="AC150" s="8">
        <v>0</v>
      </c>
      <c r="AD150" s="8">
        <v>1</v>
      </c>
      <c r="AE150" s="8">
        <v>289</v>
      </c>
    </row>
    <row r="151" spans="1:32" ht="14.25" customHeight="1" x14ac:dyDescent="0.45">
      <c r="A151" s="6" t="s">
        <v>30</v>
      </c>
      <c r="B151" s="7">
        <v>0.33752245897600625</v>
      </c>
      <c r="C151" s="7">
        <v>0.11421269389473675</v>
      </c>
      <c r="D151" s="8">
        <v>0</v>
      </c>
      <c r="E151" s="8">
        <v>1</v>
      </c>
      <c r="F151" s="8">
        <v>30</v>
      </c>
      <c r="G151" s="7">
        <v>3.47823883784288E-2</v>
      </c>
      <c r="H151" s="7">
        <v>2.0826951859673284E-2</v>
      </c>
      <c r="I151" s="8">
        <v>0</v>
      </c>
      <c r="J151" s="8">
        <v>1</v>
      </c>
      <c r="K151" s="8">
        <v>61</v>
      </c>
      <c r="L151" s="7">
        <v>0.25440927475559394</v>
      </c>
      <c r="M151" s="7">
        <v>6.7546806564124665E-2</v>
      </c>
      <c r="N151" s="8">
        <v>0</v>
      </c>
      <c r="O151" s="8">
        <v>1</v>
      </c>
      <c r="P151" s="8">
        <v>55</v>
      </c>
      <c r="Q151" s="7">
        <v>0.16955220211261907</v>
      </c>
      <c r="R151" s="7">
        <v>6.9237651596625663E-2</v>
      </c>
      <c r="S151" s="8">
        <v>0</v>
      </c>
      <c r="T151" s="8">
        <v>1</v>
      </c>
      <c r="U151" s="8">
        <v>73</v>
      </c>
      <c r="V151" s="7">
        <v>0.24138127307771998</v>
      </c>
      <c r="W151" s="7">
        <v>8.0661368122113081E-2</v>
      </c>
      <c r="X151" s="8">
        <v>0</v>
      </c>
      <c r="Y151" s="8">
        <v>1</v>
      </c>
      <c r="Z151" s="8">
        <v>70</v>
      </c>
      <c r="AA151" s="7">
        <v>0.17781334922507863</v>
      </c>
      <c r="AB151" s="7">
        <v>3.2459593105481063E-2</v>
      </c>
      <c r="AC151" s="8">
        <v>0</v>
      </c>
      <c r="AD151" s="8">
        <v>1</v>
      </c>
      <c r="AE151" s="8">
        <v>289</v>
      </c>
      <c r="AF151">
        <f>(AA153/AA152)-AA151</f>
        <v>6.8285249877272886E-2</v>
      </c>
    </row>
    <row r="152" spans="1:32" ht="14.25" customHeight="1" x14ac:dyDescent="0.45">
      <c r="A152" s="6" t="s">
        <v>32</v>
      </c>
      <c r="B152" s="7">
        <v>0.8807183467855858</v>
      </c>
      <c r="C152" s="7">
        <v>5.8279938603113868E-2</v>
      </c>
      <c r="D152" s="8">
        <v>0</v>
      </c>
      <c r="E152" s="8">
        <v>1</v>
      </c>
      <c r="F152" s="8">
        <v>30</v>
      </c>
      <c r="G152" s="7">
        <v>0.54094050078981271</v>
      </c>
      <c r="H152" s="7">
        <v>7.1173712714800094E-2</v>
      </c>
      <c r="I152" s="8">
        <v>0</v>
      </c>
      <c r="J152" s="8">
        <v>1</v>
      </c>
      <c r="K152" s="8">
        <v>61</v>
      </c>
      <c r="L152" s="7">
        <v>0.48346140944352428</v>
      </c>
      <c r="M152" s="7">
        <v>7.6685026228219974E-2</v>
      </c>
      <c r="N152" s="8">
        <v>0</v>
      </c>
      <c r="O152" s="8">
        <v>1</v>
      </c>
      <c r="P152" s="8">
        <v>55</v>
      </c>
      <c r="Q152" s="7">
        <v>0.44134588510507772</v>
      </c>
      <c r="R152" s="7">
        <v>8.0894115891955082E-2</v>
      </c>
      <c r="S152" s="8">
        <v>0</v>
      </c>
      <c r="T152" s="8">
        <v>1</v>
      </c>
      <c r="U152" s="8">
        <v>73</v>
      </c>
      <c r="V152" s="7">
        <v>0.20063141493586031</v>
      </c>
      <c r="W152" s="7">
        <v>6.9153247809359233E-2</v>
      </c>
      <c r="X152" s="8">
        <v>0</v>
      </c>
      <c r="Y152" s="8">
        <v>1</v>
      </c>
      <c r="Z152" s="8">
        <v>70</v>
      </c>
      <c r="AA152" s="7">
        <v>0.50135235214164198</v>
      </c>
      <c r="AB152" s="7">
        <v>4.0501737834490306E-2</v>
      </c>
      <c r="AC152" s="8">
        <v>0</v>
      </c>
      <c r="AD152" s="8">
        <v>1</v>
      </c>
      <c r="AE152" s="8">
        <v>289</v>
      </c>
      <c r="AF152">
        <f>(AA153/AA151)-AA152</f>
        <v>0.19253318601639646</v>
      </c>
    </row>
    <row r="153" spans="1:32" ht="26.25" customHeight="1" x14ac:dyDescent="0.45">
      <c r="A153" s="6" t="s">
        <v>79</v>
      </c>
      <c r="B153" s="7">
        <v>0.33752245897600625</v>
      </c>
      <c r="C153" s="7">
        <v>0.11421269389473675</v>
      </c>
      <c r="D153" s="8">
        <v>0</v>
      </c>
      <c r="E153" s="8">
        <v>1</v>
      </c>
      <c r="F153" s="8">
        <v>30</v>
      </c>
      <c r="G153" s="7">
        <v>2.0825921621550576E-2</v>
      </c>
      <c r="H153" s="7">
        <v>1.5825373953118803E-2</v>
      </c>
      <c r="I153" s="8">
        <v>0</v>
      </c>
      <c r="J153" s="8">
        <v>1</v>
      </c>
      <c r="K153" s="8">
        <v>61</v>
      </c>
      <c r="L153" s="7">
        <v>0.20362357501828723</v>
      </c>
      <c r="M153" s="7">
        <v>6.3823235010752155E-2</v>
      </c>
      <c r="N153" s="8">
        <v>0</v>
      </c>
      <c r="O153" s="8">
        <v>1</v>
      </c>
      <c r="P153" s="8">
        <v>55</v>
      </c>
      <c r="Q153" s="7">
        <v>6.2737790057367321E-2</v>
      </c>
      <c r="R153" s="7">
        <v>2.8822649830613122E-2</v>
      </c>
      <c r="S153" s="8">
        <v>0</v>
      </c>
      <c r="T153" s="8">
        <v>1</v>
      </c>
      <c r="U153" s="8">
        <v>73</v>
      </c>
      <c r="V153" s="7">
        <v>6.6185328287288084E-2</v>
      </c>
      <c r="W153" s="7">
        <v>4.1006669535181638E-2</v>
      </c>
      <c r="X153" s="8">
        <v>0</v>
      </c>
      <c r="Y153" s="8">
        <v>1</v>
      </c>
      <c r="Z153" s="8">
        <v>70</v>
      </c>
      <c r="AA153" s="7">
        <v>0.12338211151872691</v>
      </c>
      <c r="AB153" s="7">
        <v>2.8467678151242619E-2</v>
      </c>
      <c r="AC153" s="8">
        <v>0</v>
      </c>
      <c r="AD153" s="8">
        <v>1</v>
      </c>
      <c r="AE153" s="8">
        <v>289</v>
      </c>
    </row>
    <row r="154" spans="1:32" ht="14.25" customHeight="1" x14ac:dyDescent="0.45">
      <c r="A154" s="6" t="s">
        <v>30</v>
      </c>
      <c r="B154" s="7">
        <v>0.33752245897600625</v>
      </c>
      <c r="C154" s="7">
        <v>0.11421269389473675</v>
      </c>
      <c r="D154" s="8">
        <v>0</v>
      </c>
      <c r="E154" s="8">
        <v>1</v>
      </c>
      <c r="F154" s="8">
        <v>30</v>
      </c>
      <c r="G154" s="7">
        <v>3.47823883784288E-2</v>
      </c>
      <c r="H154" s="7">
        <v>2.0826951859673284E-2</v>
      </c>
      <c r="I154" s="8">
        <v>0</v>
      </c>
      <c r="J154" s="8">
        <v>1</v>
      </c>
      <c r="K154" s="8">
        <v>61</v>
      </c>
      <c r="L154" s="7">
        <v>0.25440927475559394</v>
      </c>
      <c r="M154" s="7">
        <v>6.7546806564124665E-2</v>
      </c>
      <c r="N154" s="8">
        <v>0</v>
      </c>
      <c r="O154" s="8">
        <v>1</v>
      </c>
      <c r="P154" s="8">
        <v>55</v>
      </c>
      <c r="Q154" s="7">
        <v>0.16955220211261907</v>
      </c>
      <c r="R154" s="7">
        <v>6.9237651596625663E-2</v>
      </c>
      <c r="S154" s="8">
        <v>0</v>
      </c>
      <c r="T154" s="8">
        <v>1</v>
      </c>
      <c r="U154" s="8">
        <v>73</v>
      </c>
      <c r="V154" s="7">
        <v>0.24138127307771998</v>
      </c>
      <c r="W154" s="7">
        <v>8.0661368122113081E-2</v>
      </c>
      <c r="X154" s="8">
        <v>0</v>
      </c>
      <c r="Y154" s="8">
        <v>1</v>
      </c>
      <c r="Z154" s="8">
        <v>70</v>
      </c>
      <c r="AA154" s="7">
        <v>0.17781334922507863</v>
      </c>
      <c r="AB154" s="7">
        <v>3.2459593105481063E-2</v>
      </c>
      <c r="AC154" s="8">
        <v>0</v>
      </c>
      <c r="AD154" s="8">
        <v>1</v>
      </c>
      <c r="AE154" s="8">
        <v>289</v>
      </c>
      <c r="AF154">
        <f>(AA156/AA155)-AA154</f>
        <v>0.10383563149014507</v>
      </c>
    </row>
    <row r="155" spans="1:32" ht="14.25" customHeight="1" x14ac:dyDescent="0.45">
      <c r="A155" s="6" t="s">
        <v>34</v>
      </c>
      <c r="B155" s="7">
        <v>0.4894319374513672</v>
      </c>
      <c r="C155" s="7">
        <v>0.10893259880381885</v>
      </c>
      <c r="D155" s="8">
        <v>0</v>
      </c>
      <c r="E155" s="8">
        <v>1</v>
      </c>
      <c r="F155" s="8">
        <v>30</v>
      </c>
      <c r="G155" s="7">
        <v>0.44872874557568304</v>
      </c>
      <c r="H155" s="7">
        <v>7.0135939137786235E-2</v>
      </c>
      <c r="I155" s="8">
        <v>0</v>
      </c>
      <c r="J155" s="8">
        <v>1</v>
      </c>
      <c r="K155" s="8">
        <v>61</v>
      </c>
      <c r="L155" s="7">
        <v>0.44597262530741871</v>
      </c>
      <c r="M155" s="7">
        <v>7.6059185228833259E-2</v>
      </c>
      <c r="N155" s="8">
        <v>0</v>
      </c>
      <c r="O155" s="8">
        <v>1</v>
      </c>
      <c r="P155" s="8">
        <v>55</v>
      </c>
      <c r="Q155" s="7">
        <v>0.33484401603436165</v>
      </c>
      <c r="R155" s="7">
        <v>8.021197421991548E-2</v>
      </c>
      <c r="S155" s="8">
        <v>0</v>
      </c>
      <c r="T155" s="8">
        <v>1</v>
      </c>
      <c r="U155" s="8">
        <v>73</v>
      </c>
      <c r="V155" s="7">
        <v>0.18261413580493294</v>
      </c>
      <c r="W155" s="7">
        <v>6.8799354339987712E-2</v>
      </c>
      <c r="X155" s="8">
        <v>0</v>
      </c>
      <c r="Y155" s="8">
        <v>1</v>
      </c>
      <c r="Z155" s="8">
        <v>70</v>
      </c>
      <c r="AA155" s="7">
        <v>0.4132225092291546</v>
      </c>
      <c r="AB155" s="7">
        <v>3.9940293908986763E-2</v>
      </c>
      <c r="AC155" s="8">
        <v>0</v>
      </c>
      <c r="AD155" s="8">
        <v>1</v>
      </c>
      <c r="AE155" s="8">
        <v>289</v>
      </c>
      <c r="AF155">
        <f>(AA156/AA154)-AA155</f>
        <v>0.24130483104189782</v>
      </c>
    </row>
    <row r="156" spans="1:32" ht="26.25" customHeight="1" x14ac:dyDescent="0.45">
      <c r="A156" s="6" t="s">
        <v>80</v>
      </c>
      <c r="B156" s="7">
        <v>0.27435548606554533</v>
      </c>
      <c r="C156" s="7">
        <v>0.11112515849145074</v>
      </c>
      <c r="D156" s="8">
        <v>0</v>
      </c>
      <c r="E156" s="8">
        <v>1</v>
      </c>
      <c r="F156" s="8">
        <v>30</v>
      </c>
      <c r="G156" s="7">
        <v>2.0825921621550576E-2</v>
      </c>
      <c r="H156" s="7">
        <v>1.5825373953118803E-2</v>
      </c>
      <c r="I156" s="8">
        <v>0</v>
      </c>
      <c r="J156" s="8">
        <v>1</v>
      </c>
      <c r="K156" s="8">
        <v>61</v>
      </c>
      <c r="L156" s="7">
        <v>0.20362357501828723</v>
      </c>
      <c r="M156" s="7">
        <v>6.3823235010752155E-2</v>
      </c>
      <c r="N156" s="8">
        <v>0</v>
      </c>
      <c r="O156" s="8">
        <v>1</v>
      </c>
      <c r="P156" s="8">
        <v>55</v>
      </c>
      <c r="Q156" s="7">
        <v>4.9368685881716279E-2</v>
      </c>
      <c r="R156" s="7">
        <v>2.5499734676161134E-2</v>
      </c>
      <c r="S156" s="8">
        <v>0</v>
      </c>
      <c r="T156" s="8">
        <v>1</v>
      </c>
      <c r="U156" s="8">
        <v>73</v>
      </c>
      <c r="V156" s="7">
        <v>5.8416070581897989E-2</v>
      </c>
      <c r="W156" s="7">
        <v>4.0654694011687115E-2</v>
      </c>
      <c r="X156" s="8">
        <v>0</v>
      </c>
      <c r="Y156" s="8">
        <v>1</v>
      </c>
      <c r="Z156" s="8">
        <v>70</v>
      </c>
      <c r="AA156" s="7">
        <v>0.11638369853297852</v>
      </c>
      <c r="AB156" s="7">
        <v>2.81984869399758E-2</v>
      </c>
      <c r="AC156" s="8">
        <v>0</v>
      </c>
      <c r="AD156" s="8">
        <v>1</v>
      </c>
      <c r="AE156" s="8">
        <v>289</v>
      </c>
    </row>
    <row r="157" spans="1:32" ht="14.25" customHeight="1" x14ac:dyDescent="0.45">
      <c r="A157" s="6" t="s">
        <v>30</v>
      </c>
      <c r="B157" s="7">
        <v>0.33752245897600625</v>
      </c>
      <c r="C157" s="7">
        <v>0.11421269389473675</v>
      </c>
      <c r="D157" s="8">
        <v>0</v>
      </c>
      <c r="E157" s="8">
        <v>1</v>
      </c>
      <c r="F157" s="8">
        <v>30</v>
      </c>
      <c r="G157" s="7">
        <v>3.47823883784288E-2</v>
      </c>
      <c r="H157" s="7">
        <v>2.0826951859673284E-2</v>
      </c>
      <c r="I157" s="8">
        <v>0</v>
      </c>
      <c r="J157" s="8">
        <v>1</v>
      </c>
      <c r="K157" s="8">
        <v>61</v>
      </c>
      <c r="L157" s="7">
        <v>0.25440927475559394</v>
      </c>
      <c r="M157" s="7">
        <v>6.7546806564124665E-2</v>
      </c>
      <c r="N157" s="8">
        <v>0</v>
      </c>
      <c r="O157" s="8">
        <v>1</v>
      </c>
      <c r="P157" s="8">
        <v>55</v>
      </c>
      <c r="Q157" s="7">
        <v>0.16955220211261907</v>
      </c>
      <c r="R157" s="7">
        <v>6.9237651596625663E-2</v>
      </c>
      <c r="S157" s="8">
        <v>0</v>
      </c>
      <c r="T157" s="8">
        <v>1</v>
      </c>
      <c r="U157" s="8">
        <v>73</v>
      </c>
      <c r="V157" s="7">
        <v>0.24138127307771998</v>
      </c>
      <c r="W157" s="7">
        <v>8.0661368122113081E-2</v>
      </c>
      <c r="X157" s="8">
        <v>0</v>
      </c>
      <c r="Y157" s="8">
        <v>1</v>
      </c>
      <c r="Z157" s="8">
        <v>70</v>
      </c>
      <c r="AA157" s="7">
        <v>0.17781334922507863</v>
      </c>
      <c r="AB157" s="7">
        <v>3.2459593105481063E-2</v>
      </c>
      <c r="AC157" s="8">
        <v>0</v>
      </c>
      <c r="AD157" s="8">
        <v>1</v>
      </c>
      <c r="AE157" s="8">
        <v>289</v>
      </c>
      <c r="AF157">
        <f>(AA159/AA158)-AA157</f>
        <v>8.2338058553608706E-2</v>
      </c>
    </row>
    <row r="158" spans="1:32" ht="14.25" customHeight="1" x14ac:dyDescent="0.45">
      <c r="A158" s="6" t="s">
        <v>36</v>
      </c>
      <c r="B158" s="7">
        <v>0.72893239565623269</v>
      </c>
      <c r="C158" s="7">
        <v>8.902381100148167E-2</v>
      </c>
      <c r="D158" s="8">
        <v>0</v>
      </c>
      <c r="E158" s="8">
        <v>1</v>
      </c>
      <c r="F158" s="8">
        <v>30</v>
      </c>
      <c r="G158" s="7">
        <v>0.32479990825338129</v>
      </c>
      <c r="H158" s="7">
        <v>6.8586146510135823E-2</v>
      </c>
      <c r="I158" s="8">
        <v>0</v>
      </c>
      <c r="J158" s="8">
        <v>1</v>
      </c>
      <c r="K158" s="8">
        <v>61</v>
      </c>
      <c r="L158" s="7">
        <v>0.15180128791918751</v>
      </c>
      <c r="M158" s="7">
        <v>5.7394585526529353E-2</v>
      </c>
      <c r="N158" s="8">
        <v>0</v>
      </c>
      <c r="O158" s="8">
        <v>1</v>
      </c>
      <c r="P158" s="8">
        <v>55</v>
      </c>
      <c r="Q158" s="7">
        <v>0.33816527182499029</v>
      </c>
      <c r="R158" s="7">
        <v>7.9496187777029978E-2</v>
      </c>
      <c r="S158" s="8">
        <v>0</v>
      </c>
      <c r="T158" s="8">
        <v>1</v>
      </c>
      <c r="U158" s="8">
        <v>73</v>
      </c>
      <c r="V158" s="7">
        <v>0.26911799543093445</v>
      </c>
      <c r="W158" s="7">
        <v>7.1124564652368341E-2</v>
      </c>
      <c r="X158" s="8">
        <v>0</v>
      </c>
      <c r="Y158" s="8">
        <v>1</v>
      </c>
      <c r="Z158" s="8">
        <v>70</v>
      </c>
      <c r="AA158" s="7">
        <v>0.28189538649826235</v>
      </c>
      <c r="AB158" s="7">
        <v>3.5929536319725487E-2</v>
      </c>
      <c r="AC158" s="8">
        <v>0</v>
      </c>
      <c r="AD158" s="8">
        <v>1</v>
      </c>
      <c r="AE158" s="8">
        <v>289</v>
      </c>
      <c r="AF158">
        <f>(AA159/AA157)-AA158</f>
        <v>0.13053417496852632</v>
      </c>
    </row>
    <row r="159" spans="1:32" ht="26.25" customHeight="1" x14ac:dyDescent="0.45">
      <c r="A159" s="6" t="s">
        <v>81</v>
      </c>
      <c r="B159" s="7">
        <v>0.25212174095957718</v>
      </c>
      <c r="C159" s="7">
        <v>0.11315671264091089</v>
      </c>
      <c r="D159" s="8">
        <v>0</v>
      </c>
      <c r="E159" s="8">
        <v>1</v>
      </c>
      <c r="F159" s="8">
        <v>30</v>
      </c>
      <c r="G159" s="7">
        <v>6.8350604468981335E-3</v>
      </c>
      <c r="H159" s="7">
        <v>6.5551901876017274E-3</v>
      </c>
      <c r="I159" s="8">
        <v>0</v>
      </c>
      <c r="J159" s="8">
        <v>1</v>
      </c>
      <c r="K159" s="8">
        <v>61</v>
      </c>
      <c r="L159" s="7">
        <v>0.10872489526884506</v>
      </c>
      <c r="M159" s="7">
        <v>5.2835156098241021E-2</v>
      </c>
      <c r="N159" s="8">
        <v>0</v>
      </c>
      <c r="O159" s="8">
        <v>1</v>
      </c>
      <c r="P159" s="8">
        <v>55</v>
      </c>
      <c r="Q159" s="7">
        <v>3.9764490725763463E-2</v>
      </c>
      <c r="R159" s="7">
        <v>2.3330546804711836E-2</v>
      </c>
      <c r="S159" s="8">
        <v>0</v>
      </c>
      <c r="T159" s="8">
        <v>1</v>
      </c>
      <c r="U159" s="8">
        <v>73</v>
      </c>
      <c r="V159" s="7">
        <v>8.5546562596689274E-2</v>
      </c>
      <c r="W159" s="7">
        <v>4.4982576259133572E-2</v>
      </c>
      <c r="X159" s="8">
        <v>0</v>
      </c>
      <c r="Y159" s="8">
        <v>1</v>
      </c>
      <c r="Z159" s="8">
        <v>70</v>
      </c>
      <c r="AA159" s="7">
        <v>7.3335481643840128E-2</v>
      </c>
      <c r="AB159" s="7">
        <v>2.3327029963187279E-2</v>
      </c>
      <c r="AC159" s="8">
        <v>0</v>
      </c>
      <c r="AD159" s="8">
        <v>1</v>
      </c>
      <c r="AE159" s="8">
        <v>289</v>
      </c>
    </row>
    <row r="160" spans="1:32" ht="14.25" customHeight="1" x14ac:dyDescent="0.45">
      <c r="A160" s="6" t="s">
        <v>30</v>
      </c>
      <c r="B160" s="7">
        <v>0.33752245897600625</v>
      </c>
      <c r="C160" s="7">
        <v>0.11421269389473675</v>
      </c>
      <c r="D160" s="8">
        <v>0</v>
      </c>
      <c r="E160" s="8">
        <v>1</v>
      </c>
      <c r="F160" s="8">
        <v>30</v>
      </c>
      <c r="G160" s="7">
        <v>3.47823883784288E-2</v>
      </c>
      <c r="H160" s="7">
        <v>2.0826951859673284E-2</v>
      </c>
      <c r="I160" s="8">
        <v>0</v>
      </c>
      <c r="J160" s="8">
        <v>1</v>
      </c>
      <c r="K160" s="8">
        <v>61</v>
      </c>
      <c r="L160" s="7">
        <v>0.25440927475559394</v>
      </c>
      <c r="M160" s="7">
        <v>6.7546806564124665E-2</v>
      </c>
      <c r="N160" s="8">
        <v>0</v>
      </c>
      <c r="O160" s="8">
        <v>1</v>
      </c>
      <c r="P160" s="8">
        <v>55</v>
      </c>
      <c r="Q160" s="7">
        <v>0.16955220211261907</v>
      </c>
      <c r="R160" s="7">
        <v>6.9237651596625663E-2</v>
      </c>
      <c r="S160" s="8">
        <v>0</v>
      </c>
      <c r="T160" s="8">
        <v>1</v>
      </c>
      <c r="U160" s="8">
        <v>73</v>
      </c>
      <c r="V160" s="7">
        <v>0.24138127307771998</v>
      </c>
      <c r="W160" s="7">
        <v>8.0661368122113081E-2</v>
      </c>
      <c r="X160" s="8">
        <v>0</v>
      </c>
      <c r="Y160" s="8">
        <v>1</v>
      </c>
      <c r="Z160" s="8">
        <v>70</v>
      </c>
      <c r="AA160" s="7">
        <v>0.17781334922507863</v>
      </c>
      <c r="AB160" s="7">
        <v>3.2459593105481063E-2</v>
      </c>
      <c r="AC160" s="8">
        <v>0</v>
      </c>
      <c r="AD160" s="8">
        <v>1</v>
      </c>
      <c r="AE160" s="8">
        <v>289</v>
      </c>
      <c r="AF160">
        <f>(AA162/AA161)-AA160</f>
        <v>1.4028805377960252E-3</v>
      </c>
    </row>
    <row r="161" spans="1:32" ht="26.25" customHeight="1" x14ac:dyDescent="0.45">
      <c r="A161" s="6" t="s">
        <v>38</v>
      </c>
      <c r="B161" s="7">
        <v>0.71998796435535706</v>
      </c>
      <c r="C161" s="7">
        <v>0.11311854104787832</v>
      </c>
      <c r="D161" s="8">
        <v>0</v>
      </c>
      <c r="E161" s="8">
        <v>1</v>
      </c>
      <c r="F161" s="8">
        <v>30</v>
      </c>
      <c r="G161" s="7">
        <v>0.8042407061751119</v>
      </c>
      <c r="H161" s="7">
        <v>5.6411702520922181E-2</v>
      </c>
      <c r="I161" s="8">
        <v>0</v>
      </c>
      <c r="J161" s="8">
        <v>1</v>
      </c>
      <c r="K161" s="8">
        <v>61</v>
      </c>
      <c r="L161" s="7">
        <v>0.89270195125097485</v>
      </c>
      <c r="M161" s="7">
        <v>4.2121950331173691E-2</v>
      </c>
      <c r="N161" s="8">
        <v>0</v>
      </c>
      <c r="O161" s="8">
        <v>1</v>
      </c>
      <c r="P161" s="8">
        <v>55</v>
      </c>
      <c r="Q161" s="7">
        <v>0.78205413715993244</v>
      </c>
      <c r="R161" s="7">
        <v>7.4169259039094562E-2</v>
      </c>
      <c r="S161" s="8">
        <v>0</v>
      </c>
      <c r="T161" s="8">
        <v>1</v>
      </c>
      <c r="U161" s="8">
        <v>73</v>
      </c>
      <c r="V161" s="7">
        <v>0.46181897480982365</v>
      </c>
      <c r="W161" s="7">
        <v>8.6350561884418128E-2</v>
      </c>
      <c r="X161" s="8">
        <v>0</v>
      </c>
      <c r="Y161" s="8">
        <v>1</v>
      </c>
      <c r="Z161" s="8">
        <v>70</v>
      </c>
      <c r="AA161" s="7">
        <v>0.80925310000793194</v>
      </c>
      <c r="AB161" s="7">
        <v>2.96741507605978E-2</v>
      </c>
      <c r="AC161" s="8">
        <v>0</v>
      </c>
      <c r="AD161" s="8">
        <v>1</v>
      </c>
      <c r="AE161" s="8">
        <v>289</v>
      </c>
      <c r="AF161">
        <f>(AA162/AA160)-AA161</f>
        <v>6.3847029995209859E-3</v>
      </c>
    </row>
    <row r="162" spans="1:32" ht="39.5" customHeight="1" x14ac:dyDescent="0.45">
      <c r="A162" s="6" t="s">
        <v>82</v>
      </c>
      <c r="B162" s="7">
        <v>0.15616488363358441</v>
      </c>
      <c r="C162" s="7">
        <v>7.4558726937383829E-2</v>
      </c>
      <c r="D162" s="8">
        <v>0</v>
      </c>
      <c r="E162" s="8">
        <v>1</v>
      </c>
      <c r="F162" s="8">
        <v>30</v>
      </c>
      <c r="G162" s="7">
        <v>1.4734503373317918E-2</v>
      </c>
      <c r="H162" s="7">
        <v>1.4424352452513339E-2</v>
      </c>
      <c r="I162" s="8">
        <v>0</v>
      </c>
      <c r="J162" s="8">
        <v>1</v>
      </c>
      <c r="K162" s="8">
        <v>61</v>
      </c>
      <c r="L162" s="7">
        <v>0.24077198697744259</v>
      </c>
      <c r="M162" s="7">
        <v>6.6878684941393915E-2</v>
      </c>
      <c r="N162" s="8">
        <v>0</v>
      </c>
      <c r="O162" s="8">
        <v>1</v>
      </c>
      <c r="P162" s="8">
        <v>55</v>
      </c>
      <c r="Q162" s="7">
        <v>0.16955220211261907</v>
      </c>
      <c r="R162" s="7">
        <v>6.9237651596625663E-2</v>
      </c>
      <c r="S162" s="8">
        <v>0</v>
      </c>
      <c r="T162" s="8">
        <v>1</v>
      </c>
      <c r="U162" s="8">
        <v>73</v>
      </c>
      <c r="V162" s="7">
        <v>7.3794851409365689E-2</v>
      </c>
      <c r="W162" s="7">
        <v>4.1790258666570809E-2</v>
      </c>
      <c r="X162" s="8">
        <v>0</v>
      </c>
      <c r="Y162" s="8">
        <v>1</v>
      </c>
      <c r="Z162" s="8">
        <v>70</v>
      </c>
      <c r="AA162" s="7">
        <v>0.14503128950734012</v>
      </c>
      <c r="AB162" s="7">
        <v>3.1134286176403354E-2</v>
      </c>
      <c r="AC162" s="8">
        <v>0</v>
      </c>
      <c r="AD162" s="8">
        <v>1</v>
      </c>
      <c r="AE162" s="8">
        <v>289</v>
      </c>
    </row>
    <row r="163" spans="1:32" ht="14.25" customHeight="1" x14ac:dyDescent="0.45">
      <c r="A163" s="6" t="s">
        <v>30</v>
      </c>
      <c r="B163" s="7">
        <v>0.33752245897600625</v>
      </c>
      <c r="C163" s="7">
        <v>0.11421269389473675</v>
      </c>
      <c r="D163" s="8">
        <v>0</v>
      </c>
      <c r="E163" s="8">
        <v>1</v>
      </c>
      <c r="F163" s="8">
        <v>30</v>
      </c>
      <c r="G163" s="7">
        <v>3.47823883784288E-2</v>
      </c>
      <c r="H163" s="7">
        <v>2.0826951859673284E-2</v>
      </c>
      <c r="I163" s="8">
        <v>0</v>
      </c>
      <c r="J163" s="8">
        <v>1</v>
      </c>
      <c r="K163" s="8">
        <v>61</v>
      </c>
      <c r="L163" s="7">
        <v>0.25440927475559394</v>
      </c>
      <c r="M163" s="7">
        <v>6.7546806564124665E-2</v>
      </c>
      <c r="N163" s="8">
        <v>0</v>
      </c>
      <c r="O163" s="8">
        <v>1</v>
      </c>
      <c r="P163" s="8">
        <v>55</v>
      </c>
      <c r="Q163" s="7">
        <v>0.16955220211261907</v>
      </c>
      <c r="R163" s="7">
        <v>6.9237651596625663E-2</v>
      </c>
      <c r="S163" s="8">
        <v>0</v>
      </c>
      <c r="T163" s="8">
        <v>1</v>
      </c>
      <c r="U163" s="8">
        <v>73</v>
      </c>
      <c r="V163" s="7">
        <v>0.24138127307771998</v>
      </c>
      <c r="W163" s="7">
        <v>8.0661368122113081E-2</v>
      </c>
      <c r="X163" s="8">
        <v>0</v>
      </c>
      <c r="Y163" s="8">
        <v>1</v>
      </c>
      <c r="Z163" s="8">
        <v>70</v>
      </c>
      <c r="AA163" s="7">
        <v>0.17781334922507863</v>
      </c>
      <c r="AB163" s="7">
        <v>3.2459593105481063E-2</v>
      </c>
      <c r="AC163" s="8">
        <v>0</v>
      </c>
      <c r="AD163" s="8">
        <v>1</v>
      </c>
      <c r="AE163" s="8">
        <v>289</v>
      </c>
      <c r="AF163">
        <f>(AA165/AA164)-AA163</f>
        <v>-1.2124226846291525E-2</v>
      </c>
    </row>
    <row r="164" spans="1:32" ht="14.25" customHeight="1" x14ac:dyDescent="0.45">
      <c r="A164" s="6" t="s">
        <v>40</v>
      </c>
      <c r="B164" s="7">
        <v>0.29691007821421939</v>
      </c>
      <c r="C164" s="7">
        <v>9.0434299454504388E-2</v>
      </c>
      <c r="D164" s="8">
        <v>0</v>
      </c>
      <c r="E164" s="8">
        <v>1</v>
      </c>
      <c r="F164" s="8">
        <v>30</v>
      </c>
      <c r="G164" s="7">
        <v>0.47852637519700286</v>
      </c>
      <c r="H164" s="7">
        <v>7.0841094266787655E-2</v>
      </c>
      <c r="I164" s="8">
        <v>0</v>
      </c>
      <c r="J164" s="8">
        <v>1</v>
      </c>
      <c r="K164" s="8">
        <v>61</v>
      </c>
      <c r="L164" s="7">
        <v>0.65648588818467313</v>
      </c>
      <c r="M164" s="7">
        <v>7.0002600340418331E-2</v>
      </c>
      <c r="N164" s="8">
        <v>0</v>
      </c>
      <c r="O164" s="8">
        <v>1</v>
      </c>
      <c r="P164" s="8">
        <v>55</v>
      </c>
      <c r="Q164" s="7">
        <v>0.79588055624962939</v>
      </c>
      <c r="R164" s="7">
        <v>5.0588570102129408E-2</v>
      </c>
      <c r="S164" s="8">
        <v>0</v>
      </c>
      <c r="T164" s="8">
        <v>1</v>
      </c>
      <c r="U164" s="8">
        <v>73</v>
      </c>
      <c r="V164" s="7">
        <v>0.30585942795052035</v>
      </c>
      <c r="W164" s="7">
        <v>7.9216084987864505E-2</v>
      </c>
      <c r="X164" s="8">
        <v>0</v>
      </c>
      <c r="Y164" s="8">
        <v>1</v>
      </c>
      <c r="Z164" s="8">
        <v>70</v>
      </c>
      <c r="AA164" s="7">
        <v>0.58607907057708142</v>
      </c>
      <c r="AB164" s="7">
        <v>3.8942949569521081E-2</v>
      </c>
      <c r="AC164" s="8">
        <v>0</v>
      </c>
      <c r="AD164" s="8">
        <v>1</v>
      </c>
      <c r="AE164" s="8">
        <v>289</v>
      </c>
      <c r="AF164">
        <f>(AA165/AA163)-AA164</f>
        <v>-3.9961879310566717E-2</v>
      </c>
    </row>
    <row r="165" spans="1:32" ht="26.25" customHeight="1" x14ac:dyDescent="0.45">
      <c r="A165" s="6" t="s">
        <v>83</v>
      </c>
      <c r="B165" s="7">
        <v>9.2997910723123509E-2</v>
      </c>
      <c r="C165" s="7">
        <v>4.7629135356607913E-2</v>
      </c>
      <c r="D165" s="8">
        <v>0</v>
      </c>
      <c r="E165" s="8">
        <v>1</v>
      </c>
      <c r="F165" s="8">
        <v>30</v>
      </c>
      <c r="G165" s="7">
        <v>1.3584645657545486E-2</v>
      </c>
      <c r="H165" s="7">
        <v>1.3647156950413401E-2</v>
      </c>
      <c r="I165" s="8">
        <v>0</v>
      </c>
      <c r="J165" s="8">
        <v>1</v>
      </c>
      <c r="K165" s="8">
        <v>61</v>
      </c>
      <c r="L165" s="7">
        <v>0.13853991796992496</v>
      </c>
      <c r="M165" s="7">
        <v>5.0890854744459042E-2</v>
      </c>
      <c r="N165" s="8">
        <v>0</v>
      </c>
      <c r="O165" s="8">
        <v>1</v>
      </c>
      <c r="P165" s="8">
        <v>55</v>
      </c>
      <c r="Q165" s="7">
        <v>0.15618309793696802</v>
      </c>
      <c r="R165" s="7">
        <v>6.8688130347483764E-2</v>
      </c>
      <c r="S165" s="8">
        <v>0</v>
      </c>
      <c r="T165" s="8">
        <v>1</v>
      </c>
      <c r="U165" s="8">
        <v>73</v>
      </c>
      <c r="V165" s="7">
        <v>5.8702426286420827E-2</v>
      </c>
      <c r="W165" s="7">
        <v>4.1368669453166418E-2</v>
      </c>
      <c r="X165" s="8">
        <v>0</v>
      </c>
      <c r="Y165" s="8">
        <v>1</v>
      </c>
      <c r="Z165" s="8">
        <v>70</v>
      </c>
      <c r="AA165" s="7">
        <v>9.7106926848491842E-2</v>
      </c>
      <c r="AB165" s="7">
        <v>2.4799205873473725E-2</v>
      </c>
      <c r="AC165" s="8">
        <v>0</v>
      </c>
      <c r="AD165" s="8">
        <v>1</v>
      </c>
      <c r="AE165" s="8">
        <v>289</v>
      </c>
    </row>
    <row r="166" spans="1:32" ht="14.25" customHeight="1" x14ac:dyDescent="0.45">
      <c r="A166" s="6" t="s">
        <v>30</v>
      </c>
      <c r="B166" s="7">
        <v>0.33752245897600625</v>
      </c>
      <c r="C166" s="7">
        <v>0.11421269389473675</v>
      </c>
      <c r="D166" s="8">
        <v>0</v>
      </c>
      <c r="E166" s="8">
        <v>1</v>
      </c>
      <c r="F166" s="8">
        <v>30</v>
      </c>
      <c r="G166" s="7">
        <v>3.47823883784288E-2</v>
      </c>
      <c r="H166" s="7">
        <v>2.0826951859673284E-2</v>
      </c>
      <c r="I166" s="8">
        <v>0</v>
      </c>
      <c r="J166" s="8">
        <v>1</v>
      </c>
      <c r="K166" s="8">
        <v>61</v>
      </c>
      <c r="L166" s="7">
        <v>0.25440927475559394</v>
      </c>
      <c r="M166" s="7">
        <v>6.7546806564124665E-2</v>
      </c>
      <c r="N166" s="8">
        <v>0</v>
      </c>
      <c r="O166" s="8">
        <v>1</v>
      </c>
      <c r="P166" s="8">
        <v>55</v>
      </c>
      <c r="Q166" s="7">
        <v>0.16955220211261907</v>
      </c>
      <c r="R166" s="7">
        <v>6.9237651596625663E-2</v>
      </c>
      <c r="S166" s="8">
        <v>0</v>
      </c>
      <c r="T166" s="8">
        <v>1</v>
      </c>
      <c r="U166" s="8">
        <v>73</v>
      </c>
      <c r="V166" s="7">
        <v>0.24138127307771998</v>
      </c>
      <c r="W166" s="7">
        <v>8.0661368122113081E-2</v>
      </c>
      <c r="X166" s="8">
        <v>0</v>
      </c>
      <c r="Y166" s="8">
        <v>1</v>
      </c>
      <c r="Z166" s="8">
        <v>70</v>
      </c>
      <c r="AA166" s="7">
        <v>0.17781334922507863</v>
      </c>
      <c r="AB166" s="7">
        <v>3.2459593105481063E-2</v>
      </c>
      <c r="AC166" s="8">
        <v>0</v>
      </c>
      <c r="AD166" s="8">
        <v>1</v>
      </c>
      <c r="AE166" s="8">
        <v>289</v>
      </c>
      <c r="AF166">
        <f>(AA168/AA167)-AA166</f>
        <v>-1.5809617012365607E-3</v>
      </c>
    </row>
    <row r="167" spans="1:32" ht="14.25" customHeight="1" x14ac:dyDescent="0.45">
      <c r="A167" s="6" t="s">
        <v>42</v>
      </c>
      <c r="B167" s="7">
        <v>0.88373917384473755</v>
      </c>
      <c r="C167" s="7">
        <v>6.5637894232017879E-2</v>
      </c>
      <c r="D167" s="8">
        <v>0</v>
      </c>
      <c r="E167" s="8">
        <v>1</v>
      </c>
      <c r="F167" s="8">
        <v>30</v>
      </c>
      <c r="G167" s="7">
        <v>0.96708867666829124</v>
      </c>
      <c r="H167" s="7">
        <v>2.3335390502298822E-2</v>
      </c>
      <c r="I167" s="8">
        <v>0</v>
      </c>
      <c r="J167" s="8">
        <v>1</v>
      </c>
      <c r="K167" s="8">
        <v>61</v>
      </c>
      <c r="L167" s="7">
        <v>0.92438050124212068</v>
      </c>
      <c r="M167" s="7">
        <v>3.4796389331134367E-2</v>
      </c>
      <c r="N167" s="8">
        <v>0</v>
      </c>
      <c r="O167" s="8">
        <v>1</v>
      </c>
      <c r="P167" s="8">
        <v>55</v>
      </c>
      <c r="Q167" s="7">
        <v>0.91163408858832118</v>
      </c>
      <c r="R167" s="7">
        <v>4.1385817286864961E-2</v>
      </c>
      <c r="S167" s="8">
        <v>0</v>
      </c>
      <c r="T167" s="8">
        <v>1</v>
      </c>
      <c r="U167" s="8">
        <v>73</v>
      </c>
      <c r="V167" s="7">
        <v>0.79321873455244019</v>
      </c>
      <c r="W167" s="7">
        <v>6.5826991842619254E-2</v>
      </c>
      <c r="X167" s="8">
        <v>0</v>
      </c>
      <c r="Y167" s="8">
        <v>1</v>
      </c>
      <c r="Z167" s="8">
        <v>70</v>
      </c>
      <c r="AA167" s="7">
        <v>0.92434876147780487</v>
      </c>
      <c r="AB167" s="7">
        <v>1.809715288505577E-2</v>
      </c>
      <c r="AC167" s="8">
        <v>0</v>
      </c>
      <c r="AD167" s="8">
        <v>1</v>
      </c>
      <c r="AE167" s="8">
        <v>289</v>
      </c>
      <c r="AF167">
        <f>(AA168/AA166)-AA167</f>
        <v>-8.2185055106972493E-3</v>
      </c>
    </row>
    <row r="168" spans="1:32" ht="26.25" customHeight="1" x14ac:dyDescent="0.45">
      <c r="A168" s="6" t="s">
        <v>84</v>
      </c>
      <c r="B168" s="7">
        <v>0.33752245897600625</v>
      </c>
      <c r="C168" s="7">
        <v>0.11421269389473675</v>
      </c>
      <c r="D168" s="8">
        <v>0</v>
      </c>
      <c r="E168" s="8">
        <v>1</v>
      </c>
      <c r="F168" s="8">
        <v>30</v>
      </c>
      <c r="G168" s="7">
        <v>2.041970610444362E-2</v>
      </c>
      <c r="H168" s="7">
        <v>1.514068788795518E-2</v>
      </c>
      <c r="I168" s="8">
        <v>0</v>
      </c>
      <c r="J168" s="8">
        <v>1</v>
      </c>
      <c r="K168" s="8">
        <v>61</v>
      </c>
      <c r="L168" s="7">
        <v>0.23969623052539674</v>
      </c>
      <c r="M168" s="7">
        <v>6.6762386196786191E-2</v>
      </c>
      <c r="N168" s="8">
        <v>0</v>
      </c>
      <c r="O168" s="8">
        <v>1</v>
      </c>
      <c r="P168" s="8">
        <v>55</v>
      </c>
      <c r="Q168" s="7">
        <v>0.15322848075497819</v>
      </c>
      <c r="R168" s="7">
        <v>6.8318045618643936E-2</v>
      </c>
      <c r="S168" s="8">
        <v>0</v>
      </c>
      <c r="T168" s="8">
        <v>1</v>
      </c>
      <c r="U168" s="8">
        <v>73</v>
      </c>
      <c r="V168" s="7">
        <v>0.21068373323343872</v>
      </c>
      <c r="W168" s="7">
        <v>7.9506584594233695E-2</v>
      </c>
      <c r="X168" s="8">
        <v>0</v>
      </c>
      <c r="Y168" s="8">
        <v>1</v>
      </c>
      <c r="Z168" s="8">
        <v>70</v>
      </c>
      <c r="AA168" s="7">
        <v>0.16290018913993998</v>
      </c>
      <c r="AB168" s="7">
        <v>3.1889120875737829E-2</v>
      </c>
      <c r="AC168" s="8">
        <v>0</v>
      </c>
      <c r="AD168" s="8">
        <v>1</v>
      </c>
      <c r="AE168" s="8">
        <v>289</v>
      </c>
    </row>
    <row r="169" spans="1:32" ht="14.25" customHeight="1" x14ac:dyDescent="0.45">
      <c r="A169" s="6" t="s">
        <v>30</v>
      </c>
      <c r="B169" s="7">
        <v>0.33752245897600625</v>
      </c>
      <c r="C169" s="7">
        <v>0.11421269389473675</v>
      </c>
      <c r="D169" s="8">
        <v>0</v>
      </c>
      <c r="E169" s="8">
        <v>1</v>
      </c>
      <c r="F169" s="8">
        <v>30</v>
      </c>
      <c r="G169" s="7">
        <v>3.47823883784288E-2</v>
      </c>
      <c r="H169" s="7">
        <v>2.0826951859673284E-2</v>
      </c>
      <c r="I169" s="8">
        <v>0</v>
      </c>
      <c r="J169" s="8">
        <v>1</v>
      </c>
      <c r="K169" s="8">
        <v>61</v>
      </c>
      <c r="L169" s="7">
        <v>0.25440927475559394</v>
      </c>
      <c r="M169" s="7">
        <v>6.7546806564124665E-2</v>
      </c>
      <c r="N169" s="8">
        <v>0</v>
      </c>
      <c r="O169" s="8">
        <v>1</v>
      </c>
      <c r="P169" s="8">
        <v>55</v>
      </c>
      <c r="Q169" s="7">
        <v>0.16955220211261907</v>
      </c>
      <c r="R169" s="7">
        <v>6.9237651596625663E-2</v>
      </c>
      <c r="S169" s="8">
        <v>0</v>
      </c>
      <c r="T169" s="8">
        <v>1</v>
      </c>
      <c r="U169" s="8">
        <v>73</v>
      </c>
      <c r="V169" s="7">
        <v>0.24138127307771998</v>
      </c>
      <c r="W169" s="7">
        <v>8.0661368122113081E-2</v>
      </c>
      <c r="X169" s="8">
        <v>0</v>
      </c>
      <c r="Y169" s="8">
        <v>1</v>
      </c>
      <c r="Z169" s="8">
        <v>70</v>
      </c>
      <c r="AA169" s="7">
        <v>0.17781334922507863</v>
      </c>
      <c r="AB169" s="7">
        <v>3.2459593105481063E-2</v>
      </c>
      <c r="AC169" s="8">
        <v>0</v>
      </c>
      <c r="AD169" s="8">
        <v>1</v>
      </c>
      <c r="AE169" s="8">
        <v>289</v>
      </c>
      <c r="AF169">
        <f>(AA171/AA170)-AA169</f>
        <v>-7.9597410345285946E-3</v>
      </c>
    </row>
    <row r="170" spans="1:32" ht="14.25" customHeight="1" x14ac:dyDescent="0.45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30</v>
      </c>
      <c r="G170" s="7">
        <v>4.3984681938985942E-2</v>
      </c>
      <c r="H170" s="7">
        <v>2.2428515599090256E-2</v>
      </c>
      <c r="I170" s="8">
        <v>0</v>
      </c>
      <c r="J170" s="8">
        <v>1</v>
      </c>
      <c r="K170" s="8">
        <v>61</v>
      </c>
      <c r="L170" s="7">
        <v>4.6686566157947883E-2</v>
      </c>
      <c r="M170" s="7">
        <v>2.9932730284583084E-2</v>
      </c>
      <c r="N170" s="8">
        <v>0</v>
      </c>
      <c r="O170" s="8">
        <v>1</v>
      </c>
      <c r="P170" s="8">
        <v>55</v>
      </c>
      <c r="Q170" s="7">
        <v>4.5823463093928804E-2</v>
      </c>
      <c r="R170" s="7">
        <v>2.1566040924099809E-2</v>
      </c>
      <c r="S170" s="8">
        <v>0</v>
      </c>
      <c r="T170" s="8">
        <v>1</v>
      </c>
      <c r="U170" s="8">
        <v>73</v>
      </c>
      <c r="V170" s="7">
        <v>6.8897826628121606E-2</v>
      </c>
      <c r="W170" s="7">
        <v>4.7551151202023072E-2</v>
      </c>
      <c r="X170" s="8">
        <v>0</v>
      </c>
      <c r="Y170" s="8">
        <v>1</v>
      </c>
      <c r="Z170" s="8">
        <v>70</v>
      </c>
      <c r="AA170" s="7">
        <v>4.4048985501015846E-2</v>
      </c>
      <c r="AB170" s="7">
        <v>1.4289951777276724E-2</v>
      </c>
      <c r="AC170" s="8">
        <v>0</v>
      </c>
      <c r="AD170" s="8">
        <v>1</v>
      </c>
      <c r="AE170" s="8">
        <v>289</v>
      </c>
      <c r="AF170">
        <f>(AA171/AA169)-AA170</f>
        <v>-1.971834617309709E-3</v>
      </c>
    </row>
    <row r="171" spans="1:32" ht="26.25" customHeight="1" x14ac:dyDescent="0.45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30</v>
      </c>
      <c r="G171" s="7">
        <v>0</v>
      </c>
      <c r="H171" s="7">
        <v>0</v>
      </c>
      <c r="I171" s="8">
        <v>0</v>
      </c>
      <c r="J171" s="8">
        <v>0</v>
      </c>
      <c r="K171" s="8">
        <v>61</v>
      </c>
      <c r="L171" s="7">
        <v>1.2618912275900947E-2</v>
      </c>
      <c r="M171" s="7">
        <v>1.2722516489072232E-2</v>
      </c>
      <c r="N171" s="8">
        <v>0</v>
      </c>
      <c r="O171" s="8">
        <v>1</v>
      </c>
      <c r="P171" s="8">
        <v>55</v>
      </c>
      <c r="Q171" s="7">
        <v>1.3483923837709638E-2</v>
      </c>
      <c r="R171" s="7">
        <v>1.3570271437221237E-2</v>
      </c>
      <c r="S171" s="8">
        <v>0</v>
      </c>
      <c r="T171" s="8">
        <v>1</v>
      </c>
      <c r="U171" s="8">
        <v>73</v>
      </c>
      <c r="V171" s="7">
        <v>0</v>
      </c>
      <c r="W171" s="7">
        <v>0</v>
      </c>
      <c r="X171" s="8">
        <v>0</v>
      </c>
      <c r="Y171" s="8">
        <v>0</v>
      </c>
      <c r="Z171" s="8">
        <v>70</v>
      </c>
      <c r="AA171" s="7">
        <v>7.4818791244807654E-3</v>
      </c>
      <c r="AB171" s="7">
        <v>5.5635342572470077E-3</v>
      </c>
      <c r="AC171" s="8">
        <v>0</v>
      </c>
      <c r="AD171" s="8">
        <v>1</v>
      </c>
      <c r="AE171" s="8">
        <v>289</v>
      </c>
    </row>
    <row r="172" spans="1:32" ht="14.25" customHeight="1" x14ac:dyDescent="0.45">
      <c r="A172" s="6" t="s">
        <v>30</v>
      </c>
      <c r="B172" s="7">
        <v>0.33752245897600625</v>
      </c>
      <c r="C172" s="7">
        <v>0.11421269389473675</v>
      </c>
      <c r="D172" s="8">
        <v>0</v>
      </c>
      <c r="E172" s="8">
        <v>1</v>
      </c>
      <c r="F172" s="8">
        <v>30</v>
      </c>
      <c r="G172" s="7">
        <v>3.47823883784288E-2</v>
      </c>
      <c r="H172" s="7">
        <v>2.0826951859673284E-2</v>
      </c>
      <c r="I172" s="8">
        <v>0</v>
      </c>
      <c r="J172" s="8">
        <v>1</v>
      </c>
      <c r="K172" s="8">
        <v>61</v>
      </c>
      <c r="L172" s="7">
        <v>0.25440927475559394</v>
      </c>
      <c r="M172" s="7">
        <v>6.7546806564124665E-2</v>
      </c>
      <c r="N172" s="8">
        <v>0</v>
      </c>
      <c r="O172" s="8">
        <v>1</v>
      </c>
      <c r="P172" s="8">
        <v>55</v>
      </c>
      <c r="Q172" s="7">
        <v>0.16955220211261907</v>
      </c>
      <c r="R172" s="7">
        <v>6.9237651596625663E-2</v>
      </c>
      <c r="S172" s="8">
        <v>0</v>
      </c>
      <c r="T172" s="8">
        <v>1</v>
      </c>
      <c r="U172" s="8">
        <v>73</v>
      </c>
      <c r="V172" s="7">
        <v>0.24138127307771998</v>
      </c>
      <c r="W172" s="7">
        <v>8.0661368122113081E-2</v>
      </c>
      <c r="X172" s="8">
        <v>0</v>
      </c>
      <c r="Y172" s="8">
        <v>1</v>
      </c>
      <c r="Z172" s="8">
        <v>70</v>
      </c>
      <c r="AA172" s="7">
        <v>0.17781334922507863</v>
      </c>
      <c r="AB172" s="7">
        <v>3.2459593105481063E-2</v>
      </c>
      <c r="AC172" s="8">
        <v>0</v>
      </c>
      <c r="AD172" s="8">
        <v>1</v>
      </c>
      <c r="AE172" s="8">
        <v>289</v>
      </c>
      <c r="AF172">
        <f>(AA174/AA173)-AA172</f>
        <v>-4.0070727364825975E-3</v>
      </c>
    </row>
    <row r="173" spans="1:32" ht="39.5" customHeight="1" x14ac:dyDescent="0.45">
      <c r="A173" s="6" t="s">
        <v>16</v>
      </c>
      <c r="B173" s="7">
        <v>0.79917381529480058</v>
      </c>
      <c r="C173" s="7">
        <v>0.11102593038685447</v>
      </c>
      <c r="D173" s="8">
        <v>0</v>
      </c>
      <c r="E173" s="8">
        <v>1</v>
      </c>
      <c r="F173" s="8">
        <v>30</v>
      </c>
      <c r="G173" s="7">
        <v>0.85913609305126304</v>
      </c>
      <c r="H173" s="7">
        <v>5.1613569311876474E-2</v>
      </c>
      <c r="I173" s="8">
        <v>0</v>
      </c>
      <c r="J173" s="8">
        <v>1</v>
      </c>
      <c r="K173" s="8">
        <v>61</v>
      </c>
      <c r="L173" s="7">
        <v>0.93660731788820284</v>
      </c>
      <c r="M173" s="7">
        <v>3.2725921734506148E-2</v>
      </c>
      <c r="N173" s="8">
        <v>0</v>
      </c>
      <c r="O173" s="8">
        <v>1</v>
      </c>
      <c r="P173" s="8">
        <v>55</v>
      </c>
      <c r="Q173" s="7">
        <v>0.978991251172878</v>
      </c>
      <c r="R173" s="7">
        <v>1.3211470829487152E-2</v>
      </c>
      <c r="S173" s="8">
        <v>0</v>
      </c>
      <c r="T173" s="8">
        <v>1</v>
      </c>
      <c r="U173" s="8">
        <v>73</v>
      </c>
      <c r="V173" s="7">
        <v>0.55776647549126268</v>
      </c>
      <c r="W173" s="7">
        <v>8.737343103490372E-2</v>
      </c>
      <c r="X173" s="8">
        <v>0</v>
      </c>
      <c r="Y173" s="8">
        <v>1</v>
      </c>
      <c r="Z173" s="8">
        <v>70</v>
      </c>
      <c r="AA173" s="7">
        <v>0.890410959859264</v>
      </c>
      <c r="AB173" s="7">
        <v>2.2895391539009022E-2</v>
      </c>
      <c r="AC173" s="8">
        <v>0</v>
      </c>
      <c r="AD173" s="8">
        <v>1</v>
      </c>
      <c r="AE173" s="8">
        <v>289</v>
      </c>
      <c r="AF173">
        <f>(AA174/AA172)-AA173</f>
        <v>-2.0065655908662938E-2</v>
      </c>
    </row>
    <row r="174" spans="1:32" ht="26.25" customHeight="1" x14ac:dyDescent="0.45">
      <c r="A174" s="6" t="s">
        <v>86</v>
      </c>
      <c r="B174" s="7">
        <v>0.15616488363358441</v>
      </c>
      <c r="C174" s="7">
        <v>7.4558726937383829E-2</v>
      </c>
      <c r="D174" s="8">
        <v>0</v>
      </c>
      <c r="E174" s="8">
        <v>1</v>
      </c>
      <c r="F174" s="8">
        <v>30</v>
      </c>
      <c r="G174" s="7">
        <v>2.8319149030863404E-2</v>
      </c>
      <c r="H174" s="7">
        <v>1.9777627208837596E-2</v>
      </c>
      <c r="I174" s="8">
        <v>0</v>
      </c>
      <c r="J174" s="8">
        <v>1</v>
      </c>
      <c r="K174" s="8">
        <v>61</v>
      </c>
      <c r="L174" s="7">
        <v>0.25440927475559394</v>
      </c>
      <c r="M174" s="7">
        <v>6.7546806564124665E-2</v>
      </c>
      <c r="N174" s="8">
        <v>0</v>
      </c>
      <c r="O174" s="8">
        <v>1</v>
      </c>
      <c r="P174" s="8">
        <v>55</v>
      </c>
      <c r="Q174" s="7">
        <v>0.16955220211261907</v>
      </c>
      <c r="R174" s="7">
        <v>6.9237651596625663E-2</v>
      </c>
      <c r="S174" s="8">
        <v>0</v>
      </c>
      <c r="T174" s="8">
        <v>1</v>
      </c>
      <c r="U174" s="8">
        <v>73</v>
      </c>
      <c r="V174" s="7">
        <v>7.9493326820124915E-2</v>
      </c>
      <c r="W174" s="7">
        <v>4.2182949960539361E-2</v>
      </c>
      <c r="X174" s="8">
        <v>0</v>
      </c>
      <c r="Y174" s="8">
        <v>1</v>
      </c>
      <c r="Z174" s="8">
        <v>70</v>
      </c>
      <c r="AA174" s="7">
        <v>0.15475901347777543</v>
      </c>
      <c r="AB174" s="7">
        <v>3.1574196181699613E-2</v>
      </c>
      <c r="AC174" s="8">
        <v>0</v>
      </c>
      <c r="AD174" s="8">
        <v>1</v>
      </c>
      <c r="AE174" s="8">
        <v>289</v>
      </c>
    </row>
    <row r="175" spans="1:32" ht="14.25" customHeight="1" x14ac:dyDescent="0.45">
      <c r="A175" s="6" t="s">
        <v>30</v>
      </c>
      <c r="B175" s="7">
        <v>0.33752245897600625</v>
      </c>
      <c r="C175" s="7">
        <v>0.11421269389473675</v>
      </c>
      <c r="D175" s="8">
        <v>0</v>
      </c>
      <c r="E175" s="8">
        <v>1</v>
      </c>
      <c r="F175" s="8">
        <v>30</v>
      </c>
      <c r="G175" s="7">
        <v>3.47823883784288E-2</v>
      </c>
      <c r="H175" s="7">
        <v>2.0826951859673284E-2</v>
      </c>
      <c r="I175" s="8">
        <v>0</v>
      </c>
      <c r="J175" s="8">
        <v>1</v>
      </c>
      <c r="K175" s="8">
        <v>61</v>
      </c>
      <c r="L175" s="7">
        <v>0.25440927475559394</v>
      </c>
      <c r="M175" s="7">
        <v>6.7546806564124665E-2</v>
      </c>
      <c r="N175" s="8">
        <v>0</v>
      </c>
      <c r="O175" s="8">
        <v>1</v>
      </c>
      <c r="P175" s="8">
        <v>55</v>
      </c>
      <c r="Q175" s="7">
        <v>0.16955220211261907</v>
      </c>
      <c r="R175" s="7">
        <v>6.9237651596625663E-2</v>
      </c>
      <c r="S175" s="8">
        <v>0</v>
      </c>
      <c r="T175" s="8">
        <v>1</v>
      </c>
      <c r="U175" s="8">
        <v>73</v>
      </c>
      <c r="V175" s="7">
        <v>0.24138127307771998</v>
      </c>
      <c r="W175" s="7">
        <v>8.0661368122113081E-2</v>
      </c>
      <c r="X175" s="8">
        <v>0</v>
      </c>
      <c r="Y175" s="8">
        <v>1</v>
      </c>
      <c r="Z175" s="8">
        <v>70</v>
      </c>
      <c r="AA175" s="7">
        <v>0.17781334922507863</v>
      </c>
      <c r="AB175" s="7">
        <v>3.2459593105481063E-2</v>
      </c>
      <c r="AC175" s="8">
        <v>0</v>
      </c>
      <c r="AD175" s="8">
        <v>1</v>
      </c>
      <c r="AE175" s="8">
        <v>289</v>
      </c>
      <c r="AF175">
        <f>(AA177/AA176)-AA175</f>
        <v>2.6793669544773469E-3</v>
      </c>
    </row>
    <row r="176" spans="1:32" ht="39.5" customHeight="1" x14ac:dyDescent="0.45">
      <c r="A176" s="6" t="s">
        <v>18</v>
      </c>
      <c r="B176" s="7">
        <v>1</v>
      </c>
      <c r="C176" s="7">
        <v>0</v>
      </c>
      <c r="D176" s="8">
        <v>1</v>
      </c>
      <c r="E176" s="8">
        <v>1</v>
      </c>
      <c r="F176" s="8">
        <v>30</v>
      </c>
      <c r="G176" s="7">
        <v>1</v>
      </c>
      <c r="H176" s="7">
        <v>0</v>
      </c>
      <c r="I176" s="8">
        <v>1</v>
      </c>
      <c r="J176" s="8">
        <v>1</v>
      </c>
      <c r="K176" s="8">
        <v>61</v>
      </c>
      <c r="L176" s="7">
        <v>0.96669930780681435</v>
      </c>
      <c r="M176" s="7">
        <v>2.5228335970719683E-2</v>
      </c>
      <c r="N176" s="8">
        <v>0</v>
      </c>
      <c r="O176" s="8">
        <v>1</v>
      </c>
      <c r="P176" s="8">
        <v>55</v>
      </c>
      <c r="Q176" s="7">
        <v>0.98411438133172946</v>
      </c>
      <c r="R176" s="7">
        <v>1.5948863624994217E-2</v>
      </c>
      <c r="S176" s="8">
        <v>0</v>
      </c>
      <c r="T176" s="8">
        <v>1</v>
      </c>
      <c r="U176" s="8">
        <v>73</v>
      </c>
      <c r="V176" s="7">
        <v>0.88206256317830467</v>
      </c>
      <c r="W176" s="7">
        <v>5.2357828055255899E-2</v>
      </c>
      <c r="X176" s="8">
        <v>0</v>
      </c>
      <c r="Y176" s="8">
        <v>1</v>
      </c>
      <c r="Z176" s="8">
        <v>70</v>
      </c>
      <c r="AA176" s="7">
        <v>0.97699062412897175</v>
      </c>
      <c r="AB176" s="7">
        <v>1.0802779004579677E-2</v>
      </c>
      <c r="AC176" s="8">
        <v>0</v>
      </c>
      <c r="AD176" s="8">
        <v>1</v>
      </c>
      <c r="AE176" s="8">
        <v>289</v>
      </c>
      <c r="AF176">
        <f>(AA177/AA175)-AA176</f>
        <v>1.4721709053530208E-2</v>
      </c>
    </row>
    <row r="177" spans="1:32" ht="26.25" customHeight="1" x14ac:dyDescent="0.45">
      <c r="A177" s="6" t="s">
        <v>87</v>
      </c>
      <c r="B177" s="7">
        <v>0.33752245897600625</v>
      </c>
      <c r="C177" s="7">
        <v>0.11421269389473675</v>
      </c>
      <c r="D177" s="8">
        <v>0</v>
      </c>
      <c r="E177" s="8">
        <v>1</v>
      </c>
      <c r="F177" s="8">
        <v>30</v>
      </c>
      <c r="G177" s="7">
        <v>3.47823883784288E-2</v>
      </c>
      <c r="H177" s="7">
        <v>2.0826951859673284E-2</v>
      </c>
      <c r="I177" s="8">
        <v>0</v>
      </c>
      <c r="J177" s="8">
        <v>1</v>
      </c>
      <c r="K177" s="8">
        <v>61</v>
      </c>
      <c r="L177" s="7">
        <v>0.25440927475559394</v>
      </c>
      <c r="M177" s="7">
        <v>6.7546806564124665E-2</v>
      </c>
      <c r="N177" s="8">
        <v>0</v>
      </c>
      <c r="O177" s="8">
        <v>1</v>
      </c>
      <c r="P177" s="8">
        <v>55</v>
      </c>
      <c r="Q177" s="7">
        <v>0.16955220211261907</v>
      </c>
      <c r="R177" s="7">
        <v>6.9237651596625663E-2</v>
      </c>
      <c r="S177" s="8">
        <v>0</v>
      </c>
      <c r="T177" s="8">
        <v>1</v>
      </c>
      <c r="U177" s="8">
        <v>73</v>
      </c>
      <c r="V177" s="7">
        <v>0.21639100726599564</v>
      </c>
      <c r="W177" s="7">
        <v>7.9417505626067642E-2</v>
      </c>
      <c r="X177" s="8">
        <v>0</v>
      </c>
      <c r="Y177" s="8">
        <v>1</v>
      </c>
      <c r="Z177" s="8">
        <v>70</v>
      </c>
      <c r="AA177" s="7">
        <v>0.17633969143099776</v>
      </c>
      <c r="AB177" s="7">
        <v>3.2447640109886808E-2</v>
      </c>
      <c r="AC177" s="8">
        <v>0</v>
      </c>
      <c r="AD177" s="8">
        <v>1</v>
      </c>
      <c r="AE177" s="8">
        <v>289</v>
      </c>
    </row>
    <row r="178" spans="1:32" ht="14.25" customHeight="1" x14ac:dyDescent="0.45">
      <c r="A178" s="6" t="s">
        <v>30</v>
      </c>
      <c r="B178" s="7">
        <v>0.33752245897600625</v>
      </c>
      <c r="C178" s="7">
        <v>0.11421269389473675</v>
      </c>
      <c r="D178" s="8">
        <v>0</v>
      </c>
      <c r="E178" s="8">
        <v>1</v>
      </c>
      <c r="F178" s="8">
        <v>30</v>
      </c>
      <c r="G178" s="7">
        <v>3.47823883784288E-2</v>
      </c>
      <c r="H178" s="7">
        <v>2.0826951859673284E-2</v>
      </c>
      <c r="I178" s="8">
        <v>0</v>
      </c>
      <c r="J178" s="8">
        <v>1</v>
      </c>
      <c r="K178" s="8">
        <v>61</v>
      </c>
      <c r="L178" s="7">
        <v>0.25440927475559394</v>
      </c>
      <c r="M178" s="7">
        <v>6.7546806564124665E-2</v>
      </c>
      <c r="N178" s="8">
        <v>0</v>
      </c>
      <c r="O178" s="8">
        <v>1</v>
      </c>
      <c r="P178" s="8">
        <v>55</v>
      </c>
      <c r="Q178" s="7">
        <v>0.16955220211261907</v>
      </c>
      <c r="R178" s="7">
        <v>6.9237651596625663E-2</v>
      </c>
      <c r="S178" s="8">
        <v>0</v>
      </c>
      <c r="T178" s="8">
        <v>1</v>
      </c>
      <c r="U178" s="8">
        <v>73</v>
      </c>
      <c r="V178" s="7">
        <v>0.24138127307771998</v>
      </c>
      <c r="W178" s="7">
        <v>8.0661368122113081E-2</v>
      </c>
      <c r="X178" s="8">
        <v>0</v>
      </c>
      <c r="Y178" s="8">
        <v>1</v>
      </c>
      <c r="Z178" s="8">
        <v>70</v>
      </c>
      <c r="AA178" s="7">
        <v>0.17781334922507863</v>
      </c>
      <c r="AB178" s="7">
        <v>3.2459593105481063E-2</v>
      </c>
      <c r="AC178" s="8">
        <v>0</v>
      </c>
      <c r="AD178" s="8">
        <v>1</v>
      </c>
      <c r="AE178" s="8">
        <v>289</v>
      </c>
      <c r="AF178">
        <f>(AA180/AA179)-AA178</f>
        <v>1.4806932210559287E-4</v>
      </c>
    </row>
    <row r="179" spans="1:32" ht="39.5" customHeight="1" x14ac:dyDescent="0.45">
      <c r="A179" s="6" t="s">
        <v>20</v>
      </c>
      <c r="B179" s="7">
        <v>0.71998796435535706</v>
      </c>
      <c r="C179" s="7">
        <v>0.11311854104787832</v>
      </c>
      <c r="D179" s="8">
        <v>0</v>
      </c>
      <c r="E179" s="8">
        <v>1</v>
      </c>
      <c r="F179" s="8">
        <v>30</v>
      </c>
      <c r="G179" s="7">
        <v>0.81708889697607556</v>
      </c>
      <c r="H179" s="7">
        <v>5.5492334817063477E-2</v>
      </c>
      <c r="I179" s="8">
        <v>0</v>
      </c>
      <c r="J179" s="8">
        <v>1</v>
      </c>
      <c r="K179" s="8">
        <v>61</v>
      </c>
      <c r="L179" s="7">
        <v>0.89270195125097485</v>
      </c>
      <c r="M179" s="7">
        <v>4.2121950331173691E-2</v>
      </c>
      <c r="N179" s="8">
        <v>0</v>
      </c>
      <c r="O179" s="8">
        <v>1</v>
      </c>
      <c r="P179" s="8">
        <v>55</v>
      </c>
      <c r="Q179" s="7">
        <v>0.79214063353652753</v>
      </c>
      <c r="R179" s="7">
        <v>7.4227984257885751E-2</v>
      </c>
      <c r="S179" s="8">
        <v>0</v>
      </c>
      <c r="T179" s="8">
        <v>1</v>
      </c>
      <c r="U179" s="8">
        <v>73</v>
      </c>
      <c r="V179" s="7">
        <v>0.46181897480982365</v>
      </c>
      <c r="W179" s="7">
        <v>8.6350561884418128E-2</v>
      </c>
      <c r="X179" s="8">
        <v>0</v>
      </c>
      <c r="Y179" s="8">
        <v>1</v>
      </c>
      <c r="Z179" s="8">
        <v>70</v>
      </c>
      <c r="AA179" s="7">
        <v>0.81495916750566311</v>
      </c>
      <c r="AB179" s="7">
        <v>2.9461639416979199E-2</v>
      </c>
      <c r="AC179" s="8">
        <v>0</v>
      </c>
      <c r="AD179" s="8">
        <v>1</v>
      </c>
      <c r="AE179" s="8">
        <v>289</v>
      </c>
      <c r="AF179">
        <f>(AA180/AA178)-AA179</f>
        <v>6.7863550178981491E-4</v>
      </c>
    </row>
    <row r="180" spans="1:32" ht="26.25" customHeight="1" x14ac:dyDescent="0.45">
      <c r="A180" s="6" t="s">
        <v>88</v>
      </c>
      <c r="B180" s="7">
        <v>0.15616488363358441</v>
      </c>
      <c r="C180" s="7">
        <v>7.4558726937383829E-2</v>
      </c>
      <c r="D180" s="8">
        <v>0</v>
      </c>
      <c r="E180" s="8">
        <v>1</v>
      </c>
      <c r="F180" s="8">
        <v>30</v>
      </c>
      <c r="G180" s="7">
        <v>1.4734503373317918E-2</v>
      </c>
      <c r="H180" s="7">
        <v>1.4424352452513339E-2</v>
      </c>
      <c r="I180" s="8">
        <v>0</v>
      </c>
      <c r="J180" s="8">
        <v>1</v>
      </c>
      <c r="K180" s="8">
        <v>61</v>
      </c>
      <c r="L180" s="7">
        <v>0.24077198697744259</v>
      </c>
      <c r="M180" s="7">
        <v>6.6878684941393915E-2</v>
      </c>
      <c r="N180" s="8">
        <v>0</v>
      </c>
      <c r="O180" s="8">
        <v>1</v>
      </c>
      <c r="P180" s="8">
        <v>55</v>
      </c>
      <c r="Q180" s="7">
        <v>0.16955220211261907</v>
      </c>
      <c r="R180" s="7">
        <v>6.9237651596625663E-2</v>
      </c>
      <c r="S180" s="8">
        <v>0</v>
      </c>
      <c r="T180" s="8">
        <v>1</v>
      </c>
      <c r="U180" s="8">
        <v>73</v>
      </c>
      <c r="V180" s="7">
        <v>7.3794851409365689E-2</v>
      </c>
      <c r="W180" s="7">
        <v>4.1790258666570809E-2</v>
      </c>
      <c r="X180" s="8">
        <v>0</v>
      </c>
      <c r="Y180" s="8">
        <v>1</v>
      </c>
      <c r="Z180" s="8">
        <v>70</v>
      </c>
      <c r="AA180" s="7">
        <v>0.14503128950734012</v>
      </c>
      <c r="AB180" s="7">
        <v>3.1134286176403354E-2</v>
      </c>
      <c r="AC180" s="8">
        <v>0</v>
      </c>
      <c r="AD180" s="8">
        <v>1</v>
      </c>
      <c r="AE180" s="8">
        <v>289</v>
      </c>
    </row>
    <row r="181" spans="1:32" ht="14.25" customHeight="1" x14ac:dyDescent="0.45">
      <c r="A181" s="6" t="s">
        <v>30</v>
      </c>
      <c r="B181" s="7">
        <v>0.33752245897600625</v>
      </c>
      <c r="C181" s="7">
        <v>0.11421269389473675</v>
      </c>
      <c r="D181" s="8">
        <v>0</v>
      </c>
      <c r="E181" s="8">
        <v>1</v>
      </c>
      <c r="F181" s="8">
        <v>30</v>
      </c>
      <c r="G181" s="7">
        <v>3.47823883784288E-2</v>
      </c>
      <c r="H181" s="7">
        <v>2.0826951859673284E-2</v>
      </c>
      <c r="I181" s="8">
        <v>0</v>
      </c>
      <c r="J181" s="8">
        <v>1</v>
      </c>
      <c r="K181" s="8">
        <v>61</v>
      </c>
      <c r="L181" s="7">
        <v>0.25440927475559394</v>
      </c>
      <c r="M181" s="7">
        <v>6.7546806564124665E-2</v>
      </c>
      <c r="N181" s="8">
        <v>0</v>
      </c>
      <c r="O181" s="8">
        <v>1</v>
      </c>
      <c r="P181" s="8">
        <v>55</v>
      </c>
      <c r="Q181" s="7">
        <v>0.16955220211261907</v>
      </c>
      <c r="R181" s="7">
        <v>6.9237651596625663E-2</v>
      </c>
      <c r="S181" s="8">
        <v>0</v>
      </c>
      <c r="T181" s="8">
        <v>1</v>
      </c>
      <c r="U181" s="8">
        <v>73</v>
      </c>
      <c r="V181" s="7">
        <v>0.24138127307771998</v>
      </c>
      <c r="W181" s="7">
        <v>8.0661368122113081E-2</v>
      </c>
      <c r="X181" s="8">
        <v>0</v>
      </c>
      <c r="Y181" s="8">
        <v>1</v>
      </c>
      <c r="Z181" s="8">
        <v>70</v>
      </c>
      <c r="AA181" s="7">
        <v>0.17781334922507863</v>
      </c>
      <c r="AB181" s="7">
        <v>3.2459593105481063E-2</v>
      </c>
      <c r="AC181" s="8">
        <v>0</v>
      </c>
      <c r="AD181" s="8">
        <v>1</v>
      </c>
      <c r="AE181" s="8">
        <v>289</v>
      </c>
      <c r="AF181">
        <f>(AA183/AA182)-AA181</f>
        <v>-1.7417819635562326E-3</v>
      </c>
    </row>
    <row r="182" spans="1:32" ht="26.25" customHeight="1" x14ac:dyDescent="0.45">
      <c r="A182" s="6" t="s">
        <v>22</v>
      </c>
      <c r="B182" s="7">
        <v>0.92567057702595223</v>
      </c>
      <c r="C182" s="7">
        <v>5.2772110959269633E-2</v>
      </c>
      <c r="D182" s="8">
        <v>0</v>
      </c>
      <c r="E182" s="8">
        <v>1</v>
      </c>
      <c r="F182" s="8">
        <v>30</v>
      </c>
      <c r="G182" s="7">
        <v>0.96708867666829124</v>
      </c>
      <c r="H182" s="7">
        <v>2.3335390502298822E-2</v>
      </c>
      <c r="I182" s="8">
        <v>0</v>
      </c>
      <c r="J182" s="8">
        <v>1</v>
      </c>
      <c r="K182" s="8">
        <v>61</v>
      </c>
      <c r="L182" s="7">
        <v>0.92438050124212068</v>
      </c>
      <c r="M182" s="7">
        <v>3.4796389331134367E-2</v>
      </c>
      <c r="N182" s="8">
        <v>0</v>
      </c>
      <c r="O182" s="8">
        <v>1</v>
      </c>
      <c r="P182" s="8">
        <v>55</v>
      </c>
      <c r="Q182" s="7">
        <v>0.98744074376457081</v>
      </c>
      <c r="R182" s="7">
        <v>9.6317749278603242E-3</v>
      </c>
      <c r="S182" s="8">
        <v>0</v>
      </c>
      <c r="T182" s="8">
        <v>1</v>
      </c>
      <c r="U182" s="8">
        <v>73</v>
      </c>
      <c r="V182" s="7">
        <v>0.81579627466349469</v>
      </c>
      <c r="W182" s="7">
        <v>6.4243143036487982E-2</v>
      </c>
      <c r="X182" s="8">
        <v>0</v>
      </c>
      <c r="Y182" s="8">
        <v>1</v>
      </c>
      <c r="Z182" s="8">
        <v>70</v>
      </c>
      <c r="AA182" s="7">
        <v>0.94255881801459418</v>
      </c>
      <c r="AB182" s="7">
        <v>1.6228337802130382E-2</v>
      </c>
      <c r="AC182" s="8">
        <v>0</v>
      </c>
      <c r="AD182" s="8">
        <v>1</v>
      </c>
      <c r="AE182" s="8">
        <v>289</v>
      </c>
      <c r="AF182">
        <f>(AA183/AA181)-AA182</f>
        <v>-9.2328948077490258E-3</v>
      </c>
    </row>
    <row r="183" spans="1:32" ht="26.25" customHeight="1" x14ac:dyDescent="0.45">
      <c r="A183" s="6" t="s">
        <v>89</v>
      </c>
      <c r="B183" s="7">
        <v>0.33752245897600625</v>
      </c>
      <c r="C183" s="7">
        <v>0.11421269389473675</v>
      </c>
      <c r="D183" s="8">
        <v>0</v>
      </c>
      <c r="E183" s="8">
        <v>1</v>
      </c>
      <c r="F183" s="8">
        <v>30</v>
      </c>
      <c r="G183" s="7">
        <v>2.041970610444362E-2</v>
      </c>
      <c r="H183" s="7">
        <v>1.514068788795518E-2</v>
      </c>
      <c r="I183" s="8">
        <v>0</v>
      </c>
      <c r="J183" s="8">
        <v>1</v>
      </c>
      <c r="K183" s="8">
        <v>61</v>
      </c>
      <c r="L183" s="7">
        <v>0.23969623052539674</v>
      </c>
      <c r="M183" s="7">
        <v>6.6762386196786191E-2</v>
      </c>
      <c r="N183" s="8">
        <v>0</v>
      </c>
      <c r="O183" s="8">
        <v>1</v>
      </c>
      <c r="P183" s="8">
        <v>55</v>
      </c>
      <c r="Q183" s="7">
        <v>0.16955220211261907</v>
      </c>
      <c r="R183" s="7">
        <v>6.9237651596625663E-2</v>
      </c>
      <c r="S183" s="8">
        <v>0</v>
      </c>
      <c r="T183" s="8">
        <v>1</v>
      </c>
      <c r="U183" s="8">
        <v>73</v>
      </c>
      <c r="V183" s="7">
        <v>0.21068373323343872</v>
      </c>
      <c r="W183" s="7">
        <v>7.9506584594233695E-2</v>
      </c>
      <c r="X183" s="8">
        <v>0</v>
      </c>
      <c r="Y183" s="8">
        <v>1</v>
      </c>
      <c r="Z183" s="8">
        <v>70</v>
      </c>
      <c r="AA183" s="7">
        <v>0.16595780832399767</v>
      </c>
      <c r="AB183" s="7">
        <v>3.1970838605646451E-2</v>
      </c>
      <c r="AC183" s="8">
        <v>0</v>
      </c>
      <c r="AD183" s="8">
        <v>1</v>
      </c>
      <c r="AE183" s="8">
        <v>289</v>
      </c>
    </row>
    <row r="184" spans="1:32" ht="14.25" customHeight="1" x14ac:dyDescent="0.45">
      <c r="A184" s="6" t="s">
        <v>30</v>
      </c>
      <c r="B184" s="7">
        <v>0.33752245897600625</v>
      </c>
      <c r="C184" s="7">
        <v>0.11421269389473675</v>
      </c>
      <c r="D184" s="8">
        <v>0</v>
      </c>
      <c r="E184" s="8">
        <v>1</v>
      </c>
      <c r="F184" s="8">
        <v>30</v>
      </c>
      <c r="G184" s="7">
        <v>3.47823883784288E-2</v>
      </c>
      <c r="H184" s="7">
        <v>2.0826951859673284E-2</v>
      </c>
      <c r="I184" s="8">
        <v>0</v>
      </c>
      <c r="J184" s="8">
        <v>1</v>
      </c>
      <c r="K184" s="8">
        <v>61</v>
      </c>
      <c r="L184" s="7">
        <v>0.25440927475559394</v>
      </c>
      <c r="M184" s="7">
        <v>6.7546806564124665E-2</v>
      </c>
      <c r="N184" s="8">
        <v>0</v>
      </c>
      <c r="O184" s="8">
        <v>1</v>
      </c>
      <c r="P184" s="8">
        <v>55</v>
      </c>
      <c r="Q184" s="7">
        <v>0.16955220211261907</v>
      </c>
      <c r="R184" s="7">
        <v>6.9237651596625663E-2</v>
      </c>
      <c r="S184" s="8">
        <v>0</v>
      </c>
      <c r="T184" s="8">
        <v>1</v>
      </c>
      <c r="U184" s="8">
        <v>73</v>
      </c>
      <c r="V184" s="7">
        <v>0.24138127307771998</v>
      </c>
      <c r="W184" s="7">
        <v>8.0661368122113081E-2</v>
      </c>
      <c r="X184" s="8">
        <v>0</v>
      </c>
      <c r="Y184" s="8">
        <v>1</v>
      </c>
      <c r="Z184" s="8">
        <v>70</v>
      </c>
      <c r="AA184" s="7">
        <v>0.17781334922507863</v>
      </c>
      <c r="AB184" s="7">
        <v>3.2459593105481063E-2</v>
      </c>
      <c r="AC184" s="8">
        <v>0</v>
      </c>
      <c r="AD184" s="8">
        <v>1</v>
      </c>
      <c r="AE184" s="8">
        <v>289</v>
      </c>
      <c r="AF184">
        <f>(AA186/AA185)-AA184</f>
        <v>-8.2500741913429099E-3</v>
      </c>
    </row>
    <row r="185" spans="1:32" ht="26.25" customHeight="1" x14ac:dyDescent="0.45">
      <c r="A185" s="6" t="s">
        <v>24</v>
      </c>
      <c r="B185" s="7">
        <v>0.29691007821421939</v>
      </c>
      <c r="C185" s="7">
        <v>9.0434299454504388E-2</v>
      </c>
      <c r="D185" s="8">
        <v>0</v>
      </c>
      <c r="E185" s="8">
        <v>1</v>
      </c>
      <c r="F185" s="8">
        <v>30</v>
      </c>
      <c r="G185" s="7">
        <v>0.49677177668929956</v>
      </c>
      <c r="H185" s="7">
        <v>7.0999294454138578E-2</v>
      </c>
      <c r="I185" s="8">
        <v>0</v>
      </c>
      <c r="J185" s="8">
        <v>1</v>
      </c>
      <c r="K185" s="8">
        <v>61</v>
      </c>
      <c r="L185" s="7">
        <v>0.66910480046057408</v>
      </c>
      <c r="M185" s="7">
        <v>6.9382404233736442E-2</v>
      </c>
      <c r="N185" s="8">
        <v>0</v>
      </c>
      <c r="O185" s="8">
        <v>1</v>
      </c>
      <c r="P185" s="8">
        <v>55</v>
      </c>
      <c r="Q185" s="7">
        <v>0.81572970757523378</v>
      </c>
      <c r="R185" s="7">
        <v>4.8223017832801064E-2</v>
      </c>
      <c r="S185" s="8">
        <v>0</v>
      </c>
      <c r="T185" s="8">
        <v>1</v>
      </c>
      <c r="U185" s="8">
        <v>73</v>
      </c>
      <c r="V185" s="7">
        <v>0.33543852274097052</v>
      </c>
      <c r="W185" s="7">
        <v>8.1338752606745057E-2</v>
      </c>
      <c r="X185" s="8">
        <v>0</v>
      </c>
      <c r="Y185" s="8">
        <v>1</v>
      </c>
      <c r="Z185" s="8">
        <v>70</v>
      </c>
      <c r="AA185" s="7">
        <v>0.60191756282298448</v>
      </c>
      <c r="AB185" s="7">
        <v>3.8656173410834903E-2</v>
      </c>
      <c r="AC185" s="8">
        <v>0</v>
      </c>
      <c r="AD185" s="8">
        <v>1</v>
      </c>
      <c r="AE185" s="8">
        <v>289</v>
      </c>
      <c r="AF185">
        <f>(AA186/AA184)-AA185</f>
        <v>-2.7927400119301948E-2</v>
      </c>
    </row>
    <row r="186" spans="1:32" ht="26.25" customHeight="1" x14ac:dyDescent="0.45">
      <c r="A186" s="6" t="s">
        <v>90</v>
      </c>
      <c r="B186" s="7">
        <v>9.2997910723123509E-2</v>
      </c>
      <c r="C186" s="7">
        <v>4.7629135356607913E-2</v>
      </c>
      <c r="D186" s="8">
        <v>0</v>
      </c>
      <c r="E186" s="8">
        <v>1</v>
      </c>
      <c r="F186" s="8">
        <v>30</v>
      </c>
      <c r="G186" s="7">
        <v>1.3584645657545486E-2</v>
      </c>
      <c r="H186" s="7">
        <v>1.3647156950413401E-2</v>
      </c>
      <c r="I186" s="8">
        <v>0</v>
      </c>
      <c r="J186" s="8">
        <v>1</v>
      </c>
      <c r="K186" s="8">
        <v>61</v>
      </c>
      <c r="L186" s="7">
        <v>0.15115883024582588</v>
      </c>
      <c r="M186" s="7">
        <v>5.2105931115618773E-2</v>
      </c>
      <c r="N186" s="8">
        <v>0</v>
      </c>
      <c r="O186" s="8">
        <v>1</v>
      </c>
      <c r="P186" s="8">
        <v>55</v>
      </c>
      <c r="Q186" s="7">
        <v>0.15618309793696802</v>
      </c>
      <c r="R186" s="7">
        <v>6.8688130347483764E-2</v>
      </c>
      <c r="S186" s="8">
        <v>0</v>
      </c>
      <c r="T186" s="8">
        <v>1</v>
      </c>
      <c r="U186" s="8">
        <v>73</v>
      </c>
      <c r="V186" s="7">
        <v>5.8702426286420827E-2</v>
      </c>
      <c r="W186" s="7">
        <v>4.1368669453166418E-2</v>
      </c>
      <c r="X186" s="8">
        <v>0</v>
      </c>
      <c r="Y186" s="8">
        <v>1</v>
      </c>
      <c r="Z186" s="8">
        <v>70</v>
      </c>
      <c r="AA186" s="7">
        <v>0.10206311325258961</v>
      </c>
      <c r="AB186" s="7">
        <v>2.5185090085705481E-2</v>
      </c>
      <c r="AC186" s="8">
        <v>0</v>
      </c>
      <c r="AD186" s="8">
        <v>1</v>
      </c>
      <c r="AE186" s="8">
        <v>289</v>
      </c>
    </row>
    <row r="187" spans="1:32" ht="14.25" customHeight="1" x14ac:dyDescent="0.45">
      <c r="A187" s="6" t="s">
        <v>32</v>
      </c>
      <c r="B187" s="7">
        <v>0.8807183467855858</v>
      </c>
      <c r="C187" s="7">
        <v>5.8279938603113868E-2</v>
      </c>
      <c r="D187" s="8">
        <v>0</v>
      </c>
      <c r="E187" s="8">
        <v>1</v>
      </c>
      <c r="F187" s="8">
        <v>30</v>
      </c>
      <c r="G187" s="7">
        <v>0.54094050078981271</v>
      </c>
      <c r="H187" s="7">
        <v>7.1173712714800094E-2</v>
      </c>
      <c r="I187" s="8">
        <v>0</v>
      </c>
      <c r="J187" s="8">
        <v>1</v>
      </c>
      <c r="K187" s="8">
        <v>61</v>
      </c>
      <c r="L187" s="7">
        <v>0.48346140944352428</v>
      </c>
      <c r="M187" s="7">
        <v>7.6685026228219974E-2</v>
      </c>
      <c r="N187" s="8">
        <v>0</v>
      </c>
      <c r="O187" s="8">
        <v>1</v>
      </c>
      <c r="P187" s="8">
        <v>55</v>
      </c>
      <c r="Q187" s="7">
        <v>0.44134588510507772</v>
      </c>
      <c r="R187" s="7">
        <v>8.0894115891955082E-2</v>
      </c>
      <c r="S187" s="8">
        <v>0</v>
      </c>
      <c r="T187" s="8">
        <v>1</v>
      </c>
      <c r="U187" s="8">
        <v>73</v>
      </c>
      <c r="V187" s="7">
        <v>0.20063141493586031</v>
      </c>
      <c r="W187" s="7">
        <v>6.9153247809359233E-2</v>
      </c>
      <c r="X187" s="8">
        <v>0</v>
      </c>
      <c r="Y187" s="8">
        <v>1</v>
      </c>
      <c r="Z187" s="8">
        <v>70</v>
      </c>
      <c r="AA187" s="7">
        <v>0.50135235214164198</v>
      </c>
      <c r="AB187" s="7">
        <v>4.0501737834490306E-2</v>
      </c>
      <c r="AC187" s="8">
        <v>0</v>
      </c>
      <c r="AD187" s="8">
        <v>1</v>
      </c>
      <c r="AE187" s="8">
        <v>289</v>
      </c>
      <c r="AF187">
        <f>(AA189/AA188)-AA187</f>
        <v>0.11138591164569633</v>
      </c>
    </row>
    <row r="188" spans="1:32" ht="14.25" customHeight="1" x14ac:dyDescent="0.45">
      <c r="A188" s="6" t="s">
        <v>36</v>
      </c>
      <c r="B188" s="7">
        <v>0.72893239565623269</v>
      </c>
      <c r="C188" s="7">
        <v>8.902381100148167E-2</v>
      </c>
      <c r="D188" s="8">
        <v>0</v>
      </c>
      <c r="E188" s="8">
        <v>1</v>
      </c>
      <c r="F188" s="8">
        <v>30</v>
      </c>
      <c r="G188" s="7">
        <v>0.32479990825338129</v>
      </c>
      <c r="H188" s="7">
        <v>6.8586146510135823E-2</v>
      </c>
      <c r="I188" s="8">
        <v>0</v>
      </c>
      <c r="J188" s="8">
        <v>1</v>
      </c>
      <c r="K188" s="8">
        <v>61</v>
      </c>
      <c r="L188" s="7">
        <v>0.15180128791918751</v>
      </c>
      <c r="M188" s="7">
        <v>5.7394585526529353E-2</v>
      </c>
      <c r="N188" s="8">
        <v>0</v>
      </c>
      <c r="O188" s="8">
        <v>1</v>
      </c>
      <c r="P188" s="8">
        <v>55</v>
      </c>
      <c r="Q188" s="7">
        <v>0.33816527182499029</v>
      </c>
      <c r="R188" s="7">
        <v>7.9496187777029978E-2</v>
      </c>
      <c r="S188" s="8">
        <v>0</v>
      </c>
      <c r="T188" s="8">
        <v>1</v>
      </c>
      <c r="U188" s="8">
        <v>73</v>
      </c>
      <c r="V188" s="7">
        <v>0.26911799543093445</v>
      </c>
      <c r="W188" s="7">
        <v>7.1124564652368341E-2</v>
      </c>
      <c r="X188" s="8">
        <v>0</v>
      </c>
      <c r="Y188" s="8">
        <v>1</v>
      </c>
      <c r="Z188" s="8">
        <v>70</v>
      </c>
      <c r="AA188" s="7">
        <v>0.28189538649826235</v>
      </c>
      <c r="AB188" s="7">
        <v>3.5929536319725487E-2</v>
      </c>
      <c r="AC188" s="8">
        <v>0</v>
      </c>
      <c r="AD188" s="8">
        <v>1</v>
      </c>
      <c r="AE188" s="8">
        <v>289</v>
      </c>
      <c r="AF188">
        <f>(AA189/AA187)-AA188</f>
        <v>6.2628956420960336E-2</v>
      </c>
    </row>
    <row r="189" spans="1:32" ht="14.25" customHeight="1" x14ac:dyDescent="0.45">
      <c r="A189" s="6" t="s">
        <v>91</v>
      </c>
      <c r="B189" s="7">
        <v>0.63101176810950055</v>
      </c>
      <c r="C189" s="7">
        <v>9.9183893559131667E-2</v>
      </c>
      <c r="D189" s="8">
        <v>0</v>
      </c>
      <c r="E189" s="8">
        <v>1</v>
      </c>
      <c r="F189" s="8">
        <v>30</v>
      </c>
      <c r="G189" s="7">
        <v>0.16996734031660493</v>
      </c>
      <c r="H189" s="7">
        <v>5.317514582135853E-2</v>
      </c>
      <c r="I189" s="8">
        <v>0</v>
      </c>
      <c r="J189" s="8">
        <v>1</v>
      </c>
      <c r="K189" s="8">
        <v>61</v>
      </c>
      <c r="L189" s="7">
        <v>0.12006560493884995</v>
      </c>
      <c r="M189" s="7">
        <v>5.3357018514292691E-2</v>
      </c>
      <c r="N189" s="8">
        <v>0</v>
      </c>
      <c r="O189" s="8">
        <v>1</v>
      </c>
      <c r="P189" s="8">
        <v>55</v>
      </c>
      <c r="Q189" s="7">
        <v>0.1611347339929009</v>
      </c>
      <c r="R189" s="7">
        <v>6.4055240900276589E-2</v>
      </c>
      <c r="S189" s="8">
        <v>0</v>
      </c>
      <c r="T189" s="8">
        <v>1</v>
      </c>
      <c r="U189" s="8">
        <v>73</v>
      </c>
      <c r="V189" s="7">
        <v>7.7646533831506687E-2</v>
      </c>
      <c r="W189" s="7">
        <v>4.3266848894549001E-2</v>
      </c>
      <c r="X189" s="8">
        <v>0</v>
      </c>
      <c r="Y189" s="8">
        <v>1</v>
      </c>
      <c r="Z189" s="8">
        <v>70</v>
      </c>
      <c r="AA189" s="7">
        <v>0.17272808969260595</v>
      </c>
      <c r="AB189" s="7">
        <v>3.0412615078065478E-2</v>
      </c>
      <c r="AC189" s="8">
        <v>0</v>
      </c>
      <c r="AD189" s="8">
        <v>1</v>
      </c>
      <c r="AE189" s="8">
        <v>289</v>
      </c>
    </row>
    <row r="190" spans="1:32" ht="14.25" customHeight="1" x14ac:dyDescent="0.45">
      <c r="A190" s="6" t="s">
        <v>32</v>
      </c>
      <c r="B190" s="7">
        <v>0.8807183467855858</v>
      </c>
      <c r="C190" s="7">
        <v>5.8279938603113868E-2</v>
      </c>
      <c r="D190" s="8">
        <v>0</v>
      </c>
      <c r="E190" s="8">
        <v>1</v>
      </c>
      <c r="F190" s="8">
        <v>30</v>
      </c>
      <c r="G190" s="7">
        <v>0.54094050078981271</v>
      </c>
      <c r="H190" s="7">
        <v>7.1173712714800094E-2</v>
      </c>
      <c r="I190" s="8">
        <v>0</v>
      </c>
      <c r="J190" s="8">
        <v>1</v>
      </c>
      <c r="K190" s="8">
        <v>61</v>
      </c>
      <c r="L190" s="7">
        <v>0.48346140944352428</v>
      </c>
      <c r="M190" s="7">
        <v>7.6685026228219974E-2</v>
      </c>
      <c r="N190" s="8">
        <v>0</v>
      </c>
      <c r="O190" s="8">
        <v>1</v>
      </c>
      <c r="P190" s="8">
        <v>55</v>
      </c>
      <c r="Q190" s="7">
        <v>0.44134588510507772</v>
      </c>
      <c r="R190" s="7">
        <v>8.0894115891955082E-2</v>
      </c>
      <c r="S190" s="8">
        <v>0</v>
      </c>
      <c r="T190" s="8">
        <v>1</v>
      </c>
      <c r="U190" s="8">
        <v>73</v>
      </c>
      <c r="V190" s="7">
        <v>0.20063141493586031</v>
      </c>
      <c r="W190" s="7">
        <v>6.9153247809359233E-2</v>
      </c>
      <c r="X190" s="8">
        <v>0</v>
      </c>
      <c r="Y190" s="8">
        <v>1</v>
      </c>
      <c r="Z190" s="8">
        <v>70</v>
      </c>
      <c r="AA190" s="7">
        <v>0.50135235214164198</v>
      </c>
      <c r="AB190" s="7">
        <v>4.0501737834490306E-2</v>
      </c>
      <c r="AC190" s="8">
        <v>0</v>
      </c>
      <c r="AD190" s="8">
        <v>1</v>
      </c>
      <c r="AE190" s="8">
        <v>289</v>
      </c>
      <c r="AF190">
        <f>(AA192/AA191)-AA190</f>
        <v>2.3857479822451011E-2</v>
      </c>
    </row>
    <row r="191" spans="1:32" ht="26.25" customHeight="1" x14ac:dyDescent="0.45">
      <c r="A191" s="6" t="s">
        <v>38</v>
      </c>
      <c r="B191" s="7">
        <v>0.71998796435535706</v>
      </c>
      <c r="C191" s="7">
        <v>0.11311854104787832</v>
      </c>
      <c r="D191" s="8">
        <v>0</v>
      </c>
      <c r="E191" s="8">
        <v>1</v>
      </c>
      <c r="F191" s="8">
        <v>30</v>
      </c>
      <c r="G191" s="7">
        <v>0.8042407061751119</v>
      </c>
      <c r="H191" s="7">
        <v>5.6411702520922181E-2</v>
      </c>
      <c r="I191" s="8">
        <v>0</v>
      </c>
      <c r="J191" s="8">
        <v>1</v>
      </c>
      <c r="K191" s="8">
        <v>61</v>
      </c>
      <c r="L191" s="7">
        <v>0.89270195125097485</v>
      </c>
      <c r="M191" s="7">
        <v>4.2121950331173691E-2</v>
      </c>
      <c r="N191" s="8">
        <v>0</v>
      </c>
      <c r="O191" s="8">
        <v>1</v>
      </c>
      <c r="P191" s="8">
        <v>55</v>
      </c>
      <c r="Q191" s="7">
        <v>0.78205413715993244</v>
      </c>
      <c r="R191" s="7">
        <v>7.4169259039094562E-2</v>
      </c>
      <c r="S191" s="8">
        <v>0</v>
      </c>
      <c r="T191" s="8">
        <v>1</v>
      </c>
      <c r="U191" s="8">
        <v>73</v>
      </c>
      <c r="V191" s="7">
        <v>0.46181897480982365</v>
      </c>
      <c r="W191" s="7">
        <v>8.6350561884418128E-2</v>
      </c>
      <c r="X191" s="8">
        <v>0</v>
      </c>
      <c r="Y191" s="8">
        <v>1</v>
      </c>
      <c r="Z191" s="8">
        <v>70</v>
      </c>
      <c r="AA191" s="7">
        <v>0.80925310000793194</v>
      </c>
      <c r="AB191" s="7">
        <v>2.96741507605978E-2</v>
      </c>
      <c r="AC191" s="8">
        <v>0</v>
      </c>
      <c r="AD191" s="8">
        <v>1</v>
      </c>
      <c r="AE191" s="8">
        <v>289</v>
      </c>
      <c r="AF191">
        <f>(AA192/AA190)-AA191</f>
        <v>3.850932267939311E-2</v>
      </c>
    </row>
    <row r="192" spans="1:32" ht="26.25" customHeight="1" x14ac:dyDescent="0.45">
      <c r="A192" s="6" t="s">
        <v>92</v>
      </c>
      <c r="B192" s="7">
        <v>0.64488338202655504</v>
      </c>
      <c r="C192" s="7">
        <v>0.11205748217664983</v>
      </c>
      <c r="D192" s="8">
        <v>0</v>
      </c>
      <c r="E192" s="8">
        <v>1</v>
      </c>
      <c r="F192" s="8">
        <v>30</v>
      </c>
      <c r="G192" s="7">
        <v>0.46105926122180119</v>
      </c>
      <c r="H192" s="7">
        <v>7.029218936142248E-2</v>
      </c>
      <c r="I192" s="8">
        <v>0</v>
      </c>
      <c r="J192" s="8">
        <v>1</v>
      </c>
      <c r="K192" s="8">
        <v>61</v>
      </c>
      <c r="L192" s="7">
        <v>0.45004229543486646</v>
      </c>
      <c r="M192" s="7">
        <v>7.6008964190281789E-2</v>
      </c>
      <c r="N192" s="8">
        <v>0</v>
      </c>
      <c r="O192" s="8">
        <v>1</v>
      </c>
      <c r="P192" s="8">
        <v>55</v>
      </c>
      <c r="Q192" s="7">
        <v>0.33170995864298514</v>
      </c>
      <c r="R192" s="7">
        <v>7.3082042768264077E-2</v>
      </c>
      <c r="S192" s="8">
        <v>0</v>
      </c>
      <c r="T192" s="8">
        <v>1</v>
      </c>
      <c r="U192" s="8">
        <v>73</v>
      </c>
      <c r="V192" s="7">
        <v>0.13510158677443537</v>
      </c>
      <c r="W192" s="7">
        <v>6.1886407032453412E-2</v>
      </c>
      <c r="X192" s="8">
        <v>0</v>
      </c>
      <c r="Y192" s="8">
        <v>1</v>
      </c>
      <c r="Z192" s="8">
        <v>70</v>
      </c>
      <c r="AA192" s="7">
        <v>0.4250276846715873</v>
      </c>
      <c r="AB192" s="7">
        <v>3.9658598121841228E-2</v>
      </c>
      <c r="AC192" s="8">
        <v>0</v>
      </c>
      <c r="AD192" s="8">
        <v>1</v>
      </c>
      <c r="AE192" s="8">
        <v>289</v>
      </c>
    </row>
    <row r="193" spans="1:32" ht="14.25" customHeight="1" x14ac:dyDescent="0.45">
      <c r="A193" s="6" t="s">
        <v>32</v>
      </c>
      <c r="B193" s="7">
        <v>0.8807183467855858</v>
      </c>
      <c r="C193" s="7">
        <v>5.8279938603113868E-2</v>
      </c>
      <c r="D193" s="8">
        <v>0</v>
      </c>
      <c r="E193" s="8">
        <v>1</v>
      </c>
      <c r="F193" s="8">
        <v>30</v>
      </c>
      <c r="G193" s="7">
        <v>0.54094050078981271</v>
      </c>
      <c r="H193" s="7">
        <v>7.1173712714800094E-2</v>
      </c>
      <c r="I193" s="8">
        <v>0</v>
      </c>
      <c r="J193" s="8">
        <v>1</v>
      </c>
      <c r="K193" s="8">
        <v>61</v>
      </c>
      <c r="L193" s="7">
        <v>0.48346140944352428</v>
      </c>
      <c r="M193" s="7">
        <v>7.6685026228219974E-2</v>
      </c>
      <c r="N193" s="8">
        <v>0</v>
      </c>
      <c r="O193" s="8">
        <v>1</v>
      </c>
      <c r="P193" s="8">
        <v>55</v>
      </c>
      <c r="Q193" s="7">
        <v>0.44134588510507772</v>
      </c>
      <c r="R193" s="7">
        <v>8.0894115891955082E-2</v>
      </c>
      <c r="S193" s="8">
        <v>0</v>
      </c>
      <c r="T193" s="8">
        <v>1</v>
      </c>
      <c r="U193" s="8">
        <v>73</v>
      </c>
      <c r="V193" s="7">
        <v>0.20063141493586031</v>
      </c>
      <c r="W193" s="7">
        <v>6.9153247809359233E-2</v>
      </c>
      <c r="X193" s="8">
        <v>0</v>
      </c>
      <c r="Y193" s="8">
        <v>1</v>
      </c>
      <c r="Z193" s="8">
        <v>70</v>
      </c>
      <c r="AA193" s="7">
        <v>0.50135235214164198</v>
      </c>
      <c r="AB193" s="7">
        <v>4.0501737834490306E-2</v>
      </c>
      <c r="AC193" s="8">
        <v>0</v>
      </c>
      <c r="AD193" s="8">
        <v>1</v>
      </c>
      <c r="AE193" s="8">
        <v>289</v>
      </c>
      <c r="AF193">
        <f>(AA195/AA194)-AA193</f>
        <v>-3.2048735072009893E-2</v>
      </c>
    </row>
    <row r="194" spans="1:32" ht="14.25" customHeight="1" x14ac:dyDescent="0.45">
      <c r="A194" s="6" t="s">
        <v>40</v>
      </c>
      <c r="B194" s="7">
        <v>0.29691007821421939</v>
      </c>
      <c r="C194" s="7">
        <v>9.0434299454504388E-2</v>
      </c>
      <c r="D194" s="8">
        <v>0</v>
      </c>
      <c r="E194" s="8">
        <v>1</v>
      </c>
      <c r="F194" s="8">
        <v>30</v>
      </c>
      <c r="G194" s="7">
        <v>0.47852637519700286</v>
      </c>
      <c r="H194" s="7">
        <v>7.0841094266787655E-2</v>
      </c>
      <c r="I194" s="8">
        <v>0</v>
      </c>
      <c r="J194" s="8">
        <v>1</v>
      </c>
      <c r="K194" s="8">
        <v>61</v>
      </c>
      <c r="L194" s="7">
        <v>0.65648588818467313</v>
      </c>
      <c r="M194" s="7">
        <v>7.0002600340418331E-2</v>
      </c>
      <c r="N194" s="8">
        <v>0</v>
      </c>
      <c r="O194" s="8">
        <v>1</v>
      </c>
      <c r="P194" s="8">
        <v>55</v>
      </c>
      <c r="Q194" s="7">
        <v>0.79588055624962939</v>
      </c>
      <c r="R194" s="7">
        <v>5.0588570102129408E-2</v>
      </c>
      <c r="S194" s="8">
        <v>0</v>
      </c>
      <c r="T194" s="8">
        <v>1</v>
      </c>
      <c r="U194" s="8">
        <v>73</v>
      </c>
      <c r="V194" s="7">
        <v>0.30585942795052035</v>
      </c>
      <c r="W194" s="7">
        <v>7.9216084987864505E-2</v>
      </c>
      <c r="X194" s="8">
        <v>0</v>
      </c>
      <c r="Y194" s="8">
        <v>1</v>
      </c>
      <c r="Z194" s="8">
        <v>70</v>
      </c>
      <c r="AA194" s="7">
        <v>0.58607907057708142</v>
      </c>
      <c r="AB194" s="7">
        <v>3.8942949569521081E-2</v>
      </c>
      <c r="AC194" s="8">
        <v>0</v>
      </c>
      <c r="AD194" s="8">
        <v>1</v>
      </c>
      <c r="AE194" s="8">
        <v>289</v>
      </c>
      <c r="AF194">
        <f>(AA195/AA193)-AA194</f>
        <v>-3.7464854376245249E-2</v>
      </c>
    </row>
    <row r="195" spans="1:32" ht="26.25" customHeight="1" x14ac:dyDescent="0.45">
      <c r="A195" s="6" t="s">
        <v>93</v>
      </c>
      <c r="B195" s="7">
        <v>0.26060530940747995</v>
      </c>
      <c r="C195" s="7">
        <v>8.5398348976684649E-2</v>
      </c>
      <c r="D195" s="8">
        <v>0</v>
      </c>
      <c r="E195" s="8">
        <v>1</v>
      </c>
      <c r="F195" s="8">
        <v>30</v>
      </c>
      <c r="G195" s="7">
        <v>0.2511541125936505</v>
      </c>
      <c r="H195" s="7">
        <v>6.1928168971318899E-2</v>
      </c>
      <c r="I195" s="8">
        <v>0</v>
      </c>
      <c r="J195" s="8">
        <v>1</v>
      </c>
      <c r="K195" s="8">
        <v>61</v>
      </c>
      <c r="L195" s="7">
        <v>0.28898265709950294</v>
      </c>
      <c r="M195" s="7">
        <v>6.8199837309864592E-2</v>
      </c>
      <c r="N195" s="8">
        <v>0</v>
      </c>
      <c r="O195" s="8">
        <v>1</v>
      </c>
      <c r="P195" s="8">
        <v>55</v>
      </c>
      <c r="Q195" s="7">
        <v>0.35703060211072185</v>
      </c>
      <c r="R195" s="7">
        <v>8.0871248306070356E-2</v>
      </c>
      <c r="S195" s="8">
        <v>0</v>
      </c>
      <c r="T195" s="8">
        <v>1</v>
      </c>
      <c r="U195" s="8">
        <v>73</v>
      </c>
      <c r="V195" s="7">
        <v>5.7861352122139019E-2</v>
      </c>
      <c r="W195" s="7">
        <v>4.110335516885754E-2</v>
      </c>
      <c r="X195" s="8">
        <v>0</v>
      </c>
      <c r="Y195" s="8">
        <v>1</v>
      </c>
      <c r="Z195" s="8">
        <v>70</v>
      </c>
      <c r="AA195" s="7">
        <v>0.2750490277106325</v>
      </c>
      <c r="AB195" s="7">
        <v>3.6378739443521858E-2</v>
      </c>
      <c r="AC195" s="8">
        <v>0</v>
      </c>
      <c r="AD195" s="8">
        <v>1</v>
      </c>
      <c r="AE195" s="8">
        <v>289</v>
      </c>
    </row>
    <row r="196" spans="1:32" ht="14.25" customHeight="1" x14ac:dyDescent="0.45">
      <c r="A196" s="6" t="s">
        <v>32</v>
      </c>
      <c r="B196" s="7">
        <v>0.8807183467855858</v>
      </c>
      <c r="C196" s="7">
        <v>5.8279938603113868E-2</v>
      </c>
      <c r="D196" s="8">
        <v>0</v>
      </c>
      <c r="E196" s="8">
        <v>1</v>
      </c>
      <c r="F196" s="8">
        <v>30</v>
      </c>
      <c r="G196" s="7">
        <v>0.54094050078981271</v>
      </c>
      <c r="H196" s="7">
        <v>7.1173712714800094E-2</v>
      </c>
      <c r="I196" s="8">
        <v>0</v>
      </c>
      <c r="J196" s="8">
        <v>1</v>
      </c>
      <c r="K196" s="8">
        <v>61</v>
      </c>
      <c r="L196" s="7">
        <v>0.48346140944352428</v>
      </c>
      <c r="M196" s="7">
        <v>7.6685026228219974E-2</v>
      </c>
      <c r="N196" s="8">
        <v>0</v>
      </c>
      <c r="O196" s="8">
        <v>1</v>
      </c>
      <c r="P196" s="8">
        <v>55</v>
      </c>
      <c r="Q196" s="7">
        <v>0.44134588510507772</v>
      </c>
      <c r="R196" s="7">
        <v>8.0894115891955082E-2</v>
      </c>
      <c r="S196" s="8">
        <v>0</v>
      </c>
      <c r="T196" s="8">
        <v>1</v>
      </c>
      <c r="U196" s="8">
        <v>73</v>
      </c>
      <c r="V196" s="7">
        <v>0.20063141493586031</v>
      </c>
      <c r="W196" s="7">
        <v>6.9153247809359233E-2</v>
      </c>
      <c r="X196" s="8">
        <v>0</v>
      </c>
      <c r="Y196" s="8">
        <v>1</v>
      </c>
      <c r="Z196" s="8">
        <v>70</v>
      </c>
      <c r="AA196" s="7">
        <v>0.50135235214164198</v>
      </c>
      <c r="AB196" s="7">
        <v>4.0501737834490306E-2</v>
      </c>
      <c r="AC196" s="8">
        <v>0</v>
      </c>
      <c r="AD196" s="8">
        <v>1</v>
      </c>
      <c r="AE196" s="8">
        <v>289</v>
      </c>
      <c r="AF196">
        <f>(AA198/AA197)-AA196</f>
        <v>-2.3047154397642933E-3</v>
      </c>
    </row>
    <row r="197" spans="1:32" ht="14.25" customHeight="1" x14ac:dyDescent="0.45">
      <c r="A197" s="6" t="s">
        <v>42</v>
      </c>
      <c r="B197" s="7">
        <v>0.88373917384473755</v>
      </c>
      <c r="C197" s="7">
        <v>6.5637894232017879E-2</v>
      </c>
      <c r="D197" s="8">
        <v>0</v>
      </c>
      <c r="E197" s="8">
        <v>1</v>
      </c>
      <c r="F197" s="8">
        <v>30</v>
      </c>
      <c r="G197" s="7">
        <v>0.96708867666829124</v>
      </c>
      <c r="H197" s="7">
        <v>2.3335390502298822E-2</v>
      </c>
      <c r="I197" s="8">
        <v>0</v>
      </c>
      <c r="J197" s="8">
        <v>1</v>
      </c>
      <c r="K197" s="8">
        <v>61</v>
      </c>
      <c r="L197" s="7">
        <v>0.92438050124212068</v>
      </c>
      <c r="M197" s="7">
        <v>3.4796389331134367E-2</v>
      </c>
      <c r="N197" s="8">
        <v>0</v>
      </c>
      <c r="O197" s="8">
        <v>1</v>
      </c>
      <c r="P197" s="8">
        <v>55</v>
      </c>
      <c r="Q197" s="7">
        <v>0.91163408858832118</v>
      </c>
      <c r="R197" s="7">
        <v>4.1385817286864961E-2</v>
      </c>
      <c r="S197" s="8">
        <v>0</v>
      </c>
      <c r="T197" s="8">
        <v>1</v>
      </c>
      <c r="U197" s="8">
        <v>73</v>
      </c>
      <c r="V197" s="7">
        <v>0.79321873455244019</v>
      </c>
      <c r="W197" s="7">
        <v>6.5826991842619254E-2</v>
      </c>
      <c r="X197" s="8">
        <v>0</v>
      </c>
      <c r="Y197" s="8">
        <v>1</v>
      </c>
      <c r="Z197" s="8">
        <v>70</v>
      </c>
      <c r="AA197" s="7">
        <v>0.92434876147780487</v>
      </c>
      <c r="AB197" s="7">
        <v>1.809715288505577E-2</v>
      </c>
      <c r="AC197" s="8">
        <v>0</v>
      </c>
      <c r="AD197" s="8">
        <v>1</v>
      </c>
      <c r="AE197" s="8">
        <v>289</v>
      </c>
      <c r="AF197">
        <f>(AA198/AA196)-AA197</f>
        <v>-4.2492288172272241E-3</v>
      </c>
    </row>
    <row r="198" spans="1:32" ht="26.25" customHeight="1" x14ac:dyDescent="0.45">
      <c r="A198" s="6" t="s">
        <v>94</v>
      </c>
      <c r="B198" s="7">
        <v>0.79439709091598654</v>
      </c>
      <c r="C198" s="7">
        <v>7.9809881677635627E-2</v>
      </c>
      <c r="D198" s="8">
        <v>0</v>
      </c>
      <c r="E198" s="8">
        <v>1</v>
      </c>
      <c r="F198" s="8">
        <v>30</v>
      </c>
      <c r="G198" s="7">
        <v>0.50802917745810394</v>
      </c>
      <c r="H198" s="7">
        <v>7.1082212917422338E-2</v>
      </c>
      <c r="I198" s="8">
        <v>0</v>
      </c>
      <c r="J198" s="8">
        <v>1</v>
      </c>
      <c r="K198" s="8">
        <v>61</v>
      </c>
      <c r="L198" s="7">
        <v>0.44338662984074478</v>
      </c>
      <c r="M198" s="7">
        <v>7.6016175412645451E-2</v>
      </c>
      <c r="N198" s="8">
        <v>0</v>
      </c>
      <c r="O198" s="8">
        <v>1</v>
      </c>
      <c r="P198" s="8">
        <v>55</v>
      </c>
      <c r="Q198" s="7">
        <v>0.39820102624006581</v>
      </c>
      <c r="R198" s="7">
        <v>8.0720007212390352E-2</v>
      </c>
      <c r="S198" s="8">
        <v>0</v>
      </c>
      <c r="T198" s="8">
        <v>1</v>
      </c>
      <c r="U198" s="8">
        <v>73</v>
      </c>
      <c r="V198" s="7">
        <v>0.18461113968630033</v>
      </c>
      <c r="W198" s="7">
        <v>6.8747730068870541E-2</v>
      </c>
      <c r="X198" s="8">
        <v>0</v>
      </c>
      <c r="Y198" s="8">
        <v>1</v>
      </c>
      <c r="Z198" s="8">
        <v>70</v>
      </c>
      <c r="AA198" s="7">
        <v>0.46129406490380614</v>
      </c>
      <c r="AB198" s="7">
        <v>4.0282219946764647E-2</v>
      </c>
      <c r="AC198" s="8">
        <v>0</v>
      </c>
      <c r="AD198" s="8">
        <v>1</v>
      </c>
      <c r="AE198" s="8">
        <v>289</v>
      </c>
    </row>
    <row r="199" spans="1:32" ht="14.25" customHeight="1" x14ac:dyDescent="0.45">
      <c r="A199" s="6" t="s">
        <v>32</v>
      </c>
      <c r="B199" s="7">
        <v>0.8807183467855858</v>
      </c>
      <c r="C199" s="7">
        <v>5.8279938603113868E-2</v>
      </c>
      <c r="D199" s="8">
        <v>0</v>
      </c>
      <c r="E199" s="8">
        <v>1</v>
      </c>
      <c r="F199" s="8">
        <v>30</v>
      </c>
      <c r="G199" s="7">
        <v>0.54094050078981271</v>
      </c>
      <c r="H199" s="7">
        <v>7.1173712714800094E-2</v>
      </c>
      <c r="I199" s="8">
        <v>0</v>
      </c>
      <c r="J199" s="8">
        <v>1</v>
      </c>
      <c r="K199" s="8">
        <v>61</v>
      </c>
      <c r="L199" s="7">
        <v>0.48346140944352428</v>
      </c>
      <c r="M199" s="7">
        <v>7.6685026228219974E-2</v>
      </c>
      <c r="N199" s="8">
        <v>0</v>
      </c>
      <c r="O199" s="8">
        <v>1</v>
      </c>
      <c r="P199" s="8">
        <v>55</v>
      </c>
      <c r="Q199" s="7">
        <v>0.44134588510507772</v>
      </c>
      <c r="R199" s="7">
        <v>8.0894115891955082E-2</v>
      </c>
      <c r="S199" s="8">
        <v>0</v>
      </c>
      <c r="T199" s="8">
        <v>1</v>
      </c>
      <c r="U199" s="8">
        <v>73</v>
      </c>
      <c r="V199" s="7">
        <v>0.20063141493586031</v>
      </c>
      <c r="W199" s="7">
        <v>6.9153247809359233E-2</v>
      </c>
      <c r="X199" s="8">
        <v>0</v>
      </c>
      <c r="Y199" s="8">
        <v>1</v>
      </c>
      <c r="Z199" s="8">
        <v>70</v>
      </c>
      <c r="AA199" s="7">
        <v>0.50135235214164198</v>
      </c>
      <c r="AB199" s="7">
        <v>4.0501737834490306E-2</v>
      </c>
      <c r="AC199" s="8">
        <v>0</v>
      </c>
      <c r="AD199" s="8">
        <v>1</v>
      </c>
      <c r="AE199" s="8">
        <v>289</v>
      </c>
      <c r="AF199">
        <f>(AA201/AA200)-AA199</f>
        <v>8.8223837143191153E-2</v>
      </c>
    </row>
    <row r="200" spans="1:32" ht="14.25" customHeight="1" x14ac:dyDescent="0.45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30</v>
      </c>
      <c r="G200" s="7">
        <v>4.3984681938985942E-2</v>
      </c>
      <c r="H200" s="7">
        <v>2.2428515599090256E-2</v>
      </c>
      <c r="I200" s="8">
        <v>0</v>
      </c>
      <c r="J200" s="8">
        <v>1</v>
      </c>
      <c r="K200" s="8">
        <v>61</v>
      </c>
      <c r="L200" s="7">
        <v>4.6686566157947883E-2</v>
      </c>
      <c r="M200" s="7">
        <v>2.9932730284583084E-2</v>
      </c>
      <c r="N200" s="8">
        <v>0</v>
      </c>
      <c r="O200" s="8">
        <v>1</v>
      </c>
      <c r="P200" s="8">
        <v>55</v>
      </c>
      <c r="Q200" s="7">
        <v>4.5823463093928804E-2</v>
      </c>
      <c r="R200" s="7">
        <v>2.1566040924099809E-2</v>
      </c>
      <c r="S200" s="8">
        <v>0</v>
      </c>
      <c r="T200" s="8">
        <v>1</v>
      </c>
      <c r="U200" s="8">
        <v>73</v>
      </c>
      <c r="V200" s="7">
        <v>6.8897826628121606E-2</v>
      </c>
      <c r="W200" s="7">
        <v>4.7551151202023072E-2</v>
      </c>
      <c r="X200" s="8">
        <v>0</v>
      </c>
      <c r="Y200" s="8">
        <v>1</v>
      </c>
      <c r="Z200" s="8">
        <v>70</v>
      </c>
      <c r="AA200" s="7">
        <v>4.4048985501015846E-2</v>
      </c>
      <c r="AB200" s="7">
        <v>1.4289951777276724E-2</v>
      </c>
      <c r="AC200" s="8">
        <v>0</v>
      </c>
      <c r="AD200" s="8">
        <v>1</v>
      </c>
      <c r="AE200" s="8">
        <v>289</v>
      </c>
      <c r="AF200">
        <f>(AA201/AA199)-AA200</f>
        <v>7.7513758668204882E-3</v>
      </c>
    </row>
    <row r="201" spans="1:32" ht="14.25" customHeight="1" x14ac:dyDescent="0.45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30</v>
      </c>
      <c r="G201" s="7">
        <v>1.8245401492296663E-2</v>
      </c>
      <c r="H201" s="7">
        <v>1.3130766730200668E-2</v>
      </c>
      <c r="I201" s="8">
        <v>0</v>
      </c>
      <c r="J201" s="8">
        <v>1</v>
      </c>
      <c r="K201" s="8">
        <v>61</v>
      </c>
      <c r="L201" s="7">
        <v>3.9002999205528147E-2</v>
      </c>
      <c r="M201" s="7">
        <v>2.8969861463090388E-2</v>
      </c>
      <c r="N201" s="8">
        <v>0</v>
      </c>
      <c r="O201" s="8">
        <v>1</v>
      </c>
      <c r="P201" s="8">
        <v>55</v>
      </c>
      <c r="Q201" s="7">
        <v>2.79288581892989E-2</v>
      </c>
      <c r="R201" s="7">
        <v>1.6034147533785337E-2</v>
      </c>
      <c r="S201" s="8">
        <v>0</v>
      </c>
      <c r="T201" s="8">
        <v>1</v>
      </c>
      <c r="U201" s="8">
        <v>73</v>
      </c>
      <c r="V201" s="7">
        <v>0</v>
      </c>
      <c r="W201" s="7">
        <v>0</v>
      </c>
      <c r="X201" s="8">
        <v>0</v>
      </c>
      <c r="Y201" s="8">
        <v>0</v>
      </c>
      <c r="Z201" s="8">
        <v>70</v>
      </c>
      <c r="AA201" s="7">
        <v>2.597023301355179E-2</v>
      </c>
      <c r="AB201" s="7">
        <v>1.2345142928315565E-2</v>
      </c>
      <c r="AC201" s="8">
        <v>0</v>
      </c>
      <c r="AD201" s="8">
        <v>1</v>
      </c>
      <c r="AE201" s="8">
        <v>289</v>
      </c>
    </row>
    <row r="202" spans="1:32" ht="14.25" customHeight="1" x14ac:dyDescent="0.45">
      <c r="A202" s="6" t="s">
        <v>32</v>
      </c>
      <c r="B202" s="7">
        <v>0.8807183467855858</v>
      </c>
      <c r="C202" s="7">
        <v>5.8279938603113868E-2</v>
      </c>
      <c r="D202" s="8">
        <v>0</v>
      </c>
      <c r="E202" s="8">
        <v>1</v>
      </c>
      <c r="F202" s="8">
        <v>30</v>
      </c>
      <c r="G202" s="7">
        <v>0.54094050078981271</v>
      </c>
      <c r="H202" s="7">
        <v>7.1173712714800094E-2</v>
      </c>
      <c r="I202" s="8">
        <v>0</v>
      </c>
      <c r="J202" s="8">
        <v>1</v>
      </c>
      <c r="K202" s="8">
        <v>61</v>
      </c>
      <c r="L202" s="7">
        <v>0.48346140944352428</v>
      </c>
      <c r="M202" s="7">
        <v>7.6685026228219974E-2</v>
      </c>
      <c r="N202" s="8">
        <v>0</v>
      </c>
      <c r="O202" s="8">
        <v>1</v>
      </c>
      <c r="P202" s="8">
        <v>55</v>
      </c>
      <c r="Q202" s="7">
        <v>0.44134588510507772</v>
      </c>
      <c r="R202" s="7">
        <v>8.0894115891955082E-2</v>
      </c>
      <c r="S202" s="8">
        <v>0</v>
      </c>
      <c r="T202" s="8">
        <v>1</v>
      </c>
      <c r="U202" s="8">
        <v>73</v>
      </c>
      <c r="V202" s="7">
        <v>0.20063141493586031</v>
      </c>
      <c r="W202" s="7">
        <v>6.9153247809359233E-2</v>
      </c>
      <c r="X202" s="8">
        <v>0</v>
      </c>
      <c r="Y202" s="8">
        <v>1</v>
      </c>
      <c r="Z202" s="8">
        <v>70</v>
      </c>
      <c r="AA202" s="7">
        <v>0.50135235214164198</v>
      </c>
      <c r="AB202" s="7">
        <v>4.0501737834490306E-2</v>
      </c>
      <c r="AC202" s="8">
        <v>0</v>
      </c>
      <c r="AD202" s="8">
        <v>1</v>
      </c>
      <c r="AE202" s="8">
        <v>289</v>
      </c>
      <c r="AF202">
        <f>(AA204/AA203)-AA202</f>
        <v>1.0337335513715851E-2</v>
      </c>
    </row>
    <row r="203" spans="1:32" ht="39.5" customHeight="1" x14ac:dyDescent="0.45">
      <c r="A203" s="6" t="s">
        <v>16</v>
      </c>
      <c r="B203" s="7">
        <v>0.79917381529480058</v>
      </c>
      <c r="C203" s="7">
        <v>0.11102593038685447</v>
      </c>
      <c r="D203" s="8">
        <v>0</v>
      </c>
      <c r="E203" s="8">
        <v>1</v>
      </c>
      <c r="F203" s="8">
        <v>30</v>
      </c>
      <c r="G203" s="7">
        <v>0.85913609305126304</v>
      </c>
      <c r="H203" s="7">
        <v>5.1613569311876474E-2</v>
      </c>
      <c r="I203" s="8">
        <v>0</v>
      </c>
      <c r="J203" s="8">
        <v>1</v>
      </c>
      <c r="K203" s="8">
        <v>61</v>
      </c>
      <c r="L203" s="7">
        <v>0.93660731788820284</v>
      </c>
      <c r="M203" s="7">
        <v>3.2725921734506148E-2</v>
      </c>
      <c r="N203" s="8">
        <v>0</v>
      </c>
      <c r="O203" s="8">
        <v>1</v>
      </c>
      <c r="P203" s="8">
        <v>55</v>
      </c>
      <c r="Q203" s="7">
        <v>0.978991251172878</v>
      </c>
      <c r="R203" s="7">
        <v>1.3211470829487152E-2</v>
      </c>
      <c r="S203" s="8">
        <v>0</v>
      </c>
      <c r="T203" s="8">
        <v>1</v>
      </c>
      <c r="U203" s="8">
        <v>73</v>
      </c>
      <c r="V203" s="7">
        <v>0.55776647549126268</v>
      </c>
      <c r="W203" s="7">
        <v>8.737343103490372E-2</v>
      </c>
      <c r="X203" s="8">
        <v>0</v>
      </c>
      <c r="Y203" s="8">
        <v>1</v>
      </c>
      <c r="Z203" s="8">
        <v>70</v>
      </c>
      <c r="AA203" s="7">
        <v>0.890410959859264</v>
      </c>
      <c r="AB203" s="7">
        <v>2.2895391539009022E-2</v>
      </c>
      <c r="AC203" s="8">
        <v>0</v>
      </c>
      <c r="AD203" s="8">
        <v>1</v>
      </c>
      <c r="AE203" s="8">
        <v>289</v>
      </c>
      <c r="AF203">
        <f>(AA204/AA202)-AA203</f>
        <v>1.8359297204522895E-2</v>
      </c>
    </row>
    <row r="204" spans="1:32" ht="14.25" customHeight="1" x14ac:dyDescent="0.45">
      <c r="A204" s="6" t="s">
        <v>96</v>
      </c>
      <c r="B204" s="7">
        <v>0.68776446415925918</v>
      </c>
      <c r="C204" s="7">
        <v>0.11160146652503837</v>
      </c>
      <c r="D204" s="8">
        <v>0</v>
      </c>
      <c r="E204" s="8">
        <v>1</v>
      </c>
      <c r="F204" s="8">
        <v>30</v>
      </c>
      <c r="G204" s="7">
        <v>0.46105926122180119</v>
      </c>
      <c r="H204" s="7">
        <v>7.029218936142248E-2</v>
      </c>
      <c r="I204" s="8">
        <v>0</v>
      </c>
      <c r="J204" s="8">
        <v>1</v>
      </c>
      <c r="K204" s="8">
        <v>61</v>
      </c>
      <c r="L204" s="7">
        <v>0.47342173386225467</v>
      </c>
      <c r="M204" s="7">
        <v>7.6539918577987545E-2</v>
      </c>
      <c r="N204" s="8">
        <v>0</v>
      </c>
      <c r="O204" s="8">
        <v>1</v>
      </c>
      <c r="P204" s="8">
        <v>55</v>
      </c>
      <c r="Q204" s="7">
        <v>0.43069523190076953</v>
      </c>
      <c r="R204" s="7">
        <v>8.0880063994054993E-2</v>
      </c>
      <c r="S204" s="8">
        <v>0</v>
      </c>
      <c r="T204" s="8">
        <v>1</v>
      </c>
      <c r="U204" s="8">
        <v>73</v>
      </c>
      <c r="V204" s="7">
        <v>0.13718691907152908</v>
      </c>
      <c r="W204" s="7">
        <v>6.1899664862024431E-2</v>
      </c>
      <c r="X204" s="8">
        <v>0</v>
      </c>
      <c r="Y204" s="8">
        <v>1</v>
      </c>
      <c r="Z204" s="8">
        <v>70</v>
      </c>
      <c r="AA204" s="7">
        <v>0.45561410593529417</v>
      </c>
      <c r="AB204" s="7">
        <v>4.0174813310629671E-2</v>
      </c>
      <c r="AC204" s="8">
        <v>0</v>
      </c>
      <c r="AD204" s="8">
        <v>1</v>
      </c>
      <c r="AE204" s="8">
        <v>289</v>
      </c>
    </row>
    <row r="205" spans="1:32" ht="14.25" customHeight="1" x14ac:dyDescent="0.45">
      <c r="A205" s="6" t="s">
        <v>32</v>
      </c>
      <c r="B205" s="7">
        <v>0.8807183467855858</v>
      </c>
      <c r="C205" s="7">
        <v>5.8279938603113868E-2</v>
      </c>
      <c r="D205" s="8">
        <v>0</v>
      </c>
      <c r="E205" s="8">
        <v>1</v>
      </c>
      <c r="F205" s="8">
        <v>30</v>
      </c>
      <c r="G205" s="7">
        <v>0.54094050078981271</v>
      </c>
      <c r="H205" s="7">
        <v>7.1173712714800094E-2</v>
      </c>
      <c r="I205" s="8">
        <v>0</v>
      </c>
      <c r="J205" s="8">
        <v>1</v>
      </c>
      <c r="K205" s="8">
        <v>61</v>
      </c>
      <c r="L205" s="7">
        <v>0.48346140944352428</v>
      </c>
      <c r="M205" s="7">
        <v>7.6685026228219974E-2</v>
      </c>
      <c r="N205" s="8">
        <v>0</v>
      </c>
      <c r="O205" s="8">
        <v>1</v>
      </c>
      <c r="P205" s="8">
        <v>55</v>
      </c>
      <c r="Q205" s="7">
        <v>0.44134588510507772</v>
      </c>
      <c r="R205" s="7">
        <v>8.0894115891955082E-2</v>
      </c>
      <c r="S205" s="8">
        <v>0</v>
      </c>
      <c r="T205" s="8">
        <v>1</v>
      </c>
      <c r="U205" s="8">
        <v>73</v>
      </c>
      <c r="V205" s="7">
        <v>0.20063141493586031</v>
      </c>
      <c r="W205" s="7">
        <v>6.9153247809359233E-2</v>
      </c>
      <c r="X205" s="8">
        <v>0</v>
      </c>
      <c r="Y205" s="8">
        <v>1</v>
      </c>
      <c r="Z205" s="8">
        <v>70</v>
      </c>
      <c r="AA205" s="7">
        <v>0.50135235214164198</v>
      </c>
      <c r="AB205" s="7">
        <v>4.0501737834490306E-2</v>
      </c>
      <c r="AC205" s="8">
        <v>0</v>
      </c>
      <c r="AD205" s="8">
        <v>1</v>
      </c>
      <c r="AE205" s="8">
        <v>289</v>
      </c>
      <c r="AF205">
        <f>(AA207/AA206)-AA205</f>
        <v>4.6177339060287093E-3</v>
      </c>
    </row>
    <row r="206" spans="1:32" ht="39.5" customHeight="1" x14ac:dyDescent="0.45">
      <c r="A206" s="6" t="s">
        <v>18</v>
      </c>
      <c r="B206" s="7">
        <v>1</v>
      </c>
      <c r="C206" s="7">
        <v>0</v>
      </c>
      <c r="D206" s="8">
        <v>1</v>
      </c>
      <c r="E206" s="8">
        <v>1</v>
      </c>
      <c r="F206" s="8">
        <v>30</v>
      </c>
      <c r="G206" s="7">
        <v>1</v>
      </c>
      <c r="H206" s="7">
        <v>0</v>
      </c>
      <c r="I206" s="8">
        <v>1</v>
      </c>
      <c r="J206" s="8">
        <v>1</v>
      </c>
      <c r="K206" s="8">
        <v>61</v>
      </c>
      <c r="L206" s="7">
        <v>0.96669930780681435</v>
      </c>
      <c r="M206" s="7">
        <v>2.5228335970719683E-2</v>
      </c>
      <c r="N206" s="8">
        <v>0</v>
      </c>
      <c r="O206" s="8">
        <v>1</v>
      </c>
      <c r="P206" s="8">
        <v>55</v>
      </c>
      <c r="Q206" s="7">
        <v>0.98411438133172946</v>
      </c>
      <c r="R206" s="7">
        <v>1.5948863624994217E-2</v>
      </c>
      <c r="S206" s="8">
        <v>0</v>
      </c>
      <c r="T206" s="8">
        <v>1</v>
      </c>
      <c r="U206" s="8">
        <v>73</v>
      </c>
      <c r="V206" s="7">
        <v>0.88206256317830467</v>
      </c>
      <c r="W206" s="7">
        <v>5.2357828055255899E-2</v>
      </c>
      <c r="X206" s="8">
        <v>0</v>
      </c>
      <c r="Y206" s="8">
        <v>1</v>
      </c>
      <c r="Z206" s="8">
        <v>70</v>
      </c>
      <c r="AA206" s="7">
        <v>0.97699062412897175</v>
      </c>
      <c r="AB206" s="7">
        <v>1.0802779004579677E-2</v>
      </c>
      <c r="AC206" s="8">
        <v>0</v>
      </c>
      <c r="AD206" s="8">
        <v>1</v>
      </c>
      <c r="AE206" s="8">
        <v>289</v>
      </c>
      <c r="AF206">
        <f>(AA207/AA205)-AA206</f>
        <v>8.9986268372745926E-3</v>
      </c>
    </row>
    <row r="207" spans="1:32" ht="14.25" customHeight="1" x14ac:dyDescent="0.45">
      <c r="A207" s="6" t="s">
        <v>97</v>
      </c>
      <c r="B207" s="7">
        <v>0.8807183467855858</v>
      </c>
      <c r="C207" s="7">
        <v>5.8279938603113868E-2</v>
      </c>
      <c r="D207" s="8">
        <v>0</v>
      </c>
      <c r="E207" s="8">
        <v>1</v>
      </c>
      <c r="F207" s="8">
        <v>30</v>
      </c>
      <c r="G207" s="7">
        <v>0.54094050078981271</v>
      </c>
      <c r="H207" s="7">
        <v>7.1173712714800094E-2</v>
      </c>
      <c r="I207" s="8">
        <v>0</v>
      </c>
      <c r="J207" s="8">
        <v>1</v>
      </c>
      <c r="K207" s="8">
        <v>61</v>
      </c>
      <c r="L207" s="7">
        <v>0.47342173386225467</v>
      </c>
      <c r="M207" s="7">
        <v>7.6539918577987545E-2</v>
      </c>
      <c r="N207" s="8">
        <v>0</v>
      </c>
      <c r="O207" s="8">
        <v>1</v>
      </c>
      <c r="P207" s="8">
        <v>55</v>
      </c>
      <c r="Q207" s="7">
        <v>0.42546026643680723</v>
      </c>
      <c r="R207" s="7">
        <v>8.0797827592092558E-2</v>
      </c>
      <c r="S207" s="8">
        <v>0</v>
      </c>
      <c r="T207" s="8">
        <v>1</v>
      </c>
      <c r="U207" s="8">
        <v>73</v>
      </c>
      <c r="V207" s="7">
        <v>0.19884072918195006</v>
      </c>
      <c r="W207" s="7">
        <v>6.9136829125750907E-2</v>
      </c>
      <c r="X207" s="8">
        <v>0</v>
      </c>
      <c r="Y207" s="8">
        <v>1</v>
      </c>
      <c r="Z207" s="8">
        <v>70</v>
      </c>
      <c r="AA207" s="7">
        <v>0.49432803015830334</v>
      </c>
      <c r="AB207" s="7">
        <v>4.0469657326399081E-2</v>
      </c>
      <c r="AC207" s="8">
        <v>0</v>
      </c>
      <c r="AD207" s="8">
        <v>1</v>
      </c>
      <c r="AE207" s="8">
        <v>289</v>
      </c>
    </row>
    <row r="208" spans="1:32" ht="14.25" customHeight="1" x14ac:dyDescent="0.45">
      <c r="A208" s="6" t="s">
        <v>32</v>
      </c>
      <c r="B208" s="7">
        <v>0.8807183467855858</v>
      </c>
      <c r="C208" s="7">
        <v>5.8279938603113868E-2</v>
      </c>
      <c r="D208" s="8">
        <v>0</v>
      </c>
      <c r="E208" s="8">
        <v>1</v>
      </c>
      <c r="F208" s="8">
        <v>30</v>
      </c>
      <c r="G208" s="7">
        <v>0.54094050078981271</v>
      </c>
      <c r="H208" s="7">
        <v>7.1173712714800094E-2</v>
      </c>
      <c r="I208" s="8">
        <v>0</v>
      </c>
      <c r="J208" s="8">
        <v>1</v>
      </c>
      <c r="K208" s="8">
        <v>61</v>
      </c>
      <c r="L208" s="7">
        <v>0.48346140944352428</v>
      </c>
      <c r="M208" s="7">
        <v>7.6685026228219974E-2</v>
      </c>
      <c r="N208" s="8">
        <v>0</v>
      </c>
      <c r="O208" s="8">
        <v>1</v>
      </c>
      <c r="P208" s="8">
        <v>55</v>
      </c>
      <c r="Q208" s="7">
        <v>0.44134588510507772</v>
      </c>
      <c r="R208" s="7">
        <v>8.0894115891955082E-2</v>
      </c>
      <c r="S208" s="8">
        <v>0</v>
      </c>
      <c r="T208" s="8">
        <v>1</v>
      </c>
      <c r="U208" s="8">
        <v>73</v>
      </c>
      <c r="V208" s="7">
        <v>0.20063141493586031</v>
      </c>
      <c r="W208" s="7">
        <v>6.9153247809359233E-2</v>
      </c>
      <c r="X208" s="8">
        <v>0</v>
      </c>
      <c r="Y208" s="8">
        <v>1</v>
      </c>
      <c r="Z208" s="8">
        <v>70</v>
      </c>
      <c r="AA208" s="7">
        <v>0.50135235214164198</v>
      </c>
      <c r="AB208" s="7">
        <v>4.0501737834490306E-2</v>
      </c>
      <c r="AC208" s="8">
        <v>0</v>
      </c>
      <c r="AD208" s="8">
        <v>1</v>
      </c>
      <c r="AE208" s="8">
        <v>289</v>
      </c>
      <c r="AF208">
        <f>(AA210/AA209)-AA208</f>
        <v>2.144101585148761E-2</v>
      </c>
    </row>
    <row r="209" spans="1:32" ht="39.5" customHeight="1" x14ac:dyDescent="0.45">
      <c r="A209" s="6" t="s">
        <v>20</v>
      </c>
      <c r="B209" s="7">
        <v>0.71998796435535706</v>
      </c>
      <c r="C209" s="7">
        <v>0.11311854104787832</v>
      </c>
      <c r="D209" s="8">
        <v>0</v>
      </c>
      <c r="E209" s="8">
        <v>1</v>
      </c>
      <c r="F209" s="8">
        <v>30</v>
      </c>
      <c r="G209" s="7">
        <v>0.81708889697607556</v>
      </c>
      <c r="H209" s="7">
        <v>5.5492334817063477E-2</v>
      </c>
      <c r="I209" s="8">
        <v>0</v>
      </c>
      <c r="J209" s="8">
        <v>1</v>
      </c>
      <c r="K209" s="8">
        <v>61</v>
      </c>
      <c r="L209" s="7">
        <v>0.89270195125097485</v>
      </c>
      <c r="M209" s="7">
        <v>4.2121950331173691E-2</v>
      </c>
      <c r="N209" s="8">
        <v>0</v>
      </c>
      <c r="O209" s="8">
        <v>1</v>
      </c>
      <c r="P209" s="8">
        <v>55</v>
      </c>
      <c r="Q209" s="7">
        <v>0.79214063353652753</v>
      </c>
      <c r="R209" s="7">
        <v>7.4227984257885751E-2</v>
      </c>
      <c r="S209" s="8">
        <v>0</v>
      </c>
      <c r="T209" s="8">
        <v>1</v>
      </c>
      <c r="U209" s="8">
        <v>73</v>
      </c>
      <c r="V209" s="7">
        <v>0.46181897480982365</v>
      </c>
      <c r="W209" s="7">
        <v>8.6350561884418128E-2</v>
      </c>
      <c r="X209" s="8">
        <v>0</v>
      </c>
      <c r="Y209" s="8">
        <v>1</v>
      </c>
      <c r="Z209" s="8">
        <v>70</v>
      </c>
      <c r="AA209" s="7">
        <v>0.81495916750566311</v>
      </c>
      <c r="AB209" s="7">
        <v>2.9461639416979199E-2</v>
      </c>
      <c r="AC209" s="8">
        <v>0</v>
      </c>
      <c r="AD209" s="8">
        <v>1</v>
      </c>
      <c r="AE209" s="8">
        <v>289</v>
      </c>
      <c r="AF209">
        <f>(AA210/AA208)-AA209</f>
        <v>3.4852838236744565E-2</v>
      </c>
    </row>
    <row r="210" spans="1:32" ht="14.25" customHeight="1" x14ac:dyDescent="0.45">
      <c r="A210" s="6" t="s">
        <v>98</v>
      </c>
      <c r="B210" s="7">
        <v>0.64488338202655504</v>
      </c>
      <c r="C210" s="7">
        <v>0.11205748217664983</v>
      </c>
      <c r="D210" s="8">
        <v>0</v>
      </c>
      <c r="E210" s="8">
        <v>1</v>
      </c>
      <c r="F210" s="8">
        <v>30</v>
      </c>
      <c r="G210" s="7">
        <v>0.46105926122180119</v>
      </c>
      <c r="H210" s="7">
        <v>7.029218936142248E-2</v>
      </c>
      <c r="I210" s="8">
        <v>0</v>
      </c>
      <c r="J210" s="8">
        <v>1</v>
      </c>
      <c r="K210" s="8">
        <v>61</v>
      </c>
      <c r="L210" s="7">
        <v>0.45004229543486646</v>
      </c>
      <c r="M210" s="7">
        <v>7.6008964190281789E-2</v>
      </c>
      <c r="N210" s="8">
        <v>0</v>
      </c>
      <c r="O210" s="8">
        <v>1</v>
      </c>
      <c r="P210" s="8">
        <v>55</v>
      </c>
      <c r="Q210" s="7">
        <v>0.33719581405576232</v>
      </c>
      <c r="R210" s="7">
        <v>7.326439517628891E-2</v>
      </c>
      <c r="S210" s="8">
        <v>0</v>
      </c>
      <c r="T210" s="8">
        <v>1</v>
      </c>
      <c r="U210" s="8">
        <v>73</v>
      </c>
      <c r="V210" s="7">
        <v>0.13510158677443537</v>
      </c>
      <c r="W210" s="7">
        <v>6.1886407032453412E-2</v>
      </c>
      <c r="X210" s="8">
        <v>0</v>
      </c>
      <c r="Y210" s="8">
        <v>1</v>
      </c>
      <c r="Z210" s="8">
        <v>70</v>
      </c>
      <c r="AA210" s="7">
        <v>0.42605524795716265</v>
      </c>
      <c r="AB210" s="7">
        <v>3.9665882160216652E-2</v>
      </c>
      <c r="AC210" s="8">
        <v>0</v>
      </c>
      <c r="AD210" s="8">
        <v>1</v>
      </c>
      <c r="AE210" s="8">
        <v>289</v>
      </c>
    </row>
    <row r="211" spans="1:32" ht="14.25" customHeight="1" x14ac:dyDescent="0.45">
      <c r="A211" s="6" t="s">
        <v>32</v>
      </c>
      <c r="B211" s="7">
        <v>0.8807183467855858</v>
      </c>
      <c r="C211" s="7">
        <v>5.8279938603113868E-2</v>
      </c>
      <c r="D211" s="8">
        <v>0</v>
      </c>
      <c r="E211" s="8">
        <v>1</v>
      </c>
      <c r="F211" s="8">
        <v>30</v>
      </c>
      <c r="G211" s="7">
        <v>0.54094050078981271</v>
      </c>
      <c r="H211" s="7">
        <v>7.1173712714800094E-2</v>
      </c>
      <c r="I211" s="8">
        <v>0</v>
      </c>
      <c r="J211" s="8">
        <v>1</v>
      </c>
      <c r="K211" s="8">
        <v>61</v>
      </c>
      <c r="L211" s="7">
        <v>0.48346140944352428</v>
      </c>
      <c r="M211" s="7">
        <v>7.6685026228219974E-2</v>
      </c>
      <c r="N211" s="8">
        <v>0</v>
      </c>
      <c r="O211" s="8">
        <v>1</v>
      </c>
      <c r="P211" s="8">
        <v>55</v>
      </c>
      <c r="Q211" s="7">
        <v>0.44134588510507772</v>
      </c>
      <c r="R211" s="7">
        <v>8.0894115891955082E-2</v>
      </c>
      <c r="S211" s="8">
        <v>0</v>
      </c>
      <c r="T211" s="8">
        <v>1</v>
      </c>
      <c r="U211" s="8">
        <v>73</v>
      </c>
      <c r="V211" s="7">
        <v>0.20063141493586031</v>
      </c>
      <c r="W211" s="7">
        <v>6.9153247809359233E-2</v>
      </c>
      <c r="X211" s="8">
        <v>0</v>
      </c>
      <c r="Y211" s="8">
        <v>1</v>
      </c>
      <c r="Z211" s="8">
        <v>70</v>
      </c>
      <c r="AA211" s="7">
        <v>0.50135235214164198</v>
      </c>
      <c r="AB211" s="7">
        <v>4.0501737834490306E-2</v>
      </c>
      <c r="AC211" s="8">
        <v>0</v>
      </c>
      <c r="AD211" s="8">
        <v>1</v>
      </c>
      <c r="AE211" s="8">
        <v>289</v>
      </c>
      <c r="AF211">
        <f>(AA213/AA212)-AA211</f>
        <v>-7.8279110486101366E-4</v>
      </c>
    </row>
    <row r="212" spans="1:32" ht="26.25" customHeight="1" x14ac:dyDescent="0.45">
      <c r="A212" s="6" t="s">
        <v>22</v>
      </c>
      <c r="B212" s="7">
        <v>0.92567057702595223</v>
      </c>
      <c r="C212" s="7">
        <v>5.2772110959269633E-2</v>
      </c>
      <c r="D212" s="8">
        <v>0</v>
      </c>
      <c r="E212" s="8">
        <v>1</v>
      </c>
      <c r="F212" s="8">
        <v>30</v>
      </c>
      <c r="G212" s="7">
        <v>0.96708867666829124</v>
      </c>
      <c r="H212" s="7">
        <v>2.3335390502298822E-2</v>
      </c>
      <c r="I212" s="8">
        <v>0</v>
      </c>
      <c r="J212" s="8">
        <v>1</v>
      </c>
      <c r="K212" s="8">
        <v>61</v>
      </c>
      <c r="L212" s="7">
        <v>0.92438050124212068</v>
      </c>
      <c r="M212" s="7">
        <v>3.4796389331134367E-2</v>
      </c>
      <c r="N212" s="8">
        <v>0</v>
      </c>
      <c r="O212" s="8">
        <v>1</v>
      </c>
      <c r="P212" s="8">
        <v>55</v>
      </c>
      <c r="Q212" s="7">
        <v>0.98744074376457081</v>
      </c>
      <c r="R212" s="7">
        <v>9.6317749278603242E-3</v>
      </c>
      <c r="S212" s="8">
        <v>0</v>
      </c>
      <c r="T212" s="8">
        <v>1</v>
      </c>
      <c r="U212" s="8">
        <v>73</v>
      </c>
      <c r="V212" s="7">
        <v>0.81579627466349469</v>
      </c>
      <c r="W212" s="7">
        <v>6.4243143036487982E-2</v>
      </c>
      <c r="X212" s="8">
        <v>0</v>
      </c>
      <c r="Y212" s="8">
        <v>1</v>
      </c>
      <c r="Z212" s="8">
        <v>70</v>
      </c>
      <c r="AA212" s="7">
        <v>0.94255881801459418</v>
      </c>
      <c r="AB212" s="7">
        <v>1.6228337802130382E-2</v>
      </c>
      <c r="AC212" s="8">
        <v>0</v>
      </c>
      <c r="AD212" s="8">
        <v>1</v>
      </c>
      <c r="AE212" s="8">
        <v>289</v>
      </c>
      <c r="AF212">
        <f>(AA213/AA211)-AA212</f>
        <v>-1.4716728771657639E-3</v>
      </c>
    </row>
    <row r="213" spans="1:32" ht="14.25" customHeight="1" x14ac:dyDescent="0.45">
      <c r="A213" s="6" t="s">
        <v>99</v>
      </c>
      <c r="B213" s="7">
        <v>0.83632849409720122</v>
      </c>
      <c r="C213" s="7">
        <v>7.1000251309773735E-2</v>
      </c>
      <c r="D213" s="8">
        <v>0</v>
      </c>
      <c r="E213" s="8">
        <v>1</v>
      </c>
      <c r="F213" s="8">
        <v>30</v>
      </c>
      <c r="G213" s="7">
        <v>0.50802917745810394</v>
      </c>
      <c r="H213" s="7">
        <v>7.1082212917422338E-2</v>
      </c>
      <c r="I213" s="8">
        <v>0</v>
      </c>
      <c r="J213" s="8">
        <v>1</v>
      </c>
      <c r="K213" s="8">
        <v>61</v>
      </c>
      <c r="L213" s="7">
        <v>0.44338662984074478</v>
      </c>
      <c r="M213" s="7">
        <v>7.6016175412645451E-2</v>
      </c>
      <c r="N213" s="8">
        <v>0</v>
      </c>
      <c r="O213" s="8">
        <v>1</v>
      </c>
      <c r="P213" s="8">
        <v>55</v>
      </c>
      <c r="Q213" s="7">
        <v>0.43738929568735208</v>
      </c>
      <c r="R213" s="7">
        <v>8.0908908848750044E-2</v>
      </c>
      <c r="S213" s="8">
        <v>0</v>
      </c>
      <c r="T213" s="8">
        <v>1</v>
      </c>
      <c r="U213" s="8">
        <v>73</v>
      </c>
      <c r="V213" s="7">
        <v>0.19313345514939317</v>
      </c>
      <c r="W213" s="7">
        <v>6.9057763808344552E-2</v>
      </c>
      <c r="X213" s="8">
        <v>0</v>
      </c>
      <c r="Y213" s="8">
        <v>1</v>
      </c>
      <c r="Z213" s="8">
        <v>70</v>
      </c>
      <c r="AA213" s="7">
        <v>0.47181625378491254</v>
      </c>
      <c r="AB213" s="7">
        <v>4.033539788477105E-2</v>
      </c>
      <c r="AC213" s="8">
        <v>0</v>
      </c>
      <c r="AD213" s="8">
        <v>1</v>
      </c>
      <c r="AE213" s="8">
        <v>289</v>
      </c>
    </row>
    <row r="214" spans="1:32" ht="14.25" customHeight="1" x14ac:dyDescent="0.45">
      <c r="A214" s="6" t="s">
        <v>32</v>
      </c>
      <c r="B214" s="7">
        <v>0.8807183467855858</v>
      </c>
      <c r="C214" s="7">
        <v>5.8279938603113868E-2</v>
      </c>
      <c r="D214" s="8">
        <v>0</v>
      </c>
      <c r="E214" s="8">
        <v>1</v>
      </c>
      <c r="F214" s="8">
        <v>30</v>
      </c>
      <c r="G214" s="7">
        <v>0.54094050078981271</v>
      </c>
      <c r="H214" s="7">
        <v>7.1173712714800094E-2</v>
      </c>
      <c r="I214" s="8">
        <v>0</v>
      </c>
      <c r="J214" s="8">
        <v>1</v>
      </c>
      <c r="K214" s="8">
        <v>61</v>
      </c>
      <c r="L214" s="7">
        <v>0.48346140944352428</v>
      </c>
      <c r="M214" s="7">
        <v>7.6685026228219974E-2</v>
      </c>
      <c r="N214" s="8">
        <v>0</v>
      </c>
      <c r="O214" s="8">
        <v>1</v>
      </c>
      <c r="P214" s="8">
        <v>55</v>
      </c>
      <c r="Q214" s="7">
        <v>0.44134588510507772</v>
      </c>
      <c r="R214" s="7">
        <v>8.0894115891955082E-2</v>
      </c>
      <c r="S214" s="8">
        <v>0</v>
      </c>
      <c r="T214" s="8">
        <v>1</v>
      </c>
      <c r="U214" s="8">
        <v>73</v>
      </c>
      <c r="V214" s="7">
        <v>0.20063141493586031</v>
      </c>
      <c r="W214" s="7">
        <v>6.9153247809359233E-2</v>
      </c>
      <c r="X214" s="8">
        <v>0</v>
      </c>
      <c r="Y214" s="8">
        <v>1</v>
      </c>
      <c r="Z214" s="8">
        <v>70</v>
      </c>
      <c r="AA214" s="7">
        <v>0.50135235214164198</v>
      </c>
      <c r="AB214" s="7">
        <v>4.0501737834490306E-2</v>
      </c>
      <c r="AC214" s="8">
        <v>0</v>
      </c>
      <c r="AD214" s="8">
        <v>1</v>
      </c>
      <c r="AE214" s="8">
        <v>289</v>
      </c>
      <c r="AF214">
        <f>(AA216/AA215)-AA214</f>
        <v>-2.6550790733183283E-2</v>
      </c>
    </row>
    <row r="215" spans="1:32" ht="26.25" customHeight="1" x14ac:dyDescent="0.45">
      <c r="A215" s="6" t="s">
        <v>24</v>
      </c>
      <c r="B215" s="7">
        <v>0.29691007821421939</v>
      </c>
      <c r="C215" s="7">
        <v>9.0434299454504388E-2</v>
      </c>
      <c r="D215" s="8">
        <v>0</v>
      </c>
      <c r="E215" s="8">
        <v>1</v>
      </c>
      <c r="F215" s="8">
        <v>30</v>
      </c>
      <c r="G215" s="7">
        <v>0.49677177668929956</v>
      </c>
      <c r="H215" s="7">
        <v>7.0999294454138578E-2</v>
      </c>
      <c r="I215" s="8">
        <v>0</v>
      </c>
      <c r="J215" s="8">
        <v>1</v>
      </c>
      <c r="K215" s="8">
        <v>61</v>
      </c>
      <c r="L215" s="7">
        <v>0.66910480046057408</v>
      </c>
      <c r="M215" s="7">
        <v>6.9382404233736442E-2</v>
      </c>
      <c r="N215" s="8">
        <v>0</v>
      </c>
      <c r="O215" s="8">
        <v>1</v>
      </c>
      <c r="P215" s="8">
        <v>55</v>
      </c>
      <c r="Q215" s="7">
        <v>0.81572970757523378</v>
      </c>
      <c r="R215" s="7">
        <v>4.8223017832801064E-2</v>
      </c>
      <c r="S215" s="8">
        <v>0</v>
      </c>
      <c r="T215" s="8">
        <v>1</v>
      </c>
      <c r="U215" s="8">
        <v>73</v>
      </c>
      <c r="V215" s="7">
        <v>0.33543852274097052</v>
      </c>
      <c r="W215" s="7">
        <v>8.1338752606745057E-2</v>
      </c>
      <c r="X215" s="8">
        <v>0</v>
      </c>
      <c r="Y215" s="8">
        <v>1</v>
      </c>
      <c r="Z215" s="8">
        <v>70</v>
      </c>
      <c r="AA215" s="7">
        <v>0.60191756282298448</v>
      </c>
      <c r="AB215" s="7">
        <v>3.8656173410834903E-2</v>
      </c>
      <c r="AC215" s="8">
        <v>0</v>
      </c>
      <c r="AD215" s="8">
        <v>1</v>
      </c>
      <c r="AE215" s="8">
        <v>289</v>
      </c>
      <c r="AF215">
        <f>(AA216/AA214)-AA215</f>
        <v>-3.1876557835766817E-2</v>
      </c>
    </row>
    <row r="216" spans="1:32" ht="14.25" customHeight="1" x14ac:dyDescent="0.45">
      <c r="A216" s="6" t="s">
        <v>100</v>
      </c>
      <c r="B216" s="7">
        <v>0.26060530940747995</v>
      </c>
      <c r="C216" s="7">
        <v>8.5398348976684649E-2</v>
      </c>
      <c r="D216" s="8">
        <v>0</v>
      </c>
      <c r="E216" s="8">
        <v>1</v>
      </c>
      <c r="F216" s="8">
        <v>30</v>
      </c>
      <c r="G216" s="7">
        <v>0.26939951408594714</v>
      </c>
      <c r="H216" s="7">
        <v>6.259565250297551E-2</v>
      </c>
      <c r="I216" s="8">
        <v>0</v>
      </c>
      <c r="J216" s="8">
        <v>1</v>
      </c>
      <c r="K216" s="8">
        <v>61</v>
      </c>
      <c r="L216" s="7">
        <v>0.30160156937540389</v>
      </c>
      <c r="M216" s="7">
        <v>6.879021577605729E-2</v>
      </c>
      <c r="N216" s="8">
        <v>0</v>
      </c>
      <c r="O216" s="8">
        <v>1</v>
      </c>
      <c r="P216" s="8">
        <v>55</v>
      </c>
      <c r="Q216" s="7">
        <v>0.35898514853169627</v>
      </c>
      <c r="R216" s="7">
        <v>8.0836161534588766E-2</v>
      </c>
      <c r="S216" s="8">
        <v>0</v>
      </c>
      <c r="T216" s="8">
        <v>1</v>
      </c>
      <c r="U216" s="8">
        <v>73</v>
      </c>
      <c r="V216" s="7">
        <v>5.7861352122139019E-2</v>
      </c>
      <c r="W216" s="7">
        <v>4.110335516885754E-2</v>
      </c>
      <c r="X216" s="8">
        <v>0</v>
      </c>
      <c r="Y216" s="8">
        <v>1</v>
      </c>
      <c r="Z216" s="8">
        <v>70</v>
      </c>
      <c r="AA216" s="7">
        <v>0.28579139866752706</v>
      </c>
      <c r="AB216" s="7">
        <v>3.6612386926854958E-2</v>
      </c>
      <c r="AC216" s="8">
        <v>0</v>
      </c>
      <c r="AD216" s="8">
        <v>1</v>
      </c>
      <c r="AE216" s="8">
        <v>289</v>
      </c>
    </row>
    <row r="217" spans="1:32" ht="14.25" customHeight="1" x14ac:dyDescent="0.45">
      <c r="A217" s="6" t="s">
        <v>34</v>
      </c>
      <c r="B217" s="7">
        <v>0.4894319374513672</v>
      </c>
      <c r="C217" s="7">
        <v>0.10893259880381885</v>
      </c>
      <c r="D217" s="8">
        <v>0</v>
      </c>
      <c r="E217" s="8">
        <v>1</v>
      </c>
      <c r="F217" s="8">
        <v>30</v>
      </c>
      <c r="G217" s="7">
        <v>0.44872874557568304</v>
      </c>
      <c r="H217" s="7">
        <v>7.0135939137786235E-2</v>
      </c>
      <c r="I217" s="8">
        <v>0</v>
      </c>
      <c r="J217" s="8">
        <v>1</v>
      </c>
      <c r="K217" s="8">
        <v>61</v>
      </c>
      <c r="L217" s="7">
        <v>0.44597262530741871</v>
      </c>
      <c r="M217" s="7">
        <v>7.6059185228833259E-2</v>
      </c>
      <c r="N217" s="8">
        <v>0</v>
      </c>
      <c r="O217" s="8">
        <v>1</v>
      </c>
      <c r="P217" s="8">
        <v>55</v>
      </c>
      <c r="Q217" s="7">
        <v>0.33484401603436165</v>
      </c>
      <c r="R217" s="7">
        <v>8.021197421991548E-2</v>
      </c>
      <c r="S217" s="8">
        <v>0</v>
      </c>
      <c r="T217" s="8">
        <v>1</v>
      </c>
      <c r="U217" s="8">
        <v>73</v>
      </c>
      <c r="V217" s="7">
        <v>0.18261413580493294</v>
      </c>
      <c r="W217" s="7">
        <v>6.8799354339987712E-2</v>
      </c>
      <c r="X217" s="8">
        <v>0</v>
      </c>
      <c r="Y217" s="8">
        <v>1</v>
      </c>
      <c r="Z217" s="8">
        <v>70</v>
      </c>
      <c r="AA217" s="7">
        <v>0.4132225092291546</v>
      </c>
      <c r="AB217" s="7">
        <v>3.9940293908986763E-2</v>
      </c>
      <c r="AC217" s="8">
        <v>0</v>
      </c>
      <c r="AD217" s="8">
        <v>1</v>
      </c>
      <c r="AE217" s="8">
        <v>289</v>
      </c>
      <c r="AF217">
        <f>(AA219/AA218)-AA217</f>
        <v>6.1343465199042213E-2</v>
      </c>
    </row>
    <row r="218" spans="1:32" ht="14.25" customHeight="1" x14ac:dyDescent="0.45">
      <c r="A218" s="6" t="s">
        <v>36</v>
      </c>
      <c r="B218" s="7">
        <v>0.72893239565623269</v>
      </c>
      <c r="C218" s="7">
        <v>8.902381100148167E-2</v>
      </c>
      <c r="D218" s="8">
        <v>0</v>
      </c>
      <c r="E218" s="8">
        <v>1</v>
      </c>
      <c r="F218" s="8">
        <v>30</v>
      </c>
      <c r="G218" s="7">
        <v>0.32479990825338129</v>
      </c>
      <c r="H218" s="7">
        <v>6.8586146510135823E-2</v>
      </c>
      <c r="I218" s="8">
        <v>0</v>
      </c>
      <c r="J218" s="8">
        <v>1</v>
      </c>
      <c r="K218" s="8">
        <v>61</v>
      </c>
      <c r="L218" s="7">
        <v>0.15180128791918751</v>
      </c>
      <c r="M218" s="7">
        <v>5.7394585526529353E-2</v>
      </c>
      <c r="N218" s="8">
        <v>0</v>
      </c>
      <c r="O218" s="8">
        <v>1</v>
      </c>
      <c r="P218" s="8">
        <v>55</v>
      </c>
      <c r="Q218" s="7">
        <v>0.33816527182499029</v>
      </c>
      <c r="R218" s="7">
        <v>7.9496187777029978E-2</v>
      </c>
      <c r="S218" s="8">
        <v>0</v>
      </c>
      <c r="T218" s="8">
        <v>1</v>
      </c>
      <c r="U218" s="8">
        <v>73</v>
      </c>
      <c r="V218" s="7">
        <v>0.26911799543093445</v>
      </c>
      <c r="W218" s="7">
        <v>7.1124564652368341E-2</v>
      </c>
      <c r="X218" s="8">
        <v>0</v>
      </c>
      <c r="Y218" s="8">
        <v>1</v>
      </c>
      <c r="Z218" s="8">
        <v>70</v>
      </c>
      <c r="AA218" s="7">
        <v>0.28189538649826235</v>
      </c>
      <c r="AB218" s="7">
        <v>3.5929536319725487E-2</v>
      </c>
      <c r="AC218" s="8">
        <v>0</v>
      </c>
      <c r="AD218" s="8">
        <v>1</v>
      </c>
      <c r="AE218" s="8">
        <v>289</v>
      </c>
      <c r="AF218">
        <f>(AA219/AA217)-AA218</f>
        <v>4.1847768321442269E-2</v>
      </c>
    </row>
    <row r="219" spans="1:32" ht="26.25" customHeight="1" x14ac:dyDescent="0.45">
      <c r="A219" s="6" t="s">
        <v>101</v>
      </c>
      <c r="B219" s="7">
        <v>0.33389525309486334</v>
      </c>
      <c r="C219" s="7">
        <v>0.11115640132972297</v>
      </c>
      <c r="D219" s="8">
        <v>0</v>
      </c>
      <c r="E219" s="8">
        <v>1</v>
      </c>
      <c r="F219" s="8">
        <v>30</v>
      </c>
      <c r="G219" s="7">
        <v>0.12378991411031944</v>
      </c>
      <c r="H219" s="7">
        <v>4.5285247187307268E-2</v>
      </c>
      <c r="I219" s="8">
        <v>0</v>
      </c>
      <c r="J219" s="8">
        <v>1</v>
      </c>
      <c r="K219" s="8">
        <v>61</v>
      </c>
      <c r="L219" s="7">
        <v>0.12006560493884995</v>
      </c>
      <c r="M219" s="7">
        <v>5.3357018514292691E-2</v>
      </c>
      <c r="N219" s="8">
        <v>0</v>
      </c>
      <c r="O219" s="8">
        <v>1</v>
      </c>
      <c r="P219" s="8">
        <v>55</v>
      </c>
      <c r="Q219" s="7">
        <v>0.13153852604832342</v>
      </c>
      <c r="R219" s="7">
        <v>6.196561075990898E-2</v>
      </c>
      <c r="S219" s="8">
        <v>0</v>
      </c>
      <c r="T219" s="8">
        <v>1</v>
      </c>
      <c r="U219" s="8">
        <v>73</v>
      </c>
      <c r="V219" s="7">
        <v>6.5702515282058893E-2</v>
      </c>
      <c r="W219" s="7">
        <v>4.2730614909711376E-2</v>
      </c>
      <c r="X219" s="8">
        <v>0</v>
      </c>
      <c r="Y219" s="8">
        <v>1</v>
      </c>
      <c r="Z219" s="8">
        <v>70</v>
      </c>
      <c r="AA219" s="7">
        <v>0.13377795878036103</v>
      </c>
      <c r="AB219" s="7">
        <v>2.8564364342019699E-2</v>
      </c>
      <c r="AC219" s="8">
        <v>0</v>
      </c>
      <c r="AD219" s="8">
        <v>1</v>
      </c>
      <c r="AE219" s="8">
        <v>289</v>
      </c>
    </row>
    <row r="220" spans="1:32" ht="14.25" customHeight="1" x14ac:dyDescent="0.45">
      <c r="A220" s="6" t="s">
        <v>34</v>
      </c>
      <c r="B220" s="7">
        <v>0.4894319374513672</v>
      </c>
      <c r="C220" s="7">
        <v>0.10893259880381885</v>
      </c>
      <c r="D220" s="8">
        <v>0</v>
      </c>
      <c r="E220" s="8">
        <v>1</v>
      </c>
      <c r="F220" s="8">
        <v>30</v>
      </c>
      <c r="G220" s="7">
        <v>0.44872874557568304</v>
      </c>
      <c r="H220" s="7">
        <v>7.0135939137786235E-2</v>
      </c>
      <c r="I220" s="8">
        <v>0</v>
      </c>
      <c r="J220" s="8">
        <v>1</v>
      </c>
      <c r="K220" s="8">
        <v>61</v>
      </c>
      <c r="L220" s="7">
        <v>0.44597262530741871</v>
      </c>
      <c r="M220" s="7">
        <v>7.6059185228833259E-2</v>
      </c>
      <c r="N220" s="8">
        <v>0</v>
      </c>
      <c r="O220" s="8">
        <v>1</v>
      </c>
      <c r="P220" s="8">
        <v>55</v>
      </c>
      <c r="Q220" s="7">
        <v>0.33484401603436165</v>
      </c>
      <c r="R220" s="7">
        <v>8.021197421991548E-2</v>
      </c>
      <c r="S220" s="8">
        <v>0</v>
      </c>
      <c r="T220" s="8">
        <v>1</v>
      </c>
      <c r="U220" s="8">
        <v>73</v>
      </c>
      <c r="V220" s="7">
        <v>0.18261413580493294</v>
      </c>
      <c r="W220" s="7">
        <v>6.8799354339987712E-2</v>
      </c>
      <c r="X220" s="8">
        <v>0</v>
      </c>
      <c r="Y220" s="8">
        <v>1</v>
      </c>
      <c r="Z220" s="8">
        <v>70</v>
      </c>
      <c r="AA220" s="7">
        <v>0.4132225092291546</v>
      </c>
      <c r="AB220" s="7">
        <v>3.9940293908986763E-2</v>
      </c>
      <c r="AC220" s="8">
        <v>0</v>
      </c>
      <c r="AD220" s="8">
        <v>1</v>
      </c>
      <c r="AE220" s="8">
        <v>289</v>
      </c>
      <c r="AF220">
        <f>(AA222/AA221)-AA220</f>
        <v>2.0230831687063966E-2</v>
      </c>
    </row>
    <row r="221" spans="1:32" ht="26.25" customHeight="1" x14ac:dyDescent="0.45">
      <c r="A221" s="6" t="s">
        <v>38</v>
      </c>
      <c r="B221" s="7">
        <v>0.71998796435535706</v>
      </c>
      <c r="C221" s="7">
        <v>0.11311854104787832</v>
      </c>
      <c r="D221" s="8">
        <v>0</v>
      </c>
      <c r="E221" s="8">
        <v>1</v>
      </c>
      <c r="F221" s="8">
        <v>30</v>
      </c>
      <c r="G221" s="7">
        <v>0.8042407061751119</v>
      </c>
      <c r="H221" s="7">
        <v>5.6411702520922181E-2</v>
      </c>
      <c r="I221" s="8">
        <v>0</v>
      </c>
      <c r="J221" s="8">
        <v>1</v>
      </c>
      <c r="K221" s="8">
        <v>61</v>
      </c>
      <c r="L221" s="7">
        <v>0.89270195125097485</v>
      </c>
      <c r="M221" s="7">
        <v>4.2121950331173691E-2</v>
      </c>
      <c r="N221" s="8">
        <v>0</v>
      </c>
      <c r="O221" s="8">
        <v>1</v>
      </c>
      <c r="P221" s="8">
        <v>55</v>
      </c>
      <c r="Q221" s="7">
        <v>0.78205413715993244</v>
      </c>
      <c r="R221" s="7">
        <v>7.4169259039094562E-2</v>
      </c>
      <c r="S221" s="8">
        <v>0</v>
      </c>
      <c r="T221" s="8">
        <v>1</v>
      </c>
      <c r="U221" s="8">
        <v>73</v>
      </c>
      <c r="V221" s="7">
        <v>0.46181897480982365</v>
      </c>
      <c r="W221" s="7">
        <v>8.6350561884418128E-2</v>
      </c>
      <c r="X221" s="8">
        <v>0</v>
      </c>
      <c r="Y221" s="8">
        <v>1</v>
      </c>
      <c r="Z221" s="8">
        <v>70</v>
      </c>
      <c r="AA221" s="7">
        <v>0.80925310000793194</v>
      </c>
      <c r="AB221" s="7">
        <v>2.96741507605978E-2</v>
      </c>
      <c r="AC221" s="8">
        <v>0</v>
      </c>
      <c r="AD221" s="8">
        <v>1</v>
      </c>
      <c r="AE221" s="8">
        <v>289</v>
      </c>
      <c r="AF221">
        <f>(AA222/AA220)-AA221</f>
        <v>3.9619969611616956E-2</v>
      </c>
    </row>
    <row r="222" spans="1:32" ht="39.5" customHeight="1" x14ac:dyDescent="0.45">
      <c r="A222" s="6" t="s">
        <v>102</v>
      </c>
      <c r="B222" s="7">
        <v>0.26519327997624126</v>
      </c>
      <c r="C222" s="7">
        <v>8.6234730570989501E-2</v>
      </c>
      <c r="D222" s="8">
        <v>0</v>
      </c>
      <c r="E222" s="8">
        <v>1</v>
      </c>
      <c r="F222" s="8">
        <v>30</v>
      </c>
      <c r="G222" s="7">
        <v>0.39083377081781706</v>
      </c>
      <c r="H222" s="7">
        <v>6.7820029914808747E-2</v>
      </c>
      <c r="I222" s="8">
        <v>0</v>
      </c>
      <c r="J222" s="8">
        <v>1</v>
      </c>
      <c r="K222" s="8">
        <v>61</v>
      </c>
      <c r="L222" s="7">
        <v>0.41255351129876089</v>
      </c>
      <c r="M222" s="7">
        <v>7.5207725641405709E-2</v>
      </c>
      <c r="N222" s="8">
        <v>0</v>
      </c>
      <c r="O222" s="8">
        <v>1</v>
      </c>
      <c r="P222" s="8">
        <v>55</v>
      </c>
      <c r="Q222" s="7">
        <v>0.25723021685762493</v>
      </c>
      <c r="R222" s="7">
        <v>6.8614578335147447E-2</v>
      </c>
      <c r="S222" s="8">
        <v>0</v>
      </c>
      <c r="T222" s="8">
        <v>1</v>
      </c>
      <c r="U222" s="8">
        <v>73</v>
      </c>
      <c r="V222" s="7">
        <v>0.12734729972346961</v>
      </c>
      <c r="W222" s="7">
        <v>6.1767063218321809E-2</v>
      </c>
      <c r="X222" s="8">
        <v>0</v>
      </c>
      <c r="Y222" s="8">
        <v>1</v>
      </c>
      <c r="Z222" s="8">
        <v>70</v>
      </c>
      <c r="AA222" s="7">
        <v>0.35077345984524483</v>
      </c>
      <c r="AB222" s="7">
        <v>3.8573996878889287E-2</v>
      </c>
      <c r="AC222" s="8">
        <v>0</v>
      </c>
      <c r="AD222" s="8">
        <v>1</v>
      </c>
      <c r="AE222" s="8">
        <v>289</v>
      </c>
    </row>
    <row r="223" spans="1:32" ht="14.25" customHeight="1" x14ac:dyDescent="0.45">
      <c r="A223" s="6" t="s">
        <v>34</v>
      </c>
      <c r="B223" s="7">
        <v>0.4894319374513672</v>
      </c>
      <c r="C223" s="7">
        <v>0.10893259880381885</v>
      </c>
      <c r="D223" s="8">
        <v>0</v>
      </c>
      <c r="E223" s="8">
        <v>1</v>
      </c>
      <c r="F223" s="8">
        <v>30</v>
      </c>
      <c r="G223" s="7">
        <v>0.44872874557568304</v>
      </c>
      <c r="H223" s="7">
        <v>7.0135939137786235E-2</v>
      </c>
      <c r="I223" s="8">
        <v>0</v>
      </c>
      <c r="J223" s="8">
        <v>1</v>
      </c>
      <c r="K223" s="8">
        <v>61</v>
      </c>
      <c r="L223" s="7">
        <v>0.44597262530741871</v>
      </c>
      <c r="M223" s="7">
        <v>7.6059185228833259E-2</v>
      </c>
      <c r="N223" s="8">
        <v>0</v>
      </c>
      <c r="O223" s="8">
        <v>1</v>
      </c>
      <c r="P223" s="8">
        <v>55</v>
      </c>
      <c r="Q223" s="7">
        <v>0.33484401603436165</v>
      </c>
      <c r="R223" s="7">
        <v>8.021197421991548E-2</v>
      </c>
      <c r="S223" s="8">
        <v>0</v>
      </c>
      <c r="T223" s="8">
        <v>1</v>
      </c>
      <c r="U223" s="8">
        <v>73</v>
      </c>
      <c r="V223" s="7">
        <v>0.18261413580493294</v>
      </c>
      <c r="W223" s="7">
        <v>6.8799354339987712E-2</v>
      </c>
      <c r="X223" s="8">
        <v>0</v>
      </c>
      <c r="Y223" s="8">
        <v>1</v>
      </c>
      <c r="Z223" s="8">
        <v>70</v>
      </c>
      <c r="AA223" s="7">
        <v>0.4132225092291546</v>
      </c>
      <c r="AB223" s="7">
        <v>3.9940293908986763E-2</v>
      </c>
      <c r="AC223" s="8">
        <v>0</v>
      </c>
      <c r="AD223" s="8">
        <v>1</v>
      </c>
      <c r="AE223" s="8">
        <v>289</v>
      </c>
      <c r="AF223">
        <f>(AA225/AA224)-AA223</f>
        <v>-1.468363323292432E-2</v>
      </c>
    </row>
    <row r="224" spans="1:32" ht="14.25" customHeight="1" x14ac:dyDescent="0.45">
      <c r="A224" s="6" t="s">
        <v>40</v>
      </c>
      <c r="B224" s="7">
        <v>0.29691007821421939</v>
      </c>
      <c r="C224" s="7">
        <v>9.0434299454504388E-2</v>
      </c>
      <c r="D224" s="8">
        <v>0</v>
      </c>
      <c r="E224" s="8">
        <v>1</v>
      </c>
      <c r="F224" s="8">
        <v>30</v>
      </c>
      <c r="G224" s="7">
        <v>0.47852637519700286</v>
      </c>
      <c r="H224" s="7">
        <v>7.0841094266787655E-2</v>
      </c>
      <c r="I224" s="8">
        <v>0</v>
      </c>
      <c r="J224" s="8">
        <v>1</v>
      </c>
      <c r="K224" s="8">
        <v>61</v>
      </c>
      <c r="L224" s="7">
        <v>0.65648588818467313</v>
      </c>
      <c r="M224" s="7">
        <v>7.0002600340418331E-2</v>
      </c>
      <c r="N224" s="8">
        <v>0</v>
      </c>
      <c r="O224" s="8">
        <v>1</v>
      </c>
      <c r="P224" s="8">
        <v>55</v>
      </c>
      <c r="Q224" s="7">
        <v>0.79588055624962939</v>
      </c>
      <c r="R224" s="7">
        <v>5.0588570102129408E-2</v>
      </c>
      <c r="S224" s="8">
        <v>0</v>
      </c>
      <c r="T224" s="8">
        <v>1</v>
      </c>
      <c r="U224" s="8">
        <v>73</v>
      </c>
      <c r="V224" s="7">
        <v>0.30585942795052035</v>
      </c>
      <c r="W224" s="7">
        <v>7.9216084987864505E-2</v>
      </c>
      <c r="X224" s="8">
        <v>0</v>
      </c>
      <c r="Y224" s="8">
        <v>1</v>
      </c>
      <c r="Z224" s="8">
        <v>70</v>
      </c>
      <c r="AA224" s="7">
        <v>0.58607907057708142</v>
      </c>
      <c r="AB224" s="7">
        <v>3.8942949569521081E-2</v>
      </c>
      <c r="AC224" s="8">
        <v>0</v>
      </c>
      <c r="AD224" s="8">
        <v>1</v>
      </c>
      <c r="AE224" s="8">
        <v>289</v>
      </c>
      <c r="AF224">
        <f>(AA225/AA223)-AA224</f>
        <v>-2.0825995500343475E-2</v>
      </c>
    </row>
    <row r="225" spans="1:32" ht="26.25" customHeight="1" x14ac:dyDescent="0.45">
      <c r="A225" s="6" t="s">
        <v>103</v>
      </c>
      <c r="B225" s="7">
        <v>0.16313387706319835</v>
      </c>
      <c r="C225" s="7">
        <v>6.7769532376563357E-2</v>
      </c>
      <c r="D225" s="8">
        <v>0</v>
      </c>
      <c r="E225" s="8">
        <v>1</v>
      </c>
      <c r="F225" s="8">
        <v>30</v>
      </c>
      <c r="G225" s="7">
        <v>0.20497668638736499</v>
      </c>
      <c r="H225" s="7">
        <v>5.6962146037128521E-2</v>
      </c>
      <c r="I225" s="8">
        <v>0</v>
      </c>
      <c r="J225" s="8">
        <v>1</v>
      </c>
      <c r="K225" s="8">
        <v>61</v>
      </c>
      <c r="L225" s="7">
        <v>0.25939218595782809</v>
      </c>
      <c r="M225" s="7">
        <v>6.6463513926719661E-2</v>
      </c>
      <c r="N225" s="8">
        <v>0</v>
      </c>
      <c r="O225" s="8">
        <v>1</v>
      </c>
      <c r="P225" s="8">
        <v>55</v>
      </c>
      <c r="Q225" s="7">
        <v>0.30414469836454244</v>
      </c>
      <c r="R225" s="7">
        <v>8.0513308236026662E-2</v>
      </c>
      <c r="S225" s="8">
        <v>0</v>
      </c>
      <c r="T225" s="8">
        <v>1</v>
      </c>
      <c r="U225" s="8">
        <v>73</v>
      </c>
      <c r="V225" s="7">
        <v>5.7861352122139019E-2</v>
      </c>
      <c r="W225" s="7">
        <v>4.110335516885754E-2</v>
      </c>
      <c r="X225" s="8">
        <v>0</v>
      </c>
      <c r="Y225" s="8">
        <v>1</v>
      </c>
      <c r="Z225" s="8">
        <v>70</v>
      </c>
      <c r="AA225" s="7">
        <v>0.23357529403270536</v>
      </c>
      <c r="AB225" s="7">
        <v>3.5025159964403425E-2</v>
      </c>
      <c r="AC225" s="8">
        <v>0</v>
      </c>
      <c r="AD225" s="8">
        <v>1</v>
      </c>
      <c r="AE225" s="8">
        <v>289</v>
      </c>
    </row>
    <row r="226" spans="1:32" ht="14.25" customHeight="1" x14ac:dyDescent="0.45">
      <c r="A226" s="6" t="s">
        <v>34</v>
      </c>
      <c r="B226" s="7">
        <v>0.4894319374513672</v>
      </c>
      <c r="C226" s="7">
        <v>0.10893259880381885</v>
      </c>
      <c r="D226" s="8">
        <v>0</v>
      </c>
      <c r="E226" s="8">
        <v>1</v>
      </c>
      <c r="F226" s="8">
        <v>30</v>
      </c>
      <c r="G226" s="7">
        <v>0.44872874557568304</v>
      </c>
      <c r="H226" s="7">
        <v>7.0135939137786235E-2</v>
      </c>
      <c r="I226" s="8">
        <v>0</v>
      </c>
      <c r="J226" s="8">
        <v>1</v>
      </c>
      <c r="K226" s="8">
        <v>61</v>
      </c>
      <c r="L226" s="7">
        <v>0.44597262530741871</v>
      </c>
      <c r="M226" s="7">
        <v>7.6059185228833259E-2</v>
      </c>
      <c r="N226" s="8">
        <v>0</v>
      </c>
      <c r="O226" s="8">
        <v>1</v>
      </c>
      <c r="P226" s="8">
        <v>55</v>
      </c>
      <c r="Q226" s="7">
        <v>0.33484401603436165</v>
      </c>
      <c r="R226" s="7">
        <v>8.021197421991548E-2</v>
      </c>
      <c r="S226" s="8">
        <v>0</v>
      </c>
      <c r="T226" s="8">
        <v>1</v>
      </c>
      <c r="U226" s="8">
        <v>73</v>
      </c>
      <c r="V226" s="7">
        <v>0.18261413580493294</v>
      </c>
      <c r="W226" s="7">
        <v>6.8799354339987712E-2</v>
      </c>
      <c r="X226" s="8">
        <v>0</v>
      </c>
      <c r="Y226" s="8">
        <v>1</v>
      </c>
      <c r="Z226" s="8">
        <v>70</v>
      </c>
      <c r="AA226" s="7">
        <v>0.4132225092291546</v>
      </c>
      <c r="AB226" s="7">
        <v>3.9940293908986763E-2</v>
      </c>
      <c r="AC226" s="8">
        <v>0</v>
      </c>
      <c r="AD226" s="8">
        <v>1</v>
      </c>
      <c r="AE226" s="8">
        <v>289</v>
      </c>
      <c r="AF226">
        <f>(AA228/AA227)-AA226</f>
        <v>-3.399918820805703E-3</v>
      </c>
    </row>
    <row r="227" spans="1:32" ht="14.25" customHeight="1" x14ac:dyDescent="0.45">
      <c r="A227" s="6" t="s">
        <v>42</v>
      </c>
      <c r="B227" s="7">
        <v>0.88373917384473755</v>
      </c>
      <c r="C227" s="7">
        <v>6.5637894232017879E-2</v>
      </c>
      <c r="D227" s="8">
        <v>0</v>
      </c>
      <c r="E227" s="8">
        <v>1</v>
      </c>
      <c r="F227" s="8">
        <v>30</v>
      </c>
      <c r="G227" s="7">
        <v>0.96708867666829124</v>
      </c>
      <c r="H227" s="7">
        <v>2.3335390502298822E-2</v>
      </c>
      <c r="I227" s="8">
        <v>0</v>
      </c>
      <c r="J227" s="8">
        <v>1</v>
      </c>
      <c r="K227" s="8">
        <v>61</v>
      </c>
      <c r="L227" s="7">
        <v>0.92438050124212068</v>
      </c>
      <c r="M227" s="7">
        <v>3.4796389331134367E-2</v>
      </c>
      <c r="N227" s="8">
        <v>0</v>
      </c>
      <c r="O227" s="8">
        <v>1</v>
      </c>
      <c r="P227" s="8">
        <v>55</v>
      </c>
      <c r="Q227" s="7">
        <v>0.91163408858832118</v>
      </c>
      <c r="R227" s="7">
        <v>4.1385817286864961E-2</v>
      </c>
      <c r="S227" s="8">
        <v>0</v>
      </c>
      <c r="T227" s="8">
        <v>1</v>
      </c>
      <c r="U227" s="8">
        <v>73</v>
      </c>
      <c r="V227" s="7">
        <v>0.79321873455244019</v>
      </c>
      <c r="W227" s="7">
        <v>6.5826991842619254E-2</v>
      </c>
      <c r="X227" s="8">
        <v>0</v>
      </c>
      <c r="Y227" s="8">
        <v>1</v>
      </c>
      <c r="Z227" s="8">
        <v>70</v>
      </c>
      <c r="AA227" s="7">
        <v>0.92434876147780487</v>
      </c>
      <c r="AB227" s="7">
        <v>1.809715288505577E-2</v>
      </c>
      <c r="AC227" s="8">
        <v>0</v>
      </c>
      <c r="AD227" s="8">
        <v>1</v>
      </c>
      <c r="AE227" s="8">
        <v>289</v>
      </c>
      <c r="AF227">
        <f>(AA228/AA226)-AA227</f>
        <v>-7.6053716362146639E-3</v>
      </c>
    </row>
    <row r="228" spans="1:32" ht="26.25" customHeight="1" x14ac:dyDescent="0.45">
      <c r="A228" s="6" t="s">
        <v>104</v>
      </c>
      <c r="B228" s="7">
        <v>0.44504208476298257</v>
      </c>
      <c r="C228" s="7">
        <v>0.11030710371865073</v>
      </c>
      <c r="D228" s="8">
        <v>0</v>
      </c>
      <c r="E228" s="8">
        <v>1</v>
      </c>
      <c r="F228" s="8">
        <v>30</v>
      </c>
      <c r="G228" s="7">
        <v>0.41581742224397422</v>
      </c>
      <c r="H228" s="7">
        <v>6.9281552313599254E-2</v>
      </c>
      <c r="I228" s="8">
        <v>0</v>
      </c>
      <c r="J228" s="8">
        <v>1</v>
      </c>
      <c r="K228" s="8">
        <v>61</v>
      </c>
      <c r="L228" s="7">
        <v>0.40589784570463922</v>
      </c>
      <c r="M228" s="7">
        <v>7.5294984676246735E-2</v>
      </c>
      <c r="N228" s="8">
        <v>0</v>
      </c>
      <c r="O228" s="8">
        <v>1</v>
      </c>
      <c r="P228" s="8">
        <v>55</v>
      </c>
      <c r="Q228" s="7">
        <v>0.30758477583762023</v>
      </c>
      <c r="R228" s="7">
        <v>8.0121634667388572E-2</v>
      </c>
      <c r="S228" s="8">
        <v>0</v>
      </c>
      <c r="T228" s="8">
        <v>1</v>
      </c>
      <c r="U228" s="8">
        <v>73</v>
      </c>
      <c r="V228" s="7">
        <v>0.16659386055537298</v>
      </c>
      <c r="W228" s="7">
        <v>6.8474133746850033E-2</v>
      </c>
      <c r="X228" s="8">
        <v>0</v>
      </c>
      <c r="Y228" s="8">
        <v>1</v>
      </c>
      <c r="Z228" s="8">
        <v>70</v>
      </c>
      <c r="AA228" s="7">
        <v>0.378819003869583</v>
      </c>
      <c r="AB228" s="7">
        <v>3.9591480315853161E-2</v>
      </c>
      <c r="AC228" s="8">
        <v>0</v>
      </c>
      <c r="AD228" s="8">
        <v>1</v>
      </c>
      <c r="AE228" s="8">
        <v>289</v>
      </c>
    </row>
    <row r="229" spans="1:32" ht="14.25" customHeight="1" x14ac:dyDescent="0.45">
      <c r="A229" s="6" t="s">
        <v>34</v>
      </c>
      <c r="B229" s="7">
        <v>0.4894319374513672</v>
      </c>
      <c r="C229" s="7">
        <v>0.10893259880381885</v>
      </c>
      <c r="D229" s="8">
        <v>0</v>
      </c>
      <c r="E229" s="8">
        <v>1</v>
      </c>
      <c r="F229" s="8">
        <v>30</v>
      </c>
      <c r="G229" s="7">
        <v>0.44872874557568304</v>
      </c>
      <c r="H229" s="7">
        <v>7.0135939137786235E-2</v>
      </c>
      <c r="I229" s="8">
        <v>0</v>
      </c>
      <c r="J229" s="8">
        <v>1</v>
      </c>
      <c r="K229" s="8">
        <v>61</v>
      </c>
      <c r="L229" s="7">
        <v>0.44597262530741871</v>
      </c>
      <c r="M229" s="7">
        <v>7.6059185228833259E-2</v>
      </c>
      <c r="N229" s="8">
        <v>0</v>
      </c>
      <c r="O229" s="8">
        <v>1</v>
      </c>
      <c r="P229" s="8">
        <v>55</v>
      </c>
      <c r="Q229" s="7">
        <v>0.33484401603436165</v>
      </c>
      <c r="R229" s="7">
        <v>8.021197421991548E-2</v>
      </c>
      <c r="S229" s="8">
        <v>0</v>
      </c>
      <c r="T229" s="8">
        <v>1</v>
      </c>
      <c r="U229" s="8">
        <v>73</v>
      </c>
      <c r="V229" s="7">
        <v>0.18261413580493294</v>
      </c>
      <c r="W229" s="7">
        <v>6.8799354339987712E-2</v>
      </c>
      <c r="X229" s="8">
        <v>0</v>
      </c>
      <c r="Y229" s="8">
        <v>1</v>
      </c>
      <c r="Z229" s="8">
        <v>70</v>
      </c>
      <c r="AA229" s="7">
        <v>0.4132225092291546</v>
      </c>
      <c r="AB229" s="7">
        <v>3.9940293908986763E-2</v>
      </c>
      <c r="AC229" s="8">
        <v>0</v>
      </c>
      <c r="AD229" s="8">
        <v>1</v>
      </c>
      <c r="AE229" s="8">
        <v>289</v>
      </c>
      <c r="AF229">
        <f>(AA231/AA230)-AA229</f>
        <v>7.6571149998638732E-2</v>
      </c>
    </row>
    <row r="230" spans="1:32" ht="14.25" customHeight="1" x14ac:dyDescent="0.45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30</v>
      </c>
      <c r="G230" s="7">
        <v>4.3984681938985942E-2</v>
      </c>
      <c r="H230" s="7">
        <v>2.2428515599090256E-2</v>
      </c>
      <c r="I230" s="8">
        <v>0</v>
      </c>
      <c r="J230" s="8">
        <v>1</v>
      </c>
      <c r="K230" s="8">
        <v>61</v>
      </c>
      <c r="L230" s="7">
        <v>4.6686566157947883E-2</v>
      </c>
      <c r="M230" s="7">
        <v>2.9932730284583084E-2</v>
      </c>
      <c r="N230" s="8">
        <v>0</v>
      </c>
      <c r="O230" s="8">
        <v>1</v>
      </c>
      <c r="P230" s="8">
        <v>55</v>
      </c>
      <c r="Q230" s="7">
        <v>4.5823463093928804E-2</v>
      </c>
      <c r="R230" s="7">
        <v>2.1566040924099809E-2</v>
      </c>
      <c r="S230" s="8">
        <v>0</v>
      </c>
      <c r="T230" s="8">
        <v>1</v>
      </c>
      <c r="U230" s="8">
        <v>73</v>
      </c>
      <c r="V230" s="7">
        <v>6.8897826628121606E-2</v>
      </c>
      <c r="W230" s="7">
        <v>4.7551151202023072E-2</v>
      </c>
      <c r="X230" s="8">
        <v>0</v>
      </c>
      <c r="Y230" s="8">
        <v>1</v>
      </c>
      <c r="Z230" s="8">
        <v>70</v>
      </c>
      <c r="AA230" s="7">
        <v>4.4048985501015846E-2</v>
      </c>
      <c r="AB230" s="7">
        <v>1.4289951777276724E-2</v>
      </c>
      <c r="AC230" s="8">
        <v>0</v>
      </c>
      <c r="AD230" s="8">
        <v>1</v>
      </c>
      <c r="AE230" s="8">
        <v>289</v>
      </c>
      <c r="AF230">
        <f>(AA231/AA229)-AA230</f>
        <v>8.1623856415229748E-3</v>
      </c>
    </row>
    <row r="231" spans="1:32" ht="26.25" customHeight="1" x14ac:dyDescent="0.45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30</v>
      </c>
      <c r="G231" s="7">
        <v>1.0286352723018781E-2</v>
      </c>
      <c r="H231" s="7">
        <v>1.0367964559042096E-2</v>
      </c>
      <c r="I231" s="8">
        <v>0</v>
      </c>
      <c r="J231" s="8">
        <v>1</v>
      </c>
      <c r="K231" s="8">
        <v>61</v>
      </c>
      <c r="L231" s="7">
        <v>3.9002999205528147E-2</v>
      </c>
      <c r="M231" s="7">
        <v>2.8969861463090388E-2</v>
      </c>
      <c r="N231" s="8">
        <v>0</v>
      </c>
      <c r="O231" s="8">
        <v>1</v>
      </c>
      <c r="P231" s="8">
        <v>55</v>
      </c>
      <c r="Q231" s="7">
        <v>1.7086154900030917E-2</v>
      </c>
      <c r="R231" s="7">
        <v>1.3860737219252761E-2</v>
      </c>
      <c r="S231" s="8">
        <v>0</v>
      </c>
      <c r="T231" s="8">
        <v>1</v>
      </c>
      <c r="U231" s="8">
        <v>73</v>
      </c>
      <c r="V231" s="7">
        <v>0</v>
      </c>
      <c r="W231" s="7">
        <v>0</v>
      </c>
      <c r="X231" s="8">
        <v>0</v>
      </c>
      <c r="Y231" s="8">
        <v>0</v>
      </c>
      <c r="Z231" s="8">
        <v>70</v>
      </c>
      <c r="AA231" s="7">
        <v>2.1574913793814564E-2</v>
      </c>
      <c r="AB231" s="7">
        <v>1.2043909896369803E-2</v>
      </c>
      <c r="AC231" s="8">
        <v>0</v>
      </c>
      <c r="AD231" s="8">
        <v>1</v>
      </c>
      <c r="AE231" s="8">
        <v>289</v>
      </c>
    </row>
    <row r="232" spans="1:32" ht="14.25" customHeight="1" x14ac:dyDescent="0.45">
      <c r="A232" s="6" t="s">
        <v>34</v>
      </c>
      <c r="B232" s="7">
        <v>0.4894319374513672</v>
      </c>
      <c r="C232" s="7">
        <v>0.10893259880381885</v>
      </c>
      <c r="D232" s="8">
        <v>0</v>
      </c>
      <c r="E232" s="8">
        <v>1</v>
      </c>
      <c r="F232" s="8">
        <v>30</v>
      </c>
      <c r="G232" s="7">
        <v>0.44872874557568304</v>
      </c>
      <c r="H232" s="7">
        <v>7.0135939137786235E-2</v>
      </c>
      <c r="I232" s="8">
        <v>0</v>
      </c>
      <c r="J232" s="8">
        <v>1</v>
      </c>
      <c r="K232" s="8">
        <v>61</v>
      </c>
      <c r="L232" s="7">
        <v>0.44597262530741871</v>
      </c>
      <c r="M232" s="7">
        <v>7.6059185228833259E-2</v>
      </c>
      <c r="N232" s="8">
        <v>0</v>
      </c>
      <c r="O232" s="8">
        <v>1</v>
      </c>
      <c r="P232" s="8">
        <v>55</v>
      </c>
      <c r="Q232" s="7">
        <v>0.33484401603436165</v>
      </c>
      <c r="R232" s="7">
        <v>8.021197421991548E-2</v>
      </c>
      <c r="S232" s="8">
        <v>0</v>
      </c>
      <c r="T232" s="8">
        <v>1</v>
      </c>
      <c r="U232" s="8">
        <v>73</v>
      </c>
      <c r="V232" s="7">
        <v>0.18261413580493294</v>
      </c>
      <c r="W232" s="7">
        <v>6.8799354339987712E-2</v>
      </c>
      <c r="X232" s="8">
        <v>0</v>
      </c>
      <c r="Y232" s="8">
        <v>1</v>
      </c>
      <c r="Z232" s="8">
        <v>70</v>
      </c>
      <c r="AA232" s="7">
        <v>0.4132225092291546</v>
      </c>
      <c r="AB232" s="7">
        <v>3.9940293908986763E-2</v>
      </c>
      <c r="AC232" s="8">
        <v>0</v>
      </c>
      <c r="AD232" s="8">
        <v>1</v>
      </c>
      <c r="AE232" s="8">
        <v>289</v>
      </c>
      <c r="AF232">
        <f>(AA234/AA233)-AA232</f>
        <v>1.0578159542138699E-2</v>
      </c>
    </row>
    <row r="233" spans="1:32" ht="39.5" customHeight="1" x14ac:dyDescent="0.45">
      <c r="A233" s="6" t="s">
        <v>16</v>
      </c>
      <c r="B233" s="7">
        <v>0.79917381529480058</v>
      </c>
      <c r="C233" s="7">
        <v>0.11102593038685447</v>
      </c>
      <c r="D233" s="8">
        <v>0</v>
      </c>
      <c r="E233" s="8">
        <v>1</v>
      </c>
      <c r="F233" s="8">
        <v>30</v>
      </c>
      <c r="G233" s="7">
        <v>0.85913609305126304</v>
      </c>
      <c r="H233" s="7">
        <v>5.1613569311876474E-2</v>
      </c>
      <c r="I233" s="8">
        <v>0</v>
      </c>
      <c r="J233" s="8">
        <v>1</v>
      </c>
      <c r="K233" s="8">
        <v>61</v>
      </c>
      <c r="L233" s="7">
        <v>0.93660731788820284</v>
      </c>
      <c r="M233" s="7">
        <v>3.2725921734506148E-2</v>
      </c>
      <c r="N233" s="8">
        <v>0</v>
      </c>
      <c r="O233" s="8">
        <v>1</v>
      </c>
      <c r="P233" s="8">
        <v>55</v>
      </c>
      <c r="Q233" s="7">
        <v>0.978991251172878</v>
      </c>
      <c r="R233" s="7">
        <v>1.3211470829487152E-2</v>
      </c>
      <c r="S233" s="8">
        <v>0</v>
      </c>
      <c r="T233" s="8">
        <v>1</v>
      </c>
      <c r="U233" s="8">
        <v>73</v>
      </c>
      <c r="V233" s="7">
        <v>0.55776647549126268</v>
      </c>
      <c r="W233" s="7">
        <v>8.737343103490372E-2</v>
      </c>
      <c r="X233" s="8">
        <v>0</v>
      </c>
      <c r="Y233" s="8">
        <v>1</v>
      </c>
      <c r="Z233" s="8">
        <v>70</v>
      </c>
      <c r="AA233" s="7">
        <v>0.890410959859264</v>
      </c>
      <c r="AB233" s="7">
        <v>2.2895391539009022E-2</v>
      </c>
      <c r="AC233" s="8">
        <v>0</v>
      </c>
      <c r="AD233" s="8">
        <v>1</v>
      </c>
      <c r="AE233" s="8">
        <v>289</v>
      </c>
      <c r="AF233">
        <f>(AA234/AA232)-AA233</f>
        <v>2.2793795064626643E-2</v>
      </c>
    </row>
    <row r="234" spans="1:32" ht="26.25" customHeight="1" x14ac:dyDescent="0.45">
      <c r="A234" s="6" t="s">
        <v>106</v>
      </c>
      <c r="B234" s="7">
        <v>0.30807436210894534</v>
      </c>
      <c r="C234" s="7">
        <v>9.2575999796643188E-2</v>
      </c>
      <c r="D234" s="8">
        <v>0</v>
      </c>
      <c r="E234" s="8">
        <v>1</v>
      </c>
      <c r="F234" s="8">
        <v>30</v>
      </c>
      <c r="G234" s="7">
        <v>0.39083377081781706</v>
      </c>
      <c r="H234" s="7">
        <v>6.7820029914808747E-2</v>
      </c>
      <c r="I234" s="8">
        <v>0</v>
      </c>
      <c r="J234" s="8">
        <v>1</v>
      </c>
      <c r="K234" s="8">
        <v>61</v>
      </c>
      <c r="L234" s="7">
        <v>0.43593294972614915</v>
      </c>
      <c r="M234" s="7">
        <v>7.5909417893328834E-2</v>
      </c>
      <c r="N234" s="8">
        <v>0</v>
      </c>
      <c r="O234" s="8">
        <v>1</v>
      </c>
      <c r="P234" s="8">
        <v>55</v>
      </c>
      <c r="Q234" s="7">
        <v>0.33484401603436165</v>
      </c>
      <c r="R234" s="7">
        <v>8.021197421991548E-2</v>
      </c>
      <c r="S234" s="8">
        <v>0</v>
      </c>
      <c r="T234" s="8">
        <v>1</v>
      </c>
      <c r="U234" s="8">
        <v>73</v>
      </c>
      <c r="V234" s="7">
        <v>0.12943263202056332</v>
      </c>
      <c r="W234" s="7">
        <v>6.1774019747134173E-2</v>
      </c>
      <c r="X234" s="8">
        <v>0</v>
      </c>
      <c r="Y234" s="8">
        <v>1</v>
      </c>
      <c r="Z234" s="8">
        <v>70</v>
      </c>
      <c r="AA234" s="7">
        <v>0.37735676026964526</v>
      </c>
      <c r="AB234" s="7">
        <v>3.9421376190236668E-2</v>
      </c>
      <c r="AC234" s="8">
        <v>0</v>
      </c>
      <c r="AD234" s="8">
        <v>1</v>
      </c>
      <c r="AE234" s="8">
        <v>289</v>
      </c>
    </row>
    <row r="235" spans="1:32" ht="14.25" customHeight="1" x14ac:dyDescent="0.45">
      <c r="A235" s="6" t="s">
        <v>34</v>
      </c>
      <c r="B235" s="7">
        <v>0.4894319374513672</v>
      </c>
      <c r="C235" s="7">
        <v>0.10893259880381885</v>
      </c>
      <c r="D235" s="8">
        <v>0</v>
      </c>
      <c r="E235" s="8">
        <v>1</v>
      </c>
      <c r="F235" s="8">
        <v>30</v>
      </c>
      <c r="G235" s="7">
        <v>0.44872874557568304</v>
      </c>
      <c r="H235" s="7">
        <v>7.0135939137786235E-2</v>
      </c>
      <c r="I235" s="8">
        <v>0</v>
      </c>
      <c r="J235" s="8">
        <v>1</v>
      </c>
      <c r="K235" s="8">
        <v>61</v>
      </c>
      <c r="L235" s="7">
        <v>0.44597262530741871</v>
      </c>
      <c r="M235" s="7">
        <v>7.6059185228833259E-2</v>
      </c>
      <c r="N235" s="8">
        <v>0</v>
      </c>
      <c r="O235" s="8">
        <v>1</v>
      </c>
      <c r="P235" s="8">
        <v>55</v>
      </c>
      <c r="Q235" s="7">
        <v>0.33484401603436165</v>
      </c>
      <c r="R235" s="7">
        <v>8.021197421991548E-2</v>
      </c>
      <c r="S235" s="8">
        <v>0</v>
      </c>
      <c r="T235" s="8">
        <v>1</v>
      </c>
      <c r="U235" s="8">
        <v>73</v>
      </c>
      <c r="V235" s="7">
        <v>0.18261413580493294</v>
      </c>
      <c r="W235" s="7">
        <v>6.8799354339987712E-2</v>
      </c>
      <c r="X235" s="8">
        <v>0</v>
      </c>
      <c r="Y235" s="8">
        <v>1</v>
      </c>
      <c r="Z235" s="8">
        <v>70</v>
      </c>
      <c r="AA235" s="7">
        <v>0.4132225092291546</v>
      </c>
      <c r="AB235" s="7">
        <v>3.9940293908986763E-2</v>
      </c>
      <c r="AC235" s="8">
        <v>0</v>
      </c>
      <c r="AD235" s="8">
        <v>1</v>
      </c>
      <c r="AE235" s="8">
        <v>289</v>
      </c>
      <c r="AF235">
        <f>(AA237/AA236)-AA235</f>
        <v>5.5877993798380543E-3</v>
      </c>
    </row>
    <row r="236" spans="1:32" ht="39.5" customHeight="1" x14ac:dyDescent="0.45">
      <c r="A236" s="6" t="s">
        <v>18</v>
      </c>
      <c r="B236" s="7">
        <v>1</v>
      </c>
      <c r="C236" s="7">
        <v>0</v>
      </c>
      <c r="D236" s="8">
        <v>1</v>
      </c>
      <c r="E236" s="8">
        <v>1</v>
      </c>
      <c r="F236" s="8">
        <v>30</v>
      </c>
      <c r="G236" s="7">
        <v>1</v>
      </c>
      <c r="H236" s="7">
        <v>0</v>
      </c>
      <c r="I236" s="8">
        <v>1</v>
      </c>
      <c r="J236" s="8">
        <v>1</v>
      </c>
      <c r="K236" s="8">
        <v>61</v>
      </c>
      <c r="L236" s="7">
        <v>0.96669930780681435</v>
      </c>
      <c r="M236" s="7">
        <v>2.5228335970719683E-2</v>
      </c>
      <c r="N236" s="8">
        <v>0</v>
      </c>
      <c r="O236" s="8">
        <v>1</v>
      </c>
      <c r="P236" s="8">
        <v>55</v>
      </c>
      <c r="Q236" s="7">
        <v>0.98411438133172946</v>
      </c>
      <c r="R236" s="7">
        <v>1.5948863624994217E-2</v>
      </c>
      <c r="S236" s="8">
        <v>0</v>
      </c>
      <c r="T236" s="8">
        <v>1</v>
      </c>
      <c r="U236" s="8">
        <v>73</v>
      </c>
      <c r="V236" s="7">
        <v>0.88206256317830467</v>
      </c>
      <c r="W236" s="7">
        <v>5.2357828055255899E-2</v>
      </c>
      <c r="X236" s="8">
        <v>0</v>
      </c>
      <c r="Y236" s="8">
        <v>1</v>
      </c>
      <c r="Z236" s="8">
        <v>70</v>
      </c>
      <c r="AA236" s="7">
        <v>0.97699062412897175</v>
      </c>
      <c r="AB236" s="7">
        <v>1.0802779004579677E-2</v>
      </c>
      <c r="AC236" s="8">
        <v>0</v>
      </c>
      <c r="AD236" s="8">
        <v>1</v>
      </c>
      <c r="AE236" s="8">
        <v>289</v>
      </c>
      <c r="AF236">
        <f>(AA237/AA235)-AA236</f>
        <v>1.3211350983273751E-2</v>
      </c>
    </row>
    <row r="237" spans="1:32" ht="26.25" customHeight="1" x14ac:dyDescent="0.45">
      <c r="A237" s="6" t="s">
        <v>107</v>
      </c>
      <c r="B237" s="7">
        <v>0.4894319374513672</v>
      </c>
      <c r="C237" s="7">
        <v>0.10893259880381885</v>
      </c>
      <c r="D237" s="8">
        <v>0</v>
      </c>
      <c r="E237" s="8">
        <v>1</v>
      </c>
      <c r="F237" s="8">
        <v>30</v>
      </c>
      <c r="G237" s="7">
        <v>0.44872874557568304</v>
      </c>
      <c r="H237" s="7">
        <v>7.0135939137786235E-2</v>
      </c>
      <c r="I237" s="8">
        <v>0</v>
      </c>
      <c r="J237" s="8">
        <v>1</v>
      </c>
      <c r="K237" s="8">
        <v>61</v>
      </c>
      <c r="L237" s="7">
        <v>0.43593294972614915</v>
      </c>
      <c r="M237" s="7">
        <v>7.5909417893328834E-2</v>
      </c>
      <c r="N237" s="8">
        <v>0</v>
      </c>
      <c r="O237" s="8">
        <v>1</v>
      </c>
      <c r="P237" s="8">
        <v>55</v>
      </c>
      <c r="Q237" s="7">
        <v>0.33484401603436165</v>
      </c>
      <c r="R237" s="7">
        <v>8.021197421991548E-2</v>
      </c>
      <c r="S237" s="8">
        <v>0</v>
      </c>
      <c r="T237" s="8">
        <v>1</v>
      </c>
      <c r="U237" s="8">
        <v>73</v>
      </c>
      <c r="V237" s="7">
        <v>0.18082345005102271</v>
      </c>
      <c r="W237" s="7">
        <v>6.8793947697823613E-2</v>
      </c>
      <c r="X237" s="8">
        <v>0</v>
      </c>
      <c r="Y237" s="8">
        <v>1</v>
      </c>
      <c r="Z237" s="8">
        <v>70</v>
      </c>
      <c r="AA237" s="7">
        <v>0.40917374479954699</v>
      </c>
      <c r="AB237" s="7">
        <v>3.9908883315590234E-2</v>
      </c>
      <c r="AC237" s="8">
        <v>0</v>
      </c>
      <c r="AD237" s="8">
        <v>1</v>
      </c>
      <c r="AE237" s="8">
        <v>289</v>
      </c>
    </row>
    <row r="238" spans="1:32" ht="14.25" customHeight="1" x14ac:dyDescent="0.45">
      <c r="A238" s="6" t="s">
        <v>34</v>
      </c>
      <c r="B238" s="7">
        <v>0.4894319374513672</v>
      </c>
      <c r="C238" s="7">
        <v>0.10893259880381885</v>
      </c>
      <c r="D238" s="8">
        <v>0</v>
      </c>
      <c r="E238" s="8">
        <v>1</v>
      </c>
      <c r="F238" s="8">
        <v>30</v>
      </c>
      <c r="G238" s="7">
        <v>0.44872874557568304</v>
      </c>
      <c r="H238" s="7">
        <v>7.0135939137786235E-2</v>
      </c>
      <c r="I238" s="8">
        <v>0</v>
      </c>
      <c r="J238" s="8">
        <v>1</v>
      </c>
      <c r="K238" s="8">
        <v>61</v>
      </c>
      <c r="L238" s="7">
        <v>0.44597262530741871</v>
      </c>
      <c r="M238" s="7">
        <v>7.6059185228833259E-2</v>
      </c>
      <c r="N238" s="8">
        <v>0</v>
      </c>
      <c r="O238" s="8">
        <v>1</v>
      </c>
      <c r="P238" s="8">
        <v>55</v>
      </c>
      <c r="Q238" s="7">
        <v>0.33484401603436165</v>
      </c>
      <c r="R238" s="7">
        <v>8.021197421991548E-2</v>
      </c>
      <c r="S238" s="8">
        <v>0</v>
      </c>
      <c r="T238" s="8">
        <v>1</v>
      </c>
      <c r="U238" s="8">
        <v>73</v>
      </c>
      <c r="V238" s="7">
        <v>0.18261413580493294</v>
      </c>
      <c r="W238" s="7">
        <v>6.8799354339987712E-2</v>
      </c>
      <c r="X238" s="8">
        <v>0</v>
      </c>
      <c r="Y238" s="8">
        <v>1</v>
      </c>
      <c r="Z238" s="8">
        <v>70</v>
      </c>
      <c r="AA238" s="7">
        <v>0.4132225092291546</v>
      </c>
      <c r="AB238" s="7">
        <v>3.9940293908986763E-2</v>
      </c>
      <c r="AC238" s="8">
        <v>0</v>
      </c>
      <c r="AD238" s="8">
        <v>1</v>
      </c>
      <c r="AE238" s="8">
        <v>289</v>
      </c>
      <c r="AF238">
        <f>(AA240/AA239)-AA238</f>
        <v>1.7195938505906117E-2</v>
      </c>
    </row>
    <row r="239" spans="1:32" ht="39.5" customHeight="1" x14ac:dyDescent="0.45">
      <c r="A239" s="6" t="s">
        <v>20</v>
      </c>
      <c r="B239" s="7">
        <v>0.71998796435535706</v>
      </c>
      <c r="C239" s="7">
        <v>0.11311854104787832</v>
      </c>
      <c r="D239" s="8">
        <v>0</v>
      </c>
      <c r="E239" s="8">
        <v>1</v>
      </c>
      <c r="F239" s="8">
        <v>30</v>
      </c>
      <c r="G239" s="7">
        <v>0.81708889697607556</v>
      </c>
      <c r="H239" s="7">
        <v>5.5492334817063477E-2</v>
      </c>
      <c r="I239" s="8">
        <v>0</v>
      </c>
      <c r="J239" s="8">
        <v>1</v>
      </c>
      <c r="K239" s="8">
        <v>61</v>
      </c>
      <c r="L239" s="7">
        <v>0.89270195125097485</v>
      </c>
      <c r="M239" s="7">
        <v>4.2121950331173691E-2</v>
      </c>
      <c r="N239" s="8">
        <v>0</v>
      </c>
      <c r="O239" s="8">
        <v>1</v>
      </c>
      <c r="P239" s="8">
        <v>55</v>
      </c>
      <c r="Q239" s="7">
        <v>0.79214063353652753</v>
      </c>
      <c r="R239" s="7">
        <v>7.4227984257885751E-2</v>
      </c>
      <c r="S239" s="8">
        <v>0</v>
      </c>
      <c r="T239" s="8">
        <v>1</v>
      </c>
      <c r="U239" s="8">
        <v>73</v>
      </c>
      <c r="V239" s="7">
        <v>0.46181897480982365</v>
      </c>
      <c r="W239" s="7">
        <v>8.6350561884418128E-2</v>
      </c>
      <c r="X239" s="8">
        <v>0</v>
      </c>
      <c r="Y239" s="8">
        <v>1</v>
      </c>
      <c r="Z239" s="8">
        <v>70</v>
      </c>
      <c r="AA239" s="7">
        <v>0.81495916750566311</v>
      </c>
      <c r="AB239" s="7">
        <v>2.9461639416979199E-2</v>
      </c>
      <c r="AC239" s="8">
        <v>0</v>
      </c>
      <c r="AD239" s="8">
        <v>1</v>
      </c>
      <c r="AE239" s="8">
        <v>289</v>
      </c>
      <c r="AF239">
        <f>(AA240/AA238)-AA239</f>
        <v>3.3913902113885785E-2</v>
      </c>
    </row>
    <row r="240" spans="1:32" ht="26.25" customHeight="1" x14ac:dyDescent="0.45">
      <c r="A240" s="6" t="s">
        <v>108</v>
      </c>
      <c r="B240" s="7">
        <v>0.26519327997624126</v>
      </c>
      <c r="C240" s="7">
        <v>8.6234730570989501E-2</v>
      </c>
      <c r="D240" s="8">
        <v>0</v>
      </c>
      <c r="E240" s="8">
        <v>1</v>
      </c>
      <c r="F240" s="8">
        <v>30</v>
      </c>
      <c r="G240" s="7">
        <v>0.39083377081781706</v>
      </c>
      <c r="H240" s="7">
        <v>6.7820029914808747E-2</v>
      </c>
      <c r="I240" s="8">
        <v>0</v>
      </c>
      <c r="J240" s="8">
        <v>1</v>
      </c>
      <c r="K240" s="8">
        <v>61</v>
      </c>
      <c r="L240" s="7">
        <v>0.41255351129876089</v>
      </c>
      <c r="M240" s="7">
        <v>7.5207725641405709E-2</v>
      </c>
      <c r="N240" s="8">
        <v>0</v>
      </c>
      <c r="O240" s="8">
        <v>1</v>
      </c>
      <c r="P240" s="8">
        <v>55</v>
      </c>
      <c r="Q240" s="7">
        <v>0.25723021685762493</v>
      </c>
      <c r="R240" s="7">
        <v>6.8614578335147447E-2</v>
      </c>
      <c r="S240" s="8">
        <v>0</v>
      </c>
      <c r="T240" s="8">
        <v>1</v>
      </c>
      <c r="U240" s="8">
        <v>73</v>
      </c>
      <c r="V240" s="7">
        <v>0.12734729972346961</v>
      </c>
      <c r="W240" s="7">
        <v>6.1767063218321809E-2</v>
      </c>
      <c r="X240" s="8">
        <v>0</v>
      </c>
      <c r="Y240" s="8">
        <v>1</v>
      </c>
      <c r="Z240" s="8">
        <v>70</v>
      </c>
      <c r="AA240" s="7">
        <v>0.35077345984524483</v>
      </c>
      <c r="AB240" s="7">
        <v>3.8573996878889287E-2</v>
      </c>
      <c r="AC240" s="8">
        <v>0</v>
      </c>
      <c r="AD240" s="8">
        <v>1</v>
      </c>
      <c r="AE240" s="8">
        <v>289</v>
      </c>
    </row>
    <row r="241" spans="1:32" ht="14.25" customHeight="1" x14ac:dyDescent="0.45">
      <c r="A241" s="6" t="s">
        <v>34</v>
      </c>
      <c r="B241" s="7">
        <v>0.4894319374513672</v>
      </c>
      <c r="C241" s="7">
        <v>0.10893259880381885</v>
      </c>
      <c r="D241" s="8">
        <v>0</v>
      </c>
      <c r="E241" s="8">
        <v>1</v>
      </c>
      <c r="F241" s="8">
        <v>30</v>
      </c>
      <c r="G241" s="7">
        <v>0.44872874557568304</v>
      </c>
      <c r="H241" s="7">
        <v>7.0135939137786235E-2</v>
      </c>
      <c r="I241" s="8">
        <v>0</v>
      </c>
      <c r="J241" s="8">
        <v>1</v>
      </c>
      <c r="K241" s="8">
        <v>61</v>
      </c>
      <c r="L241" s="7">
        <v>0.44597262530741871</v>
      </c>
      <c r="M241" s="7">
        <v>7.6059185228833259E-2</v>
      </c>
      <c r="N241" s="8">
        <v>0</v>
      </c>
      <c r="O241" s="8">
        <v>1</v>
      </c>
      <c r="P241" s="8">
        <v>55</v>
      </c>
      <c r="Q241" s="7">
        <v>0.33484401603436165</v>
      </c>
      <c r="R241" s="7">
        <v>8.021197421991548E-2</v>
      </c>
      <c r="S241" s="8">
        <v>0</v>
      </c>
      <c r="T241" s="8">
        <v>1</v>
      </c>
      <c r="U241" s="8">
        <v>73</v>
      </c>
      <c r="V241" s="7">
        <v>0.18261413580493294</v>
      </c>
      <c r="W241" s="7">
        <v>6.8799354339987712E-2</v>
      </c>
      <c r="X241" s="8">
        <v>0</v>
      </c>
      <c r="Y241" s="8">
        <v>1</v>
      </c>
      <c r="Z241" s="8">
        <v>70</v>
      </c>
      <c r="AA241" s="7">
        <v>0.4132225092291546</v>
      </c>
      <c r="AB241" s="7">
        <v>3.9940293908986763E-2</v>
      </c>
      <c r="AC241" s="8">
        <v>0</v>
      </c>
      <c r="AD241" s="8">
        <v>1</v>
      </c>
      <c r="AE241" s="8">
        <v>289</v>
      </c>
      <c r="AF241">
        <f>(AA243/AA242)-AA241</f>
        <v>-6.1535777850435514E-3</v>
      </c>
    </row>
    <row r="242" spans="1:32" ht="26.25" customHeight="1" x14ac:dyDescent="0.45">
      <c r="A242" s="6" t="s">
        <v>22</v>
      </c>
      <c r="B242" s="7">
        <v>0.92567057702595223</v>
      </c>
      <c r="C242" s="7">
        <v>5.2772110959269633E-2</v>
      </c>
      <c r="D242" s="8">
        <v>0</v>
      </c>
      <c r="E242" s="8">
        <v>1</v>
      </c>
      <c r="F242" s="8">
        <v>30</v>
      </c>
      <c r="G242" s="7">
        <v>0.96708867666829124</v>
      </c>
      <c r="H242" s="7">
        <v>2.3335390502298822E-2</v>
      </c>
      <c r="I242" s="8">
        <v>0</v>
      </c>
      <c r="J242" s="8">
        <v>1</v>
      </c>
      <c r="K242" s="8">
        <v>61</v>
      </c>
      <c r="L242" s="7">
        <v>0.92438050124212068</v>
      </c>
      <c r="M242" s="7">
        <v>3.4796389331134367E-2</v>
      </c>
      <c r="N242" s="8">
        <v>0</v>
      </c>
      <c r="O242" s="8">
        <v>1</v>
      </c>
      <c r="P242" s="8">
        <v>55</v>
      </c>
      <c r="Q242" s="7">
        <v>0.98744074376457081</v>
      </c>
      <c r="R242" s="7">
        <v>9.6317749278603242E-3</v>
      </c>
      <c r="S242" s="8">
        <v>0</v>
      </c>
      <c r="T242" s="8">
        <v>1</v>
      </c>
      <c r="U242" s="8">
        <v>73</v>
      </c>
      <c r="V242" s="7">
        <v>0.81579627466349469</v>
      </c>
      <c r="W242" s="7">
        <v>6.4243143036487982E-2</v>
      </c>
      <c r="X242" s="8">
        <v>0</v>
      </c>
      <c r="Y242" s="8">
        <v>1</v>
      </c>
      <c r="Z242" s="8">
        <v>70</v>
      </c>
      <c r="AA242" s="7">
        <v>0.94255881801459418</v>
      </c>
      <c r="AB242" s="7">
        <v>1.6228337802130382E-2</v>
      </c>
      <c r="AC242" s="8">
        <v>0</v>
      </c>
      <c r="AD242" s="8">
        <v>1</v>
      </c>
      <c r="AE242" s="8">
        <v>289</v>
      </c>
      <c r="AF242">
        <f>(AA243/AA241)-AA242</f>
        <v>-1.4036285231536216E-2</v>
      </c>
    </row>
    <row r="243" spans="1:32" ht="26.25" customHeight="1" x14ac:dyDescent="0.45">
      <c r="A243" s="6" t="s">
        <v>109</v>
      </c>
      <c r="B243" s="7">
        <v>0.44504208476298257</v>
      </c>
      <c r="C243" s="7">
        <v>0.11030710371865073</v>
      </c>
      <c r="D243" s="8">
        <v>0</v>
      </c>
      <c r="E243" s="8">
        <v>1</v>
      </c>
      <c r="F243" s="8">
        <v>30</v>
      </c>
      <c r="G243" s="7">
        <v>0.41581742224397422</v>
      </c>
      <c r="H243" s="7">
        <v>6.9281552313599254E-2</v>
      </c>
      <c r="I243" s="8">
        <v>0</v>
      </c>
      <c r="J243" s="8">
        <v>1</v>
      </c>
      <c r="K243" s="8">
        <v>61</v>
      </c>
      <c r="L243" s="7">
        <v>0.40589784570463922</v>
      </c>
      <c r="M243" s="7">
        <v>7.5294984676246735E-2</v>
      </c>
      <c r="N243" s="8">
        <v>0</v>
      </c>
      <c r="O243" s="8">
        <v>1</v>
      </c>
      <c r="P243" s="8">
        <v>55</v>
      </c>
      <c r="Q243" s="7">
        <v>0.330887426616636</v>
      </c>
      <c r="R243" s="7">
        <v>8.026705762873132E-2</v>
      </c>
      <c r="S243" s="8">
        <v>0</v>
      </c>
      <c r="T243" s="8">
        <v>1</v>
      </c>
      <c r="U243" s="8">
        <v>73</v>
      </c>
      <c r="V243" s="7">
        <v>0.1751161760184658</v>
      </c>
      <c r="W243" s="7">
        <v>6.8747821766389272E-2</v>
      </c>
      <c r="X243" s="8">
        <v>0</v>
      </c>
      <c r="Y243" s="8">
        <v>1</v>
      </c>
      <c r="Z243" s="8">
        <v>70</v>
      </c>
      <c r="AA243" s="7">
        <v>0.38368641087242517</v>
      </c>
      <c r="AB243" s="7">
        <v>3.9614647366571581E-2</v>
      </c>
      <c r="AC243" s="8">
        <v>0</v>
      </c>
      <c r="AD243" s="8">
        <v>1</v>
      </c>
      <c r="AE243" s="8">
        <v>289</v>
      </c>
    </row>
    <row r="244" spans="1:32" ht="14.25" customHeight="1" x14ac:dyDescent="0.45">
      <c r="A244" s="6" t="s">
        <v>34</v>
      </c>
      <c r="B244" s="7">
        <v>0.4894319374513672</v>
      </c>
      <c r="C244" s="7">
        <v>0.10893259880381885</v>
      </c>
      <c r="D244" s="8">
        <v>0</v>
      </c>
      <c r="E244" s="8">
        <v>1</v>
      </c>
      <c r="F244" s="8">
        <v>30</v>
      </c>
      <c r="G244" s="7">
        <v>0.44872874557568304</v>
      </c>
      <c r="H244" s="7">
        <v>7.0135939137786235E-2</v>
      </c>
      <c r="I244" s="8">
        <v>0</v>
      </c>
      <c r="J244" s="8">
        <v>1</v>
      </c>
      <c r="K244" s="8">
        <v>61</v>
      </c>
      <c r="L244" s="7">
        <v>0.44597262530741871</v>
      </c>
      <c r="M244" s="7">
        <v>7.6059185228833259E-2</v>
      </c>
      <c r="N244" s="8">
        <v>0</v>
      </c>
      <c r="O244" s="8">
        <v>1</v>
      </c>
      <c r="P244" s="8">
        <v>55</v>
      </c>
      <c r="Q244" s="7">
        <v>0.33484401603436165</v>
      </c>
      <c r="R244" s="7">
        <v>8.021197421991548E-2</v>
      </c>
      <c r="S244" s="8">
        <v>0</v>
      </c>
      <c r="T244" s="8">
        <v>1</v>
      </c>
      <c r="U244" s="8">
        <v>73</v>
      </c>
      <c r="V244" s="7">
        <v>0.18261413580493294</v>
      </c>
      <c r="W244" s="7">
        <v>6.8799354339987712E-2</v>
      </c>
      <c r="X244" s="8">
        <v>0</v>
      </c>
      <c r="Y244" s="8">
        <v>1</v>
      </c>
      <c r="Z244" s="8">
        <v>70</v>
      </c>
      <c r="AA244" s="7">
        <v>0.4132225092291546</v>
      </c>
      <c r="AB244" s="7">
        <v>3.9940293908986763E-2</v>
      </c>
      <c r="AC244" s="8">
        <v>0</v>
      </c>
      <c r="AD244" s="8">
        <v>1</v>
      </c>
      <c r="AE244" s="8">
        <v>289</v>
      </c>
      <c r="AF244">
        <f>(AA246/AA245)-AA244</f>
        <v>-1.1251670193714369E-2</v>
      </c>
    </row>
    <row r="245" spans="1:32" ht="26.25" customHeight="1" x14ac:dyDescent="0.45">
      <c r="A245" s="6" t="s">
        <v>24</v>
      </c>
      <c r="B245" s="7">
        <v>0.29691007821421939</v>
      </c>
      <c r="C245" s="7">
        <v>9.0434299454504388E-2</v>
      </c>
      <c r="D245" s="8">
        <v>0</v>
      </c>
      <c r="E245" s="8">
        <v>1</v>
      </c>
      <c r="F245" s="8">
        <v>30</v>
      </c>
      <c r="G245" s="7">
        <v>0.49677177668929956</v>
      </c>
      <c r="H245" s="7">
        <v>7.0999294454138578E-2</v>
      </c>
      <c r="I245" s="8">
        <v>0</v>
      </c>
      <c r="J245" s="8">
        <v>1</v>
      </c>
      <c r="K245" s="8">
        <v>61</v>
      </c>
      <c r="L245" s="7">
        <v>0.66910480046057408</v>
      </c>
      <c r="M245" s="7">
        <v>6.9382404233736442E-2</v>
      </c>
      <c r="N245" s="8">
        <v>0</v>
      </c>
      <c r="O245" s="8">
        <v>1</v>
      </c>
      <c r="P245" s="8">
        <v>55</v>
      </c>
      <c r="Q245" s="7">
        <v>0.81572970757523378</v>
      </c>
      <c r="R245" s="7">
        <v>4.8223017832801064E-2</v>
      </c>
      <c r="S245" s="8">
        <v>0</v>
      </c>
      <c r="T245" s="8">
        <v>1</v>
      </c>
      <c r="U245" s="8">
        <v>73</v>
      </c>
      <c r="V245" s="7">
        <v>0.33543852274097052</v>
      </c>
      <c r="W245" s="7">
        <v>8.1338752606745057E-2</v>
      </c>
      <c r="X245" s="8">
        <v>0</v>
      </c>
      <c r="Y245" s="8">
        <v>1</v>
      </c>
      <c r="Z245" s="8">
        <v>70</v>
      </c>
      <c r="AA245" s="7">
        <v>0.60191756282298448</v>
      </c>
      <c r="AB245" s="7">
        <v>3.8656173410834903E-2</v>
      </c>
      <c r="AC245" s="8">
        <v>0</v>
      </c>
      <c r="AD245" s="8">
        <v>1</v>
      </c>
      <c r="AE245" s="8">
        <v>289</v>
      </c>
      <c r="AF245">
        <f>(AA246/AA244)-AA245</f>
        <v>-1.6389663557588974E-2</v>
      </c>
    </row>
    <row r="246" spans="1:32" ht="26.25" customHeight="1" x14ac:dyDescent="0.45">
      <c r="A246" s="6" t="s">
        <v>110</v>
      </c>
      <c r="B246" s="7">
        <v>0.16313387706319835</v>
      </c>
      <c r="C246" s="7">
        <v>6.7769532376563357E-2</v>
      </c>
      <c r="D246" s="8">
        <v>0</v>
      </c>
      <c r="E246" s="8">
        <v>1</v>
      </c>
      <c r="F246" s="8">
        <v>30</v>
      </c>
      <c r="G246" s="7">
        <v>0.21526303911038377</v>
      </c>
      <c r="H246" s="7">
        <v>5.7529208508128087E-2</v>
      </c>
      <c r="I246" s="8">
        <v>0</v>
      </c>
      <c r="J246" s="8">
        <v>1</v>
      </c>
      <c r="K246" s="8">
        <v>61</v>
      </c>
      <c r="L246" s="7">
        <v>0.27201109823372904</v>
      </c>
      <c r="M246" s="7">
        <v>6.7096756231944457E-2</v>
      </c>
      <c r="N246" s="8">
        <v>0</v>
      </c>
      <c r="O246" s="8">
        <v>1</v>
      </c>
      <c r="P246" s="8">
        <v>55</v>
      </c>
      <c r="Q246" s="7">
        <v>0.30609924478551692</v>
      </c>
      <c r="R246" s="7">
        <v>8.0466489430894225E-2</v>
      </c>
      <c r="S246" s="8">
        <v>0</v>
      </c>
      <c r="T246" s="8">
        <v>1</v>
      </c>
      <c r="U246" s="8">
        <v>73</v>
      </c>
      <c r="V246" s="7">
        <v>5.7861352122139019E-2</v>
      </c>
      <c r="W246" s="7">
        <v>4.110335516885754E-2</v>
      </c>
      <c r="X246" s="8">
        <v>0</v>
      </c>
      <c r="Y246" s="8">
        <v>1</v>
      </c>
      <c r="Z246" s="8">
        <v>70</v>
      </c>
      <c r="AA246" s="7">
        <v>0.24195330775812238</v>
      </c>
      <c r="AB246" s="7">
        <v>3.5259017234469774E-2</v>
      </c>
      <c r="AC246" s="8">
        <v>0</v>
      </c>
      <c r="AD246" s="8">
        <v>1</v>
      </c>
      <c r="AE246" s="8">
        <v>289</v>
      </c>
    </row>
    <row r="247" spans="1:32" ht="14.25" customHeight="1" x14ac:dyDescent="0.45">
      <c r="A247" s="6" t="s">
        <v>36</v>
      </c>
      <c r="B247" s="7">
        <v>0.72893239565623269</v>
      </c>
      <c r="C247" s="7">
        <v>8.902381100148167E-2</v>
      </c>
      <c r="D247" s="8">
        <v>0</v>
      </c>
      <c r="E247" s="8">
        <v>1</v>
      </c>
      <c r="F247" s="8">
        <v>30</v>
      </c>
      <c r="G247" s="7">
        <v>0.32479990825338129</v>
      </c>
      <c r="H247" s="7">
        <v>6.8586146510135823E-2</v>
      </c>
      <c r="I247" s="8">
        <v>0</v>
      </c>
      <c r="J247" s="8">
        <v>1</v>
      </c>
      <c r="K247" s="8">
        <v>61</v>
      </c>
      <c r="L247" s="7">
        <v>0.15180128791918751</v>
      </c>
      <c r="M247" s="7">
        <v>5.7394585526529353E-2</v>
      </c>
      <c r="N247" s="8">
        <v>0</v>
      </c>
      <c r="O247" s="8">
        <v>1</v>
      </c>
      <c r="P247" s="8">
        <v>55</v>
      </c>
      <c r="Q247" s="7">
        <v>0.33816527182499029</v>
      </c>
      <c r="R247" s="7">
        <v>7.9496187777029978E-2</v>
      </c>
      <c r="S247" s="8">
        <v>0</v>
      </c>
      <c r="T247" s="8">
        <v>1</v>
      </c>
      <c r="U247" s="8">
        <v>73</v>
      </c>
      <c r="V247" s="7">
        <v>0.26911799543093445</v>
      </c>
      <c r="W247" s="7">
        <v>7.1124564652368341E-2</v>
      </c>
      <c r="X247" s="8">
        <v>0</v>
      </c>
      <c r="Y247" s="8">
        <v>1</v>
      </c>
      <c r="Z247" s="8">
        <v>70</v>
      </c>
      <c r="AA247" s="7">
        <v>0.28189538649826235</v>
      </c>
      <c r="AB247" s="7">
        <v>3.5929536319725487E-2</v>
      </c>
      <c r="AC247" s="8">
        <v>0</v>
      </c>
      <c r="AD247" s="8">
        <v>1</v>
      </c>
      <c r="AE247" s="8">
        <v>289</v>
      </c>
      <c r="AF247">
        <f>(AA249/AA248)-AA247</f>
        <v>2.5521436560490329E-2</v>
      </c>
    </row>
    <row r="248" spans="1:32" ht="26.25" customHeight="1" x14ac:dyDescent="0.45">
      <c r="A248" s="6" t="s">
        <v>38</v>
      </c>
      <c r="B248" s="7">
        <v>0.71998796435535706</v>
      </c>
      <c r="C248" s="7">
        <v>0.11311854104787832</v>
      </c>
      <c r="D248" s="8">
        <v>0</v>
      </c>
      <c r="E248" s="8">
        <v>1</v>
      </c>
      <c r="F248" s="8">
        <v>30</v>
      </c>
      <c r="G248" s="7">
        <v>0.8042407061751119</v>
      </c>
      <c r="H248" s="7">
        <v>5.6411702520922181E-2</v>
      </c>
      <c r="I248" s="8">
        <v>0</v>
      </c>
      <c r="J248" s="8">
        <v>1</v>
      </c>
      <c r="K248" s="8">
        <v>61</v>
      </c>
      <c r="L248" s="7">
        <v>0.89270195125097485</v>
      </c>
      <c r="M248" s="7">
        <v>4.2121950331173691E-2</v>
      </c>
      <c r="N248" s="8">
        <v>0</v>
      </c>
      <c r="O248" s="8">
        <v>1</v>
      </c>
      <c r="P248" s="8">
        <v>55</v>
      </c>
      <c r="Q248" s="7">
        <v>0.78205413715993244</v>
      </c>
      <c r="R248" s="7">
        <v>7.4169259039094562E-2</v>
      </c>
      <c r="S248" s="8">
        <v>0</v>
      </c>
      <c r="T248" s="8">
        <v>1</v>
      </c>
      <c r="U248" s="8">
        <v>73</v>
      </c>
      <c r="V248" s="7">
        <v>0.46181897480982365</v>
      </c>
      <c r="W248" s="7">
        <v>8.6350561884418128E-2</v>
      </c>
      <c r="X248" s="8">
        <v>0</v>
      </c>
      <c r="Y248" s="8">
        <v>1</v>
      </c>
      <c r="Z248" s="8">
        <v>70</v>
      </c>
      <c r="AA248" s="7">
        <v>0.80925310000793194</v>
      </c>
      <c r="AB248" s="7">
        <v>2.96741507605978E-2</v>
      </c>
      <c r="AC248" s="8">
        <v>0</v>
      </c>
      <c r="AD248" s="8">
        <v>1</v>
      </c>
      <c r="AE248" s="8">
        <v>289</v>
      </c>
      <c r="AF248">
        <f>(AA249/AA247)-AA248</f>
        <v>7.3265837762690245E-2</v>
      </c>
    </row>
    <row r="249" spans="1:32" ht="26.25" customHeight="1" x14ac:dyDescent="0.45">
      <c r="A249" s="6" t="s">
        <v>111</v>
      </c>
      <c r="B249" s="7">
        <v>0.57726496687523721</v>
      </c>
      <c r="C249" s="7">
        <v>0.11071576186380815</v>
      </c>
      <c r="D249" s="8">
        <v>0</v>
      </c>
      <c r="E249" s="8">
        <v>1</v>
      </c>
      <c r="F249" s="8">
        <v>30</v>
      </c>
      <c r="G249" s="7">
        <v>0.30794993934229598</v>
      </c>
      <c r="H249" s="7">
        <v>6.8430904261750844E-2</v>
      </c>
      <c r="I249" s="8">
        <v>0</v>
      </c>
      <c r="J249" s="8">
        <v>1</v>
      </c>
      <c r="K249" s="8">
        <v>61</v>
      </c>
      <c r="L249" s="7">
        <v>0.15180128791918751</v>
      </c>
      <c r="M249" s="7">
        <v>5.7394585526529353E-2</v>
      </c>
      <c r="N249" s="8">
        <v>0</v>
      </c>
      <c r="O249" s="8">
        <v>1</v>
      </c>
      <c r="P249" s="8">
        <v>55</v>
      </c>
      <c r="Q249" s="7">
        <v>0.29319618186557739</v>
      </c>
      <c r="R249" s="7">
        <v>7.5134075565275918E-2</v>
      </c>
      <c r="S249" s="8">
        <v>0</v>
      </c>
      <c r="T249" s="8">
        <v>1</v>
      </c>
      <c r="U249" s="8">
        <v>73</v>
      </c>
      <c r="V249" s="7">
        <v>9.957627516414827E-2</v>
      </c>
      <c r="W249" s="7">
        <v>4.638772414847861E-2</v>
      </c>
      <c r="X249" s="8">
        <v>0</v>
      </c>
      <c r="Y249" s="8">
        <v>1</v>
      </c>
      <c r="Z249" s="8">
        <v>70</v>
      </c>
      <c r="AA249" s="7">
        <v>0.24877801705488548</v>
      </c>
      <c r="AB249" s="7">
        <v>3.4839228459655591E-2</v>
      </c>
      <c r="AC249" s="8">
        <v>0</v>
      </c>
      <c r="AD249" s="8">
        <v>1</v>
      </c>
      <c r="AE249" s="8">
        <v>289</v>
      </c>
    </row>
    <row r="250" spans="1:32" ht="14.25" customHeight="1" x14ac:dyDescent="0.45">
      <c r="A250" s="6" t="s">
        <v>36</v>
      </c>
      <c r="B250" s="7">
        <v>0.72893239565623269</v>
      </c>
      <c r="C250" s="7">
        <v>8.902381100148167E-2</v>
      </c>
      <c r="D250" s="8">
        <v>0</v>
      </c>
      <c r="E250" s="8">
        <v>1</v>
      </c>
      <c r="F250" s="8">
        <v>30</v>
      </c>
      <c r="G250" s="7">
        <v>0.32479990825338129</v>
      </c>
      <c r="H250" s="7">
        <v>6.8586146510135823E-2</v>
      </c>
      <c r="I250" s="8">
        <v>0</v>
      </c>
      <c r="J250" s="8">
        <v>1</v>
      </c>
      <c r="K250" s="8">
        <v>61</v>
      </c>
      <c r="L250" s="7">
        <v>0.15180128791918751</v>
      </c>
      <c r="M250" s="7">
        <v>5.7394585526529353E-2</v>
      </c>
      <c r="N250" s="8">
        <v>0</v>
      </c>
      <c r="O250" s="8">
        <v>1</v>
      </c>
      <c r="P250" s="8">
        <v>55</v>
      </c>
      <c r="Q250" s="7">
        <v>0.33816527182499029</v>
      </c>
      <c r="R250" s="7">
        <v>7.9496187777029978E-2</v>
      </c>
      <c r="S250" s="8">
        <v>0</v>
      </c>
      <c r="T250" s="8">
        <v>1</v>
      </c>
      <c r="U250" s="8">
        <v>73</v>
      </c>
      <c r="V250" s="7">
        <v>0.26911799543093445</v>
      </c>
      <c r="W250" s="7">
        <v>7.1124564652368341E-2</v>
      </c>
      <c r="X250" s="8">
        <v>0</v>
      </c>
      <c r="Y250" s="8">
        <v>1</v>
      </c>
      <c r="Z250" s="8">
        <v>70</v>
      </c>
      <c r="AA250" s="7">
        <v>0.28189538649826235</v>
      </c>
      <c r="AB250" s="7">
        <v>3.5929536319725487E-2</v>
      </c>
      <c r="AC250" s="8">
        <v>0</v>
      </c>
      <c r="AD250" s="8">
        <v>1</v>
      </c>
      <c r="AE250" s="8">
        <v>289</v>
      </c>
      <c r="AF250">
        <f>(AA252/AA251)-AA250</f>
        <v>8.3555370482461533E-3</v>
      </c>
    </row>
    <row r="251" spans="1:32" ht="14.25" customHeight="1" x14ac:dyDescent="0.45">
      <c r="A251" s="6" t="s">
        <v>40</v>
      </c>
      <c r="B251" s="7">
        <v>0.29691007821421939</v>
      </c>
      <c r="C251" s="7">
        <v>9.0434299454504388E-2</v>
      </c>
      <c r="D251" s="8">
        <v>0</v>
      </c>
      <c r="E251" s="8">
        <v>1</v>
      </c>
      <c r="F251" s="8">
        <v>30</v>
      </c>
      <c r="G251" s="7">
        <v>0.47852637519700286</v>
      </c>
      <c r="H251" s="7">
        <v>7.0841094266787655E-2</v>
      </c>
      <c r="I251" s="8">
        <v>0</v>
      </c>
      <c r="J251" s="8">
        <v>1</v>
      </c>
      <c r="K251" s="8">
        <v>61</v>
      </c>
      <c r="L251" s="7">
        <v>0.65648588818467313</v>
      </c>
      <c r="M251" s="7">
        <v>7.0002600340418331E-2</v>
      </c>
      <c r="N251" s="8">
        <v>0</v>
      </c>
      <c r="O251" s="8">
        <v>1</v>
      </c>
      <c r="P251" s="8">
        <v>55</v>
      </c>
      <c r="Q251" s="7">
        <v>0.79588055624962939</v>
      </c>
      <c r="R251" s="7">
        <v>5.0588570102129408E-2</v>
      </c>
      <c r="S251" s="8">
        <v>0</v>
      </c>
      <c r="T251" s="8">
        <v>1</v>
      </c>
      <c r="U251" s="8">
        <v>73</v>
      </c>
      <c r="V251" s="7">
        <v>0.30585942795052035</v>
      </c>
      <c r="W251" s="7">
        <v>7.9216084987864505E-2</v>
      </c>
      <c r="X251" s="8">
        <v>0</v>
      </c>
      <c r="Y251" s="8">
        <v>1</v>
      </c>
      <c r="Z251" s="8">
        <v>70</v>
      </c>
      <c r="AA251" s="7">
        <v>0.58607907057708142</v>
      </c>
      <c r="AB251" s="7">
        <v>3.8942949569521081E-2</v>
      </c>
      <c r="AC251" s="8">
        <v>0</v>
      </c>
      <c r="AD251" s="8">
        <v>1</v>
      </c>
      <c r="AE251" s="8">
        <v>289</v>
      </c>
      <c r="AF251">
        <f>(AA252/AA250)-AA251</f>
        <v>1.7371711712772853E-2</v>
      </c>
    </row>
    <row r="252" spans="1:32" ht="26.25" customHeight="1" x14ac:dyDescent="0.45">
      <c r="A252" s="6" t="s">
        <v>112</v>
      </c>
      <c r="B252" s="7">
        <v>0.20736830922588126</v>
      </c>
      <c r="C252" s="7">
        <v>7.7703920472215332E-2</v>
      </c>
      <c r="D252" s="8">
        <v>0</v>
      </c>
      <c r="E252" s="8">
        <v>1</v>
      </c>
      <c r="F252" s="8">
        <v>30</v>
      </c>
      <c r="G252" s="7">
        <v>0.20760453143266602</v>
      </c>
      <c r="H252" s="7">
        <v>5.9427866870354923E-2</v>
      </c>
      <c r="I252" s="8">
        <v>0</v>
      </c>
      <c r="J252" s="8">
        <v>1</v>
      </c>
      <c r="K252" s="8">
        <v>61</v>
      </c>
      <c r="L252" s="7">
        <v>9.9236770921599729E-2</v>
      </c>
      <c r="M252" s="7">
        <v>4.4655307982335184E-2</v>
      </c>
      <c r="N252" s="8">
        <v>0</v>
      </c>
      <c r="O252" s="8">
        <v>1</v>
      </c>
      <c r="P252" s="8">
        <v>55</v>
      </c>
      <c r="Q252" s="7">
        <v>0.2814026049737236</v>
      </c>
      <c r="R252" s="7">
        <v>7.8988177662999925E-2</v>
      </c>
      <c r="S252" s="8">
        <v>0</v>
      </c>
      <c r="T252" s="8">
        <v>1</v>
      </c>
      <c r="U252" s="8">
        <v>73</v>
      </c>
      <c r="V252" s="7">
        <v>5.9386718023463889E-2</v>
      </c>
      <c r="W252" s="7">
        <v>4.1018116636648706E-2</v>
      </c>
      <c r="X252" s="8">
        <v>0</v>
      </c>
      <c r="Y252" s="8">
        <v>1</v>
      </c>
      <c r="Z252" s="8">
        <v>70</v>
      </c>
      <c r="AA252" s="7">
        <v>0.17010999150627723</v>
      </c>
      <c r="AB252" s="7">
        <v>3.0191026729756352E-2</v>
      </c>
      <c r="AC252" s="8">
        <v>0</v>
      </c>
      <c r="AD252" s="8">
        <v>1</v>
      </c>
      <c r="AE252" s="8">
        <v>289</v>
      </c>
    </row>
    <row r="253" spans="1:32" ht="14.25" customHeight="1" x14ac:dyDescent="0.45">
      <c r="A253" s="6" t="s">
        <v>36</v>
      </c>
      <c r="B253" s="7">
        <v>0.72893239565623269</v>
      </c>
      <c r="C253" s="7">
        <v>8.902381100148167E-2</v>
      </c>
      <c r="D253" s="8">
        <v>0</v>
      </c>
      <c r="E253" s="8">
        <v>1</v>
      </c>
      <c r="F253" s="8">
        <v>30</v>
      </c>
      <c r="G253" s="7">
        <v>0.32479990825338129</v>
      </c>
      <c r="H253" s="7">
        <v>6.8586146510135823E-2</v>
      </c>
      <c r="I253" s="8">
        <v>0</v>
      </c>
      <c r="J253" s="8">
        <v>1</v>
      </c>
      <c r="K253" s="8">
        <v>61</v>
      </c>
      <c r="L253" s="7">
        <v>0.15180128791918751</v>
      </c>
      <c r="M253" s="7">
        <v>5.7394585526529353E-2</v>
      </c>
      <c r="N253" s="8">
        <v>0</v>
      </c>
      <c r="O253" s="8">
        <v>1</v>
      </c>
      <c r="P253" s="8">
        <v>55</v>
      </c>
      <c r="Q253" s="7">
        <v>0.33816527182499029</v>
      </c>
      <c r="R253" s="7">
        <v>7.9496187777029978E-2</v>
      </c>
      <c r="S253" s="8">
        <v>0</v>
      </c>
      <c r="T253" s="8">
        <v>1</v>
      </c>
      <c r="U253" s="8">
        <v>73</v>
      </c>
      <c r="V253" s="7">
        <v>0.26911799543093445</v>
      </c>
      <c r="W253" s="7">
        <v>7.1124564652368341E-2</v>
      </c>
      <c r="X253" s="8">
        <v>0</v>
      </c>
      <c r="Y253" s="8">
        <v>1</v>
      </c>
      <c r="Z253" s="8">
        <v>70</v>
      </c>
      <c r="AA253" s="7">
        <v>0.28189538649826235</v>
      </c>
      <c r="AB253" s="7">
        <v>3.5929536319725487E-2</v>
      </c>
      <c r="AC253" s="8">
        <v>0</v>
      </c>
      <c r="AD253" s="8">
        <v>1</v>
      </c>
      <c r="AE253" s="8">
        <v>289</v>
      </c>
      <c r="AF253">
        <f>(AA255/AA254)-AA253</f>
        <v>8.4484340906315625E-4</v>
      </c>
    </row>
    <row r="254" spans="1:32" ht="14.25" customHeight="1" x14ac:dyDescent="0.45">
      <c r="A254" s="6" t="s">
        <v>42</v>
      </c>
      <c r="B254" s="7">
        <v>0.88373917384473755</v>
      </c>
      <c r="C254" s="7">
        <v>6.5637894232017879E-2</v>
      </c>
      <c r="D254" s="8">
        <v>0</v>
      </c>
      <c r="E254" s="8">
        <v>1</v>
      </c>
      <c r="F254" s="8">
        <v>30</v>
      </c>
      <c r="G254" s="7">
        <v>0.96708867666829124</v>
      </c>
      <c r="H254" s="7">
        <v>2.3335390502298822E-2</v>
      </c>
      <c r="I254" s="8">
        <v>0</v>
      </c>
      <c r="J254" s="8">
        <v>1</v>
      </c>
      <c r="K254" s="8">
        <v>61</v>
      </c>
      <c r="L254" s="7">
        <v>0.92438050124212068</v>
      </c>
      <c r="M254" s="7">
        <v>3.4796389331134367E-2</v>
      </c>
      <c r="N254" s="8">
        <v>0</v>
      </c>
      <c r="O254" s="8">
        <v>1</v>
      </c>
      <c r="P254" s="8">
        <v>55</v>
      </c>
      <c r="Q254" s="7">
        <v>0.91163408858832118</v>
      </c>
      <c r="R254" s="7">
        <v>4.1385817286864961E-2</v>
      </c>
      <c r="S254" s="8">
        <v>0</v>
      </c>
      <c r="T254" s="8">
        <v>1</v>
      </c>
      <c r="U254" s="8">
        <v>73</v>
      </c>
      <c r="V254" s="7">
        <v>0.79321873455244019</v>
      </c>
      <c r="W254" s="7">
        <v>6.5826991842619254E-2</v>
      </c>
      <c r="X254" s="8">
        <v>0</v>
      </c>
      <c r="Y254" s="8">
        <v>1</v>
      </c>
      <c r="Z254" s="8">
        <v>70</v>
      </c>
      <c r="AA254" s="7">
        <v>0.92434876147780487</v>
      </c>
      <c r="AB254" s="7">
        <v>1.809715288505577E-2</v>
      </c>
      <c r="AC254" s="8">
        <v>0</v>
      </c>
      <c r="AD254" s="8">
        <v>1</v>
      </c>
      <c r="AE254" s="8">
        <v>289</v>
      </c>
      <c r="AF254">
        <f>(AA255/AA253)-AA254</f>
        <v>2.7702828645441713E-3</v>
      </c>
    </row>
    <row r="255" spans="1:32" ht="26.25" customHeight="1" x14ac:dyDescent="0.45">
      <c r="A255" s="6" t="s">
        <v>113</v>
      </c>
      <c r="B255" s="7">
        <v>0.61267156950097024</v>
      </c>
      <c r="C255" s="7">
        <v>0.10167871519061307</v>
      </c>
      <c r="D255" s="8">
        <v>0</v>
      </c>
      <c r="E255" s="8">
        <v>1</v>
      </c>
      <c r="F255" s="8">
        <v>30</v>
      </c>
      <c r="G255" s="7">
        <v>0.32479990825338129</v>
      </c>
      <c r="H255" s="7">
        <v>6.8586146510135823E-2</v>
      </c>
      <c r="I255" s="8">
        <v>0</v>
      </c>
      <c r="J255" s="8">
        <v>1</v>
      </c>
      <c r="K255" s="8">
        <v>61</v>
      </c>
      <c r="L255" s="7">
        <v>0.15180128791918751</v>
      </c>
      <c r="M255" s="7">
        <v>5.7394585526529353E-2</v>
      </c>
      <c r="N255" s="8">
        <v>0</v>
      </c>
      <c r="O255" s="8">
        <v>1</v>
      </c>
      <c r="P255" s="8">
        <v>55</v>
      </c>
      <c r="Q255" s="7">
        <v>0.29183260481869977</v>
      </c>
      <c r="R255" s="7">
        <v>7.7335255828661006E-2</v>
      </c>
      <c r="S255" s="8">
        <v>0</v>
      </c>
      <c r="T255" s="8">
        <v>1</v>
      </c>
      <c r="U255" s="8">
        <v>73</v>
      </c>
      <c r="V255" s="7">
        <v>0.19386465563594349</v>
      </c>
      <c r="W255" s="7">
        <v>5.9562019184212778E-2</v>
      </c>
      <c r="X255" s="8">
        <v>0</v>
      </c>
      <c r="Y255" s="8">
        <v>1</v>
      </c>
      <c r="Z255" s="8">
        <v>70</v>
      </c>
      <c r="AA255" s="7">
        <v>0.26135058133478611</v>
      </c>
      <c r="AB255" s="7">
        <v>3.5450958125948381E-2</v>
      </c>
      <c r="AC255" s="8">
        <v>0</v>
      </c>
      <c r="AD255" s="8">
        <v>1</v>
      </c>
      <c r="AE255" s="8">
        <v>289</v>
      </c>
    </row>
    <row r="256" spans="1:32" ht="14.25" customHeight="1" x14ac:dyDescent="0.45">
      <c r="A256" s="6" t="s">
        <v>36</v>
      </c>
      <c r="B256" s="7">
        <v>0.72893239565623269</v>
      </c>
      <c r="C256" s="7">
        <v>8.902381100148167E-2</v>
      </c>
      <c r="D256" s="8">
        <v>0</v>
      </c>
      <c r="E256" s="8">
        <v>1</v>
      </c>
      <c r="F256" s="8">
        <v>30</v>
      </c>
      <c r="G256" s="7">
        <v>0.32479990825338129</v>
      </c>
      <c r="H256" s="7">
        <v>6.8586146510135823E-2</v>
      </c>
      <c r="I256" s="8">
        <v>0</v>
      </c>
      <c r="J256" s="8">
        <v>1</v>
      </c>
      <c r="K256" s="8">
        <v>61</v>
      </c>
      <c r="L256" s="7">
        <v>0.15180128791918751</v>
      </c>
      <c r="M256" s="7">
        <v>5.7394585526529353E-2</v>
      </c>
      <c r="N256" s="8">
        <v>0</v>
      </c>
      <c r="O256" s="8">
        <v>1</v>
      </c>
      <c r="P256" s="8">
        <v>55</v>
      </c>
      <c r="Q256" s="7">
        <v>0.33816527182499029</v>
      </c>
      <c r="R256" s="7">
        <v>7.9496187777029978E-2</v>
      </c>
      <c r="S256" s="8">
        <v>0</v>
      </c>
      <c r="T256" s="8">
        <v>1</v>
      </c>
      <c r="U256" s="8">
        <v>73</v>
      </c>
      <c r="V256" s="7">
        <v>0.26911799543093445</v>
      </c>
      <c r="W256" s="7">
        <v>7.1124564652368341E-2</v>
      </c>
      <c r="X256" s="8">
        <v>0</v>
      </c>
      <c r="Y256" s="8">
        <v>1</v>
      </c>
      <c r="Z256" s="8">
        <v>70</v>
      </c>
      <c r="AA256" s="7">
        <v>0.28189538649826235</v>
      </c>
      <c r="AB256" s="7">
        <v>3.5929536319725487E-2</v>
      </c>
      <c r="AC256" s="8">
        <v>0</v>
      </c>
      <c r="AD256" s="8">
        <v>1</v>
      </c>
      <c r="AE256" s="8">
        <v>289</v>
      </c>
      <c r="AF256">
        <f>(AA258/AA257)-AA256</f>
        <v>-9.9516819881111745E-2</v>
      </c>
    </row>
    <row r="257" spans="1:32" ht="14.25" customHeight="1" x14ac:dyDescent="0.45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30</v>
      </c>
      <c r="G257" s="7">
        <v>4.3984681938985942E-2</v>
      </c>
      <c r="H257" s="7">
        <v>2.2428515599090256E-2</v>
      </c>
      <c r="I257" s="8">
        <v>0</v>
      </c>
      <c r="J257" s="8">
        <v>1</v>
      </c>
      <c r="K257" s="8">
        <v>61</v>
      </c>
      <c r="L257" s="7">
        <v>4.6686566157947883E-2</v>
      </c>
      <c r="M257" s="7">
        <v>2.9932730284583084E-2</v>
      </c>
      <c r="N257" s="8">
        <v>0</v>
      </c>
      <c r="O257" s="8">
        <v>1</v>
      </c>
      <c r="P257" s="8">
        <v>55</v>
      </c>
      <c r="Q257" s="7">
        <v>4.5823463093928804E-2</v>
      </c>
      <c r="R257" s="7">
        <v>2.1566040924099809E-2</v>
      </c>
      <c r="S257" s="8">
        <v>0</v>
      </c>
      <c r="T257" s="8">
        <v>1</v>
      </c>
      <c r="U257" s="8">
        <v>73</v>
      </c>
      <c r="V257" s="7">
        <v>6.8897826628121606E-2</v>
      </c>
      <c r="W257" s="7">
        <v>4.7551151202023072E-2</v>
      </c>
      <c r="X257" s="8">
        <v>0</v>
      </c>
      <c r="Y257" s="8">
        <v>1</v>
      </c>
      <c r="Z257" s="8">
        <v>70</v>
      </c>
      <c r="AA257" s="7">
        <v>4.4048985501015846E-2</v>
      </c>
      <c r="AB257" s="7">
        <v>1.4289951777276724E-2</v>
      </c>
      <c r="AC257" s="8">
        <v>0</v>
      </c>
      <c r="AD257" s="8">
        <v>1</v>
      </c>
      <c r="AE257" s="8">
        <v>289</v>
      </c>
      <c r="AF257">
        <f>(AA258/AA256)-AA257</f>
        <v>-1.5550502654563016E-2</v>
      </c>
    </row>
    <row r="258" spans="1:32" ht="14.25" customHeight="1" x14ac:dyDescent="0.45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30</v>
      </c>
      <c r="G258" s="7">
        <v>0</v>
      </c>
      <c r="H258" s="7">
        <v>0</v>
      </c>
      <c r="I258" s="8">
        <v>0</v>
      </c>
      <c r="J258" s="8">
        <v>0</v>
      </c>
      <c r="K258" s="8">
        <v>61</v>
      </c>
      <c r="L258" s="7">
        <v>7.6835669524197379E-3</v>
      </c>
      <c r="M258" s="7">
        <v>7.7848653465252739E-3</v>
      </c>
      <c r="N258" s="8">
        <v>0</v>
      </c>
      <c r="O258" s="8">
        <v>1</v>
      </c>
      <c r="P258" s="8">
        <v>55</v>
      </c>
      <c r="Q258" s="7">
        <v>2.6777887778521605E-2</v>
      </c>
      <c r="R258" s="7">
        <v>1.9050369691611956E-2</v>
      </c>
      <c r="S258" s="8">
        <v>0</v>
      </c>
      <c r="T258" s="8">
        <v>1</v>
      </c>
      <c r="U258" s="8">
        <v>73</v>
      </c>
      <c r="V258" s="7">
        <v>0</v>
      </c>
      <c r="W258" s="7">
        <v>0</v>
      </c>
      <c r="X258" s="8">
        <v>0</v>
      </c>
      <c r="Y258" s="8">
        <v>0</v>
      </c>
      <c r="Z258" s="8">
        <v>70</v>
      </c>
      <c r="AA258" s="7">
        <v>8.0335908366149199E-3</v>
      </c>
      <c r="AB258" s="7">
        <v>4.6728799225441387E-3</v>
      </c>
      <c r="AC258" s="8">
        <v>0</v>
      </c>
      <c r="AD258" s="8">
        <v>1</v>
      </c>
      <c r="AE258" s="8">
        <v>289</v>
      </c>
    </row>
    <row r="259" spans="1:32" ht="14.25" customHeight="1" x14ac:dyDescent="0.45">
      <c r="A259" s="6" t="s">
        <v>36</v>
      </c>
      <c r="B259" s="7">
        <v>0.72893239565623269</v>
      </c>
      <c r="C259" s="7">
        <v>8.902381100148167E-2</v>
      </c>
      <c r="D259" s="8">
        <v>0</v>
      </c>
      <c r="E259" s="8">
        <v>1</v>
      </c>
      <c r="F259" s="8">
        <v>30</v>
      </c>
      <c r="G259" s="7">
        <v>0.32479990825338129</v>
      </c>
      <c r="H259" s="7">
        <v>6.8586146510135823E-2</v>
      </c>
      <c r="I259" s="8">
        <v>0</v>
      </c>
      <c r="J259" s="8">
        <v>1</v>
      </c>
      <c r="K259" s="8">
        <v>61</v>
      </c>
      <c r="L259" s="7">
        <v>0.15180128791918751</v>
      </c>
      <c r="M259" s="7">
        <v>5.7394585526529353E-2</v>
      </c>
      <c r="N259" s="8">
        <v>0</v>
      </c>
      <c r="O259" s="8">
        <v>1</v>
      </c>
      <c r="P259" s="8">
        <v>55</v>
      </c>
      <c r="Q259" s="7">
        <v>0.33816527182499029</v>
      </c>
      <c r="R259" s="7">
        <v>7.9496187777029978E-2</v>
      </c>
      <c r="S259" s="8">
        <v>0</v>
      </c>
      <c r="T259" s="8">
        <v>1</v>
      </c>
      <c r="U259" s="8">
        <v>73</v>
      </c>
      <c r="V259" s="7">
        <v>0.26911799543093445</v>
      </c>
      <c r="W259" s="7">
        <v>7.1124564652368341E-2</v>
      </c>
      <c r="X259" s="8">
        <v>0</v>
      </c>
      <c r="Y259" s="8">
        <v>1</v>
      </c>
      <c r="Z259" s="8">
        <v>70</v>
      </c>
      <c r="AA259" s="7">
        <v>0.28189538649826235</v>
      </c>
      <c r="AB259" s="7">
        <v>3.5929536319725487E-2</v>
      </c>
      <c r="AC259" s="8">
        <v>0</v>
      </c>
      <c r="AD259" s="8">
        <v>1</v>
      </c>
      <c r="AE259" s="8">
        <v>289</v>
      </c>
      <c r="AF259">
        <f>(AA261/AA260)-AA259</f>
        <v>1.3205929568354924E-2</v>
      </c>
    </row>
    <row r="260" spans="1:32" ht="39.5" customHeight="1" x14ac:dyDescent="0.45">
      <c r="A260" s="6" t="s">
        <v>16</v>
      </c>
      <c r="B260" s="7">
        <v>0.79917381529480058</v>
      </c>
      <c r="C260" s="7">
        <v>0.11102593038685447</v>
      </c>
      <c r="D260" s="8">
        <v>0</v>
      </c>
      <c r="E260" s="8">
        <v>1</v>
      </c>
      <c r="F260" s="8">
        <v>30</v>
      </c>
      <c r="G260" s="7">
        <v>0.85913609305126304</v>
      </c>
      <c r="H260" s="7">
        <v>5.1613569311876474E-2</v>
      </c>
      <c r="I260" s="8">
        <v>0</v>
      </c>
      <c r="J260" s="8">
        <v>1</v>
      </c>
      <c r="K260" s="8">
        <v>61</v>
      </c>
      <c r="L260" s="7">
        <v>0.93660731788820284</v>
      </c>
      <c r="M260" s="7">
        <v>3.2725921734506148E-2</v>
      </c>
      <c r="N260" s="8">
        <v>0</v>
      </c>
      <c r="O260" s="8">
        <v>1</v>
      </c>
      <c r="P260" s="8">
        <v>55</v>
      </c>
      <c r="Q260" s="7">
        <v>0.978991251172878</v>
      </c>
      <c r="R260" s="7">
        <v>1.3211470829487152E-2</v>
      </c>
      <c r="S260" s="8">
        <v>0</v>
      </c>
      <c r="T260" s="8">
        <v>1</v>
      </c>
      <c r="U260" s="8">
        <v>73</v>
      </c>
      <c r="V260" s="7">
        <v>0.55776647549126268</v>
      </c>
      <c r="W260" s="7">
        <v>8.737343103490372E-2</v>
      </c>
      <c r="X260" s="8">
        <v>0</v>
      </c>
      <c r="Y260" s="8">
        <v>1</v>
      </c>
      <c r="Z260" s="8">
        <v>70</v>
      </c>
      <c r="AA260" s="7">
        <v>0.890410959859264</v>
      </c>
      <c r="AB260" s="7">
        <v>2.2895391539009022E-2</v>
      </c>
      <c r="AC260" s="8">
        <v>0</v>
      </c>
      <c r="AD260" s="8">
        <v>1</v>
      </c>
      <c r="AE260" s="8">
        <v>289</v>
      </c>
      <c r="AF260">
        <f>(AA261/AA259)-AA260</f>
        <v>4.1713007682959047E-2</v>
      </c>
    </row>
    <row r="261" spans="1:32" ht="14.25" customHeight="1" x14ac:dyDescent="0.45">
      <c r="A261" s="6" t="s">
        <v>115</v>
      </c>
      <c r="B261" s="7">
        <v>0.6135697356819767</v>
      </c>
      <c r="C261" s="7">
        <v>0.11123099056942071</v>
      </c>
      <c r="D261" s="8">
        <v>0</v>
      </c>
      <c r="E261" s="8">
        <v>1</v>
      </c>
      <c r="F261" s="8">
        <v>30</v>
      </c>
      <c r="G261" s="7">
        <v>0.31772712449524582</v>
      </c>
      <c r="H261" s="7">
        <v>6.8561599173050547E-2</v>
      </c>
      <c r="I261" s="8">
        <v>0</v>
      </c>
      <c r="J261" s="8">
        <v>1</v>
      </c>
      <c r="K261" s="8">
        <v>61</v>
      </c>
      <c r="L261" s="7">
        <v>0.15180128791918751</v>
      </c>
      <c r="M261" s="7">
        <v>5.7394585526529353E-2</v>
      </c>
      <c r="N261" s="8">
        <v>0</v>
      </c>
      <c r="O261" s="8">
        <v>1</v>
      </c>
      <c r="P261" s="8">
        <v>55</v>
      </c>
      <c r="Q261" s="7">
        <v>0.33816527182499029</v>
      </c>
      <c r="R261" s="7">
        <v>7.9496187777029978E-2</v>
      </c>
      <c r="S261" s="8">
        <v>0</v>
      </c>
      <c r="T261" s="8">
        <v>1</v>
      </c>
      <c r="U261" s="8">
        <v>73</v>
      </c>
      <c r="V261" s="7">
        <v>0.1052747505749075</v>
      </c>
      <c r="W261" s="7">
        <v>4.6762989797560717E-2</v>
      </c>
      <c r="X261" s="8">
        <v>0</v>
      </c>
      <c r="Y261" s="8">
        <v>1</v>
      </c>
      <c r="Z261" s="8">
        <v>70</v>
      </c>
      <c r="AA261" s="7">
        <v>0.26276144609460872</v>
      </c>
      <c r="AB261" s="7">
        <v>3.5442113707341585E-2</v>
      </c>
      <c r="AC261" s="8">
        <v>0</v>
      </c>
      <c r="AD261" s="8">
        <v>1</v>
      </c>
      <c r="AE261" s="8">
        <v>289</v>
      </c>
    </row>
    <row r="262" spans="1:32" ht="14.25" customHeight="1" x14ac:dyDescent="0.45">
      <c r="A262" s="6" t="s">
        <v>36</v>
      </c>
      <c r="B262" s="7">
        <v>0.72893239565623269</v>
      </c>
      <c r="C262" s="7">
        <v>8.902381100148167E-2</v>
      </c>
      <c r="D262" s="8">
        <v>0</v>
      </c>
      <c r="E262" s="8">
        <v>1</v>
      </c>
      <c r="F262" s="8">
        <v>30</v>
      </c>
      <c r="G262" s="7">
        <v>0.32479990825338129</v>
      </c>
      <c r="H262" s="7">
        <v>6.8586146510135823E-2</v>
      </c>
      <c r="I262" s="8">
        <v>0</v>
      </c>
      <c r="J262" s="8">
        <v>1</v>
      </c>
      <c r="K262" s="8">
        <v>61</v>
      </c>
      <c r="L262" s="7">
        <v>0.15180128791918751</v>
      </c>
      <c r="M262" s="7">
        <v>5.7394585526529353E-2</v>
      </c>
      <c r="N262" s="8">
        <v>0</v>
      </c>
      <c r="O262" s="8">
        <v>1</v>
      </c>
      <c r="P262" s="8">
        <v>55</v>
      </c>
      <c r="Q262" s="7">
        <v>0.33816527182499029</v>
      </c>
      <c r="R262" s="7">
        <v>7.9496187777029978E-2</v>
      </c>
      <c r="S262" s="8">
        <v>0</v>
      </c>
      <c r="T262" s="8">
        <v>1</v>
      </c>
      <c r="U262" s="8">
        <v>73</v>
      </c>
      <c r="V262" s="7">
        <v>0.26911799543093445</v>
      </c>
      <c r="W262" s="7">
        <v>7.1124564652368341E-2</v>
      </c>
      <c r="X262" s="8">
        <v>0</v>
      </c>
      <c r="Y262" s="8">
        <v>1</v>
      </c>
      <c r="Z262" s="8">
        <v>70</v>
      </c>
      <c r="AA262" s="7">
        <v>0.28189538649826235</v>
      </c>
      <c r="AB262" s="7">
        <v>3.5929536319725487E-2</v>
      </c>
      <c r="AC262" s="8">
        <v>0</v>
      </c>
      <c r="AD262" s="8">
        <v>1</v>
      </c>
      <c r="AE262" s="8">
        <v>289</v>
      </c>
      <c r="AF262">
        <f>(AA264/AA263)-AA262</f>
        <v>2.0968494006040062E-3</v>
      </c>
    </row>
    <row r="263" spans="1:32" ht="39.5" customHeight="1" x14ac:dyDescent="0.45">
      <c r="A263" s="6" t="s">
        <v>18</v>
      </c>
      <c r="B263" s="7">
        <v>1</v>
      </c>
      <c r="C263" s="7">
        <v>0</v>
      </c>
      <c r="D263" s="8">
        <v>1</v>
      </c>
      <c r="E263" s="8">
        <v>1</v>
      </c>
      <c r="F263" s="8">
        <v>30</v>
      </c>
      <c r="G263" s="7">
        <v>1</v>
      </c>
      <c r="H263" s="7">
        <v>0</v>
      </c>
      <c r="I263" s="8">
        <v>1</v>
      </c>
      <c r="J263" s="8">
        <v>1</v>
      </c>
      <c r="K263" s="8">
        <v>61</v>
      </c>
      <c r="L263" s="7">
        <v>0.96669930780681435</v>
      </c>
      <c r="M263" s="7">
        <v>2.5228335970719683E-2</v>
      </c>
      <c r="N263" s="8">
        <v>0</v>
      </c>
      <c r="O263" s="8">
        <v>1</v>
      </c>
      <c r="P263" s="8">
        <v>55</v>
      </c>
      <c r="Q263" s="7">
        <v>0.98411438133172946</v>
      </c>
      <c r="R263" s="7">
        <v>1.5948863624994217E-2</v>
      </c>
      <c r="S263" s="8">
        <v>0</v>
      </c>
      <c r="T263" s="8">
        <v>1</v>
      </c>
      <c r="U263" s="8">
        <v>73</v>
      </c>
      <c r="V263" s="7">
        <v>0.88206256317830467</v>
      </c>
      <c r="W263" s="7">
        <v>5.2357828055255899E-2</v>
      </c>
      <c r="X263" s="8">
        <v>0</v>
      </c>
      <c r="Y263" s="8">
        <v>1</v>
      </c>
      <c r="Z263" s="8">
        <v>70</v>
      </c>
      <c r="AA263" s="7">
        <v>0.97699062412897175</v>
      </c>
      <c r="AB263" s="7">
        <v>1.0802779004579677E-2</v>
      </c>
      <c r="AC263" s="8">
        <v>0</v>
      </c>
      <c r="AD263" s="8">
        <v>1</v>
      </c>
      <c r="AE263" s="8">
        <v>289</v>
      </c>
      <c r="AF263">
        <f>(AA264/AA262)-AA263</f>
        <v>7.2672427528825967E-3</v>
      </c>
    </row>
    <row r="264" spans="1:32" ht="14.25" customHeight="1" x14ac:dyDescent="0.45">
      <c r="A264" s="6" t="s">
        <v>116</v>
      </c>
      <c r="B264" s="7">
        <v>0.72893239565623269</v>
      </c>
      <c r="C264" s="7">
        <v>8.902381100148167E-2</v>
      </c>
      <c r="D264" s="8">
        <v>0</v>
      </c>
      <c r="E264" s="8">
        <v>1</v>
      </c>
      <c r="F264" s="8">
        <v>30</v>
      </c>
      <c r="G264" s="7">
        <v>0.32479990825338129</v>
      </c>
      <c r="H264" s="7">
        <v>6.8586146510135823E-2</v>
      </c>
      <c r="I264" s="8">
        <v>0</v>
      </c>
      <c r="J264" s="8">
        <v>1</v>
      </c>
      <c r="K264" s="8">
        <v>61</v>
      </c>
      <c r="L264" s="7">
        <v>0.15180128791918751</v>
      </c>
      <c r="M264" s="7">
        <v>5.7394585526529353E-2</v>
      </c>
      <c r="N264" s="8">
        <v>0</v>
      </c>
      <c r="O264" s="8">
        <v>1</v>
      </c>
      <c r="P264" s="8">
        <v>55</v>
      </c>
      <c r="Q264" s="7">
        <v>0.33816527182499029</v>
      </c>
      <c r="R264" s="7">
        <v>7.9496187777029978E-2</v>
      </c>
      <c r="S264" s="8">
        <v>0</v>
      </c>
      <c r="T264" s="8">
        <v>1</v>
      </c>
      <c r="U264" s="8">
        <v>73</v>
      </c>
      <c r="V264" s="7">
        <v>0.19386465563594349</v>
      </c>
      <c r="W264" s="7">
        <v>5.9562019184212778E-2</v>
      </c>
      <c r="X264" s="8">
        <v>0</v>
      </c>
      <c r="Y264" s="8">
        <v>1</v>
      </c>
      <c r="Z264" s="8">
        <v>70</v>
      </c>
      <c r="AA264" s="7">
        <v>0.27745775179861559</v>
      </c>
      <c r="AB264" s="7">
        <v>3.5872388762047291E-2</v>
      </c>
      <c r="AC264" s="8">
        <v>0</v>
      </c>
      <c r="AD264" s="8">
        <v>1</v>
      </c>
      <c r="AE264" s="8">
        <v>289</v>
      </c>
    </row>
    <row r="265" spans="1:32" ht="14.25" customHeight="1" x14ac:dyDescent="0.45">
      <c r="A265" s="6" t="s">
        <v>36</v>
      </c>
      <c r="B265" s="7">
        <v>0.72893239565623269</v>
      </c>
      <c r="C265" s="7">
        <v>8.902381100148167E-2</v>
      </c>
      <c r="D265" s="8">
        <v>0</v>
      </c>
      <c r="E265" s="8">
        <v>1</v>
      </c>
      <c r="F265" s="8">
        <v>30</v>
      </c>
      <c r="G265" s="7">
        <v>0.32479990825338129</v>
      </c>
      <c r="H265" s="7">
        <v>6.8586146510135823E-2</v>
      </c>
      <c r="I265" s="8">
        <v>0</v>
      </c>
      <c r="J265" s="8">
        <v>1</v>
      </c>
      <c r="K265" s="8">
        <v>61</v>
      </c>
      <c r="L265" s="7">
        <v>0.15180128791918751</v>
      </c>
      <c r="M265" s="7">
        <v>5.7394585526529353E-2</v>
      </c>
      <c r="N265" s="8">
        <v>0</v>
      </c>
      <c r="O265" s="8">
        <v>1</v>
      </c>
      <c r="P265" s="8">
        <v>55</v>
      </c>
      <c r="Q265" s="7">
        <v>0.33816527182499029</v>
      </c>
      <c r="R265" s="7">
        <v>7.9496187777029978E-2</v>
      </c>
      <c r="S265" s="8">
        <v>0</v>
      </c>
      <c r="T265" s="8">
        <v>1</v>
      </c>
      <c r="U265" s="8">
        <v>73</v>
      </c>
      <c r="V265" s="7">
        <v>0.26911799543093445</v>
      </c>
      <c r="W265" s="7">
        <v>7.1124564652368341E-2</v>
      </c>
      <c r="X265" s="8">
        <v>0</v>
      </c>
      <c r="Y265" s="8">
        <v>1</v>
      </c>
      <c r="Z265" s="8">
        <v>70</v>
      </c>
      <c r="AA265" s="7">
        <v>0.28189538649826235</v>
      </c>
      <c r="AB265" s="7">
        <v>3.5929536319725487E-2</v>
      </c>
      <c r="AC265" s="8">
        <v>0</v>
      </c>
      <c r="AD265" s="8">
        <v>1</v>
      </c>
      <c r="AE265" s="8">
        <v>289</v>
      </c>
      <c r="AF265">
        <f>(AA267/AA266)-AA265</f>
        <v>2.3369008301194538E-2</v>
      </c>
    </row>
    <row r="266" spans="1:32" ht="39.5" customHeight="1" x14ac:dyDescent="0.45">
      <c r="A266" s="6" t="s">
        <v>20</v>
      </c>
      <c r="B266" s="7">
        <v>0.71998796435535706</v>
      </c>
      <c r="C266" s="7">
        <v>0.11311854104787832</v>
      </c>
      <c r="D266" s="8">
        <v>0</v>
      </c>
      <c r="E266" s="8">
        <v>1</v>
      </c>
      <c r="F266" s="8">
        <v>30</v>
      </c>
      <c r="G266" s="7">
        <v>0.81708889697607556</v>
      </c>
      <c r="H266" s="7">
        <v>5.5492334817063477E-2</v>
      </c>
      <c r="I266" s="8">
        <v>0</v>
      </c>
      <c r="J266" s="8">
        <v>1</v>
      </c>
      <c r="K266" s="8">
        <v>61</v>
      </c>
      <c r="L266" s="7">
        <v>0.89270195125097485</v>
      </c>
      <c r="M266" s="7">
        <v>4.2121950331173691E-2</v>
      </c>
      <c r="N266" s="8">
        <v>0</v>
      </c>
      <c r="O266" s="8">
        <v>1</v>
      </c>
      <c r="P266" s="8">
        <v>55</v>
      </c>
      <c r="Q266" s="7">
        <v>0.79214063353652753</v>
      </c>
      <c r="R266" s="7">
        <v>7.4227984257885751E-2</v>
      </c>
      <c r="S266" s="8">
        <v>0</v>
      </c>
      <c r="T266" s="8">
        <v>1</v>
      </c>
      <c r="U266" s="8">
        <v>73</v>
      </c>
      <c r="V266" s="7">
        <v>0.46181897480982365</v>
      </c>
      <c r="W266" s="7">
        <v>8.6350561884418128E-2</v>
      </c>
      <c r="X266" s="8">
        <v>0</v>
      </c>
      <c r="Y266" s="8">
        <v>1</v>
      </c>
      <c r="Z266" s="8">
        <v>70</v>
      </c>
      <c r="AA266" s="7">
        <v>0.81495916750566311</v>
      </c>
      <c r="AB266" s="7">
        <v>2.9461639416979199E-2</v>
      </c>
      <c r="AC266" s="8">
        <v>0</v>
      </c>
      <c r="AD266" s="8">
        <v>1</v>
      </c>
      <c r="AE266" s="8">
        <v>289</v>
      </c>
      <c r="AF266">
        <f>(AA267/AA265)-AA266</f>
        <v>6.7559770264959074E-2</v>
      </c>
    </row>
    <row r="267" spans="1:32" ht="14.25" customHeight="1" x14ac:dyDescent="0.45">
      <c r="A267" s="6" t="s">
        <v>117</v>
      </c>
      <c r="B267" s="7">
        <v>0.57726496687523721</v>
      </c>
      <c r="C267" s="7">
        <v>0.11071576186380815</v>
      </c>
      <c r="D267" s="8">
        <v>0</v>
      </c>
      <c r="E267" s="8">
        <v>1</v>
      </c>
      <c r="F267" s="8">
        <v>30</v>
      </c>
      <c r="G267" s="7">
        <v>0.30794993934229598</v>
      </c>
      <c r="H267" s="7">
        <v>6.8430904261750844E-2</v>
      </c>
      <c r="I267" s="8">
        <v>0</v>
      </c>
      <c r="J267" s="8">
        <v>1</v>
      </c>
      <c r="K267" s="8">
        <v>61</v>
      </c>
      <c r="L267" s="7">
        <v>0.15180128791918751</v>
      </c>
      <c r="M267" s="7">
        <v>5.7394585526529353E-2</v>
      </c>
      <c r="N267" s="8">
        <v>0</v>
      </c>
      <c r="O267" s="8">
        <v>1</v>
      </c>
      <c r="P267" s="8">
        <v>55</v>
      </c>
      <c r="Q267" s="7">
        <v>0.29319618186557739</v>
      </c>
      <c r="R267" s="7">
        <v>7.5134075565275918E-2</v>
      </c>
      <c r="S267" s="8">
        <v>0</v>
      </c>
      <c r="T267" s="8">
        <v>1</v>
      </c>
      <c r="U267" s="8">
        <v>73</v>
      </c>
      <c r="V267" s="7">
        <v>9.957627516414827E-2</v>
      </c>
      <c r="W267" s="7">
        <v>4.638772414847861E-2</v>
      </c>
      <c r="X267" s="8">
        <v>0</v>
      </c>
      <c r="Y267" s="8">
        <v>1</v>
      </c>
      <c r="Z267" s="8">
        <v>70</v>
      </c>
      <c r="AA267" s="7">
        <v>0.24877801705488548</v>
      </c>
      <c r="AB267" s="7">
        <v>3.4839228459655591E-2</v>
      </c>
      <c r="AC267" s="8">
        <v>0</v>
      </c>
      <c r="AD267" s="8">
        <v>1</v>
      </c>
      <c r="AE267" s="8">
        <v>289</v>
      </c>
    </row>
    <row r="268" spans="1:32" ht="14.25" customHeight="1" x14ac:dyDescent="0.45">
      <c r="A268" s="6" t="s">
        <v>36</v>
      </c>
      <c r="B268" s="7">
        <v>0.72893239565623269</v>
      </c>
      <c r="C268" s="7">
        <v>8.902381100148167E-2</v>
      </c>
      <c r="D268" s="8">
        <v>0</v>
      </c>
      <c r="E268" s="8">
        <v>1</v>
      </c>
      <c r="F268" s="8">
        <v>30</v>
      </c>
      <c r="G268" s="7">
        <v>0.32479990825338129</v>
      </c>
      <c r="H268" s="7">
        <v>6.8586146510135823E-2</v>
      </c>
      <c r="I268" s="8">
        <v>0</v>
      </c>
      <c r="J268" s="8">
        <v>1</v>
      </c>
      <c r="K268" s="8">
        <v>61</v>
      </c>
      <c r="L268" s="7">
        <v>0.15180128791918751</v>
      </c>
      <c r="M268" s="7">
        <v>5.7394585526529353E-2</v>
      </c>
      <c r="N268" s="8">
        <v>0</v>
      </c>
      <c r="O268" s="8">
        <v>1</v>
      </c>
      <c r="P268" s="8">
        <v>55</v>
      </c>
      <c r="Q268" s="7">
        <v>0.33816527182499029</v>
      </c>
      <c r="R268" s="7">
        <v>7.9496187777029978E-2</v>
      </c>
      <c r="S268" s="8">
        <v>0</v>
      </c>
      <c r="T268" s="8">
        <v>1</v>
      </c>
      <c r="U268" s="8">
        <v>73</v>
      </c>
      <c r="V268" s="7">
        <v>0.26911799543093445</v>
      </c>
      <c r="W268" s="7">
        <v>7.1124564652368341E-2</v>
      </c>
      <c r="X268" s="8">
        <v>0</v>
      </c>
      <c r="Y268" s="8">
        <v>1</v>
      </c>
      <c r="Z268" s="8">
        <v>70</v>
      </c>
      <c r="AA268" s="7">
        <v>0.28189538649826235</v>
      </c>
      <c r="AB268" s="7">
        <v>3.5929536319725487E-2</v>
      </c>
      <c r="AC268" s="8">
        <v>0</v>
      </c>
      <c r="AD268" s="8">
        <v>1</v>
      </c>
      <c r="AE268" s="8">
        <v>289</v>
      </c>
      <c r="AF268">
        <f>(AA270/AA269)-AA268</f>
        <v>4.9365284113105368E-3</v>
      </c>
    </row>
    <row r="269" spans="1:32" ht="26.25" customHeight="1" x14ac:dyDescent="0.45">
      <c r="A269" s="6" t="s">
        <v>22</v>
      </c>
      <c r="B269" s="7">
        <v>0.92567057702595223</v>
      </c>
      <c r="C269" s="7">
        <v>5.2772110959269633E-2</v>
      </c>
      <c r="D269" s="8">
        <v>0</v>
      </c>
      <c r="E269" s="8">
        <v>1</v>
      </c>
      <c r="F269" s="8">
        <v>30</v>
      </c>
      <c r="G269" s="7">
        <v>0.96708867666829124</v>
      </c>
      <c r="H269" s="7">
        <v>2.3335390502298822E-2</v>
      </c>
      <c r="I269" s="8">
        <v>0</v>
      </c>
      <c r="J269" s="8">
        <v>1</v>
      </c>
      <c r="K269" s="8">
        <v>61</v>
      </c>
      <c r="L269" s="7">
        <v>0.92438050124212068</v>
      </c>
      <c r="M269" s="7">
        <v>3.4796389331134367E-2</v>
      </c>
      <c r="N269" s="8">
        <v>0</v>
      </c>
      <c r="O269" s="8">
        <v>1</v>
      </c>
      <c r="P269" s="8">
        <v>55</v>
      </c>
      <c r="Q269" s="7">
        <v>0.98744074376457081</v>
      </c>
      <c r="R269" s="7">
        <v>9.6317749278603242E-3</v>
      </c>
      <c r="S269" s="8">
        <v>0</v>
      </c>
      <c r="T269" s="8">
        <v>1</v>
      </c>
      <c r="U269" s="8">
        <v>73</v>
      </c>
      <c r="V269" s="7">
        <v>0.81579627466349469</v>
      </c>
      <c r="W269" s="7">
        <v>6.4243143036487982E-2</v>
      </c>
      <c r="X269" s="8">
        <v>0</v>
      </c>
      <c r="Y269" s="8">
        <v>1</v>
      </c>
      <c r="Z269" s="8">
        <v>70</v>
      </c>
      <c r="AA269" s="7">
        <v>0.94255881801459418</v>
      </c>
      <c r="AB269" s="7">
        <v>1.6228337802130382E-2</v>
      </c>
      <c r="AC269" s="8">
        <v>0</v>
      </c>
      <c r="AD269" s="8">
        <v>1</v>
      </c>
      <c r="AE269" s="8">
        <v>289</v>
      </c>
      <c r="AF269">
        <f>(AA270/AA268)-AA269</f>
        <v>1.650601112086314E-2</v>
      </c>
    </row>
    <row r="270" spans="1:32" ht="14.25" customHeight="1" x14ac:dyDescent="0.45">
      <c r="A270" s="6" t="s">
        <v>118</v>
      </c>
      <c r="B270" s="7">
        <v>0.65460297268218492</v>
      </c>
      <c r="C270" s="7">
        <v>9.7719695274443977E-2</v>
      </c>
      <c r="D270" s="8">
        <v>0</v>
      </c>
      <c r="E270" s="8">
        <v>1</v>
      </c>
      <c r="F270" s="8">
        <v>30</v>
      </c>
      <c r="G270" s="7">
        <v>0.32479990825338129</v>
      </c>
      <c r="H270" s="7">
        <v>6.8586146510135823E-2</v>
      </c>
      <c r="I270" s="8">
        <v>0</v>
      </c>
      <c r="J270" s="8">
        <v>1</v>
      </c>
      <c r="K270" s="8">
        <v>61</v>
      </c>
      <c r="L270" s="7">
        <v>0.15180128791918751</v>
      </c>
      <c r="M270" s="7">
        <v>5.7394585526529353E-2</v>
      </c>
      <c r="N270" s="8">
        <v>0</v>
      </c>
      <c r="O270" s="8">
        <v>1</v>
      </c>
      <c r="P270" s="8">
        <v>55</v>
      </c>
      <c r="Q270" s="7">
        <v>0.32560601558956115</v>
      </c>
      <c r="R270" s="7">
        <v>7.9534201719992884E-2</v>
      </c>
      <c r="S270" s="8">
        <v>0</v>
      </c>
      <c r="T270" s="8">
        <v>1</v>
      </c>
      <c r="U270" s="8">
        <v>73</v>
      </c>
      <c r="V270" s="7">
        <v>0.19386465563594349</v>
      </c>
      <c r="W270" s="7">
        <v>5.9562019184212778E-2</v>
      </c>
      <c r="X270" s="8">
        <v>0</v>
      </c>
      <c r="Y270" s="8">
        <v>1</v>
      </c>
      <c r="Z270" s="8">
        <v>70</v>
      </c>
      <c r="AA270" s="7">
        <v>0.27035595068602969</v>
      </c>
      <c r="AB270" s="7">
        <v>3.5768911140138776E-2</v>
      </c>
      <c r="AC270" s="8">
        <v>0</v>
      </c>
      <c r="AD270" s="8">
        <v>1</v>
      </c>
      <c r="AE270" s="8">
        <v>289</v>
      </c>
    </row>
    <row r="271" spans="1:32" ht="14.25" customHeight="1" x14ac:dyDescent="0.45">
      <c r="A271" s="6" t="s">
        <v>36</v>
      </c>
      <c r="B271" s="7">
        <v>0.72893239565623269</v>
      </c>
      <c r="C271" s="7">
        <v>8.902381100148167E-2</v>
      </c>
      <c r="D271" s="8">
        <v>0</v>
      </c>
      <c r="E271" s="8">
        <v>1</v>
      </c>
      <c r="F271" s="8">
        <v>30</v>
      </c>
      <c r="G271" s="7">
        <v>0.32479990825338129</v>
      </c>
      <c r="H271" s="7">
        <v>6.8586146510135823E-2</v>
      </c>
      <c r="I271" s="8">
        <v>0</v>
      </c>
      <c r="J271" s="8">
        <v>1</v>
      </c>
      <c r="K271" s="8">
        <v>61</v>
      </c>
      <c r="L271" s="7">
        <v>0.15180128791918751</v>
      </c>
      <c r="M271" s="7">
        <v>5.7394585526529353E-2</v>
      </c>
      <c r="N271" s="8">
        <v>0</v>
      </c>
      <c r="O271" s="8">
        <v>1</v>
      </c>
      <c r="P271" s="8">
        <v>55</v>
      </c>
      <c r="Q271" s="7">
        <v>0.33816527182499029</v>
      </c>
      <c r="R271" s="7">
        <v>7.9496187777029978E-2</v>
      </c>
      <c r="S271" s="8">
        <v>0</v>
      </c>
      <c r="T271" s="8">
        <v>1</v>
      </c>
      <c r="U271" s="8">
        <v>73</v>
      </c>
      <c r="V271" s="7">
        <v>0.26911799543093445</v>
      </c>
      <c r="W271" s="7">
        <v>7.1124564652368341E-2</v>
      </c>
      <c r="X271" s="8">
        <v>0</v>
      </c>
      <c r="Y271" s="8">
        <v>1</v>
      </c>
      <c r="Z271" s="8">
        <v>70</v>
      </c>
      <c r="AA271" s="7">
        <v>0.28189538649826235</v>
      </c>
      <c r="AB271" s="7">
        <v>3.5929536319725487E-2</v>
      </c>
      <c r="AC271" s="8">
        <v>0</v>
      </c>
      <c r="AD271" s="8">
        <v>1</v>
      </c>
      <c r="AE271" s="8">
        <v>289</v>
      </c>
      <c r="AF271">
        <f>(AA273/AA272)-AA271</f>
        <v>4.8550146064447186E-3</v>
      </c>
    </row>
    <row r="272" spans="1:32" ht="26.25" customHeight="1" x14ac:dyDescent="0.45">
      <c r="A272" s="6" t="s">
        <v>24</v>
      </c>
      <c r="B272" s="7">
        <v>0.29691007821421939</v>
      </c>
      <c r="C272" s="7">
        <v>9.0434299454504388E-2</v>
      </c>
      <c r="D272" s="8">
        <v>0</v>
      </c>
      <c r="E272" s="8">
        <v>1</v>
      </c>
      <c r="F272" s="8">
        <v>30</v>
      </c>
      <c r="G272" s="7">
        <v>0.49677177668929956</v>
      </c>
      <c r="H272" s="7">
        <v>7.0999294454138578E-2</v>
      </c>
      <c r="I272" s="8">
        <v>0</v>
      </c>
      <c r="J272" s="8">
        <v>1</v>
      </c>
      <c r="K272" s="8">
        <v>61</v>
      </c>
      <c r="L272" s="7">
        <v>0.66910480046057408</v>
      </c>
      <c r="M272" s="7">
        <v>6.9382404233736442E-2</v>
      </c>
      <c r="N272" s="8">
        <v>0</v>
      </c>
      <c r="O272" s="8">
        <v>1</v>
      </c>
      <c r="P272" s="8">
        <v>55</v>
      </c>
      <c r="Q272" s="7">
        <v>0.81572970757523378</v>
      </c>
      <c r="R272" s="7">
        <v>4.8223017832801064E-2</v>
      </c>
      <c r="S272" s="8">
        <v>0</v>
      </c>
      <c r="T272" s="8">
        <v>1</v>
      </c>
      <c r="U272" s="8">
        <v>73</v>
      </c>
      <c r="V272" s="7">
        <v>0.33543852274097052</v>
      </c>
      <c r="W272" s="7">
        <v>8.1338752606745057E-2</v>
      </c>
      <c r="X272" s="8">
        <v>0</v>
      </c>
      <c r="Y272" s="8">
        <v>1</v>
      </c>
      <c r="Z272" s="8">
        <v>70</v>
      </c>
      <c r="AA272" s="7">
        <v>0.60191756282298448</v>
      </c>
      <c r="AB272" s="7">
        <v>3.8656173410834903E-2</v>
      </c>
      <c r="AC272" s="8">
        <v>0</v>
      </c>
      <c r="AD272" s="8">
        <v>1</v>
      </c>
      <c r="AE272" s="8">
        <v>289</v>
      </c>
      <c r="AF272">
        <f>(AA273/AA271)-AA272</f>
        <v>1.0366677495799448E-2</v>
      </c>
    </row>
    <row r="273" spans="1:32" ht="14.25" customHeight="1" x14ac:dyDescent="0.45">
      <c r="A273" s="6" t="s">
        <v>119</v>
      </c>
      <c r="B273" s="7">
        <v>0.20736830922588126</v>
      </c>
      <c r="C273" s="7">
        <v>7.7703920472215332E-2</v>
      </c>
      <c r="D273" s="8">
        <v>0</v>
      </c>
      <c r="E273" s="8">
        <v>1</v>
      </c>
      <c r="F273" s="8">
        <v>30</v>
      </c>
      <c r="G273" s="7">
        <v>0.20760453143266602</v>
      </c>
      <c r="H273" s="7">
        <v>5.9427866870354923E-2</v>
      </c>
      <c r="I273" s="8">
        <v>0</v>
      </c>
      <c r="J273" s="8">
        <v>1</v>
      </c>
      <c r="K273" s="8">
        <v>61</v>
      </c>
      <c r="L273" s="7">
        <v>9.9236770921599729E-2</v>
      </c>
      <c r="M273" s="7">
        <v>4.4655307982335184E-2</v>
      </c>
      <c r="N273" s="8">
        <v>0</v>
      </c>
      <c r="O273" s="8">
        <v>1</v>
      </c>
      <c r="P273" s="8">
        <v>55</v>
      </c>
      <c r="Q273" s="7">
        <v>0.29469656891453555</v>
      </c>
      <c r="R273" s="7">
        <v>7.912886146448396E-2</v>
      </c>
      <c r="S273" s="8">
        <v>0</v>
      </c>
      <c r="T273" s="8">
        <v>1</v>
      </c>
      <c r="U273" s="8">
        <v>73</v>
      </c>
      <c r="V273" s="7">
        <v>5.9386718023463889E-2</v>
      </c>
      <c r="W273" s="7">
        <v>4.1018116636648706E-2</v>
      </c>
      <c r="X273" s="8">
        <v>0</v>
      </c>
      <c r="Y273" s="8">
        <v>1</v>
      </c>
      <c r="Z273" s="8">
        <v>70</v>
      </c>
      <c r="AA273" s="7">
        <v>0.17260010257145852</v>
      </c>
      <c r="AB273" s="7">
        <v>3.0260911433724884E-2</v>
      </c>
      <c r="AC273" s="8">
        <v>0</v>
      </c>
      <c r="AD273" s="8">
        <v>1</v>
      </c>
      <c r="AE273" s="8">
        <v>289</v>
      </c>
    </row>
    <row r="274" spans="1:32" ht="26.25" customHeight="1" x14ac:dyDescent="0.45">
      <c r="A274" s="6" t="s">
        <v>38</v>
      </c>
      <c r="B274" s="7">
        <v>0.71998796435535706</v>
      </c>
      <c r="C274" s="7">
        <v>0.11311854104787832</v>
      </c>
      <c r="D274" s="8">
        <v>0</v>
      </c>
      <c r="E274" s="8">
        <v>1</v>
      </c>
      <c r="F274" s="8">
        <v>30</v>
      </c>
      <c r="G274" s="7">
        <v>0.8042407061751119</v>
      </c>
      <c r="H274" s="7">
        <v>5.6411702520922181E-2</v>
      </c>
      <c r="I274" s="8">
        <v>0</v>
      </c>
      <c r="J274" s="8">
        <v>1</v>
      </c>
      <c r="K274" s="8">
        <v>61</v>
      </c>
      <c r="L274" s="7">
        <v>0.89270195125097485</v>
      </c>
      <c r="M274" s="7">
        <v>4.2121950331173691E-2</v>
      </c>
      <c r="N274" s="8">
        <v>0</v>
      </c>
      <c r="O274" s="8">
        <v>1</v>
      </c>
      <c r="P274" s="8">
        <v>55</v>
      </c>
      <c r="Q274" s="7">
        <v>0.78205413715993244</v>
      </c>
      <c r="R274" s="7">
        <v>7.4169259039094562E-2</v>
      </c>
      <c r="S274" s="8">
        <v>0</v>
      </c>
      <c r="T274" s="8">
        <v>1</v>
      </c>
      <c r="U274" s="8">
        <v>73</v>
      </c>
      <c r="V274" s="7">
        <v>0.46181897480982365</v>
      </c>
      <c r="W274" s="7">
        <v>8.6350561884418128E-2</v>
      </c>
      <c r="X274" s="8">
        <v>0</v>
      </c>
      <c r="Y274" s="8">
        <v>1</v>
      </c>
      <c r="Z274" s="8">
        <v>70</v>
      </c>
      <c r="AA274" s="7">
        <v>0.80925310000793194</v>
      </c>
      <c r="AB274" s="7">
        <v>2.96741507605978E-2</v>
      </c>
      <c r="AC274" s="8">
        <v>0</v>
      </c>
      <c r="AD274" s="8">
        <v>1</v>
      </c>
      <c r="AE274" s="8">
        <v>289</v>
      </c>
      <c r="AF274">
        <f>(AA276/AA275)-AA274</f>
        <v>5.227094354574735E-2</v>
      </c>
    </row>
    <row r="275" spans="1:32" ht="14.25" customHeight="1" x14ac:dyDescent="0.45">
      <c r="A275" s="6" t="s">
        <v>40</v>
      </c>
      <c r="B275" s="7">
        <v>0.29691007821421939</v>
      </c>
      <c r="C275" s="7">
        <v>9.0434299454504388E-2</v>
      </c>
      <c r="D275" s="8">
        <v>0</v>
      </c>
      <c r="E275" s="8">
        <v>1</v>
      </c>
      <c r="F275" s="8">
        <v>30</v>
      </c>
      <c r="G275" s="7">
        <v>0.47852637519700286</v>
      </c>
      <c r="H275" s="7">
        <v>7.0841094266787655E-2</v>
      </c>
      <c r="I275" s="8">
        <v>0</v>
      </c>
      <c r="J275" s="8">
        <v>1</v>
      </c>
      <c r="K275" s="8">
        <v>61</v>
      </c>
      <c r="L275" s="7">
        <v>0.65648588818467313</v>
      </c>
      <c r="M275" s="7">
        <v>7.0002600340418331E-2</v>
      </c>
      <c r="N275" s="8">
        <v>0</v>
      </c>
      <c r="O275" s="8">
        <v>1</v>
      </c>
      <c r="P275" s="8">
        <v>55</v>
      </c>
      <c r="Q275" s="7">
        <v>0.79588055624962939</v>
      </c>
      <c r="R275" s="7">
        <v>5.0588570102129408E-2</v>
      </c>
      <c r="S275" s="8">
        <v>0</v>
      </c>
      <c r="T275" s="8">
        <v>1</v>
      </c>
      <c r="U275" s="8">
        <v>73</v>
      </c>
      <c r="V275" s="7">
        <v>0.30585942795052035</v>
      </c>
      <c r="W275" s="7">
        <v>7.9216084987864505E-2</v>
      </c>
      <c r="X275" s="8">
        <v>0</v>
      </c>
      <c r="Y275" s="8">
        <v>1</v>
      </c>
      <c r="Z275" s="8">
        <v>70</v>
      </c>
      <c r="AA275" s="7">
        <v>0.58607907057708142</v>
      </c>
      <c r="AB275" s="7">
        <v>3.8942949569521081E-2</v>
      </c>
      <c r="AC275" s="8">
        <v>0</v>
      </c>
      <c r="AD275" s="8">
        <v>1</v>
      </c>
      <c r="AE275" s="8">
        <v>289</v>
      </c>
      <c r="AF275">
        <f>(AA276/AA274)-AA275</f>
        <v>3.7855778385252337E-2</v>
      </c>
    </row>
    <row r="276" spans="1:32" ht="39.5" customHeight="1" x14ac:dyDescent="0.45">
      <c r="A276" s="6" t="s">
        <v>120</v>
      </c>
      <c r="B276" s="7">
        <v>0.21772422727477581</v>
      </c>
      <c r="C276" s="7">
        <v>7.7376311193774361E-2</v>
      </c>
      <c r="D276" s="8">
        <v>0</v>
      </c>
      <c r="E276" s="8">
        <v>1</v>
      </c>
      <c r="F276" s="8">
        <v>30</v>
      </c>
      <c r="G276" s="7">
        <v>0.42363098832085178</v>
      </c>
      <c r="H276" s="7">
        <v>7.0085388533527845E-2</v>
      </c>
      <c r="I276" s="8">
        <v>0</v>
      </c>
      <c r="J276" s="8">
        <v>1</v>
      </c>
      <c r="K276" s="8">
        <v>61</v>
      </c>
      <c r="L276" s="7">
        <v>0.61258052154744513</v>
      </c>
      <c r="M276" s="7">
        <v>7.2442564499166723E-2</v>
      </c>
      <c r="N276" s="8">
        <v>0</v>
      </c>
      <c r="O276" s="8">
        <v>1</v>
      </c>
      <c r="P276" s="8">
        <v>55</v>
      </c>
      <c r="Q276" s="7">
        <v>0.59894344223668383</v>
      </c>
      <c r="R276" s="7">
        <v>7.8598712316183594E-2</v>
      </c>
      <c r="S276" s="8">
        <v>0</v>
      </c>
      <c r="T276" s="8">
        <v>1</v>
      </c>
      <c r="U276" s="8">
        <v>73</v>
      </c>
      <c r="V276" s="7">
        <v>0.20991192726908134</v>
      </c>
      <c r="W276" s="7">
        <v>7.2207376307546436E-2</v>
      </c>
      <c r="X276" s="8">
        <v>0</v>
      </c>
      <c r="Y276" s="8">
        <v>1</v>
      </c>
      <c r="Z276" s="8">
        <v>70</v>
      </c>
      <c r="AA276" s="7">
        <v>0.50492121072574936</v>
      </c>
      <c r="AB276" s="7">
        <v>4.0432937346015857E-2</v>
      </c>
      <c r="AC276" s="8">
        <v>0</v>
      </c>
      <c r="AD276" s="8">
        <v>1</v>
      </c>
      <c r="AE276" s="8">
        <v>289</v>
      </c>
    </row>
    <row r="277" spans="1:32" ht="26.25" customHeight="1" x14ac:dyDescent="0.45">
      <c r="A277" s="6" t="s">
        <v>38</v>
      </c>
      <c r="B277" s="7">
        <v>0.71998796435535706</v>
      </c>
      <c r="C277" s="7">
        <v>0.11311854104787832</v>
      </c>
      <c r="D277" s="8">
        <v>0</v>
      </c>
      <c r="E277" s="8">
        <v>1</v>
      </c>
      <c r="F277" s="8">
        <v>30</v>
      </c>
      <c r="G277" s="7">
        <v>0.8042407061751119</v>
      </c>
      <c r="H277" s="7">
        <v>5.6411702520922181E-2</v>
      </c>
      <c r="I277" s="8">
        <v>0</v>
      </c>
      <c r="J277" s="8">
        <v>1</v>
      </c>
      <c r="K277" s="8">
        <v>61</v>
      </c>
      <c r="L277" s="7">
        <v>0.89270195125097485</v>
      </c>
      <c r="M277" s="7">
        <v>4.2121950331173691E-2</v>
      </c>
      <c r="N277" s="8">
        <v>0</v>
      </c>
      <c r="O277" s="8">
        <v>1</v>
      </c>
      <c r="P277" s="8">
        <v>55</v>
      </c>
      <c r="Q277" s="7">
        <v>0.78205413715993244</v>
      </c>
      <c r="R277" s="7">
        <v>7.4169259039094562E-2</v>
      </c>
      <c r="S277" s="8">
        <v>0</v>
      </c>
      <c r="T277" s="8">
        <v>1</v>
      </c>
      <c r="U277" s="8">
        <v>73</v>
      </c>
      <c r="V277" s="7">
        <v>0.46181897480982365</v>
      </c>
      <c r="W277" s="7">
        <v>8.6350561884418128E-2</v>
      </c>
      <c r="X277" s="8">
        <v>0</v>
      </c>
      <c r="Y277" s="8">
        <v>1</v>
      </c>
      <c r="Z277" s="8">
        <v>70</v>
      </c>
      <c r="AA277" s="7">
        <v>0.80925310000793194</v>
      </c>
      <c r="AB277" s="7">
        <v>2.96741507605978E-2</v>
      </c>
      <c r="AC277" s="8">
        <v>0</v>
      </c>
      <c r="AD277" s="8">
        <v>1</v>
      </c>
      <c r="AE277" s="8">
        <v>289</v>
      </c>
      <c r="AF277">
        <f>(AA279/AA278)-AA277</f>
        <v>9.2812767214001113E-3</v>
      </c>
    </row>
    <row r="278" spans="1:32" ht="14.25" customHeight="1" x14ac:dyDescent="0.45">
      <c r="A278" s="6" t="s">
        <v>42</v>
      </c>
      <c r="B278" s="7">
        <v>0.88373917384473755</v>
      </c>
      <c r="C278" s="7">
        <v>6.5637894232017879E-2</v>
      </c>
      <c r="D278" s="8">
        <v>0</v>
      </c>
      <c r="E278" s="8">
        <v>1</v>
      </c>
      <c r="F278" s="8">
        <v>30</v>
      </c>
      <c r="G278" s="7">
        <v>0.96708867666829124</v>
      </c>
      <c r="H278" s="7">
        <v>2.3335390502298822E-2</v>
      </c>
      <c r="I278" s="8">
        <v>0</v>
      </c>
      <c r="J278" s="8">
        <v>1</v>
      </c>
      <c r="K278" s="8">
        <v>61</v>
      </c>
      <c r="L278" s="7">
        <v>0.92438050124212068</v>
      </c>
      <c r="M278" s="7">
        <v>3.4796389331134367E-2</v>
      </c>
      <c r="N278" s="8">
        <v>0</v>
      </c>
      <c r="O278" s="8">
        <v>1</v>
      </c>
      <c r="P278" s="8">
        <v>55</v>
      </c>
      <c r="Q278" s="7">
        <v>0.91163408858832118</v>
      </c>
      <c r="R278" s="7">
        <v>4.1385817286864961E-2</v>
      </c>
      <c r="S278" s="8">
        <v>0</v>
      </c>
      <c r="T278" s="8">
        <v>1</v>
      </c>
      <c r="U278" s="8">
        <v>73</v>
      </c>
      <c r="V278" s="7">
        <v>0.79321873455244019</v>
      </c>
      <c r="W278" s="7">
        <v>6.5826991842619254E-2</v>
      </c>
      <c r="X278" s="8">
        <v>0</v>
      </c>
      <c r="Y278" s="8">
        <v>1</v>
      </c>
      <c r="Z278" s="8">
        <v>70</v>
      </c>
      <c r="AA278" s="7">
        <v>0.92434876147780487</v>
      </c>
      <c r="AB278" s="7">
        <v>1.809715288505577E-2</v>
      </c>
      <c r="AC278" s="8">
        <v>0</v>
      </c>
      <c r="AD278" s="8">
        <v>1</v>
      </c>
      <c r="AE278" s="8">
        <v>289</v>
      </c>
      <c r="AF278">
        <f>(AA279/AA277)-AA278</f>
        <v>1.0601302166497573E-2</v>
      </c>
    </row>
    <row r="279" spans="1:32" ht="39.5" customHeight="1" x14ac:dyDescent="0.45">
      <c r="A279" s="6" t="s">
        <v>121</v>
      </c>
      <c r="B279" s="7">
        <v>0.6037271382000946</v>
      </c>
      <c r="C279" s="7">
        <v>0.11259579879517904</v>
      </c>
      <c r="D279" s="8">
        <v>0</v>
      </c>
      <c r="E279" s="8">
        <v>1</v>
      </c>
      <c r="F279" s="8">
        <v>30</v>
      </c>
      <c r="G279" s="7">
        <v>0.77132938284340313</v>
      </c>
      <c r="H279" s="7">
        <v>5.9221598246615666E-2</v>
      </c>
      <c r="I279" s="8">
        <v>0</v>
      </c>
      <c r="J279" s="8">
        <v>1</v>
      </c>
      <c r="K279" s="8">
        <v>61</v>
      </c>
      <c r="L279" s="7">
        <v>0.85038314468628118</v>
      </c>
      <c r="M279" s="7">
        <v>4.7954081631320832E-2</v>
      </c>
      <c r="N279" s="8">
        <v>0</v>
      </c>
      <c r="O279" s="8">
        <v>1</v>
      </c>
      <c r="P279" s="8">
        <v>55</v>
      </c>
      <c r="Q279" s="7">
        <v>0.70957384441652405</v>
      </c>
      <c r="R279" s="7">
        <v>7.7703719241861063E-2</v>
      </c>
      <c r="S279" s="8">
        <v>0</v>
      </c>
      <c r="T279" s="8">
        <v>1</v>
      </c>
      <c r="U279" s="8">
        <v>73</v>
      </c>
      <c r="V279" s="7">
        <v>0.37297514618395916</v>
      </c>
      <c r="W279" s="7">
        <v>8.372129292948019E-2</v>
      </c>
      <c r="X279" s="8">
        <v>0</v>
      </c>
      <c r="Y279" s="8">
        <v>1</v>
      </c>
      <c r="Z279" s="8">
        <v>70</v>
      </c>
      <c r="AA279" s="7">
        <v>0.75661123735676505</v>
      </c>
      <c r="AB279" s="7">
        <v>3.218128900204488E-2</v>
      </c>
      <c r="AC279" s="8">
        <v>0</v>
      </c>
      <c r="AD279" s="8">
        <v>1</v>
      </c>
      <c r="AE279" s="8">
        <v>289</v>
      </c>
    </row>
    <row r="280" spans="1:32" ht="26.25" customHeight="1" x14ac:dyDescent="0.45">
      <c r="A280" s="6" t="s">
        <v>38</v>
      </c>
      <c r="B280" s="7">
        <v>0.71998796435535706</v>
      </c>
      <c r="C280" s="7">
        <v>0.11311854104787832</v>
      </c>
      <c r="D280" s="8">
        <v>0</v>
      </c>
      <c r="E280" s="8">
        <v>1</v>
      </c>
      <c r="F280" s="8">
        <v>30</v>
      </c>
      <c r="G280" s="7">
        <v>0.8042407061751119</v>
      </c>
      <c r="H280" s="7">
        <v>5.6411702520922181E-2</v>
      </c>
      <c r="I280" s="8">
        <v>0</v>
      </c>
      <c r="J280" s="8">
        <v>1</v>
      </c>
      <c r="K280" s="8">
        <v>61</v>
      </c>
      <c r="L280" s="7">
        <v>0.89270195125097485</v>
      </c>
      <c r="M280" s="7">
        <v>4.2121950331173691E-2</v>
      </c>
      <c r="N280" s="8">
        <v>0</v>
      </c>
      <c r="O280" s="8">
        <v>1</v>
      </c>
      <c r="P280" s="8">
        <v>55</v>
      </c>
      <c r="Q280" s="7">
        <v>0.78205413715993244</v>
      </c>
      <c r="R280" s="7">
        <v>7.4169259039094562E-2</v>
      </c>
      <c r="S280" s="8">
        <v>0</v>
      </c>
      <c r="T280" s="8">
        <v>1</v>
      </c>
      <c r="U280" s="8">
        <v>73</v>
      </c>
      <c r="V280" s="7">
        <v>0.46181897480982365</v>
      </c>
      <c r="W280" s="7">
        <v>8.6350561884418128E-2</v>
      </c>
      <c r="X280" s="8">
        <v>0</v>
      </c>
      <c r="Y280" s="8">
        <v>1</v>
      </c>
      <c r="Z280" s="8">
        <v>70</v>
      </c>
      <c r="AA280" s="7">
        <v>0.80925310000793194</v>
      </c>
      <c r="AB280" s="7">
        <v>2.96741507605978E-2</v>
      </c>
      <c r="AC280" s="8">
        <v>0</v>
      </c>
      <c r="AD280" s="8">
        <v>1</v>
      </c>
      <c r="AE280" s="8">
        <v>289</v>
      </c>
      <c r="AF280">
        <f>(AA282/AA281)-AA280</f>
        <v>6.1207764576576951E-2</v>
      </c>
    </row>
    <row r="281" spans="1:32" ht="14.25" customHeight="1" x14ac:dyDescent="0.45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30</v>
      </c>
      <c r="G281" s="7">
        <v>4.3984681938985942E-2</v>
      </c>
      <c r="H281" s="7">
        <v>2.2428515599090256E-2</v>
      </c>
      <c r="I281" s="8">
        <v>0</v>
      </c>
      <c r="J281" s="8">
        <v>1</v>
      </c>
      <c r="K281" s="8">
        <v>61</v>
      </c>
      <c r="L281" s="7">
        <v>4.6686566157947883E-2</v>
      </c>
      <c r="M281" s="7">
        <v>2.9932730284583084E-2</v>
      </c>
      <c r="N281" s="8">
        <v>0</v>
      </c>
      <c r="O281" s="8">
        <v>1</v>
      </c>
      <c r="P281" s="8">
        <v>55</v>
      </c>
      <c r="Q281" s="7">
        <v>4.5823463093928804E-2</v>
      </c>
      <c r="R281" s="7">
        <v>2.1566040924099809E-2</v>
      </c>
      <c r="S281" s="8">
        <v>0</v>
      </c>
      <c r="T281" s="8">
        <v>1</v>
      </c>
      <c r="U281" s="8">
        <v>73</v>
      </c>
      <c r="V281" s="7">
        <v>6.8897826628121606E-2</v>
      </c>
      <c r="W281" s="7">
        <v>4.7551151202023072E-2</v>
      </c>
      <c r="X281" s="8">
        <v>0</v>
      </c>
      <c r="Y281" s="8">
        <v>1</v>
      </c>
      <c r="Z281" s="8">
        <v>70</v>
      </c>
      <c r="AA281" s="7">
        <v>4.4048985501015846E-2</v>
      </c>
      <c r="AB281" s="7">
        <v>1.4289951777276724E-2</v>
      </c>
      <c r="AC281" s="8">
        <v>0</v>
      </c>
      <c r="AD281" s="8">
        <v>1</v>
      </c>
      <c r="AE281" s="8">
        <v>289</v>
      </c>
      <c r="AF281">
        <f>(AA282/AA280)-AA281</f>
        <v>3.3316399212518361E-3</v>
      </c>
    </row>
    <row r="282" spans="1:32" ht="26.25" customHeight="1" x14ac:dyDescent="0.45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30</v>
      </c>
      <c r="G282" s="7">
        <v>3.1136491138022374E-2</v>
      </c>
      <c r="H282" s="7">
        <v>1.8418963549795046E-2</v>
      </c>
      <c r="I282" s="8">
        <v>0</v>
      </c>
      <c r="J282" s="8">
        <v>1</v>
      </c>
      <c r="K282" s="8">
        <v>61</v>
      </c>
      <c r="L282" s="7">
        <v>4.6686566157947883E-2</v>
      </c>
      <c r="M282" s="7">
        <v>2.9932730284583084E-2</v>
      </c>
      <c r="N282" s="8">
        <v>0</v>
      </c>
      <c r="O282" s="8">
        <v>1</v>
      </c>
      <c r="P282" s="8">
        <v>55</v>
      </c>
      <c r="Q282" s="7">
        <v>3.5736966717333722E-2</v>
      </c>
      <c r="R282" s="7">
        <v>2.0107241893060311E-2</v>
      </c>
      <c r="S282" s="8">
        <v>0</v>
      </c>
      <c r="T282" s="8">
        <v>1</v>
      </c>
      <c r="U282" s="8">
        <v>73</v>
      </c>
      <c r="V282" s="7">
        <v>6.8897826628121606E-2</v>
      </c>
      <c r="W282" s="7">
        <v>4.7551151202023072E-2</v>
      </c>
      <c r="X282" s="8">
        <v>0</v>
      </c>
      <c r="Y282" s="8">
        <v>1</v>
      </c>
      <c r="Z282" s="8">
        <v>70</v>
      </c>
      <c r="AA282" s="7">
        <v>3.8342918003284751E-2</v>
      </c>
      <c r="AB282" s="7">
        <v>1.3724123632665251E-2</v>
      </c>
      <c r="AC282" s="8">
        <v>0</v>
      </c>
      <c r="AD282" s="8">
        <v>1</v>
      </c>
      <c r="AE282" s="8">
        <v>289</v>
      </c>
    </row>
    <row r="283" spans="1:32" ht="14.25" customHeight="1" x14ac:dyDescent="0.45">
      <c r="A283" s="6" t="s">
        <v>40</v>
      </c>
      <c r="B283" s="7">
        <v>0.29691007821421939</v>
      </c>
      <c r="C283" s="7">
        <v>9.0434299454504388E-2</v>
      </c>
      <c r="D283" s="8">
        <v>0</v>
      </c>
      <c r="E283" s="8">
        <v>1</v>
      </c>
      <c r="F283" s="8">
        <v>30</v>
      </c>
      <c r="G283" s="7">
        <v>0.47852637519700286</v>
      </c>
      <c r="H283" s="7">
        <v>7.0841094266787655E-2</v>
      </c>
      <c r="I283" s="8">
        <v>0</v>
      </c>
      <c r="J283" s="8">
        <v>1</v>
      </c>
      <c r="K283" s="8">
        <v>61</v>
      </c>
      <c r="L283" s="7">
        <v>0.65648588818467313</v>
      </c>
      <c r="M283" s="7">
        <v>7.0002600340418331E-2</v>
      </c>
      <c r="N283" s="8">
        <v>0</v>
      </c>
      <c r="O283" s="8">
        <v>1</v>
      </c>
      <c r="P283" s="8">
        <v>55</v>
      </c>
      <c r="Q283" s="7">
        <v>0.79588055624962939</v>
      </c>
      <c r="R283" s="7">
        <v>5.0588570102129408E-2</v>
      </c>
      <c r="S283" s="8">
        <v>0</v>
      </c>
      <c r="T283" s="8">
        <v>1</v>
      </c>
      <c r="U283" s="8">
        <v>73</v>
      </c>
      <c r="V283" s="7">
        <v>0.30585942795052035</v>
      </c>
      <c r="W283" s="7">
        <v>7.9216084987864505E-2</v>
      </c>
      <c r="X283" s="8">
        <v>0</v>
      </c>
      <c r="Y283" s="8">
        <v>1</v>
      </c>
      <c r="Z283" s="8">
        <v>70</v>
      </c>
      <c r="AA283" s="7">
        <v>0.58607907057708142</v>
      </c>
      <c r="AB283" s="7">
        <v>3.8942949569521081E-2</v>
      </c>
      <c r="AC283" s="8">
        <v>0</v>
      </c>
      <c r="AD283" s="8">
        <v>1</v>
      </c>
      <c r="AE283" s="8">
        <v>289</v>
      </c>
      <c r="AF283">
        <f>(AA285/AA284)-AA283</f>
        <v>2.8265901479147759E-2</v>
      </c>
    </row>
    <row r="284" spans="1:32" ht="14.25" customHeight="1" x14ac:dyDescent="0.45">
      <c r="A284" s="6" t="s">
        <v>42</v>
      </c>
      <c r="B284" s="7">
        <v>0.88373917384473755</v>
      </c>
      <c r="C284" s="7">
        <v>6.5637894232017879E-2</v>
      </c>
      <c r="D284" s="8">
        <v>0</v>
      </c>
      <c r="E284" s="8">
        <v>1</v>
      </c>
      <c r="F284" s="8">
        <v>30</v>
      </c>
      <c r="G284" s="7">
        <v>0.96708867666829124</v>
      </c>
      <c r="H284" s="7">
        <v>2.3335390502298822E-2</v>
      </c>
      <c r="I284" s="8">
        <v>0</v>
      </c>
      <c r="J284" s="8">
        <v>1</v>
      </c>
      <c r="K284" s="8">
        <v>61</v>
      </c>
      <c r="L284" s="7">
        <v>0.92438050124212068</v>
      </c>
      <c r="M284" s="7">
        <v>3.4796389331134367E-2</v>
      </c>
      <c r="N284" s="8">
        <v>0</v>
      </c>
      <c r="O284" s="8">
        <v>1</v>
      </c>
      <c r="P284" s="8">
        <v>55</v>
      </c>
      <c r="Q284" s="7">
        <v>0.91163408858832118</v>
      </c>
      <c r="R284" s="7">
        <v>4.1385817286864961E-2</v>
      </c>
      <c r="S284" s="8">
        <v>0</v>
      </c>
      <c r="T284" s="8">
        <v>1</v>
      </c>
      <c r="U284" s="8">
        <v>73</v>
      </c>
      <c r="V284" s="7">
        <v>0.79321873455244019</v>
      </c>
      <c r="W284" s="7">
        <v>6.5826991842619254E-2</v>
      </c>
      <c r="X284" s="8">
        <v>0</v>
      </c>
      <c r="Y284" s="8">
        <v>1</v>
      </c>
      <c r="Z284" s="8">
        <v>70</v>
      </c>
      <c r="AA284" s="7">
        <v>0.92434876147780487</v>
      </c>
      <c r="AB284" s="7">
        <v>1.809715288505577E-2</v>
      </c>
      <c r="AC284" s="8">
        <v>0</v>
      </c>
      <c r="AD284" s="8">
        <v>1</v>
      </c>
      <c r="AE284" s="8">
        <v>289</v>
      </c>
      <c r="AF284">
        <f>(AA285/AA283)-AA284</f>
        <v>4.4580249212068712E-2</v>
      </c>
    </row>
    <row r="285" spans="1:32" ht="26.25" customHeight="1" x14ac:dyDescent="0.45">
      <c r="A285" s="6" t="s">
        <v>123</v>
      </c>
      <c r="B285" s="7">
        <v>0.2549786750330047</v>
      </c>
      <c r="C285" s="7">
        <v>8.3841657097875361E-2</v>
      </c>
      <c r="D285" s="8">
        <v>0</v>
      </c>
      <c r="E285" s="8">
        <v>1</v>
      </c>
      <c r="F285" s="8">
        <v>30</v>
      </c>
      <c r="G285" s="7">
        <v>0.47852637519700286</v>
      </c>
      <c r="H285" s="7">
        <v>7.0841094266787655E-2</v>
      </c>
      <c r="I285" s="8">
        <v>0</v>
      </c>
      <c r="J285" s="8">
        <v>1</v>
      </c>
      <c r="K285" s="8">
        <v>61</v>
      </c>
      <c r="L285" s="7">
        <v>0.65648588818467313</v>
      </c>
      <c r="M285" s="7">
        <v>7.0002600340418331E-2</v>
      </c>
      <c r="N285" s="8">
        <v>0</v>
      </c>
      <c r="O285" s="8">
        <v>1</v>
      </c>
      <c r="P285" s="8">
        <v>55</v>
      </c>
      <c r="Q285" s="7">
        <v>0.72007390107337976</v>
      </c>
      <c r="R285" s="7">
        <v>6.2572425946105889E-2</v>
      </c>
      <c r="S285" s="8">
        <v>0</v>
      </c>
      <c r="T285" s="8">
        <v>1</v>
      </c>
      <c r="U285" s="8">
        <v>73</v>
      </c>
      <c r="V285" s="7">
        <v>0.28328188783946584</v>
      </c>
      <c r="W285" s="7">
        <v>7.8452830950022978E-2</v>
      </c>
      <c r="X285" s="8">
        <v>0</v>
      </c>
      <c r="Y285" s="8">
        <v>1</v>
      </c>
      <c r="Z285" s="8">
        <v>70</v>
      </c>
      <c r="AA285" s="7">
        <v>0.56786901404029211</v>
      </c>
      <c r="AB285" s="7">
        <v>3.9291815544751606E-2</v>
      </c>
      <c r="AC285" s="8">
        <v>0</v>
      </c>
      <c r="AD285" s="8">
        <v>1</v>
      </c>
      <c r="AE285" s="8">
        <v>289</v>
      </c>
    </row>
    <row r="286" spans="1:32" ht="14.25" customHeight="1" x14ac:dyDescent="0.45">
      <c r="A286" s="6" t="s">
        <v>40</v>
      </c>
      <c r="B286" s="7">
        <v>0.29691007821421939</v>
      </c>
      <c r="C286" s="7">
        <v>9.0434299454504388E-2</v>
      </c>
      <c r="D286" s="8">
        <v>0</v>
      </c>
      <c r="E286" s="8">
        <v>1</v>
      </c>
      <c r="F286" s="8">
        <v>30</v>
      </c>
      <c r="G286" s="7">
        <v>0.47852637519700286</v>
      </c>
      <c r="H286" s="7">
        <v>7.0841094266787655E-2</v>
      </c>
      <c r="I286" s="8">
        <v>0</v>
      </c>
      <c r="J286" s="8">
        <v>1</v>
      </c>
      <c r="K286" s="8">
        <v>61</v>
      </c>
      <c r="L286" s="7">
        <v>0.65648588818467313</v>
      </c>
      <c r="M286" s="7">
        <v>7.0002600340418331E-2</v>
      </c>
      <c r="N286" s="8">
        <v>0</v>
      </c>
      <c r="O286" s="8">
        <v>1</v>
      </c>
      <c r="P286" s="8">
        <v>55</v>
      </c>
      <c r="Q286" s="7">
        <v>0.79588055624962939</v>
      </c>
      <c r="R286" s="7">
        <v>5.0588570102129408E-2</v>
      </c>
      <c r="S286" s="8">
        <v>0</v>
      </c>
      <c r="T286" s="8">
        <v>1</v>
      </c>
      <c r="U286" s="8">
        <v>73</v>
      </c>
      <c r="V286" s="7">
        <v>0.30585942795052035</v>
      </c>
      <c r="W286" s="7">
        <v>7.9216084987864505E-2</v>
      </c>
      <c r="X286" s="8">
        <v>0</v>
      </c>
      <c r="Y286" s="8">
        <v>1</v>
      </c>
      <c r="Z286" s="8">
        <v>70</v>
      </c>
      <c r="AA286" s="7">
        <v>0.58607907057708142</v>
      </c>
      <c r="AB286" s="7">
        <v>3.8942949569521081E-2</v>
      </c>
      <c r="AC286" s="8">
        <v>0</v>
      </c>
      <c r="AD286" s="8">
        <v>1</v>
      </c>
      <c r="AE286" s="8">
        <v>289</v>
      </c>
      <c r="AF286">
        <f>(AA288/AA287)-AA286</f>
        <v>5.4355503210371969E-2</v>
      </c>
    </row>
    <row r="287" spans="1:32" ht="14.25" customHeight="1" x14ac:dyDescent="0.45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30</v>
      </c>
      <c r="G287" s="7">
        <v>4.3984681938985942E-2</v>
      </c>
      <c r="H287" s="7">
        <v>2.2428515599090256E-2</v>
      </c>
      <c r="I287" s="8">
        <v>0</v>
      </c>
      <c r="J287" s="8">
        <v>1</v>
      </c>
      <c r="K287" s="8">
        <v>61</v>
      </c>
      <c r="L287" s="7">
        <v>4.6686566157947883E-2</v>
      </c>
      <c r="M287" s="7">
        <v>2.9932730284583084E-2</v>
      </c>
      <c r="N287" s="8">
        <v>0</v>
      </c>
      <c r="O287" s="8">
        <v>1</v>
      </c>
      <c r="P287" s="8">
        <v>55</v>
      </c>
      <c r="Q287" s="7">
        <v>4.5823463093928804E-2</v>
      </c>
      <c r="R287" s="7">
        <v>2.1566040924099809E-2</v>
      </c>
      <c r="S287" s="8">
        <v>0</v>
      </c>
      <c r="T287" s="8">
        <v>1</v>
      </c>
      <c r="U287" s="8">
        <v>73</v>
      </c>
      <c r="V287" s="7">
        <v>6.8897826628121606E-2</v>
      </c>
      <c r="W287" s="7">
        <v>4.7551151202023072E-2</v>
      </c>
      <c r="X287" s="8">
        <v>0</v>
      </c>
      <c r="Y287" s="8">
        <v>1</v>
      </c>
      <c r="Z287" s="8">
        <v>70</v>
      </c>
      <c r="AA287" s="7">
        <v>4.4048985501015846E-2</v>
      </c>
      <c r="AB287" s="7">
        <v>1.4289951777276724E-2</v>
      </c>
      <c r="AC287" s="8">
        <v>0</v>
      </c>
      <c r="AD287" s="8">
        <v>1</v>
      </c>
      <c r="AE287" s="8">
        <v>289</v>
      </c>
      <c r="AF287">
        <f>(AA288/AA286)-AA287</f>
        <v>4.0852930824786943E-3</v>
      </c>
    </row>
    <row r="288" spans="1:32" ht="26.25" customHeight="1" x14ac:dyDescent="0.45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30</v>
      </c>
      <c r="G288" s="7">
        <v>2.5739280446689279E-2</v>
      </c>
      <c r="H288" s="7">
        <v>1.8243072554675333E-2</v>
      </c>
      <c r="I288" s="8">
        <v>0</v>
      </c>
      <c r="J288" s="8">
        <v>1</v>
      </c>
      <c r="K288" s="8">
        <v>61</v>
      </c>
      <c r="L288" s="7">
        <v>3.4067653882046939E-2</v>
      </c>
      <c r="M288" s="7">
        <v>2.7280262731780348E-2</v>
      </c>
      <c r="N288" s="8">
        <v>0</v>
      </c>
      <c r="O288" s="8">
        <v>1</v>
      </c>
      <c r="P288" s="8">
        <v>55</v>
      </c>
      <c r="Q288" s="7">
        <v>2.5974311768324463E-2</v>
      </c>
      <c r="R288" s="7">
        <v>1.5862856826039204E-2</v>
      </c>
      <c r="S288" s="8">
        <v>0</v>
      </c>
      <c r="T288" s="8">
        <v>1</v>
      </c>
      <c r="U288" s="8">
        <v>73</v>
      </c>
      <c r="V288" s="7">
        <v>3.9318731837671414E-2</v>
      </c>
      <c r="W288" s="7">
        <v>3.862370775086587E-2</v>
      </c>
      <c r="X288" s="8">
        <v>0</v>
      </c>
      <c r="Y288" s="8">
        <v>1</v>
      </c>
      <c r="Z288" s="8">
        <v>70</v>
      </c>
      <c r="AA288" s="7">
        <v>2.8210493255112795E-2</v>
      </c>
      <c r="AB288" s="7">
        <v>1.2504886006809064E-2</v>
      </c>
      <c r="AC288" s="8">
        <v>0</v>
      </c>
      <c r="AD288" s="8">
        <v>1</v>
      </c>
      <c r="AE288" s="8">
        <v>289</v>
      </c>
    </row>
    <row r="289" spans="1:31" ht="26.75" customHeight="1" thickBot="1" x14ac:dyDescent="0.5">
      <c r="A289" s="9" t="s">
        <v>125</v>
      </c>
      <c r="B289" s="10">
        <v>30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61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55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73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70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4.75" customHeight="1" thickTop="1" x14ac:dyDescent="0.45">
      <c r="A290" s="12" t="s">
        <v>127</v>
      </c>
    </row>
    <row r="291" spans="1:31" ht="14.25" customHeight="1" x14ac:dyDescent="0.45">
      <c r="A291" s="12" t="s">
        <v>128</v>
      </c>
    </row>
    <row r="292" spans="1:31" ht="14.25" customHeight="1" x14ac:dyDescent="0.45">
      <c r="A292" s="12" t="s">
        <v>129</v>
      </c>
    </row>
    <row r="293" spans="1:31" ht="14.25" customHeight="1" x14ac:dyDescent="0.45">
      <c r="A293" s="12" t="s">
        <v>22</v>
      </c>
    </row>
    <row r="294" spans="1:31" ht="14.25" customHeight="1" x14ac:dyDescent="0.45">
      <c r="A294" s="12" t="s">
        <v>130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4"/>
  <sheetViews>
    <sheetView tabSelected="1" workbookViewId="0">
      <pane xSplit="1" ySplit="3" topLeftCell="Y267" activePane="bottomRight" state="frozen"/>
      <selection pane="topRight" activeCell="B1" sqref="B1"/>
      <selection pane="bottomLeft" activeCell="A4" sqref="A4"/>
      <selection pane="bottomRight" activeCell="AF289" sqref="AF289:AF290"/>
    </sheetView>
  </sheetViews>
  <sheetFormatPr defaultColWidth="9.06640625" defaultRowHeight="14.25" customHeight="1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ht="14.25" customHeight="1" x14ac:dyDescent="0.45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2" ht="14.25" customHeight="1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2" ht="14.25" customHeight="1" x14ac:dyDescent="0.45">
      <c r="A4" s="6" t="s">
        <v>13</v>
      </c>
      <c r="B4" s="7">
        <v>0.84775453018564795</v>
      </c>
      <c r="C4" s="7">
        <v>2.4009685291607345E-2</v>
      </c>
      <c r="D4" s="8">
        <v>0</v>
      </c>
      <c r="E4" s="8">
        <v>1</v>
      </c>
      <c r="F4" s="8">
        <v>343</v>
      </c>
      <c r="G4" s="7">
        <v>0.7825676610390575</v>
      </c>
      <c r="H4" s="7">
        <v>1.7865988155735375E-2</v>
      </c>
      <c r="I4" s="8">
        <v>0</v>
      </c>
      <c r="J4" s="8">
        <v>1</v>
      </c>
      <c r="K4" s="8">
        <v>685</v>
      </c>
      <c r="L4" s="7">
        <v>0.61495742631969685</v>
      </c>
      <c r="M4" s="7">
        <v>2.2369993752486939E-2</v>
      </c>
      <c r="N4" s="8">
        <v>0</v>
      </c>
      <c r="O4" s="8">
        <v>1</v>
      </c>
      <c r="P4" s="8">
        <v>622</v>
      </c>
      <c r="Q4" s="7">
        <v>0.42145621159615726</v>
      </c>
      <c r="R4" s="7">
        <v>2.254111723334605E-2</v>
      </c>
      <c r="S4" s="8">
        <v>0</v>
      </c>
      <c r="T4" s="8">
        <v>1</v>
      </c>
      <c r="U4" s="8">
        <v>830</v>
      </c>
      <c r="V4" s="7">
        <v>0.37795553075132143</v>
      </c>
      <c r="W4" s="7">
        <v>2.6511049098514775E-2</v>
      </c>
      <c r="X4" s="8">
        <v>0</v>
      </c>
      <c r="Y4" s="8">
        <v>1</v>
      </c>
      <c r="Z4" s="8">
        <v>733</v>
      </c>
      <c r="AA4" s="7">
        <v>0.62362161391271742</v>
      </c>
      <c r="AB4" s="7">
        <v>1.203080147179866E-2</v>
      </c>
      <c r="AC4" s="8">
        <v>0</v>
      </c>
      <c r="AD4" s="8">
        <v>1</v>
      </c>
      <c r="AE4" s="8">
        <v>3213</v>
      </c>
      <c r="AF4">
        <f>(AA6/AA5)-AA4</f>
        <v>6.2812096681072349E-2</v>
      </c>
    </row>
    <row r="5" spans="1:32" ht="14.25" customHeight="1" x14ac:dyDescent="0.45">
      <c r="A5" s="6" t="s">
        <v>14</v>
      </c>
      <c r="B5" s="7">
        <v>2.9020117427887855E-2</v>
      </c>
      <c r="C5" s="7">
        <v>9.4972765431903545E-3</v>
      </c>
      <c r="D5" s="8">
        <v>0</v>
      </c>
      <c r="E5" s="8">
        <v>1</v>
      </c>
      <c r="F5" s="8">
        <v>343</v>
      </c>
      <c r="G5" s="7">
        <v>5.104964432344361E-2</v>
      </c>
      <c r="H5" s="7">
        <v>9.9579774630556665E-3</v>
      </c>
      <c r="I5" s="8">
        <v>0</v>
      </c>
      <c r="J5" s="8">
        <v>1</v>
      </c>
      <c r="K5" s="8">
        <v>685</v>
      </c>
      <c r="L5" s="7">
        <v>5.7690141642327379E-2</v>
      </c>
      <c r="M5" s="7">
        <v>1.2029012925360384E-2</v>
      </c>
      <c r="N5" s="8">
        <v>0</v>
      </c>
      <c r="O5" s="8">
        <v>1</v>
      </c>
      <c r="P5" s="8">
        <v>622</v>
      </c>
      <c r="Q5" s="7">
        <v>3.7030174615891337E-2</v>
      </c>
      <c r="R5" s="7">
        <v>7.2371732526603123E-3</v>
      </c>
      <c r="S5" s="8">
        <v>0</v>
      </c>
      <c r="T5" s="8">
        <v>1</v>
      </c>
      <c r="U5" s="8">
        <v>830</v>
      </c>
      <c r="V5" s="7">
        <v>4.7858764160044816E-2</v>
      </c>
      <c r="W5" s="7">
        <v>1.1783495162206573E-2</v>
      </c>
      <c r="X5" s="8">
        <v>0</v>
      </c>
      <c r="Y5" s="8">
        <v>1</v>
      </c>
      <c r="Z5" s="8">
        <v>733</v>
      </c>
      <c r="AA5" s="7">
        <v>4.9355350669552968E-2</v>
      </c>
      <c r="AB5" s="7">
        <v>5.8185819066277882E-3</v>
      </c>
      <c r="AC5" s="8">
        <v>0</v>
      </c>
      <c r="AD5" s="8">
        <v>1</v>
      </c>
      <c r="AE5" s="8">
        <v>3213</v>
      </c>
      <c r="AF5">
        <f>(AA6/AA4)-AA5</f>
        <v>4.9711443426944529E-3</v>
      </c>
    </row>
    <row r="6" spans="1:32" ht="14.25" customHeight="1" x14ac:dyDescent="0.45">
      <c r="A6" s="6" t="s">
        <v>15</v>
      </c>
      <c r="B6" s="7">
        <v>2.9020117427887855E-2</v>
      </c>
      <c r="C6" s="7">
        <v>9.4972765431903545E-3</v>
      </c>
      <c r="D6" s="8">
        <v>0</v>
      </c>
      <c r="E6" s="8">
        <v>1</v>
      </c>
      <c r="F6" s="8">
        <v>343</v>
      </c>
      <c r="G6" s="7">
        <v>4.5522290058122999E-2</v>
      </c>
      <c r="H6" s="7">
        <v>9.4880215904770398E-3</v>
      </c>
      <c r="I6" s="8">
        <v>0</v>
      </c>
      <c r="J6" s="8">
        <v>1</v>
      </c>
      <c r="K6" s="8">
        <v>685</v>
      </c>
      <c r="L6" s="7">
        <v>3.4536950626703006E-2</v>
      </c>
      <c r="M6" s="7">
        <v>1.0273152191557194E-2</v>
      </c>
      <c r="N6" s="8">
        <v>0</v>
      </c>
      <c r="O6" s="8">
        <v>1</v>
      </c>
      <c r="P6" s="8">
        <v>622</v>
      </c>
      <c r="Q6" s="7">
        <v>2.4115882250308199E-2</v>
      </c>
      <c r="R6" s="7">
        <v>5.6883604395306445E-3</v>
      </c>
      <c r="S6" s="8">
        <v>0</v>
      </c>
      <c r="T6" s="8">
        <v>1</v>
      </c>
      <c r="U6" s="8">
        <v>830</v>
      </c>
      <c r="V6" s="7">
        <v>9.3603324102565916E-3</v>
      </c>
      <c r="W6" s="7">
        <v>5.3822022391260107E-3</v>
      </c>
      <c r="X6" s="8">
        <v>0</v>
      </c>
      <c r="Y6" s="8">
        <v>1</v>
      </c>
      <c r="Z6" s="8">
        <v>733</v>
      </c>
      <c r="AA6" s="7">
        <v>3.3879176497758928E-2</v>
      </c>
      <c r="AB6" s="7">
        <v>5.0735259206353776E-3</v>
      </c>
      <c r="AC6" s="8">
        <v>0</v>
      </c>
      <c r="AD6" s="8">
        <v>1</v>
      </c>
      <c r="AE6" s="8">
        <v>3213</v>
      </c>
    </row>
    <row r="7" spans="1:32" ht="14.25" customHeight="1" x14ac:dyDescent="0.45">
      <c r="A7" s="6" t="s">
        <v>13</v>
      </c>
      <c r="B7" s="7">
        <v>0.84775453018564795</v>
      </c>
      <c r="C7" s="7">
        <v>2.4009685291607345E-2</v>
      </c>
      <c r="D7" s="8">
        <v>0</v>
      </c>
      <c r="E7" s="8">
        <v>1</v>
      </c>
      <c r="F7" s="8">
        <v>343</v>
      </c>
      <c r="G7" s="7">
        <v>0.7825676610390575</v>
      </c>
      <c r="H7" s="7">
        <v>1.7865988155735375E-2</v>
      </c>
      <c r="I7" s="8">
        <v>0</v>
      </c>
      <c r="J7" s="8">
        <v>1</v>
      </c>
      <c r="K7" s="8">
        <v>685</v>
      </c>
      <c r="L7" s="7">
        <v>0.61495742631969685</v>
      </c>
      <c r="M7" s="7">
        <v>2.2369993752486939E-2</v>
      </c>
      <c r="N7" s="8">
        <v>0</v>
      </c>
      <c r="O7" s="8">
        <v>1</v>
      </c>
      <c r="P7" s="8">
        <v>622</v>
      </c>
      <c r="Q7" s="7">
        <v>0.42145621159615726</v>
      </c>
      <c r="R7" s="7">
        <v>2.254111723334605E-2</v>
      </c>
      <c r="S7" s="8">
        <v>0</v>
      </c>
      <c r="T7" s="8">
        <v>1</v>
      </c>
      <c r="U7" s="8">
        <v>830</v>
      </c>
      <c r="V7" s="7">
        <v>0.37795553075132143</v>
      </c>
      <c r="W7" s="7">
        <v>2.6511049098514775E-2</v>
      </c>
      <c r="X7" s="8">
        <v>0</v>
      </c>
      <c r="Y7" s="8">
        <v>1</v>
      </c>
      <c r="Z7" s="8">
        <v>733</v>
      </c>
      <c r="AA7" s="7">
        <v>0.62362161391271742</v>
      </c>
      <c r="AB7" s="7">
        <v>1.203080147179866E-2</v>
      </c>
      <c r="AC7" s="8">
        <v>0</v>
      </c>
      <c r="AD7" s="8">
        <v>1</v>
      </c>
      <c r="AE7" s="8">
        <v>3213</v>
      </c>
      <c r="AF7">
        <f>(AA9/AA8)-AA7</f>
        <v>4.8886217438704138E-2</v>
      </c>
    </row>
    <row r="8" spans="1:32" ht="39.5" customHeight="1" x14ac:dyDescent="0.45">
      <c r="A8" s="6" t="s">
        <v>16</v>
      </c>
      <c r="B8" s="7">
        <v>0.46175737392174987</v>
      </c>
      <c r="C8" s="7">
        <v>3.0710810789507388E-2</v>
      </c>
      <c r="D8" s="8">
        <v>0</v>
      </c>
      <c r="E8" s="8">
        <v>1</v>
      </c>
      <c r="F8" s="8">
        <v>343</v>
      </c>
      <c r="G8" s="7">
        <v>0.51171849969410388</v>
      </c>
      <c r="H8" s="7">
        <v>2.1509798906621986E-2</v>
      </c>
      <c r="I8" s="8">
        <v>0</v>
      </c>
      <c r="J8" s="8">
        <v>1</v>
      </c>
      <c r="K8" s="8">
        <v>685</v>
      </c>
      <c r="L8" s="7">
        <v>0.63828459018132044</v>
      </c>
      <c r="M8" s="7">
        <v>2.224943796975826E-2</v>
      </c>
      <c r="N8" s="8">
        <v>0</v>
      </c>
      <c r="O8" s="8">
        <v>1</v>
      </c>
      <c r="P8" s="8">
        <v>622</v>
      </c>
      <c r="Q8" s="7">
        <v>0.6594859044787692</v>
      </c>
      <c r="R8" s="7">
        <v>2.3371802530881509E-2</v>
      </c>
      <c r="S8" s="8">
        <v>0</v>
      </c>
      <c r="T8" s="8">
        <v>1</v>
      </c>
      <c r="U8" s="8">
        <v>830</v>
      </c>
      <c r="V8" s="7">
        <v>0.29098870335197347</v>
      </c>
      <c r="W8" s="7">
        <v>2.4531818658125738E-2</v>
      </c>
      <c r="X8" s="8">
        <v>0</v>
      </c>
      <c r="Y8" s="8">
        <v>1</v>
      </c>
      <c r="Z8" s="8">
        <v>733</v>
      </c>
      <c r="AA8" s="7">
        <v>0.57762752018153862</v>
      </c>
      <c r="AB8" s="7">
        <v>1.212537286467308E-2</v>
      </c>
      <c r="AC8" s="8">
        <v>0</v>
      </c>
      <c r="AD8" s="8">
        <v>1</v>
      </c>
      <c r="AE8" s="8">
        <v>3213</v>
      </c>
      <c r="AF8">
        <f>(AA9/AA7)-AA8</f>
        <v>4.5280702144050999E-2</v>
      </c>
    </row>
    <row r="9" spans="1:32" ht="14.25" customHeight="1" x14ac:dyDescent="0.45">
      <c r="A9" s="6" t="s">
        <v>17</v>
      </c>
      <c r="B9" s="7">
        <v>0.45327581113831755</v>
      </c>
      <c r="C9" s="7">
        <v>3.0637430464177478E-2</v>
      </c>
      <c r="D9" s="8">
        <v>0</v>
      </c>
      <c r="E9" s="8">
        <v>1</v>
      </c>
      <c r="F9" s="8">
        <v>343</v>
      </c>
      <c r="G9" s="7">
        <v>0.45683333305643259</v>
      </c>
      <c r="H9" s="7">
        <v>2.1368357868226918E-2</v>
      </c>
      <c r="I9" s="8">
        <v>0</v>
      </c>
      <c r="J9" s="8">
        <v>1</v>
      </c>
      <c r="K9" s="8">
        <v>685</v>
      </c>
      <c r="L9" s="7">
        <v>0.40818926588032606</v>
      </c>
      <c r="M9" s="7">
        <v>2.305325062988783E-2</v>
      </c>
      <c r="N9" s="8">
        <v>0</v>
      </c>
      <c r="O9" s="8">
        <v>1</v>
      </c>
      <c r="P9" s="8">
        <v>622</v>
      </c>
      <c r="Q9" s="7">
        <v>0.30203211024871524</v>
      </c>
      <c r="R9" s="7">
        <v>1.9719684286528916E-2</v>
      </c>
      <c r="S9" s="8">
        <v>0</v>
      </c>
      <c r="T9" s="8">
        <v>1</v>
      </c>
      <c r="U9" s="8">
        <v>830</v>
      </c>
      <c r="V9" s="7">
        <v>0.14126905141302762</v>
      </c>
      <c r="W9" s="7">
        <v>1.9592643940790827E-2</v>
      </c>
      <c r="X9" s="8">
        <v>0</v>
      </c>
      <c r="Y9" s="8">
        <v>1</v>
      </c>
      <c r="Z9" s="8">
        <v>733</v>
      </c>
      <c r="AA9" s="7">
        <v>0.388459030926186</v>
      </c>
      <c r="AB9" s="7">
        <v>1.2058090385111816E-2</v>
      </c>
      <c r="AC9" s="8">
        <v>0</v>
      </c>
      <c r="AD9" s="8">
        <v>1</v>
      </c>
      <c r="AE9" s="8">
        <v>3213</v>
      </c>
    </row>
    <row r="10" spans="1:32" ht="14.25" customHeight="1" x14ac:dyDescent="0.45">
      <c r="A10" s="6" t="s">
        <v>13</v>
      </c>
      <c r="B10" s="7">
        <v>0.84775453018564795</v>
      </c>
      <c r="C10" s="7">
        <v>2.4009685291607345E-2</v>
      </c>
      <c r="D10" s="8">
        <v>0</v>
      </c>
      <c r="E10" s="8">
        <v>1</v>
      </c>
      <c r="F10" s="8">
        <v>343</v>
      </c>
      <c r="G10" s="7">
        <v>0.7825676610390575</v>
      </c>
      <c r="H10" s="7">
        <v>1.7865988155735375E-2</v>
      </c>
      <c r="I10" s="8">
        <v>0</v>
      </c>
      <c r="J10" s="8">
        <v>1</v>
      </c>
      <c r="K10" s="8">
        <v>685</v>
      </c>
      <c r="L10" s="7">
        <v>0.61495742631969685</v>
      </c>
      <c r="M10" s="7">
        <v>2.2369993752486939E-2</v>
      </c>
      <c r="N10" s="8">
        <v>0</v>
      </c>
      <c r="O10" s="8">
        <v>1</v>
      </c>
      <c r="P10" s="8">
        <v>622</v>
      </c>
      <c r="Q10" s="7">
        <v>0.42145621159615726</v>
      </c>
      <c r="R10" s="7">
        <v>2.254111723334605E-2</v>
      </c>
      <c r="S10" s="8">
        <v>0</v>
      </c>
      <c r="T10" s="8">
        <v>1</v>
      </c>
      <c r="U10" s="8">
        <v>830</v>
      </c>
      <c r="V10" s="7">
        <v>0.37795553075132143</v>
      </c>
      <c r="W10" s="7">
        <v>2.6511049098514775E-2</v>
      </c>
      <c r="X10" s="8">
        <v>0</v>
      </c>
      <c r="Y10" s="8">
        <v>1</v>
      </c>
      <c r="Z10" s="8">
        <v>733</v>
      </c>
      <c r="AA10" s="7">
        <v>0.62362161391271742</v>
      </c>
      <c r="AB10" s="7">
        <v>1.203080147179866E-2</v>
      </c>
      <c r="AC10" s="8">
        <v>0</v>
      </c>
      <c r="AD10" s="8">
        <v>1</v>
      </c>
      <c r="AE10" s="8">
        <v>3213</v>
      </c>
      <c r="AF10">
        <f>(AA12/AA11)-AA10</f>
        <v>6.2245790312252969E-2</v>
      </c>
    </row>
    <row r="11" spans="1:32" ht="39.5" customHeight="1" x14ac:dyDescent="0.45">
      <c r="A11" s="6" t="s">
        <v>18</v>
      </c>
      <c r="B11" s="7">
        <v>0.65870111528749431</v>
      </c>
      <c r="C11" s="7">
        <v>2.9720045914151373E-2</v>
      </c>
      <c r="D11" s="8">
        <v>0</v>
      </c>
      <c r="E11" s="8">
        <v>1</v>
      </c>
      <c r="F11" s="8">
        <v>343</v>
      </c>
      <c r="G11" s="7">
        <v>0.68973128721603705</v>
      </c>
      <c r="H11" s="7">
        <v>1.9757484138470113E-2</v>
      </c>
      <c r="I11" s="8">
        <v>0</v>
      </c>
      <c r="J11" s="8">
        <v>1</v>
      </c>
      <c r="K11" s="8">
        <v>685</v>
      </c>
      <c r="L11" s="7">
        <v>0.69326134184086086</v>
      </c>
      <c r="M11" s="7">
        <v>2.1633597813178515E-2</v>
      </c>
      <c r="N11" s="8">
        <v>0</v>
      </c>
      <c r="O11" s="8">
        <v>1</v>
      </c>
      <c r="P11" s="8">
        <v>622</v>
      </c>
      <c r="Q11" s="7">
        <v>0.668125365389454</v>
      </c>
      <c r="R11" s="7">
        <v>2.3701307596769659E-2</v>
      </c>
      <c r="S11" s="8">
        <v>0</v>
      </c>
      <c r="T11" s="8">
        <v>1</v>
      </c>
      <c r="U11" s="8">
        <v>830</v>
      </c>
      <c r="V11" s="7">
        <v>0.47714183749717526</v>
      </c>
      <c r="W11" s="7">
        <v>2.7405582617474847E-2</v>
      </c>
      <c r="X11" s="8">
        <v>0</v>
      </c>
      <c r="Y11" s="8">
        <v>1</v>
      </c>
      <c r="Z11" s="8">
        <v>733</v>
      </c>
      <c r="AA11" s="7">
        <v>0.67349513472272604</v>
      </c>
      <c r="AB11" s="7">
        <v>1.1615894672939582E-2</v>
      </c>
      <c r="AC11" s="8">
        <v>0</v>
      </c>
      <c r="AD11" s="8">
        <v>1</v>
      </c>
      <c r="AE11" s="8">
        <v>3213</v>
      </c>
      <c r="AF11">
        <f>(AA12/AA10)-AA11</f>
        <v>6.7223835731487047E-2</v>
      </c>
    </row>
    <row r="12" spans="1:32" ht="14.25" customHeight="1" x14ac:dyDescent="0.45">
      <c r="A12" s="6" t="s">
        <v>19</v>
      </c>
      <c r="B12" s="7">
        <v>0.61640177224999837</v>
      </c>
      <c r="C12" s="7">
        <v>3.0468643174056762E-2</v>
      </c>
      <c r="D12" s="8">
        <v>0</v>
      </c>
      <c r="E12" s="8">
        <v>1</v>
      </c>
      <c r="F12" s="8">
        <v>343</v>
      </c>
      <c r="G12" s="7">
        <v>0.60734503663498962</v>
      </c>
      <c r="H12" s="7">
        <v>2.0907678655849419E-2</v>
      </c>
      <c r="I12" s="8">
        <v>0</v>
      </c>
      <c r="J12" s="8">
        <v>1</v>
      </c>
      <c r="K12" s="8">
        <v>685</v>
      </c>
      <c r="L12" s="7">
        <v>0.44030187247757246</v>
      </c>
      <c r="M12" s="7">
        <v>2.314644052548338E-2</v>
      </c>
      <c r="N12" s="8">
        <v>0</v>
      </c>
      <c r="O12" s="8">
        <v>1</v>
      </c>
      <c r="P12" s="8">
        <v>622</v>
      </c>
      <c r="Q12" s="7">
        <v>0.31386432632630873</v>
      </c>
      <c r="R12" s="7">
        <v>1.9827878079242783E-2</v>
      </c>
      <c r="S12" s="8">
        <v>0</v>
      </c>
      <c r="T12" s="8">
        <v>1</v>
      </c>
      <c r="U12" s="8">
        <v>830</v>
      </c>
      <c r="V12" s="7">
        <v>0.24919976779982009</v>
      </c>
      <c r="W12" s="7">
        <v>2.3644741118569859E-2</v>
      </c>
      <c r="X12" s="8">
        <v>0</v>
      </c>
      <c r="Y12" s="8">
        <v>1</v>
      </c>
      <c r="Z12" s="8">
        <v>733</v>
      </c>
      <c r="AA12" s="7">
        <v>0.46192835981042285</v>
      </c>
      <c r="AB12" s="7">
        <v>1.2284805439358641E-2</v>
      </c>
      <c r="AC12" s="8">
        <v>0</v>
      </c>
      <c r="AD12" s="8">
        <v>1</v>
      </c>
      <c r="AE12" s="8">
        <v>3213</v>
      </c>
    </row>
    <row r="13" spans="1:32" ht="14.25" customHeight="1" x14ac:dyDescent="0.45">
      <c r="A13" s="6" t="s">
        <v>13</v>
      </c>
      <c r="B13" s="7">
        <v>0.84775453018564795</v>
      </c>
      <c r="C13" s="7">
        <v>2.4009685291607345E-2</v>
      </c>
      <c r="D13" s="8">
        <v>0</v>
      </c>
      <c r="E13" s="8">
        <v>1</v>
      </c>
      <c r="F13" s="8">
        <v>343</v>
      </c>
      <c r="G13" s="7">
        <v>0.7825676610390575</v>
      </c>
      <c r="H13" s="7">
        <v>1.7865988155735375E-2</v>
      </c>
      <c r="I13" s="8">
        <v>0</v>
      </c>
      <c r="J13" s="8">
        <v>1</v>
      </c>
      <c r="K13" s="8">
        <v>685</v>
      </c>
      <c r="L13" s="7">
        <v>0.61495742631969685</v>
      </c>
      <c r="M13" s="7">
        <v>2.2369993752486939E-2</v>
      </c>
      <c r="N13" s="8">
        <v>0</v>
      </c>
      <c r="O13" s="8">
        <v>1</v>
      </c>
      <c r="P13" s="8">
        <v>622</v>
      </c>
      <c r="Q13" s="7">
        <v>0.42145621159615726</v>
      </c>
      <c r="R13" s="7">
        <v>2.254111723334605E-2</v>
      </c>
      <c r="S13" s="8">
        <v>0</v>
      </c>
      <c r="T13" s="8">
        <v>1</v>
      </c>
      <c r="U13" s="8">
        <v>830</v>
      </c>
      <c r="V13" s="7">
        <v>0.37795553075132143</v>
      </c>
      <c r="W13" s="7">
        <v>2.6511049098514775E-2</v>
      </c>
      <c r="X13" s="8">
        <v>0</v>
      </c>
      <c r="Y13" s="8">
        <v>1</v>
      </c>
      <c r="Z13" s="8">
        <v>733</v>
      </c>
      <c r="AA13" s="7">
        <v>0.62362161391271742</v>
      </c>
      <c r="AB13" s="7">
        <v>1.203080147179866E-2</v>
      </c>
      <c r="AC13" s="8">
        <v>0</v>
      </c>
      <c r="AD13" s="8">
        <v>1</v>
      </c>
      <c r="AE13" s="8">
        <v>3213</v>
      </c>
      <c r="AF13">
        <f>(AA15/AA14)-AA13</f>
        <v>8.4621491799862114E-2</v>
      </c>
    </row>
    <row r="14" spans="1:32" ht="39.5" customHeight="1" x14ac:dyDescent="0.45">
      <c r="A14" s="6" t="s">
        <v>20</v>
      </c>
      <c r="B14" s="7">
        <v>0.429717204212403</v>
      </c>
      <c r="C14" s="7">
        <v>3.0392503365876303E-2</v>
      </c>
      <c r="D14" s="8">
        <v>0</v>
      </c>
      <c r="E14" s="8">
        <v>1</v>
      </c>
      <c r="F14" s="8">
        <v>343</v>
      </c>
      <c r="G14" s="7">
        <v>0.48245904042650412</v>
      </c>
      <c r="H14" s="7">
        <v>2.146411101488091E-2</v>
      </c>
      <c r="I14" s="8">
        <v>0</v>
      </c>
      <c r="J14" s="8">
        <v>1</v>
      </c>
      <c r="K14" s="8">
        <v>685</v>
      </c>
      <c r="L14" s="7">
        <v>0.54779032545005502</v>
      </c>
      <c r="M14" s="7">
        <v>2.3079129928781021E-2</v>
      </c>
      <c r="N14" s="8">
        <v>0</v>
      </c>
      <c r="O14" s="8">
        <v>1</v>
      </c>
      <c r="P14" s="8">
        <v>622</v>
      </c>
      <c r="Q14" s="7">
        <v>0.50863999660499892</v>
      </c>
      <c r="R14" s="7">
        <v>2.4084097248153895E-2</v>
      </c>
      <c r="S14" s="8">
        <v>0</v>
      </c>
      <c r="T14" s="8">
        <v>1</v>
      </c>
      <c r="U14" s="8">
        <v>830</v>
      </c>
      <c r="V14" s="7">
        <v>0.21923941521723078</v>
      </c>
      <c r="W14" s="7">
        <v>2.2302742957611636E-2</v>
      </c>
      <c r="X14" s="8">
        <v>0</v>
      </c>
      <c r="Y14" s="8">
        <v>1</v>
      </c>
      <c r="Z14" s="8">
        <v>733</v>
      </c>
      <c r="AA14" s="7">
        <v>0.49658329004295232</v>
      </c>
      <c r="AB14" s="7">
        <v>1.2332775383448446E-2</v>
      </c>
      <c r="AC14" s="8">
        <v>0</v>
      </c>
      <c r="AD14" s="8">
        <v>1</v>
      </c>
      <c r="AE14" s="8">
        <v>3213</v>
      </c>
      <c r="AF14">
        <f>(AA15/AA13)-AA14</f>
        <v>6.7383198190753557E-2</v>
      </c>
    </row>
    <row r="15" spans="1:32" ht="14.25" customHeight="1" x14ac:dyDescent="0.45">
      <c r="A15" s="6" t="s">
        <v>21</v>
      </c>
      <c r="B15" s="7">
        <v>0.42149034353442033</v>
      </c>
      <c r="C15" s="7">
        <v>3.0281977399886716E-2</v>
      </c>
      <c r="D15" s="8">
        <v>0</v>
      </c>
      <c r="E15" s="8">
        <v>1</v>
      </c>
      <c r="F15" s="8">
        <v>343</v>
      </c>
      <c r="G15" s="7">
        <v>0.43148034822091996</v>
      </c>
      <c r="H15" s="7">
        <v>2.1226169652340275E-2</v>
      </c>
      <c r="I15" s="8">
        <v>0</v>
      </c>
      <c r="J15" s="8">
        <v>1</v>
      </c>
      <c r="K15" s="8">
        <v>685</v>
      </c>
      <c r="L15" s="7">
        <v>0.35971078723340516</v>
      </c>
      <c r="M15" s="7">
        <v>2.2680089828049723E-2</v>
      </c>
      <c r="N15" s="8">
        <v>0</v>
      </c>
      <c r="O15" s="8">
        <v>1</v>
      </c>
      <c r="P15" s="8">
        <v>622</v>
      </c>
      <c r="Q15" s="7">
        <v>0.27311175565686258</v>
      </c>
      <c r="R15" s="7">
        <v>1.8752252825656415E-2</v>
      </c>
      <c r="S15" s="8">
        <v>0</v>
      </c>
      <c r="T15" s="8">
        <v>1</v>
      </c>
      <c r="U15" s="8">
        <v>830</v>
      </c>
      <c r="V15" s="7">
        <v>9.4214204700774518E-2</v>
      </c>
      <c r="W15" s="7">
        <v>1.5889663133888583E-2</v>
      </c>
      <c r="X15" s="8">
        <v>0</v>
      </c>
      <c r="Y15" s="8">
        <v>1</v>
      </c>
      <c r="Z15" s="8">
        <v>733</v>
      </c>
      <c r="AA15" s="7">
        <v>0.35170169158499121</v>
      </c>
      <c r="AB15" s="7">
        <v>1.1825392073779858E-2</v>
      </c>
      <c r="AC15" s="8">
        <v>0</v>
      </c>
      <c r="AD15" s="8">
        <v>1</v>
      </c>
      <c r="AE15" s="8">
        <v>3213</v>
      </c>
    </row>
    <row r="16" spans="1:32" ht="14.25" customHeight="1" x14ac:dyDescent="0.45">
      <c r="A16" s="6" t="s">
        <v>13</v>
      </c>
      <c r="B16" s="7">
        <v>0.84775453018564795</v>
      </c>
      <c r="C16" s="7">
        <v>2.4009685291607345E-2</v>
      </c>
      <c r="D16" s="8">
        <v>0</v>
      </c>
      <c r="E16" s="8">
        <v>1</v>
      </c>
      <c r="F16" s="8">
        <v>343</v>
      </c>
      <c r="G16" s="7">
        <v>0.7825676610390575</v>
      </c>
      <c r="H16" s="7">
        <v>1.7865988155735375E-2</v>
      </c>
      <c r="I16" s="8">
        <v>0</v>
      </c>
      <c r="J16" s="8">
        <v>1</v>
      </c>
      <c r="K16" s="8">
        <v>685</v>
      </c>
      <c r="L16" s="7">
        <v>0.61495742631969685</v>
      </c>
      <c r="M16" s="7">
        <v>2.2369993752486939E-2</v>
      </c>
      <c r="N16" s="8">
        <v>0</v>
      </c>
      <c r="O16" s="8">
        <v>1</v>
      </c>
      <c r="P16" s="8">
        <v>622</v>
      </c>
      <c r="Q16" s="7">
        <v>0.42145621159615726</v>
      </c>
      <c r="R16" s="7">
        <v>2.254111723334605E-2</v>
      </c>
      <c r="S16" s="8">
        <v>0</v>
      </c>
      <c r="T16" s="8">
        <v>1</v>
      </c>
      <c r="U16" s="8">
        <v>830</v>
      </c>
      <c r="V16" s="7">
        <v>0.37795553075132143</v>
      </c>
      <c r="W16" s="7">
        <v>2.6511049098514775E-2</v>
      </c>
      <c r="X16" s="8">
        <v>0</v>
      </c>
      <c r="Y16" s="8">
        <v>1</v>
      </c>
      <c r="Z16" s="8">
        <v>733</v>
      </c>
      <c r="AA16" s="7">
        <v>0.62362161391271742</v>
      </c>
      <c r="AB16" s="7">
        <v>1.203080147179866E-2</v>
      </c>
      <c r="AC16" s="8">
        <v>0</v>
      </c>
      <c r="AD16" s="8">
        <v>1</v>
      </c>
      <c r="AE16" s="8">
        <v>3213</v>
      </c>
      <c r="AF16">
        <f>(AA18/AA17)-AA16</f>
        <v>5.0209703497641422E-2</v>
      </c>
    </row>
    <row r="17" spans="1:32" ht="26.25" customHeight="1" x14ac:dyDescent="0.45">
      <c r="A17" s="6" t="s">
        <v>22</v>
      </c>
      <c r="B17" s="7">
        <v>0.46674587389419697</v>
      </c>
      <c r="C17" s="7">
        <v>3.0838428333854969E-2</v>
      </c>
      <c r="D17" s="8">
        <v>0</v>
      </c>
      <c r="E17" s="8">
        <v>1</v>
      </c>
      <c r="F17" s="8">
        <v>343</v>
      </c>
      <c r="G17" s="7">
        <v>0.49721456493371274</v>
      </c>
      <c r="H17" s="7">
        <v>2.1503868885976371E-2</v>
      </c>
      <c r="I17" s="8">
        <v>0</v>
      </c>
      <c r="J17" s="8">
        <v>1</v>
      </c>
      <c r="K17" s="8">
        <v>685</v>
      </c>
      <c r="L17" s="7">
        <v>0.49499161311096951</v>
      </c>
      <c r="M17" s="7">
        <v>2.3190131273243066E-2</v>
      </c>
      <c r="N17" s="8">
        <v>0</v>
      </c>
      <c r="O17" s="8">
        <v>1</v>
      </c>
      <c r="P17" s="8">
        <v>622</v>
      </c>
      <c r="Q17" s="7">
        <v>0.52967048191567545</v>
      </c>
      <c r="R17" s="7">
        <v>2.4042503277593212E-2</v>
      </c>
      <c r="S17" s="8">
        <v>0</v>
      </c>
      <c r="T17" s="8">
        <v>1</v>
      </c>
      <c r="U17" s="8">
        <v>830</v>
      </c>
      <c r="V17" s="7">
        <v>0.43883011512701503</v>
      </c>
      <c r="W17" s="7">
        <v>2.6915661407478465E-2</v>
      </c>
      <c r="X17" s="8">
        <v>0</v>
      </c>
      <c r="Y17" s="8">
        <v>1</v>
      </c>
      <c r="Z17" s="8">
        <v>733</v>
      </c>
      <c r="AA17" s="7">
        <v>0.49819284931542523</v>
      </c>
      <c r="AB17" s="7">
        <v>1.2331295303939749E-2</v>
      </c>
      <c r="AC17" s="8">
        <v>0</v>
      </c>
      <c r="AD17" s="8">
        <v>1</v>
      </c>
      <c r="AE17" s="8">
        <v>3213</v>
      </c>
      <c r="AF17">
        <f>(AA18/AA16)-AA17</f>
        <v>4.0111046010463725E-2</v>
      </c>
    </row>
    <row r="18" spans="1:32" ht="14.25" customHeight="1" x14ac:dyDescent="0.45">
      <c r="A18" s="6" t="s">
        <v>23</v>
      </c>
      <c r="B18" s="7">
        <v>0.42887834729760382</v>
      </c>
      <c r="C18" s="7">
        <v>3.0526572880087012E-2</v>
      </c>
      <c r="D18" s="8">
        <v>0</v>
      </c>
      <c r="E18" s="8">
        <v>1</v>
      </c>
      <c r="F18" s="8">
        <v>343</v>
      </c>
      <c r="G18" s="7">
        <v>0.43806662009165898</v>
      </c>
      <c r="H18" s="7">
        <v>2.143418745255048E-2</v>
      </c>
      <c r="I18" s="8">
        <v>0</v>
      </c>
      <c r="J18" s="8">
        <v>1</v>
      </c>
      <c r="K18" s="8">
        <v>685</v>
      </c>
      <c r="L18" s="7">
        <v>0.3204514836538318</v>
      </c>
      <c r="M18" s="7">
        <v>2.19064221450989E-2</v>
      </c>
      <c r="N18" s="8">
        <v>0</v>
      </c>
      <c r="O18" s="8">
        <v>1</v>
      </c>
      <c r="P18" s="8">
        <v>622</v>
      </c>
      <c r="Q18" s="7">
        <v>0.22443448467368207</v>
      </c>
      <c r="R18" s="7">
        <v>1.7194427692593283E-2</v>
      </c>
      <c r="S18" s="8">
        <v>0</v>
      </c>
      <c r="T18" s="8">
        <v>1</v>
      </c>
      <c r="U18" s="8">
        <v>830</v>
      </c>
      <c r="V18" s="7">
        <v>0.22963983110511652</v>
      </c>
      <c r="W18" s="7">
        <v>2.3102156003050957E-2</v>
      </c>
      <c r="X18" s="8">
        <v>0</v>
      </c>
      <c r="Y18" s="8">
        <v>1</v>
      </c>
      <c r="Z18" s="8">
        <v>733</v>
      </c>
      <c r="AA18" s="7">
        <v>0.3356979439786334</v>
      </c>
      <c r="AB18" s="7">
        <v>1.1634042261680619E-2</v>
      </c>
      <c r="AC18" s="8">
        <v>0</v>
      </c>
      <c r="AD18" s="8">
        <v>1</v>
      </c>
      <c r="AE18" s="8">
        <v>3213</v>
      </c>
    </row>
    <row r="19" spans="1:32" ht="14.25" customHeight="1" x14ac:dyDescent="0.45">
      <c r="A19" s="6" t="s">
        <v>13</v>
      </c>
      <c r="B19" s="7">
        <v>0.84775453018564795</v>
      </c>
      <c r="C19" s="7">
        <v>2.4009685291607345E-2</v>
      </c>
      <c r="D19" s="8">
        <v>0</v>
      </c>
      <c r="E19" s="8">
        <v>1</v>
      </c>
      <c r="F19" s="8">
        <v>343</v>
      </c>
      <c r="G19" s="7">
        <v>0.7825676610390575</v>
      </c>
      <c r="H19" s="7">
        <v>1.7865988155735375E-2</v>
      </c>
      <c r="I19" s="8">
        <v>0</v>
      </c>
      <c r="J19" s="8">
        <v>1</v>
      </c>
      <c r="K19" s="8">
        <v>685</v>
      </c>
      <c r="L19" s="7">
        <v>0.61495742631969685</v>
      </c>
      <c r="M19" s="7">
        <v>2.2369993752486939E-2</v>
      </c>
      <c r="N19" s="8">
        <v>0</v>
      </c>
      <c r="O19" s="8">
        <v>1</v>
      </c>
      <c r="P19" s="8">
        <v>622</v>
      </c>
      <c r="Q19" s="7">
        <v>0.42145621159615726</v>
      </c>
      <c r="R19" s="7">
        <v>2.254111723334605E-2</v>
      </c>
      <c r="S19" s="8">
        <v>0</v>
      </c>
      <c r="T19" s="8">
        <v>1</v>
      </c>
      <c r="U19" s="8">
        <v>830</v>
      </c>
      <c r="V19" s="7">
        <v>0.37795553075132143</v>
      </c>
      <c r="W19" s="7">
        <v>2.6511049098514775E-2</v>
      </c>
      <c r="X19" s="8">
        <v>0</v>
      </c>
      <c r="Y19" s="8">
        <v>1</v>
      </c>
      <c r="Z19" s="8">
        <v>733</v>
      </c>
      <c r="AA19" s="7">
        <v>0.62362161391271742</v>
      </c>
      <c r="AB19" s="7">
        <v>1.203080147179866E-2</v>
      </c>
      <c r="AC19" s="8">
        <v>0</v>
      </c>
      <c r="AD19" s="8">
        <v>1</v>
      </c>
      <c r="AE19" s="8">
        <v>3213</v>
      </c>
      <c r="AF19">
        <f>(AA21/AA20)-AA19</f>
        <v>-6.8737570066336073E-2</v>
      </c>
    </row>
    <row r="20" spans="1:32" ht="26.25" customHeight="1" x14ac:dyDescent="0.45">
      <c r="A20" s="6" t="s">
        <v>24</v>
      </c>
      <c r="B20" s="7">
        <v>0.11043143982498899</v>
      </c>
      <c r="C20" s="7">
        <v>1.9318318636183492E-2</v>
      </c>
      <c r="D20" s="8">
        <v>0</v>
      </c>
      <c r="E20" s="8">
        <v>1</v>
      </c>
      <c r="F20" s="8">
        <v>343</v>
      </c>
      <c r="G20" s="7">
        <v>0.1141877917275687</v>
      </c>
      <c r="H20" s="7">
        <v>1.372767009886945E-2</v>
      </c>
      <c r="I20" s="8">
        <v>0</v>
      </c>
      <c r="J20" s="8">
        <v>1</v>
      </c>
      <c r="K20" s="8">
        <v>685</v>
      </c>
      <c r="L20" s="7">
        <v>0.2107063624328053</v>
      </c>
      <c r="M20" s="7">
        <v>1.9196340458493756E-2</v>
      </c>
      <c r="N20" s="8">
        <v>0</v>
      </c>
      <c r="O20" s="8">
        <v>1</v>
      </c>
      <c r="P20" s="8">
        <v>622</v>
      </c>
      <c r="Q20" s="7">
        <v>0.32132005623330667</v>
      </c>
      <c r="R20" s="7">
        <v>2.2425332775680609E-2</v>
      </c>
      <c r="S20" s="8">
        <v>0</v>
      </c>
      <c r="T20" s="8">
        <v>1</v>
      </c>
      <c r="U20" s="8">
        <v>830</v>
      </c>
      <c r="V20" s="7">
        <v>0.13983861568962849</v>
      </c>
      <c r="W20" s="7">
        <v>1.8872674699234135E-2</v>
      </c>
      <c r="X20" s="8">
        <v>0</v>
      </c>
      <c r="Y20" s="8">
        <v>1</v>
      </c>
      <c r="Z20" s="8">
        <v>733</v>
      </c>
      <c r="AA20" s="7">
        <v>0.19633718423549712</v>
      </c>
      <c r="AB20" s="7">
        <v>9.9780503174346086E-3</v>
      </c>
      <c r="AC20" s="8">
        <v>0</v>
      </c>
      <c r="AD20" s="8">
        <v>1</v>
      </c>
      <c r="AE20" s="8">
        <v>3213</v>
      </c>
      <c r="AF20">
        <f>(AA21/AA19)-AA20</f>
        <v>-2.1640912785783395E-2</v>
      </c>
    </row>
    <row r="21" spans="1:32" ht="14.25" customHeight="1" x14ac:dyDescent="0.45">
      <c r="A21" s="6" t="s">
        <v>25</v>
      </c>
      <c r="B21" s="7">
        <v>0.11017673771953929</v>
      </c>
      <c r="C21" s="7">
        <v>1.9316972655962068E-2</v>
      </c>
      <c r="D21" s="8">
        <v>0</v>
      </c>
      <c r="E21" s="8">
        <v>1</v>
      </c>
      <c r="F21" s="8">
        <v>343</v>
      </c>
      <c r="G21" s="7">
        <v>0.10180877013229067</v>
      </c>
      <c r="H21" s="7">
        <v>1.3118259579113245E-2</v>
      </c>
      <c r="I21" s="8">
        <v>0</v>
      </c>
      <c r="J21" s="8">
        <v>1</v>
      </c>
      <c r="K21" s="8">
        <v>685</v>
      </c>
      <c r="L21" s="7">
        <v>0.10667271672860269</v>
      </c>
      <c r="M21" s="7">
        <v>1.5067211287434608E-2</v>
      </c>
      <c r="N21" s="8">
        <v>0</v>
      </c>
      <c r="O21" s="8">
        <v>1</v>
      </c>
      <c r="P21" s="8">
        <v>622</v>
      </c>
      <c r="Q21" s="7">
        <v>0.13347319741166325</v>
      </c>
      <c r="R21" s="7">
        <v>1.3957817431603181E-2</v>
      </c>
      <c r="S21" s="8">
        <v>0</v>
      </c>
      <c r="T21" s="8">
        <v>1</v>
      </c>
      <c r="U21" s="8">
        <v>830</v>
      </c>
      <c r="V21" s="7">
        <v>6.8069125565178953E-2</v>
      </c>
      <c r="W21" s="7">
        <v>1.5113318076723127E-2</v>
      </c>
      <c r="X21" s="8">
        <v>0</v>
      </c>
      <c r="Y21" s="8">
        <v>1</v>
      </c>
      <c r="Z21" s="8">
        <v>733</v>
      </c>
      <c r="AA21" s="7">
        <v>0.10894437074600465</v>
      </c>
      <c r="AB21" s="7">
        <v>7.7235893119046162E-3</v>
      </c>
      <c r="AC21" s="8">
        <v>0</v>
      </c>
      <c r="AD21" s="8">
        <v>1</v>
      </c>
      <c r="AE21" s="8">
        <v>3213</v>
      </c>
    </row>
    <row r="22" spans="1:32" ht="14.25" customHeight="1" x14ac:dyDescent="0.45">
      <c r="A22" s="6" t="s">
        <v>13</v>
      </c>
      <c r="B22" s="7">
        <v>0.84775453018564795</v>
      </c>
      <c r="C22" s="7">
        <v>2.4009685291607345E-2</v>
      </c>
      <c r="D22" s="8">
        <v>0</v>
      </c>
      <c r="E22" s="8">
        <v>1</v>
      </c>
      <c r="F22" s="8">
        <v>343</v>
      </c>
      <c r="G22" s="7">
        <v>0.7825676610390575</v>
      </c>
      <c r="H22" s="7">
        <v>1.7865988155735375E-2</v>
      </c>
      <c r="I22" s="8">
        <v>0</v>
      </c>
      <c r="J22" s="8">
        <v>1</v>
      </c>
      <c r="K22" s="8">
        <v>685</v>
      </c>
      <c r="L22" s="7">
        <v>0.61495742631969685</v>
      </c>
      <c r="M22" s="7">
        <v>2.2369993752486939E-2</v>
      </c>
      <c r="N22" s="8">
        <v>0</v>
      </c>
      <c r="O22" s="8">
        <v>1</v>
      </c>
      <c r="P22" s="8">
        <v>622</v>
      </c>
      <c r="Q22" s="7">
        <v>0.42145621159615726</v>
      </c>
      <c r="R22" s="7">
        <v>2.254111723334605E-2</v>
      </c>
      <c r="S22" s="8">
        <v>0</v>
      </c>
      <c r="T22" s="8">
        <v>1</v>
      </c>
      <c r="U22" s="8">
        <v>830</v>
      </c>
      <c r="V22" s="7">
        <v>0.37795553075132143</v>
      </c>
      <c r="W22" s="7">
        <v>2.6511049098514775E-2</v>
      </c>
      <c r="X22" s="8">
        <v>0</v>
      </c>
      <c r="Y22" s="8">
        <v>1</v>
      </c>
      <c r="Z22" s="8">
        <v>733</v>
      </c>
      <c r="AA22" s="7">
        <v>0.62362161391271742</v>
      </c>
      <c r="AB22" s="7">
        <v>1.203080147179866E-2</v>
      </c>
      <c r="AC22" s="8">
        <v>0</v>
      </c>
      <c r="AD22" s="8">
        <v>1</v>
      </c>
      <c r="AE22" s="8">
        <v>3213</v>
      </c>
      <c r="AF22">
        <f>(AA24/AA23)-AA22</f>
        <v>0.1004275713864905</v>
      </c>
    </row>
    <row r="23" spans="1:32" ht="14.25" customHeight="1" x14ac:dyDescent="0.45">
      <c r="A23" s="6" t="s">
        <v>26</v>
      </c>
      <c r="B23" s="7">
        <v>8.576486464093927E-2</v>
      </c>
      <c r="C23" s="7">
        <v>1.5771548847512216E-2</v>
      </c>
      <c r="D23" s="8">
        <v>0</v>
      </c>
      <c r="E23" s="8">
        <v>1</v>
      </c>
      <c r="F23" s="8">
        <v>343</v>
      </c>
      <c r="G23" s="7">
        <v>0.13925597154135472</v>
      </c>
      <c r="H23" s="7">
        <v>1.4827699712798324E-2</v>
      </c>
      <c r="I23" s="8">
        <v>0</v>
      </c>
      <c r="J23" s="8">
        <v>1</v>
      </c>
      <c r="K23" s="8">
        <v>685</v>
      </c>
      <c r="L23" s="7">
        <v>0.19294981038581291</v>
      </c>
      <c r="M23" s="7">
        <v>1.7247019680870192E-2</v>
      </c>
      <c r="N23" s="8">
        <v>0</v>
      </c>
      <c r="O23" s="8">
        <v>1</v>
      </c>
      <c r="P23" s="8">
        <v>622</v>
      </c>
      <c r="Q23" s="7">
        <v>0.25108715945834204</v>
      </c>
      <c r="R23" s="7">
        <v>1.9830048301317873E-2</v>
      </c>
      <c r="S23" s="8">
        <v>0</v>
      </c>
      <c r="T23" s="8">
        <v>1</v>
      </c>
      <c r="U23" s="8">
        <v>830</v>
      </c>
      <c r="V23" s="7">
        <v>7.0128859538446192E-2</v>
      </c>
      <c r="W23" s="7">
        <v>1.3299827256235006E-2</v>
      </c>
      <c r="X23" s="8">
        <v>0</v>
      </c>
      <c r="Y23" s="8">
        <v>1</v>
      </c>
      <c r="Z23" s="8">
        <v>733</v>
      </c>
      <c r="AA23" s="7">
        <v>0.17686941314292795</v>
      </c>
      <c r="AB23" s="7">
        <v>9.108457477247504E-3</v>
      </c>
      <c r="AC23" s="8">
        <v>0</v>
      </c>
      <c r="AD23" s="8">
        <v>1</v>
      </c>
      <c r="AE23" s="8">
        <v>3213</v>
      </c>
      <c r="AF23">
        <f>(AA24/AA22)-AA23</f>
        <v>2.8482921724044236E-2</v>
      </c>
    </row>
    <row r="24" spans="1:32" ht="14.25" customHeight="1" x14ac:dyDescent="0.45">
      <c r="A24" s="6" t="s">
        <v>27</v>
      </c>
      <c r="B24" s="7">
        <v>8.576486464093927E-2</v>
      </c>
      <c r="C24" s="7">
        <v>1.5771548847512216E-2</v>
      </c>
      <c r="D24" s="8">
        <v>0</v>
      </c>
      <c r="E24" s="8">
        <v>1</v>
      </c>
      <c r="F24" s="8">
        <v>343</v>
      </c>
      <c r="G24" s="7">
        <v>0.13459229832122219</v>
      </c>
      <c r="H24" s="7">
        <v>1.4639562744053146E-2</v>
      </c>
      <c r="I24" s="8">
        <v>0</v>
      </c>
      <c r="J24" s="8">
        <v>1</v>
      </c>
      <c r="K24" s="8">
        <v>685</v>
      </c>
      <c r="L24" s="7">
        <v>0.14241540961750768</v>
      </c>
      <c r="M24" s="7">
        <v>1.5778718622370454E-2</v>
      </c>
      <c r="N24" s="8">
        <v>0</v>
      </c>
      <c r="O24" s="8">
        <v>1</v>
      </c>
      <c r="P24" s="8">
        <v>622</v>
      </c>
      <c r="Q24" s="7">
        <v>0.12563306219017922</v>
      </c>
      <c r="R24" s="7">
        <v>1.3123247556454529E-2</v>
      </c>
      <c r="S24" s="8">
        <v>0</v>
      </c>
      <c r="T24" s="8">
        <v>1</v>
      </c>
      <c r="U24" s="8">
        <v>830</v>
      </c>
      <c r="V24" s="7">
        <v>4.1317081362347179E-2</v>
      </c>
      <c r="W24" s="7">
        <v>1.1738014197804982E-2</v>
      </c>
      <c r="X24" s="8">
        <v>0</v>
      </c>
      <c r="Y24" s="8">
        <v>1</v>
      </c>
      <c r="Z24" s="8">
        <v>733</v>
      </c>
      <c r="AA24" s="7">
        <v>0.128062154490486</v>
      </c>
      <c r="AB24" s="7">
        <v>8.0750571569137026E-3</v>
      </c>
      <c r="AC24" s="8">
        <v>0</v>
      </c>
      <c r="AD24" s="8">
        <v>1</v>
      </c>
      <c r="AE24" s="8">
        <v>3213</v>
      </c>
    </row>
    <row r="25" spans="1:32" ht="14.25" customHeight="1" x14ac:dyDescent="0.45">
      <c r="A25" s="6" t="s">
        <v>13</v>
      </c>
      <c r="B25" s="7">
        <v>0.84775453018564795</v>
      </c>
      <c r="C25" s="7">
        <v>2.4009685291607345E-2</v>
      </c>
      <c r="D25" s="8">
        <v>0</v>
      </c>
      <c r="E25" s="8">
        <v>1</v>
      </c>
      <c r="F25" s="8">
        <v>343</v>
      </c>
      <c r="G25" s="7">
        <v>0.7825676610390575</v>
      </c>
      <c r="H25" s="7">
        <v>1.7865988155735375E-2</v>
      </c>
      <c r="I25" s="8">
        <v>0</v>
      </c>
      <c r="J25" s="8">
        <v>1</v>
      </c>
      <c r="K25" s="8">
        <v>685</v>
      </c>
      <c r="L25" s="7">
        <v>0.61495742631969685</v>
      </c>
      <c r="M25" s="7">
        <v>2.2369993752486939E-2</v>
      </c>
      <c r="N25" s="8">
        <v>0</v>
      </c>
      <c r="O25" s="8">
        <v>1</v>
      </c>
      <c r="P25" s="8">
        <v>622</v>
      </c>
      <c r="Q25" s="7">
        <v>0.42145621159615726</v>
      </c>
      <c r="R25" s="7">
        <v>2.254111723334605E-2</v>
      </c>
      <c r="S25" s="8">
        <v>0</v>
      </c>
      <c r="T25" s="8">
        <v>1</v>
      </c>
      <c r="U25" s="8">
        <v>830</v>
      </c>
      <c r="V25" s="7">
        <v>0.37795553075132143</v>
      </c>
      <c r="W25" s="7">
        <v>2.6511049098514775E-2</v>
      </c>
      <c r="X25" s="8">
        <v>0</v>
      </c>
      <c r="Y25" s="8">
        <v>1</v>
      </c>
      <c r="Z25" s="8">
        <v>733</v>
      </c>
      <c r="AA25" s="7">
        <v>0.62362161391271742</v>
      </c>
      <c r="AB25" s="7">
        <v>1.203080147179866E-2</v>
      </c>
      <c r="AC25" s="8">
        <v>0</v>
      </c>
      <c r="AD25" s="8">
        <v>1</v>
      </c>
      <c r="AE25" s="8">
        <v>3213</v>
      </c>
      <c r="AF25">
        <f>(AA27/AA26)-AA25</f>
        <v>-2.8330989780570026E-2</v>
      </c>
    </row>
    <row r="26" spans="1:32" ht="14.25" customHeight="1" x14ac:dyDescent="0.45">
      <c r="A26" s="6" t="s">
        <v>28</v>
      </c>
      <c r="B26" s="7">
        <v>2.3006458258515102E-2</v>
      </c>
      <c r="C26" s="7">
        <v>1.0076455733186959E-2</v>
      </c>
      <c r="D26" s="8">
        <v>0</v>
      </c>
      <c r="E26" s="8">
        <v>1</v>
      </c>
      <c r="F26" s="8">
        <v>343</v>
      </c>
      <c r="G26" s="7">
        <v>4.1625717873765983E-2</v>
      </c>
      <c r="H26" s="7">
        <v>8.2303678308347332E-3</v>
      </c>
      <c r="I26" s="8">
        <v>0</v>
      </c>
      <c r="J26" s="8">
        <v>1</v>
      </c>
      <c r="K26" s="8">
        <v>685</v>
      </c>
      <c r="L26" s="7">
        <v>0.18433984786311641</v>
      </c>
      <c r="M26" s="7">
        <v>1.8140749734377713E-2</v>
      </c>
      <c r="N26" s="8">
        <v>0</v>
      </c>
      <c r="O26" s="8">
        <v>1</v>
      </c>
      <c r="P26" s="8">
        <v>622</v>
      </c>
      <c r="Q26" s="7">
        <v>0.31375250664319881</v>
      </c>
      <c r="R26" s="7">
        <v>2.2409181743750201E-2</v>
      </c>
      <c r="S26" s="8">
        <v>0</v>
      </c>
      <c r="T26" s="8">
        <v>1</v>
      </c>
      <c r="U26" s="8">
        <v>830</v>
      </c>
      <c r="V26" s="7">
        <v>0.16879495507154094</v>
      </c>
      <c r="W26" s="7">
        <v>1.9160672712976504E-2</v>
      </c>
      <c r="X26" s="8">
        <v>0</v>
      </c>
      <c r="Y26" s="8">
        <v>1</v>
      </c>
      <c r="Z26" s="8">
        <v>733</v>
      </c>
      <c r="AA26" s="7">
        <v>0.16007873398575856</v>
      </c>
      <c r="AB26" s="7">
        <v>9.2204164547557959E-3</v>
      </c>
      <c r="AC26" s="8">
        <v>0</v>
      </c>
      <c r="AD26" s="8">
        <v>1</v>
      </c>
      <c r="AE26" s="8">
        <v>3213</v>
      </c>
      <c r="AF26">
        <f>(AA27/AA25)-AA26</f>
        <v>-7.272340912276104E-3</v>
      </c>
    </row>
    <row r="27" spans="1:32" ht="14.25" customHeight="1" x14ac:dyDescent="0.45">
      <c r="A27" s="6" t="s">
        <v>29</v>
      </c>
      <c r="B27" s="7">
        <v>2.3006458258515102E-2</v>
      </c>
      <c r="C27" s="7">
        <v>1.0076455733186959E-2</v>
      </c>
      <c r="D27" s="8">
        <v>0</v>
      </c>
      <c r="E27" s="8">
        <v>1</v>
      </c>
      <c r="F27" s="8">
        <v>343</v>
      </c>
      <c r="G27" s="7">
        <v>2.9288226233500508E-2</v>
      </c>
      <c r="H27" s="7">
        <v>6.7779109095434213E-3</v>
      </c>
      <c r="I27" s="8">
        <v>0</v>
      </c>
      <c r="J27" s="8">
        <v>1</v>
      </c>
      <c r="K27" s="8">
        <v>685</v>
      </c>
      <c r="L27" s="7">
        <v>0.1370501090436447</v>
      </c>
      <c r="M27" s="7">
        <v>1.619464624143379E-2</v>
      </c>
      <c r="N27" s="8">
        <v>0</v>
      </c>
      <c r="O27" s="8">
        <v>1</v>
      </c>
      <c r="P27" s="8">
        <v>622</v>
      </c>
      <c r="Q27" s="7">
        <v>0.12774535618640606</v>
      </c>
      <c r="R27" s="7">
        <v>1.3433396802032165E-2</v>
      </c>
      <c r="S27" s="8">
        <v>0</v>
      </c>
      <c r="T27" s="8">
        <v>1</v>
      </c>
      <c r="U27" s="8">
        <v>830</v>
      </c>
      <c r="V27" s="7">
        <v>9.2891976564276377E-2</v>
      </c>
      <c r="W27" s="7">
        <v>1.5983804862911562E-2</v>
      </c>
      <c r="X27" s="8">
        <v>0</v>
      </c>
      <c r="Y27" s="8">
        <v>1</v>
      </c>
      <c r="Z27" s="8">
        <v>733</v>
      </c>
      <c r="AA27" s="7">
        <v>9.5293369464666211E-2</v>
      </c>
      <c r="AB27" s="7">
        <v>7.4034251733216165E-3</v>
      </c>
      <c r="AC27" s="8">
        <v>0</v>
      </c>
      <c r="AD27" s="8">
        <v>1</v>
      </c>
      <c r="AE27" s="8">
        <v>3213</v>
      </c>
    </row>
    <row r="28" spans="1:32" ht="14.25" customHeight="1" x14ac:dyDescent="0.45">
      <c r="A28" s="6" t="s">
        <v>13</v>
      </c>
      <c r="B28" s="7">
        <v>0.84775453018564795</v>
      </c>
      <c r="C28" s="7">
        <v>2.4009685291607345E-2</v>
      </c>
      <c r="D28" s="8">
        <v>0</v>
      </c>
      <c r="E28" s="8">
        <v>1</v>
      </c>
      <c r="F28" s="8">
        <v>343</v>
      </c>
      <c r="G28" s="7">
        <v>0.7825676610390575</v>
      </c>
      <c r="H28" s="7">
        <v>1.7865988155735375E-2</v>
      </c>
      <c r="I28" s="8">
        <v>0</v>
      </c>
      <c r="J28" s="8">
        <v>1</v>
      </c>
      <c r="K28" s="8">
        <v>685</v>
      </c>
      <c r="L28" s="7">
        <v>0.61495742631969685</v>
      </c>
      <c r="M28" s="7">
        <v>2.2369993752486939E-2</v>
      </c>
      <c r="N28" s="8">
        <v>0</v>
      </c>
      <c r="O28" s="8">
        <v>1</v>
      </c>
      <c r="P28" s="8">
        <v>622</v>
      </c>
      <c r="Q28" s="7">
        <v>0.42145621159615726</v>
      </c>
      <c r="R28" s="7">
        <v>2.254111723334605E-2</v>
      </c>
      <c r="S28" s="8">
        <v>0</v>
      </c>
      <c r="T28" s="8">
        <v>1</v>
      </c>
      <c r="U28" s="8">
        <v>830</v>
      </c>
      <c r="V28" s="7">
        <v>0.37795553075132143</v>
      </c>
      <c r="W28" s="7">
        <v>2.6511049098514775E-2</v>
      </c>
      <c r="X28" s="8">
        <v>0</v>
      </c>
      <c r="Y28" s="8">
        <v>1</v>
      </c>
      <c r="Z28" s="8">
        <v>733</v>
      </c>
      <c r="AA28" s="7">
        <v>0.62362161391271742</v>
      </c>
      <c r="AB28" s="7">
        <v>1.203080147179866E-2</v>
      </c>
      <c r="AC28" s="8">
        <v>0</v>
      </c>
      <c r="AD28" s="8">
        <v>1</v>
      </c>
      <c r="AE28" s="8">
        <v>3213</v>
      </c>
      <c r="AF28">
        <f>(AA30/AA29)-AA28</f>
        <v>-5.4553394055065541E-2</v>
      </c>
    </row>
    <row r="29" spans="1:32" ht="14.25" customHeight="1" x14ac:dyDescent="0.45">
      <c r="A29" s="6" t="s">
        <v>30</v>
      </c>
      <c r="B29" s="7">
        <v>6.4347504419908913E-2</v>
      </c>
      <c r="C29" s="7">
        <v>1.6210000455232083E-2</v>
      </c>
      <c r="D29" s="8">
        <v>0</v>
      </c>
      <c r="E29" s="8">
        <v>1</v>
      </c>
      <c r="F29" s="8">
        <v>343</v>
      </c>
      <c r="G29" s="7">
        <v>5.5760819257979384E-3</v>
      </c>
      <c r="H29" s="7">
        <v>2.4155139287461349E-3</v>
      </c>
      <c r="I29" s="8">
        <v>0</v>
      </c>
      <c r="J29" s="8">
        <v>1</v>
      </c>
      <c r="K29" s="8">
        <v>685</v>
      </c>
      <c r="L29" s="7">
        <v>5.7784639354585186E-2</v>
      </c>
      <c r="M29" s="7">
        <v>1.0739851453532647E-2</v>
      </c>
      <c r="N29" s="8">
        <v>0</v>
      </c>
      <c r="O29" s="8">
        <v>1</v>
      </c>
      <c r="P29" s="8">
        <v>622</v>
      </c>
      <c r="Q29" s="7">
        <v>4.8263280491864416E-2</v>
      </c>
      <c r="R29" s="7">
        <v>9.4601041768455525E-3</v>
      </c>
      <c r="S29" s="8">
        <v>0</v>
      </c>
      <c r="T29" s="8">
        <v>1</v>
      </c>
      <c r="U29" s="8">
        <v>830</v>
      </c>
      <c r="V29" s="7">
        <v>0.11301588571797948</v>
      </c>
      <c r="W29" s="7">
        <v>2.095351119764903E-2</v>
      </c>
      <c r="X29" s="8">
        <v>0</v>
      </c>
      <c r="Y29" s="8">
        <v>1</v>
      </c>
      <c r="Z29" s="8">
        <v>733</v>
      </c>
      <c r="AA29" s="7">
        <v>4.4127348950210449E-2</v>
      </c>
      <c r="AB29" s="7">
        <v>4.9821697834856737E-3</v>
      </c>
      <c r="AC29" s="8">
        <v>0</v>
      </c>
      <c r="AD29" s="8">
        <v>1</v>
      </c>
      <c r="AE29" s="8">
        <v>3213</v>
      </c>
      <c r="AF29">
        <f>(AA30/AA28)-AA29</f>
        <v>-3.8601879764596225E-3</v>
      </c>
    </row>
    <row r="30" spans="1:32" ht="26.25" customHeight="1" x14ac:dyDescent="0.45">
      <c r="A30" s="6" t="s">
        <v>31</v>
      </c>
      <c r="B30" s="7">
        <v>4.3573118808911696E-2</v>
      </c>
      <c r="C30" s="7">
        <v>1.2312223966912044E-2</v>
      </c>
      <c r="D30" s="8">
        <v>0</v>
      </c>
      <c r="E30" s="8">
        <v>1</v>
      </c>
      <c r="F30" s="8">
        <v>343</v>
      </c>
      <c r="G30" s="7">
        <v>4.1492979450910173E-3</v>
      </c>
      <c r="H30" s="7">
        <v>1.9770708993388261E-3</v>
      </c>
      <c r="I30" s="8">
        <v>0</v>
      </c>
      <c r="J30" s="8">
        <v>1</v>
      </c>
      <c r="K30" s="8">
        <v>685</v>
      </c>
      <c r="L30" s="7">
        <v>3.427935577446433E-2</v>
      </c>
      <c r="M30" s="7">
        <v>8.2929775225975451E-3</v>
      </c>
      <c r="N30" s="8">
        <v>0</v>
      </c>
      <c r="O30" s="8">
        <v>1</v>
      </c>
      <c r="P30" s="8">
        <v>622</v>
      </c>
      <c r="Q30" s="7">
        <v>2.8778886266421406E-2</v>
      </c>
      <c r="R30" s="7">
        <v>6.2704529057948143E-3</v>
      </c>
      <c r="S30" s="8">
        <v>0</v>
      </c>
      <c r="T30" s="8">
        <v>1</v>
      </c>
      <c r="U30" s="8">
        <v>830</v>
      </c>
      <c r="V30" s="7">
        <v>3.6392097649568758E-2</v>
      </c>
      <c r="W30" s="7">
        <v>1.1138269572291908E-2</v>
      </c>
      <c r="X30" s="8">
        <v>0</v>
      </c>
      <c r="Y30" s="8">
        <v>1</v>
      </c>
      <c r="Z30" s="8">
        <v>733</v>
      </c>
      <c r="AA30" s="7">
        <v>2.5111471914133682E-2</v>
      </c>
      <c r="AB30" s="7">
        <v>3.6971831571560427E-3</v>
      </c>
      <c r="AC30" s="8">
        <v>0</v>
      </c>
      <c r="AD30" s="8">
        <v>1</v>
      </c>
      <c r="AE30" s="8">
        <v>3213</v>
      </c>
    </row>
    <row r="31" spans="1:32" ht="14.25" customHeight="1" x14ac:dyDescent="0.45">
      <c r="A31" s="6" t="s">
        <v>13</v>
      </c>
      <c r="B31" s="7">
        <v>0.84775453018564795</v>
      </c>
      <c r="C31" s="7">
        <v>2.4009685291607345E-2</v>
      </c>
      <c r="D31" s="8">
        <v>0</v>
      </c>
      <c r="E31" s="8">
        <v>1</v>
      </c>
      <c r="F31" s="8">
        <v>343</v>
      </c>
      <c r="G31" s="7">
        <v>0.7825676610390575</v>
      </c>
      <c r="H31" s="7">
        <v>1.7865988155735375E-2</v>
      </c>
      <c r="I31" s="8">
        <v>0</v>
      </c>
      <c r="J31" s="8">
        <v>1</v>
      </c>
      <c r="K31" s="8">
        <v>685</v>
      </c>
      <c r="L31" s="7">
        <v>0.61495742631969685</v>
      </c>
      <c r="M31" s="7">
        <v>2.2369993752486939E-2</v>
      </c>
      <c r="N31" s="8">
        <v>0</v>
      </c>
      <c r="O31" s="8">
        <v>1</v>
      </c>
      <c r="P31" s="8">
        <v>622</v>
      </c>
      <c r="Q31" s="7">
        <v>0.42145621159615726</v>
      </c>
      <c r="R31" s="7">
        <v>2.254111723334605E-2</v>
      </c>
      <c r="S31" s="8">
        <v>0</v>
      </c>
      <c r="T31" s="8">
        <v>1</v>
      </c>
      <c r="U31" s="8">
        <v>830</v>
      </c>
      <c r="V31" s="7">
        <v>0.37795553075132143</v>
      </c>
      <c r="W31" s="7">
        <v>2.6511049098514775E-2</v>
      </c>
      <c r="X31" s="8">
        <v>0</v>
      </c>
      <c r="Y31" s="8">
        <v>1</v>
      </c>
      <c r="Z31" s="8">
        <v>733</v>
      </c>
      <c r="AA31" s="7">
        <v>0.62362161391271742</v>
      </c>
      <c r="AB31" s="7">
        <v>1.203080147179866E-2</v>
      </c>
      <c r="AC31" s="8">
        <v>0</v>
      </c>
      <c r="AD31" s="8">
        <v>1</v>
      </c>
      <c r="AE31" s="8">
        <v>3213</v>
      </c>
      <c r="AF31">
        <f>(AA33/AA32)-AA31</f>
        <v>9.9340096724980675E-2</v>
      </c>
    </row>
    <row r="32" spans="1:32" ht="14.25" customHeight="1" x14ac:dyDescent="0.45">
      <c r="A32" s="6" t="s">
        <v>32</v>
      </c>
      <c r="B32" s="7">
        <v>0.2508434395881563</v>
      </c>
      <c r="C32" s="7">
        <v>2.6564985993478434E-2</v>
      </c>
      <c r="D32" s="8">
        <v>0</v>
      </c>
      <c r="E32" s="8">
        <v>1</v>
      </c>
      <c r="F32" s="8">
        <v>343</v>
      </c>
      <c r="G32" s="7">
        <v>0.11723648022517399</v>
      </c>
      <c r="H32" s="7">
        <v>1.3553156415989618E-2</v>
      </c>
      <c r="I32" s="8">
        <v>0</v>
      </c>
      <c r="J32" s="8">
        <v>1</v>
      </c>
      <c r="K32" s="8">
        <v>685</v>
      </c>
      <c r="L32" s="7">
        <v>0.10134866639101314</v>
      </c>
      <c r="M32" s="7">
        <v>1.4304965922128491E-2</v>
      </c>
      <c r="N32" s="8">
        <v>0</v>
      </c>
      <c r="O32" s="8">
        <v>1</v>
      </c>
      <c r="P32" s="8">
        <v>622</v>
      </c>
      <c r="Q32" s="7">
        <v>5.8577332732493929E-2</v>
      </c>
      <c r="R32" s="7">
        <v>1.0597856223613596E-2</v>
      </c>
      <c r="S32" s="8">
        <v>0</v>
      </c>
      <c r="T32" s="8">
        <v>1</v>
      </c>
      <c r="U32" s="8">
        <v>830</v>
      </c>
      <c r="V32" s="7">
        <v>3.2833700964905246E-2</v>
      </c>
      <c r="W32" s="7">
        <v>8.8742993180766557E-3</v>
      </c>
      <c r="X32" s="8">
        <v>0</v>
      </c>
      <c r="Y32" s="8">
        <v>1</v>
      </c>
      <c r="Z32" s="8">
        <v>733</v>
      </c>
      <c r="AA32" s="7">
        <v>0.10185964544597292</v>
      </c>
      <c r="AB32" s="7">
        <v>7.4120245141954984E-3</v>
      </c>
      <c r="AC32" s="8">
        <v>0</v>
      </c>
      <c r="AD32" s="8">
        <v>1</v>
      </c>
      <c r="AE32" s="8">
        <v>3213</v>
      </c>
      <c r="AF32">
        <f>(AA33/AA31)-AA32</f>
        <v>1.6225779872330426E-2</v>
      </c>
    </row>
    <row r="33" spans="1:32" ht="14.25" customHeight="1" x14ac:dyDescent="0.45">
      <c r="A33" s="6" t="s">
        <v>33</v>
      </c>
      <c r="B33" s="7">
        <v>0.23334730899039319</v>
      </c>
      <c r="C33" s="7">
        <v>2.5919850652803719E-2</v>
      </c>
      <c r="D33" s="8">
        <v>0</v>
      </c>
      <c r="E33" s="8">
        <v>1</v>
      </c>
      <c r="F33" s="8">
        <v>343</v>
      </c>
      <c r="G33" s="7">
        <v>9.8327372554173634E-2</v>
      </c>
      <c r="H33" s="7">
        <v>1.2174452634155125E-2</v>
      </c>
      <c r="I33" s="8">
        <v>0</v>
      </c>
      <c r="J33" s="8">
        <v>1</v>
      </c>
      <c r="K33" s="8">
        <v>685</v>
      </c>
      <c r="L33" s="7">
        <v>5.9615541865676983E-2</v>
      </c>
      <c r="M33" s="7">
        <v>1.0997127213758628E-2</v>
      </c>
      <c r="N33" s="8">
        <v>0</v>
      </c>
      <c r="O33" s="8">
        <v>1</v>
      </c>
      <c r="P33" s="8">
        <v>622</v>
      </c>
      <c r="Q33" s="7">
        <v>3.7914232259682601E-2</v>
      </c>
      <c r="R33" s="7">
        <v>7.977957676552393E-3</v>
      </c>
      <c r="S33" s="8">
        <v>0</v>
      </c>
      <c r="T33" s="8">
        <v>1</v>
      </c>
      <c r="U33" s="8">
        <v>830</v>
      </c>
      <c r="V33" s="7">
        <v>1.3771827845258683E-2</v>
      </c>
      <c r="W33" s="7">
        <v>4.4444135111822913E-3</v>
      </c>
      <c r="X33" s="8">
        <v>0</v>
      </c>
      <c r="Y33" s="8">
        <v>1</v>
      </c>
      <c r="Z33" s="8">
        <v>733</v>
      </c>
      <c r="AA33" s="7">
        <v>7.3640623516569997E-2</v>
      </c>
      <c r="AB33" s="7">
        <v>6.0531948830216996E-3</v>
      </c>
      <c r="AC33" s="8">
        <v>0</v>
      </c>
      <c r="AD33" s="8">
        <v>1</v>
      </c>
      <c r="AE33" s="8">
        <v>3213</v>
      </c>
    </row>
    <row r="34" spans="1:32" ht="14.25" customHeight="1" x14ac:dyDescent="0.45">
      <c r="A34" s="6" t="s">
        <v>13</v>
      </c>
      <c r="B34" s="7">
        <v>0.84775453018564795</v>
      </c>
      <c r="C34" s="7">
        <v>2.4009685291607345E-2</v>
      </c>
      <c r="D34" s="8">
        <v>0</v>
      </c>
      <c r="E34" s="8">
        <v>1</v>
      </c>
      <c r="F34" s="8">
        <v>343</v>
      </c>
      <c r="G34" s="7">
        <v>0.7825676610390575</v>
      </c>
      <c r="H34" s="7">
        <v>1.7865988155735375E-2</v>
      </c>
      <c r="I34" s="8">
        <v>0</v>
      </c>
      <c r="J34" s="8">
        <v>1</v>
      </c>
      <c r="K34" s="8">
        <v>685</v>
      </c>
      <c r="L34" s="7">
        <v>0.61495742631969685</v>
      </c>
      <c r="M34" s="7">
        <v>2.2369993752486939E-2</v>
      </c>
      <c r="N34" s="8">
        <v>0</v>
      </c>
      <c r="O34" s="8">
        <v>1</v>
      </c>
      <c r="P34" s="8">
        <v>622</v>
      </c>
      <c r="Q34" s="7">
        <v>0.42145621159615726</v>
      </c>
      <c r="R34" s="7">
        <v>2.254111723334605E-2</v>
      </c>
      <c r="S34" s="8">
        <v>0</v>
      </c>
      <c r="T34" s="8">
        <v>1</v>
      </c>
      <c r="U34" s="8">
        <v>830</v>
      </c>
      <c r="V34" s="7">
        <v>0.37795553075132143</v>
      </c>
      <c r="W34" s="7">
        <v>2.6511049098514775E-2</v>
      </c>
      <c r="X34" s="8">
        <v>0</v>
      </c>
      <c r="Y34" s="8">
        <v>1</v>
      </c>
      <c r="Z34" s="8">
        <v>733</v>
      </c>
      <c r="AA34" s="7">
        <v>0.62362161391271742</v>
      </c>
      <c r="AB34" s="7">
        <v>1.203080147179866E-2</v>
      </c>
      <c r="AC34" s="8">
        <v>0</v>
      </c>
      <c r="AD34" s="8">
        <v>1</v>
      </c>
      <c r="AE34" s="8">
        <v>3213</v>
      </c>
      <c r="AF34">
        <f>(AA36/AA35)-AA34</f>
        <v>3.9755228222357331E-2</v>
      </c>
    </row>
    <row r="35" spans="1:32" ht="14.25" customHeight="1" x14ac:dyDescent="0.45">
      <c r="A35" s="6" t="s">
        <v>34</v>
      </c>
      <c r="B35" s="7">
        <v>8.1787533107309865E-2</v>
      </c>
      <c r="C35" s="7">
        <v>1.7279206638313685E-2</v>
      </c>
      <c r="D35" s="8">
        <v>0</v>
      </c>
      <c r="E35" s="8">
        <v>1</v>
      </c>
      <c r="F35" s="8">
        <v>343</v>
      </c>
      <c r="G35" s="7">
        <v>7.7471492628192432E-2</v>
      </c>
      <c r="H35" s="7">
        <v>1.1471911375371565E-2</v>
      </c>
      <c r="I35" s="8">
        <v>0</v>
      </c>
      <c r="J35" s="8">
        <v>1</v>
      </c>
      <c r="K35" s="8">
        <v>685</v>
      </c>
      <c r="L35" s="7">
        <v>9.3337188203922908E-2</v>
      </c>
      <c r="M35" s="7">
        <v>1.3871048191407841E-2</v>
      </c>
      <c r="N35" s="8">
        <v>0</v>
      </c>
      <c r="O35" s="8">
        <v>1</v>
      </c>
      <c r="P35" s="8">
        <v>622</v>
      </c>
      <c r="Q35" s="7">
        <v>3.7296049679389667E-2</v>
      </c>
      <c r="R35" s="7">
        <v>9.3089825291206869E-3</v>
      </c>
      <c r="S35" s="8">
        <v>0</v>
      </c>
      <c r="T35" s="8">
        <v>1</v>
      </c>
      <c r="U35" s="8">
        <v>830</v>
      </c>
      <c r="V35" s="7">
        <v>2.513469963218028E-2</v>
      </c>
      <c r="W35" s="7">
        <v>7.9594489535297543E-3</v>
      </c>
      <c r="X35" s="8">
        <v>0</v>
      </c>
      <c r="Y35" s="8">
        <v>1</v>
      </c>
      <c r="Z35" s="8">
        <v>733</v>
      </c>
      <c r="AA35" s="7">
        <v>7.2866767578355668E-2</v>
      </c>
      <c r="AB35" s="7">
        <v>6.7889588799079637E-3</v>
      </c>
      <c r="AC35" s="8">
        <v>0</v>
      </c>
      <c r="AD35" s="8">
        <v>1</v>
      </c>
      <c r="AE35" s="8">
        <v>3213</v>
      </c>
      <c r="AF35">
        <f>(AA36/AA34)-AA35</f>
        <v>4.6451805233749255E-3</v>
      </c>
    </row>
    <row r="36" spans="1:32" ht="26.25" customHeight="1" x14ac:dyDescent="0.45">
      <c r="A36" s="6" t="s">
        <v>35</v>
      </c>
      <c r="B36" s="7">
        <v>7.3783490806040145E-2</v>
      </c>
      <c r="C36" s="7">
        <v>1.6184548641891009E-2</v>
      </c>
      <c r="D36" s="8">
        <v>0</v>
      </c>
      <c r="E36" s="8">
        <v>1</v>
      </c>
      <c r="F36" s="8">
        <v>343</v>
      </c>
      <c r="G36" s="7">
        <v>6.1743261194970409E-2</v>
      </c>
      <c r="H36" s="7">
        <v>9.8207724470012869E-3</v>
      </c>
      <c r="I36" s="8">
        <v>0</v>
      </c>
      <c r="J36" s="8">
        <v>1</v>
      </c>
      <c r="K36" s="8">
        <v>685</v>
      </c>
      <c r="L36" s="7">
        <v>5.4883795527865903E-2</v>
      </c>
      <c r="M36" s="7">
        <v>1.0648369585538489E-2</v>
      </c>
      <c r="N36" s="8">
        <v>0</v>
      </c>
      <c r="O36" s="8">
        <v>1</v>
      </c>
      <c r="P36" s="8">
        <v>622</v>
      </c>
      <c r="Q36" s="7">
        <v>2.076038352927519E-2</v>
      </c>
      <c r="R36" s="7">
        <v>6.5015620991318648E-3</v>
      </c>
      <c r="S36" s="8">
        <v>0</v>
      </c>
      <c r="T36" s="8">
        <v>1</v>
      </c>
      <c r="U36" s="8">
        <v>830</v>
      </c>
      <c r="V36" s="7">
        <v>7.7134678313827065E-3</v>
      </c>
      <c r="W36" s="7">
        <v>2.264063124294636E-3</v>
      </c>
      <c r="X36" s="8">
        <v>0</v>
      </c>
      <c r="Y36" s="8">
        <v>1</v>
      </c>
      <c r="Z36" s="8">
        <v>733</v>
      </c>
      <c r="AA36" s="7">
        <v>4.8338126172720028E-2</v>
      </c>
      <c r="AB36" s="7">
        <v>5.3337669574007795E-3</v>
      </c>
      <c r="AC36" s="8">
        <v>0</v>
      </c>
      <c r="AD36" s="8">
        <v>1</v>
      </c>
      <c r="AE36" s="8">
        <v>3213</v>
      </c>
    </row>
    <row r="37" spans="1:32" ht="14.25" customHeight="1" x14ac:dyDescent="0.45">
      <c r="A37" s="6" t="s">
        <v>13</v>
      </c>
      <c r="B37" s="7">
        <v>0.84775453018564795</v>
      </c>
      <c r="C37" s="7">
        <v>2.4009685291607345E-2</v>
      </c>
      <c r="D37" s="8">
        <v>0</v>
      </c>
      <c r="E37" s="8">
        <v>1</v>
      </c>
      <c r="F37" s="8">
        <v>343</v>
      </c>
      <c r="G37" s="7">
        <v>0.7825676610390575</v>
      </c>
      <c r="H37" s="7">
        <v>1.7865988155735375E-2</v>
      </c>
      <c r="I37" s="8">
        <v>0</v>
      </c>
      <c r="J37" s="8">
        <v>1</v>
      </c>
      <c r="K37" s="8">
        <v>685</v>
      </c>
      <c r="L37" s="7">
        <v>0.61495742631969685</v>
      </c>
      <c r="M37" s="7">
        <v>2.2369993752486939E-2</v>
      </c>
      <c r="N37" s="8">
        <v>0</v>
      </c>
      <c r="O37" s="8">
        <v>1</v>
      </c>
      <c r="P37" s="8">
        <v>622</v>
      </c>
      <c r="Q37" s="7">
        <v>0.42145621159615726</v>
      </c>
      <c r="R37" s="7">
        <v>2.254111723334605E-2</v>
      </c>
      <c r="S37" s="8">
        <v>0</v>
      </c>
      <c r="T37" s="8">
        <v>1</v>
      </c>
      <c r="U37" s="8">
        <v>830</v>
      </c>
      <c r="V37" s="7">
        <v>0.37795553075132143</v>
      </c>
      <c r="W37" s="7">
        <v>2.6511049098514775E-2</v>
      </c>
      <c r="X37" s="8">
        <v>0</v>
      </c>
      <c r="Y37" s="8">
        <v>1</v>
      </c>
      <c r="Z37" s="8">
        <v>733</v>
      </c>
      <c r="AA37" s="7">
        <v>0.62362161391271742</v>
      </c>
      <c r="AB37" s="7">
        <v>1.203080147179866E-2</v>
      </c>
      <c r="AC37" s="8">
        <v>0</v>
      </c>
      <c r="AD37" s="8">
        <v>1</v>
      </c>
      <c r="AE37" s="8">
        <v>3213</v>
      </c>
      <c r="AF37">
        <f>(AA39/AA38)-AA37</f>
        <v>4.0872555373994479E-2</v>
      </c>
    </row>
    <row r="38" spans="1:32" ht="14.25" customHeight="1" x14ac:dyDescent="0.45">
      <c r="A38" s="6" t="s">
        <v>36</v>
      </c>
      <c r="B38" s="7">
        <v>0.22207872184389335</v>
      </c>
      <c r="C38" s="7">
        <v>2.4775433116898182E-2</v>
      </c>
      <c r="D38" s="8">
        <v>0</v>
      </c>
      <c r="E38" s="8">
        <v>1</v>
      </c>
      <c r="F38" s="8">
        <v>343</v>
      </c>
      <c r="G38" s="7">
        <v>9.3629004050585732E-2</v>
      </c>
      <c r="H38" s="7">
        <v>1.2914309363192237E-2</v>
      </c>
      <c r="I38" s="8">
        <v>0</v>
      </c>
      <c r="J38" s="8">
        <v>1</v>
      </c>
      <c r="K38" s="8">
        <v>685</v>
      </c>
      <c r="L38" s="7">
        <v>5.0675747986819425E-2</v>
      </c>
      <c r="M38" s="7">
        <v>1.1258657548167093E-2</v>
      </c>
      <c r="N38" s="8">
        <v>0</v>
      </c>
      <c r="O38" s="8">
        <v>1</v>
      </c>
      <c r="P38" s="8">
        <v>622</v>
      </c>
      <c r="Q38" s="7">
        <v>8.8906899619095245E-2</v>
      </c>
      <c r="R38" s="7">
        <v>1.5689910940161863E-2</v>
      </c>
      <c r="S38" s="8">
        <v>0</v>
      </c>
      <c r="T38" s="8">
        <v>1</v>
      </c>
      <c r="U38" s="8">
        <v>830</v>
      </c>
      <c r="V38" s="7">
        <v>0.14223726061043815</v>
      </c>
      <c r="W38" s="7">
        <v>1.6491487573434171E-2</v>
      </c>
      <c r="X38" s="8">
        <v>0</v>
      </c>
      <c r="Y38" s="8">
        <v>1</v>
      </c>
      <c r="Z38" s="8">
        <v>733</v>
      </c>
      <c r="AA38" s="7">
        <v>8.5558452234588231E-2</v>
      </c>
      <c r="AB38" s="7">
        <v>6.8658306176085059E-3</v>
      </c>
      <c r="AC38" s="8">
        <v>0</v>
      </c>
      <c r="AD38" s="8">
        <v>1</v>
      </c>
      <c r="AE38" s="8">
        <v>3213</v>
      </c>
      <c r="AF38">
        <f>(AA39/AA37)-AA38</f>
        <v>5.6075551242213834E-3</v>
      </c>
    </row>
    <row r="39" spans="1:32" ht="14.25" customHeight="1" x14ac:dyDescent="0.45">
      <c r="A39" s="6" t="s">
        <v>37</v>
      </c>
      <c r="B39" s="7">
        <v>0.19565880173303787</v>
      </c>
      <c r="C39" s="7">
        <v>2.377652007024153E-2</v>
      </c>
      <c r="D39" s="8">
        <v>0</v>
      </c>
      <c r="E39" s="8">
        <v>1</v>
      </c>
      <c r="F39" s="8">
        <v>343</v>
      </c>
      <c r="G39" s="7">
        <v>8.4430601813241024E-2</v>
      </c>
      <c r="H39" s="7">
        <v>1.2243359871866404E-2</v>
      </c>
      <c r="I39" s="8">
        <v>0</v>
      </c>
      <c r="J39" s="8">
        <v>1</v>
      </c>
      <c r="K39" s="8">
        <v>685</v>
      </c>
      <c r="L39" s="7">
        <v>3.5314575272459944E-2</v>
      </c>
      <c r="M39" s="7">
        <v>8.9814463722992597E-3</v>
      </c>
      <c r="N39" s="8">
        <v>0</v>
      </c>
      <c r="O39" s="8">
        <v>1</v>
      </c>
      <c r="P39" s="8">
        <v>622</v>
      </c>
      <c r="Q39" s="7">
        <v>1.8171046913364661E-2</v>
      </c>
      <c r="R39" s="7">
        <v>4.9945442543183659E-3</v>
      </c>
      <c r="S39" s="8">
        <v>0</v>
      </c>
      <c r="T39" s="8">
        <v>1</v>
      </c>
      <c r="U39" s="8">
        <v>830</v>
      </c>
      <c r="V39" s="7">
        <v>7.0270902448285641E-2</v>
      </c>
      <c r="W39" s="7">
        <v>1.091465745273567E-2</v>
      </c>
      <c r="X39" s="8">
        <v>0</v>
      </c>
      <c r="Y39" s="8">
        <v>1</v>
      </c>
      <c r="Z39" s="8">
        <v>733</v>
      </c>
      <c r="AA39" s="7">
        <v>5.6853092643079528E-2</v>
      </c>
      <c r="AB39" s="7">
        <v>5.3692765540918185E-3</v>
      </c>
      <c r="AC39" s="8">
        <v>0</v>
      </c>
      <c r="AD39" s="8">
        <v>1</v>
      </c>
      <c r="AE39" s="8">
        <v>3213</v>
      </c>
    </row>
    <row r="40" spans="1:32" ht="14.25" customHeight="1" x14ac:dyDescent="0.45">
      <c r="A40" s="6" t="s">
        <v>13</v>
      </c>
      <c r="B40" s="7">
        <v>0.84775453018564795</v>
      </c>
      <c r="C40" s="7">
        <v>2.4009685291607345E-2</v>
      </c>
      <c r="D40" s="8">
        <v>0</v>
      </c>
      <c r="E40" s="8">
        <v>1</v>
      </c>
      <c r="F40" s="8">
        <v>343</v>
      </c>
      <c r="G40" s="7">
        <v>0.7825676610390575</v>
      </c>
      <c r="H40" s="7">
        <v>1.7865988155735375E-2</v>
      </c>
      <c r="I40" s="8">
        <v>0</v>
      </c>
      <c r="J40" s="8">
        <v>1</v>
      </c>
      <c r="K40" s="8">
        <v>685</v>
      </c>
      <c r="L40" s="7">
        <v>0.61495742631969685</v>
      </c>
      <c r="M40" s="7">
        <v>2.2369993752486939E-2</v>
      </c>
      <c r="N40" s="8">
        <v>0</v>
      </c>
      <c r="O40" s="8">
        <v>1</v>
      </c>
      <c r="P40" s="8">
        <v>622</v>
      </c>
      <c r="Q40" s="7">
        <v>0.42145621159615726</v>
      </c>
      <c r="R40" s="7">
        <v>2.254111723334605E-2</v>
      </c>
      <c r="S40" s="8">
        <v>0</v>
      </c>
      <c r="T40" s="8">
        <v>1</v>
      </c>
      <c r="U40" s="8">
        <v>830</v>
      </c>
      <c r="V40" s="7">
        <v>0.37795553075132143</v>
      </c>
      <c r="W40" s="7">
        <v>2.6511049098514775E-2</v>
      </c>
      <c r="X40" s="8">
        <v>0</v>
      </c>
      <c r="Y40" s="8">
        <v>1</v>
      </c>
      <c r="Z40" s="8">
        <v>733</v>
      </c>
      <c r="AA40" s="7">
        <v>0.62362161391271742</v>
      </c>
      <c r="AB40" s="7">
        <v>1.203080147179866E-2</v>
      </c>
      <c r="AC40" s="8">
        <v>0</v>
      </c>
      <c r="AD40" s="8">
        <v>1</v>
      </c>
      <c r="AE40" s="8">
        <v>3213</v>
      </c>
      <c r="AF40">
        <f>(AA42/AA41)-AA40</f>
        <v>8.6565170861572893E-2</v>
      </c>
    </row>
    <row r="41" spans="1:32" ht="26.25" customHeight="1" x14ac:dyDescent="0.45">
      <c r="A41" s="6" t="s">
        <v>38</v>
      </c>
      <c r="B41" s="7">
        <v>0.429717204212403</v>
      </c>
      <c r="C41" s="7">
        <v>3.0392503365876303E-2</v>
      </c>
      <c r="D41" s="8">
        <v>0</v>
      </c>
      <c r="E41" s="8">
        <v>1</v>
      </c>
      <c r="F41" s="8">
        <v>343</v>
      </c>
      <c r="G41" s="7">
        <v>0.4800939721985647</v>
      </c>
      <c r="H41" s="7">
        <v>2.1458745860172199E-2</v>
      </c>
      <c r="I41" s="8">
        <v>0</v>
      </c>
      <c r="J41" s="8">
        <v>1</v>
      </c>
      <c r="K41" s="8">
        <v>685</v>
      </c>
      <c r="L41" s="7">
        <v>0.54292486162987486</v>
      </c>
      <c r="M41" s="7">
        <v>2.3097197169809559E-2</v>
      </c>
      <c r="N41" s="8">
        <v>0</v>
      </c>
      <c r="O41" s="8">
        <v>1</v>
      </c>
      <c r="P41" s="8">
        <v>622</v>
      </c>
      <c r="Q41" s="7">
        <v>0.5061258995781831</v>
      </c>
      <c r="R41" s="7">
        <v>2.4068941722059152E-2</v>
      </c>
      <c r="S41" s="8">
        <v>0</v>
      </c>
      <c r="T41" s="8">
        <v>1</v>
      </c>
      <c r="U41" s="8">
        <v>830</v>
      </c>
      <c r="V41" s="7">
        <v>0.21923941521723078</v>
      </c>
      <c r="W41" s="7">
        <v>2.2302742957611636E-2</v>
      </c>
      <c r="X41" s="8">
        <v>0</v>
      </c>
      <c r="Y41" s="8">
        <v>1</v>
      </c>
      <c r="Z41" s="8">
        <v>733</v>
      </c>
      <c r="AA41" s="7">
        <v>0.49346013284592816</v>
      </c>
      <c r="AB41" s="7">
        <v>1.2333331111640417E-2</v>
      </c>
      <c r="AC41" s="8">
        <v>0</v>
      </c>
      <c r="AD41" s="8">
        <v>1</v>
      </c>
      <c r="AE41" s="8">
        <v>3213</v>
      </c>
      <c r="AF41">
        <f>(AA42/AA40)-AA41</f>
        <v>6.8497402527746387E-2</v>
      </c>
    </row>
    <row r="42" spans="1:32" ht="26.25" customHeight="1" x14ac:dyDescent="0.45">
      <c r="A42" s="6" t="s">
        <v>39</v>
      </c>
      <c r="B42" s="7">
        <v>0.42149034353442033</v>
      </c>
      <c r="C42" s="7">
        <v>3.0281977399886716E-2</v>
      </c>
      <c r="D42" s="8">
        <v>0</v>
      </c>
      <c r="E42" s="8">
        <v>1</v>
      </c>
      <c r="F42" s="8">
        <v>343</v>
      </c>
      <c r="G42" s="7">
        <v>0.42911527999298055</v>
      </c>
      <c r="H42" s="7">
        <v>2.1214507805813423E-2</v>
      </c>
      <c r="I42" s="8">
        <v>0</v>
      </c>
      <c r="J42" s="8">
        <v>1</v>
      </c>
      <c r="K42" s="8">
        <v>685</v>
      </c>
      <c r="L42" s="7">
        <v>0.35895455627357803</v>
      </c>
      <c r="M42" s="7">
        <v>2.2678769480842069E-2</v>
      </c>
      <c r="N42" s="8">
        <v>0</v>
      </c>
      <c r="O42" s="8">
        <v>1</v>
      </c>
      <c r="P42" s="8">
        <v>622</v>
      </c>
      <c r="Q42" s="7">
        <v>0.27178965609066913</v>
      </c>
      <c r="R42" s="7">
        <v>1.8728626299782197E-2</v>
      </c>
      <c r="S42" s="8">
        <v>0</v>
      </c>
      <c r="T42" s="8">
        <v>1</v>
      </c>
      <c r="U42" s="8">
        <v>830</v>
      </c>
      <c r="V42" s="7">
        <v>9.4214204700774518E-2</v>
      </c>
      <c r="W42" s="7">
        <v>1.5889663133888583E-2</v>
      </c>
      <c r="X42" s="8">
        <v>0</v>
      </c>
      <c r="Y42" s="8">
        <v>1</v>
      </c>
      <c r="Z42" s="8">
        <v>733</v>
      </c>
      <c r="AA42" s="7">
        <v>0.3504488651601439</v>
      </c>
      <c r="AB42" s="7">
        <v>1.1821430803704808E-2</v>
      </c>
      <c r="AC42" s="8">
        <v>0</v>
      </c>
      <c r="AD42" s="8">
        <v>1</v>
      </c>
      <c r="AE42" s="8">
        <v>3213</v>
      </c>
    </row>
    <row r="43" spans="1:32" ht="14.25" customHeight="1" x14ac:dyDescent="0.45">
      <c r="A43" s="6" t="s">
        <v>13</v>
      </c>
      <c r="B43" s="7">
        <v>0.84775453018564795</v>
      </c>
      <c r="C43" s="7">
        <v>2.4009685291607345E-2</v>
      </c>
      <c r="D43" s="8">
        <v>0</v>
      </c>
      <c r="E43" s="8">
        <v>1</v>
      </c>
      <c r="F43" s="8">
        <v>343</v>
      </c>
      <c r="G43" s="7">
        <v>0.7825676610390575</v>
      </c>
      <c r="H43" s="7">
        <v>1.7865988155735375E-2</v>
      </c>
      <c r="I43" s="8">
        <v>0</v>
      </c>
      <c r="J43" s="8">
        <v>1</v>
      </c>
      <c r="K43" s="8">
        <v>685</v>
      </c>
      <c r="L43" s="7">
        <v>0.61495742631969685</v>
      </c>
      <c r="M43" s="7">
        <v>2.2369993752486939E-2</v>
      </c>
      <c r="N43" s="8">
        <v>0</v>
      </c>
      <c r="O43" s="8">
        <v>1</v>
      </c>
      <c r="P43" s="8">
        <v>622</v>
      </c>
      <c r="Q43" s="7">
        <v>0.42145621159615726</v>
      </c>
      <c r="R43" s="7">
        <v>2.254111723334605E-2</v>
      </c>
      <c r="S43" s="8">
        <v>0</v>
      </c>
      <c r="T43" s="8">
        <v>1</v>
      </c>
      <c r="U43" s="8">
        <v>830</v>
      </c>
      <c r="V43" s="7">
        <v>0.37795553075132143</v>
      </c>
      <c r="W43" s="7">
        <v>2.6511049098514775E-2</v>
      </c>
      <c r="X43" s="8">
        <v>0</v>
      </c>
      <c r="Y43" s="8">
        <v>1</v>
      </c>
      <c r="Z43" s="8">
        <v>733</v>
      </c>
      <c r="AA43" s="7">
        <v>0.62362161391271742</v>
      </c>
      <c r="AB43" s="7">
        <v>1.203080147179866E-2</v>
      </c>
      <c r="AC43" s="8">
        <v>0</v>
      </c>
      <c r="AD43" s="8">
        <v>1</v>
      </c>
      <c r="AE43" s="8">
        <v>3213</v>
      </c>
      <c r="AF43">
        <f>(AA45/AA44)-AA43</f>
        <v>-6.3027392958318051E-2</v>
      </c>
    </row>
    <row r="44" spans="1:32" ht="14.25" customHeight="1" x14ac:dyDescent="0.45">
      <c r="A44" s="6" t="s">
        <v>40</v>
      </c>
      <c r="B44" s="7">
        <v>0.11043143982498899</v>
      </c>
      <c r="C44" s="7">
        <v>1.9318318636183492E-2</v>
      </c>
      <c r="D44" s="8">
        <v>0</v>
      </c>
      <c r="E44" s="8">
        <v>1</v>
      </c>
      <c r="F44" s="8">
        <v>343</v>
      </c>
      <c r="G44" s="7">
        <v>0.11069522201123315</v>
      </c>
      <c r="H44" s="7">
        <v>1.3640876599586607E-2</v>
      </c>
      <c r="I44" s="8">
        <v>0</v>
      </c>
      <c r="J44" s="8">
        <v>1</v>
      </c>
      <c r="K44" s="8">
        <v>685</v>
      </c>
      <c r="L44" s="7">
        <v>0.20545282167499468</v>
      </c>
      <c r="M44" s="7">
        <v>1.8994482679167819E-2</v>
      </c>
      <c r="N44" s="8">
        <v>0</v>
      </c>
      <c r="O44" s="8">
        <v>1</v>
      </c>
      <c r="P44" s="8">
        <v>622</v>
      </c>
      <c r="Q44" s="7">
        <v>0.31815038623555536</v>
      </c>
      <c r="R44" s="7">
        <v>2.2407093634880186E-2</v>
      </c>
      <c r="S44" s="8">
        <v>0</v>
      </c>
      <c r="T44" s="8">
        <v>1</v>
      </c>
      <c r="U44" s="8">
        <v>830</v>
      </c>
      <c r="V44" s="7">
        <v>0.13233968886421418</v>
      </c>
      <c r="W44" s="7">
        <v>1.8303690851725167E-2</v>
      </c>
      <c r="X44" s="8">
        <v>0</v>
      </c>
      <c r="Y44" s="8">
        <v>1</v>
      </c>
      <c r="Z44" s="8">
        <v>733</v>
      </c>
      <c r="AA44" s="7">
        <v>0.19219833829689462</v>
      </c>
      <c r="AB44" s="7">
        <v>9.9022963989124652E-3</v>
      </c>
      <c r="AC44" s="8">
        <v>0</v>
      </c>
      <c r="AD44" s="8">
        <v>1</v>
      </c>
      <c r="AE44" s="8">
        <v>3213</v>
      </c>
      <c r="AF44">
        <f>(AA45/AA43)-AA44</f>
        <v>-1.9424856232564069E-2</v>
      </c>
    </row>
    <row r="45" spans="1:32" ht="26.25" customHeight="1" x14ac:dyDescent="0.45">
      <c r="A45" s="6" t="s">
        <v>41</v>
      </c>
      <c r="B45" s="7">
        <v>0.11017673771953929</v>
      </c>
      <c r="C45" s="7">
        <v>1.9316972655962068E-2</v>
      </c>
      <c r="D45" s="8">
        <v>0</v>
      </c>
      <c r="E45" s="8">
        <v>1</v>
      </c>
      <c r="F45" s="8">
        <v>343</v>
      </c>
      <c r="G45" s="7">
        <v>9.9943523933216288E-2</v>
      </c>
      <c r="H45" s="7">
        <v>1.3064943132799337E-2</v>
      </c>
      <c r="I45" s="8">
        <v>0</v>
      </c>
      <c r="J45" s="8">
        <v>1</v>
      </c>
      <c r="K45" s="8">
        <v>685</v>
      </c>
      <c r="L45" s="7">
        <v>0.10661271785218931</v>
      </c>
      <c r="M45" s="7">
        <v>1.5067228295441193E-2</v>
      </c>
      <c r="N45" s="8">
        <v>0</v>
      </c>
      <c r="O45" s="8">
        <v>1</v>
      </c>
      <c r="P45" s="8">
        <v>622</v>
      </c>
      <c r="Q45" s="7">
        <v>0.13149552487453428</v>
      </c>
      <c r="R45" s="7">
        <v>1.3921801288967509E-2</v>
      </c>
      <c r="S45" s="8">
        <v>0</v>
      </c>
      <c r="T45" s="8">
        <v>1</v>
      </c>
      <c r="U45" s="8">
        <v>830</v>
      </c>
      <c r="V45" s="7">
        <v>6.3789624928529853E-2</v>
      </c>
      <c r="W45" s="7">
        <v>1.4588306823966177E-2</v>
      </c>
      <c r="X45" s="8">
        <v>0</v>
      </c>
      <c r="Y45" s="8">
        <v>1</v>
      </c>
      <c r="Z45" s="8">
        <v>733</v>
      </c>
      <c r="AA45" s="7">
        <v>0.10774527772627775</v>
      </c>
      <c r="AB45" s="7">
        <v>7.7117804244631154E-3</v>
      </c>
      <c r="AC45" s="8">
        <v>0</v>
      </c>
      <c r="AD45" s="8">
        <v>1</v>
      </c>
      <c r="AE45" s="8">
        <v>3213</v>
      </c>
    </row>
    <row r="46" spans="1:32" ht="14.25" customHeight="1" x14ac:dyDescent="0.45">
      <c r="A46" s="6" t="s">
        <v>13</v>
      </c>
      <c r="B46" s="7">
        <v>0.84775453018564795</v>
      </c>
      <c r="C46" s="7">
        <v>2.4009685291607345E-2</v>
      </c>
      <c r="D46" s="8">
        <v>0</v>
      </c>
      <c r="E46" s="8">
        <v>1</v>
      </c>
      <c r="F46" s="8">
        <v>343</v>
      </c>
      <c r="G46" s="7">
        <v>0.7825676610390575</v>
      </c>
      <c r="H46" s="7">
        <v>1.7865988155735375E-2</v>
      </c>
      <c r="I46" s="8">
        <v>0</v>
      </c>
      <c r="J46" s="8">
        <v>1</v>
      </c>
      <c r="K46" s="8">
        <v>685</v>
      </c>
      <c r="L46" s="7">
        <v>0.61495742631969685</v>
      </c>
      <c r="M46" s="7">
        <v>2.2369993752486939E-2</v>
      </c>
      <c r="N46" s="8">
        <v>0</v>
      </c>
      <c r="O46" s="8">
        <v>1</v>
      </c>
      <c r="P46" s="8">
        <v>622</v>
      </c>
      <c r="Q46" s="7">
        <v>0.42145621159615726</v>
      </c>
      <c r="R46" s="7">
        <v>2.254111723334605E-2</v>
      </c>
      <c r="S46" s="8">
        <v>0</v>
      </c>
      <c r="T46" s="8">
        <v>1</v>
      </c>
      <c r="U46" s="8">
        <v>830</v>
      </c>
      <c r="V46" s="7">
        <v>0.37795553075132143</v>
      </c>
      <c r="W46" s="7">
        <v>2.6511049098514775E-2</v>
      </c>
      <c r="X46" s="8">
        <v>0</v>
      </c>
      <c r="Y46" s="8">
        <v>1</v>
      </c>
      <c r="Z46" s="8">
        <v>733</v>
      </c>
      <c r="AA46" s="7">
        <v>0.62362161391271742</v>
      </c>
      <c r="AB46" s="7">
        <v>1.203080147179866E-2</v>
      </c>
      <c r="AC46" s="8">
        <v>0</v>
      </c>
      <c r="AD46" s="8">
        <v>1</v>
      </c>
      <c r="AE46" s="8">
        <v>3213</v>
      </c>
      <c r="AF46">
        <f>(AA48/AA47)-AA46</f>
        <v>7.3654803805051849E-2</v>
      </c>
    </row>
    <row r="47" spans="1:32" ht="14.25" customHeight="1" x14ac:dyDescent="0.45">
      <c r="A47" s="6" t="s">
        <v>42</v>
      </c>
      <c r="B47" s="7">
        <v>0.4041930049279841</v>
      </c>
      <c r="C47" s="7">
        <v>3.0232276444073676E-2</v>
      </c>
      <c r="D47" s="8">
        <v>0</v>
      </c>
      <c r="E47" s="8">
        <v>1</v>
      </c>
      <c r="F47" s="8">
        <v>343</v>
      </c>
      <c r="G47" s="7">
        <v>0.47166434397907836</v>
      </c>
      <c r="H47" s="7">
        <v>2.1519532355489479E-2</v>
      </c>
      <c r="I47" s="8">
        <v>0</v>
      </c>
      <c r="J47" s="8">
        <v>1</v>
      </c>
      <c r="K47" s="8">
        <v>685</v>
      </c>
      <c r="L47" s="7">
        <v>0.43338553269768243</v>
      </c>
      <c r="M47" s="7">
        <v>2.2944313900862667E-2</v>
      </c>
      <c r="N47" s="8">
        <v>0</v>
      </c>
      <c r="O47" s="8">
        <v>1</v>
      </c>
      <c r="P47" s="8">
        <v>622</v>
      </c>
      <c r="Q47" s="7">
        <v>0.37080005445994324</v>
      </c>
      <c r="R47" s="7">
        <v>2.2758196670672724E-2</v>
      </c>
      <c r="S47" s="8">
        <v>0</v>
      </c>
      <c r="T47" s="8">
        <v>1</v>
      </c>
      <c r="U47" s="8">
        <v>830</v>
      </c>
      <c r="V47" s="7">
        <v>0.40704376021255967</v>
      </c>
      <c r="W47" s="7">
        <v>2.6476273726386629E-2</v>
      </c>
      <c r="X47" s="8">
        <v>0</v>
      </c>
      <c r="Y47" s="8">
        <v>1</v>
      </c>
      <c r="Z47" s="8">
        <v>733</v>
      </c>
      <c r="AA47" s="7">
        <v>0.42838777016507279</v>
      </c>
      <c r="AB47" s="7">
        <v>1.219850561897003E-2</v>
      </c>
      <c r="AC47" s="8">
        <v>0</v>
      </c>
      <c r="AD47" s="8">
        <v>1</v>
      </c>
      <c r="AE47" s="8">
        <v>3213</v>
      </c>
      <c r="AF47">
        <f>(AA48/AA46)-AA47</f>
        <v>5.0596092983410001E-2</v>
      </c>
    </row>
    <row r="48" spans="1:32" ht="26.25" customHeight="1" x14ac:dyDescent="0.45">
      <c r="A48" s="6" t="s">
        <v>43</v>
      </c>
      <c r="B48" s="7">
        <v>0.3665801804368406</v>
      </c>
      <c r="C48" s="7">
        <v>2.9522620181091242E-2</v>
      </c>
      <c r="D48" s="8">
        <v>0</v>
      </c>
      <c r="E48" s="8">
        <v>1</v>
      </c>
      <c r="F48" s="8">
        <v>343</v>
      </c>
      <c r="G48" s="7">
        <v>0.41451264942013927</v>
      </c>
      <c r="H48" s="7">
        <v>2.134123051391033E-2</v>
      </c>
      <c r="I48" s="8">
        <v>0</v>
      </c>
      <c r="J48" s="8">
        <v>1</v>
      </c>
      <c r="K48" s="8">
        <v>685</v>
      </c>
      <c r="L48" s="7">
        <v>0.29189742066991448</v>
      </c>
      <c r="M48" s="7">
        <v>2.1392080530873044E-2</v>
      </c>
      <c r="N48" s="8">
        <v>0</v>
      </c>
      <c r="O48" s="8">
        <v>1</v>
      </c>
      <c r="P48" s="8">
        <v>622</v>
      </c>
      <c r="Q48" s="7">
        <v>0.15319352382739529</v>
      </c>
      <c r="R48" s="7">
        <v>1.3917290410065748E-2</v>
      </c>
      <c r="S48" s="8">
        <v>0</v>
      </c>
      <c r="T48" s="8">
        <v>1</v>
      </c>
      <c r="U48" s="8">
        <v>830</v>
      </c>
      <c r="V48" s="7">
        <v>0.21716057259035398</v>
      </c>
      <c r="W48" s="7">
        <v>2.2551341019153005E-2</v>
      </c>
      <c r="X48" s="8">
        <v>0</v>
      </c>
      <c r="Y48" s="8">
        <v>1</v>
      </c>
      <c r="Z48" s="8">
        <v>733</v>
      </c>
      <c r="AA48" s="7">
        <v>0.29870468977480502</v>
      </c>
      <c r="AB48" s="7">
        <v>1.1331320217659497E-2</v>
      </c>
      <c r="AC48" s="8">
        <v>0</v>
      </c>
      <c r="AD48" s="8">
        <v>1</v>
      </c>
      <c r="AE48" s="8">
        <v>3213</v>
      </c>
    </row>
    <row r="49" spans="1:32" ht="14.25" customHeight="1" x14ac:dyDescent="0.45">
      <c r="A49" s="6" t="s">
        <v>13</v>
      </c>
      <c r="B49" s="7">
        <v>0.84775453018564795</v>
      </c>
      <c r="C49" s="7">
        <v>2.4009685291607345E-2</v>
      </c>
      <c r="D49" s="8">
        <v>0</v>
      </c>
      <c r="E49" s="8">
        <v>1</v>
      </c>
      <c r="F49" s="8">
        <v>343</v>
      </c>
      <c r="G49" s="7">
        <v>0.7825676610390575</v>
      </c>
      <c r="H49" s="7">
        <v>1.7865988155735375E-2</v>
      </c>
      <c r="I49" s="8">
        <v>0</v>
      </c>
      <c r="J49" s="8">
        <v>1</v>
      </c>
      <c r="K49" s="8">
        <v>685</v>
      </c>
      <c r="L49" s="7">
        <v>0.61495742631969685</v>
      </c>
      <c r="M49" s="7">
        <v>2.2369993752486939E-2</v>
      </c>
      <c r="N49" s="8">
        <v>0</v>
      </c>
      <c r="O49" s="8">
        <v>1</v>
      </c>
      <c r="P49" s="8">
        <v>622</v>
      </c>
      <c r="Q49" s="7">
        <v>0.42145621159615726</v>
      </c>
      <c r="R49" s="7">
        <v>2.254111723334605E-2</v>
      </c>
      <c r="S49" s="8">
        <v>0</v>
      </c>
      <c r="T49" s="8">
        <v>1</v>
      </c>
      <c r="U49" s="8">
        <v>830</v>
      </c>
      <c r="V49" s="7">
        <v>0.37795553075132143</v>
      </c>
      <c r="W49" s="7">
        <v>2.6511049098514775E-2</v>
      </c>
      <c r="X49" s="8">
        <v>0</v>
      </c>
      <c r="Y49" s="8">
        <v>1</v>
      </c>
      <c r="Z49" s="8">
        <v>733</v>
      </c>
      <c r="AA49" s="7">
        <v>0.62362161391271742</v>
      </c>
      <c r="AB49" s="7">
        <v>1.203080147179866E-2</v>
      </c>
      <c r="AC49" s="8">
        <v>0</v>
      </c>
      <c r="AD49" s="8">
        <v>1</v>
      </c>
      <c r="AE49" s="8">
        <v>3213</v>
      </c>
      <c r="AF49">
        <f>(AA51/AA50)-AA49</f>
        <v>-0.27179160898972493</v>
      </c>
    </row>
    <row r="50" spans="1:32" ht="14.25" customHeight="1" x14ac:dyDescent="0.45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343</v>
      </c>
      <c r="G50" s="7">
        <v>6.1239228844402228E-3</v>
      </c>
      <c r="H50" s="7">
        <v>2.559788277249609E-3</v>
      </c>
      <c r="I50" s="8">
        <v>0</v>
      </c>
      <c r="J50" s="8">
        <v>1</v>
      </c>
      <c r="K50" s="8">
        <v>685</v>
      </c>
      <c r="L50" s="7">
        <v>7.5222336372921406E-3</v>
      </c>
      <c r="M50" s="7">
        <v>3.888810135536692E-3</v>
      </c>
      <c r="N50" s="8">
        <v>0</v>
      </c>
      <c r="O50" s="8">
        <v>1</v>
      </c>
      <c r="P50" s="8">
        <v>622</v>
      </c>
      <c r="Q50" s="7">
        <v>4.3787001294212568E-3</v>
      </c>
      <c r="R50" s="7">
        <v>1.9345454374379675E-3</v>
      </c>
      <c r="S50" s="8">
        <v>0</v>
      </c>
      <c r="T50" s="8">
        <v>1</v>
      </c>
      <c r="U50" s="8">
        <v>830</v>
      </c>
      <c r="V50" s="7">
        <v>7.4989268254143093E-3</v>
      </c>
      <c r="W50" s="7">
        <v>5.3346475986279715E-3</v>
      </c>
      <c r="X50" s="8">
        <v>0</v>
      </c>
      <c r="Y50" s="8">
        <v>1</v>
      </c>
      <c r="Z50" s="8">
        <v>733</v>
      </c>
      <c r="AA50" s="7">
        <v>6.0425505430857273E-3</v>
      </c>
      <c r="AB50" s="7">
        <v>1.7730974810922998E-3</v>
      </c>
      <c r="AC50" s="8">
        <v>0</v>
      </c>
      <c r="AD50" s="8">
        <v>1</v>
      </c>
      <c r="AE50" s="8">
        <v>3213</v>
      </c>
      <c r="AF50">
        <f>(AA51/AA49)-AA50</f>
        <v>-2.6335112476343157E-3</v>
      </c>
    </row>
    <row r="51" spans="1:32" ht="14.25" customHeight="1" x14ac:dyDescent="0.45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343</v>
      </c>
      <c r="G51" s="7">
        <v>3.178729986569978E-3</v>
      </c>
      <c r="H51" s="7">
        <v>1.8694020177098547E-3</v>
      </c>
      <c r="I51" s="8">
        <v>0</v>
      </c>
      <c r="J51" s="8">
        <v>1</v>
      </c>
      <c r="K51" s="8">
        <v>685</v>
      </c>
      <c r="L51" s="7">
        <v>8.1622983624056174E-4</v>
      </c>
      <c r="M51" s="7">
        <v>7.5954255677409773E-4</v>
      </c>
      <c r="N51" s="8">
        <v>0</v>
      </c>
      <c r="O51" s="8">
        <v>1</v>
      </c>
      <c r="P51" s="8">
        <v>622</v>
      </c>
      <c r="Q51" s="7">
        <v>3.186702668798887E-3</v>
      </c>
      <c r="R51" s="7">
        <v>1.5221764031082626E-3</v>
      </c>
      <c r="S51" s="8">
        <v>0</v>
      </c>
      <c r="T51" s="8">
        <v>1</v>
      </c>
      <c r="U51" s="8">
        <v>830</v>
      </c>
      <c r="V51" s="7">
        <v>4.2795006366491018E-3</v>
      </c>
      <c r="W51" s="7">
        <v>4.2705883142690063E-3</v>
      </c>
      <c r="X51" s="8">
        <v>0</v>
      </c>
      <c r="Y51" s="8">
        <v>1</v>
      </c>
      <c r="Z51" s="8">
        <v>733</v>
      </c>
      <c r="AA51" s="7">
        <v>2.1259505873212825E-3</v>
      </c>
      <c r="AB51" s="7">
        <v>7.2875407794152516E-4</v>
      </c>
      <c r="AC51" s="8">
        <v>0</v>
      </c>
      <c r="AD51" s="8">
        <v>1</v>
      </c>
      <c r="AE51" s="8">
        <v>3213</v>
      </c>
    </row>
    <row r="52" spans="1:32" ht="14.25" customHeight="1" x14ac:dyDescent="0.45">
      <c r="A52" s="6" t="s">
        <v>14</v>
      </c>
      <c r="B52" s="7">
        <v>2.9020117427887855E-2</v>
      </c>
      <c r="C52" s="7">
        <v>9.4972765431903545E-3</v>
      </c>
      <c r="D52" s="8">
        <v>0</v>
      </c>
      <c r="E52" s="8">
        <v>1</v>
      </c>
      <c r="F52" s="8">
        <v>343</v>
      </c>
      <c r="G52" s="7">
        <v>5.104964432344361E-2</v>
      </c>
      <c r="H52" s="7">
        <v>9.9579774630556665E-3</v>
      </c>
      <c r="I52" s="8">
        <v>0</v>
      </c>
      <c r="J52" s="8">
        <v>1</v>
      </c>
      <c r="K52" s="8">
        <v>685</v>
      </c>
      <c r="L52" s="7">
        <v>5.7690141642327379E-2</v>
      </c>
      <c r="M52" s="7">
        <v>1.2029012925360384E-2</v>
      </c>
      <c r="N52" s="8">
        <v>0</v>
      </c>
      <c r="O52" s="8">
        <v>1</v>
      </c>
      <c r="P52" s="8">
        <v>622</v>
      </c>
      <c r="Q52" s="7">
        <v>3.7030174615891337E-2</v>
      </c>
      <c r="R52" s="7">
        <v>7.2371732526603123E-3</v>
      </c>
      <c r="S52" s="8">
        <v>0</v>
      </c>
      <c r="T52" s="8">
        <v>1</v>
      </c>
      <c r="U52" s="8">
        <v>830</v>
      </c>
      <c r="V52" s="7">
        <v>4.7858764160044816E-2</v>
      </c>
      <c r="W52" s="7">
        <v>1.1783495162206573E-2</v>
      </c>
      <c r="X52" s="8">
        <v>0</v>
      </c>
      <c r="Y52" s="8">
        <v>1</v>
      </c>
      <c r="Z52" s="8">
        <v>733</v>
      </c>
      <c r="AA52" s="7">
        <v>4.9355350669552968E-2</v>
      </c>
      <c r="AB52" s="7">
        <v>5.8185819066277882E-3</v>
      </c>
      <c r="AC52" s="8">
        <v>0</v>
      </c>
      <c r="AD52" s="8">
        <v>1</v>
      </c>
      <c r="AE52" s="8">
        <v>3213</v>
      </c>
      <c r="AF52">
        <f>(AA54/AA53)-AA52</f>
        <v>1.6599270170906018E-2</v>
      </c>
    </row>
    <row r="53" spans="1:32" ht="14.25" customHeight="1" x14ac:dyDescent="0.45">
      <c r="A53" s="6" t="s">
        <v>26</v>
      </c>
      <c r="B53" s="7">
        <v>8.576486464093927E-2</v>
      </c>
      <c r="C53" s="7">
        <v>1.5771548847512216E-2</v>
      </c>
      <c r="D53" s="8">
        <v>0</v>
      </c>
      <c r="E53" s="8">
        <v>1</v>
      </c>
      <c r="F53" s="8">
        <v>343</v>
      </c>
      <c r="G53" s="7">
        <v>0.13925597154135472</v>
      </c>
      <c r="H53" s="7">
        <v>1.4827699712798324E-2</v>
      </c>
      <c r="I53" s="8">
        <v>0</v>
      </c>
      <c r="J53" s="8">
        <v>1</v>
      </c>
      <c r="K53" s="8">
        <v>685</v>
      </c>
      <c r="L53" s="7">
        <v>0.19294981038581291</v>
      </c>
      <c r="M53" s="7">
        <v>1.7247019680870192E-2</v>
      </c>
      <c r="N53" s="8">
        <v>0</v>
      </c>
      <c r="O53" s="8">
        <v>1</v>
      </c>
      <c r="P53" s="8">
        <v>622</v>
      </c>
      <c r="Q53" s="7">
        <v>0.25108715945834204</v>
      </c>
      <c r="R53" s="7">
        <v>1.9830048301317873E-2</v>
      </c>
      <c r="S53" s="8">
        <v>0</v>
      </c>
      <c r="T53" s="8">
        <v>1</v>
      </c>
      <c r="U53" s="8">
        <v>830</v>
      </c>
      <c r="V53" s="7">
        <v>7.0128859538446192E-2</v>
      </c>
      <c r="W53" s="7">
        <v>1.3299827256235006E-2</v>
      </c>
      <c r="X53" s="8">
        <v>0</v>
      </c>
      <c r="Y53" s="8">
        <v>1</v>
      </c>
      <c r="Z53" s="8">
        <v>733</v>
      </c>
      <c r="AA53" s="7">
        <v>0.17686941314292795</v>
      </c>
      <c r="AB53" s="7">
        <v>9.108457477247504E-3</v>
      </c>
      <c r="AC53" s="8">
        <v>0</v>
      </c>
      <c r="AD53" s="8">
        <v>1</v>
      </c>
      <c r="AE53" s="8">
        <v>3213</v>
      </c>
      <c r="AF53">
        <f>(AA54/AA52)-AA53</f>
        <v>5.9485002819363975E-2</v>
      </c>
    </row>
    <row r="54" spans="1:32" ht="14.25" customHeight="1" x14ac:dyDescent="0.45">
      <c r="A54" s="6" t="s">
        <v>46</v>
      </c>
      <c r="B54" s="7">
        <v>7.1427491235518427E-3</v>
      </c>
      <c r="C54" s="7">
        <v>5.107373259190022E-3</v>
      </c>
      <c r="D54" s="8">
        <v>0</v>
      </c>
      <c r="E54" s="8">
        <v>1</v>
      </c>
      <c r="F54" s="8">
        <v>343</v>
      </c>
      <c r="G54" s="7">
        <v>1.7028953372495041E-2</v>
      </c>
      <c r="H54" s="7">
        <v>5.7863861856398977E-3</v>
      </c>
      <c r="I54" s="8">
        <v>0</v>
      </c>
      <c r="J54" s="8">
        <v>1</v>
      </c>
      <c r="K54" s="8">
        <v>685</v>
      </c>
      <c r="L54" s="7">
        <v>6.7711371994859148E-3</v>
      </c>
      <c r="M54" s="7">
        <v>3.6163191422897397E-3</v>
      </c>
      <c r="N54" s="8">
        <v>0</v>
      </c>
      <c r="O54" s="8">
        <v>1</v>
      </c>
      <c r="P54" s="8">
        <v>622</v>
      </c>
      <c r="Q54" s="7">
        <v>1.6296485825847969E-2</v>
      </c>
      <c r="R54" s="7">
        <v>5.1507728731045744E-3</v>
      </c>
      <c r="S54" s="8">
        <v>0</v>
      </c>
      <c r="T54" s="8">
        <v>1</v>
      </c>
      <c r="U54" s="8">
        <v>830</v>
      </c>
      <c r="V54" s="7">
        <v>5.8623661521859617E-3</v>
      </c>
      <c r="W54" s="7">
        <v>4.1428348679514587E-3</v>
      </c>
      <c r="X54" s="8">
        <v>0</v>
      </c>
      <c r="Y54" s="8">
        <v>1</v>
      </c>
      <c r="Z54" s="8">
        <v>733</v>
      </c>
      <c r="AA54" s="7">
        <v>1.1665355082116306E-2</v>
      </c>
      <c r="AB54" s="7">
        <v>2.4678982150463081E-3</v>
      </c>
      <c r="AC54" s="8">
        <v>0</v>
      </c>
      <c r="AD54" s="8">
        <v>1</v>
      </c>
      <c r="AE54" s="8">
        <v>3213</v>
      </c>
    </row>
    <row r="55" spans="1:32" ht="14.25" customHeight="1" x14ac:dyDescent="0.45">
      <c r="A55" s="6" t="s">
        <v>14</v>
      </c>
      <c r="B55" s="7">
        <v>2.9020117427887855E-2</v>
      </c>
      <c r="C55" s="7">
        <v>9.4972765431903545E-3</v>
      </c>
      <c r="D55" s="8">
        <v>0</v>
      </c>
      <c r="E55" s="8">
        <v>1</v>
      </c>
      <c r="F55" s="8">
        <v>343</v>
      </c>
      <c r="G55" s="7">
        <v>5.104964432344361E-2</v>
      </c>
      <c r="H55" s="7">
        <v>9.9579774630556665E-3</v>
      </c>
      <c r="I55" s="8">
        <v>0</v>
      </c>
      <c r="J55" s="8">
        <v>1</v>
      </c>
      <c r="K55" s="8">
        <v>685</v>
      </c>
      <c r="L55" s="7">
        <v>5.7690141642327379E-2</v>
      </c>
      <c r="M55" s="7">
        <v>1.2029012925360384E-2</v>
      </c>
      <c r="N55" s="8">
        <v>0</v>
      </c>
      <c r="O55" s="8">
        <v>1</v>
      </c>
      <c r="P55" s="8">
        <v>622</v>
      </c>
      <c r="Q55" s="7">
        <v>3.7030174615891337E-2</v>
      </c>
      <c r="R55" s="7">
        <v>7.2371732526603123E-3</v>
      </c>
      <c r="S55" s="8">
        <v>0</v>
      </c>
      <c r="T55" s="8">
        <v>1</v>
      </c>
      <c r="U55" s="8">
        <v>830</v>
      </c>
      <c r="V55" s="7">
        <v>4.7858764160044816E-2</v>
      </c>
      <c r="W55" s="7">
        <v>1.1783495162206573E-2</v>
      </c>
      <c r="X55" s="8">
        <v>0</v>
      </c>
      <c r="Y55" s="8">
        <v>1</v>
      </c>
      <c r="Z55" s="8">
        <v>733</v>
      </c>
      <c r="AA55" s="7">
        <v>4.9355350669552968E-2</v>
      </c>
      <c r="AB55" s="7">
        <v>5.8185819066277882E-3</v>
      </c>
      <c r="AC55" s="8">
        <v>0</v>
      </c>
      <c r="AD55" s="8">
        <v>1</v>
      </c>
      <c r="AE55" s="8">
        <v>3213</v>
      </c>
      <c r="AF55">
        <f>(AA57/AA56)-AA55</f>
        <v>-1.3094184813073499E-2</v>
      </c>
    </row>
    <row r="56" spans="1:32" ht="14.25" customHeight="1" x14ac:dyDescent="0.45">
      <c r="A56" s="6" t="s">
        <v>28</v>
      </c>
      <c r="B56" s="7">
        <v>2.3006458258515102E-2</v>
      </c>
      <c r="C56" s="7">
        <v>1.0076455733186959E-2</v>
      </c>
      <c r="D56" s="8">
        <v>0</v>
      </c>
      <c r="E56" s="8">
        <v>1</v>
      </c>
      <c r="F56" s="8">
        <v>343</v>
      </c>
      <c r="G56" s="7">
        <v>4.1625717873765983E-2</v>
      </c>
      <c r="H56" s="7">
        <v>8.2303678308347332E-3</v>
      </c>
      <c r="I56" s="8">
        <v>0</v>
      </c>
      <c r="J56" s="8">
        <v>1</v>
      </c>
      <c r="K56" s="8">
        <v>685</v>
      </c>
      <c r="L56" s="7">
        <v>0.18433984786311641</v>
      </c>
      <c r="M56" s="7">
        <v>1.8140749734377713E-2</v>
      </c>
      <c r="N56" s="8">
        <v>0</v>
      </c>
      <c r="O56" s="8">
        <v>1</v>
      </c>
      <c r="P56" s="8">
        <v>622</v>
      </c>
      <c r="Q56" s="7">
        <v>0.31375250664319881</v>
      </c>
      <c r="R56" s="7">
        <v>2.2409181743750201E-2</v>
      </c>
      <c r="S56" s="8">
        <v>0</v>
      </c>
      <c r="T56" s="8">
        <v>1</v>
      </c>
      <c r="U56" s="8">
        <v>830</v>
      </c>
      <c r="V56" s="7">
        <v>0.16879495507154094</v>
      </c>
      <c r="W56" s="7">
        <v>1.9160672712976504E-2</v>
      </c>
      <c r="X56" s="8">
        <v>0</v>
      </c>
      <c r="Y56" s="8">
        <v>1</v>
      </c>
      <c r="Z56" s="8">
        <v>733</v>
      </c>
      <c r="AA56" s="7">
        <v>0.16007873398575856</v>
      </c>
      <c r="AB56" s="7">
        <v>9.2204164547557959E-3</v>
      </c>
      <c r="AC56" s="8">
        <v>0</v>
      </c>
      <c r="AD56" s="8">
        <v>1</v>
      </c>
      <c r="AE56" s="8">
        <v>3213</v>
      </c>
      <c r="AF56">
        <f>(AA57/AA55)-AA56</f>
        <v>-4.2469570148255975E-2</v>
      </c>
    </row>
    <row r="57" spans="1:32" ht="14.25" customHeight="1" x14ac:dyDescent="0.45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343</v>
      </c>
      <c r="G57" s="7">
        <v>0</v>
      </c>
      <c r="H57" s="7">
        <v>0</v>
      </c>
      <c r="I57" s="8">
        <v>0</v>
      </c>
      <c r="J57" s="8">
        <v>0</v>
      </c>
      <c r="K57" s="8">
        <v>685</v>
      </c>
      <c r="L57" s="7">
        <v>5.0287181378256031E-3</v>
      </c>
      <c r="M57" s="7">
        <v>3.0801918604564547E-3</v>
      </c>
      <c r="N57" s="8">
        <v>0</v>
      </c>
      <c r="O57" s="8">
        <v>1</v>
      </c>
      <c r="P57" s="8">
        <v>622</v>
      </c>
      <c r="Q57" s="7">
        <v>1.7401823324642181E-2</v>
      </c>
      <c r="R57" s="7">
        <v>4.8603037366746708E-3</v>
      </c>
      <c r="S57" s="8">
        <v>0</v>
      </c>
      <c r="T57" s="8">
        <v>1</v>
      </c>
      <c r="U57" s="8">
        <v>830</v>
      </c>
      <c r="V57" s="7">
        <v>4.0609551085793805E-3</v>
      </c>
      <c r="W57" s="7">
        <v>3.2389696572842812E-3</v>
      </c>
      <c r="X57" s="8">
        <v>0</v>
      </c>
      <c r="Y57" s="8">
        <v>1</v>
      </c>
      <c r="Z57" s="8">
        <v>733</v>
      </c>
      <c r="AA57" s="7">
        <v>5.8046415231528476E-3</v>
      </c>
      <c r="AB57" s="7">
        <v>1.5882845591470662E-3</v>
      </c>
      <c r="AC57" s="8">
        <v>0</v>
      </c>
      <c r="AD57" s="8">
        <v>1</v>
      </c>
      <c r="AE57" s="8">
        <v>3213</v>
      </c>
    </row>
    <row r="58" spans="1:32" ht="14.25" customHeight="1" x14ac:dyDescent="0.45">
      <c r="A58" s="6" t="s">
        <v>14</v>
      </c>
      <c r="B58" s="7">
        <v>2.9020117427887855E-2</v>
      </c>
      <c r="C58" s="7">
        <v>9.4972765431903545E-3</v>
      </c>
      <c r="D58" s="8">
        <v>0</v>
      </c>
      <c r="E58" s="8">
        <v>1</v>
      </c>
      <c r="F58" s="8">
        <v>343</v>
      </c>
      <c r="G58" s="7">
        <v>5.104964432344361E-2</v>
      </c>
      <c r="H58" s="7">
        <v>9.9579774630556665E-3</v>
      </c>
      <c r="I58" s="8">
        <v>0</v>
      </c>
      <c r="J58" s="8">
        <v>1</v>
      </c>
      <c r="K58" s="8">
        <v>685</v>
      </c>
      <c r="L58" s="7">
        <v>5.7690141642327379E-2</v>
      </c>
      <c r="M58" s="7">
        <v>1.2029012925360384E-2</v>
      </c>
      <c r="N58" s="8">
        <v>0</v>
      </c>
      <c r="O58" s="8">
        <v>1</v>
      </c>
      <c r="P58" s="8">
        <v>622</v>
      </c>
      <c r="Q58" s="7">
        <v>3.7030174615891337E-2</v>
      </c>
      <c r="R58" s="7">
        <v>7.2371732526603123E-3</v>
      </c>
      <c r="S58" s="8">
        <v>0</v>
      </c>
      <c r="T58" s="8">
        <v>1</v>
      </c>
      <c r="U58" s="8">
        <v>830</v>
      </c>
      <c r="V58" s="7">
        <v>4.7858764160044816E-2</v>
      </c>
      <c r="W58" s="7">
        <v>1.1783495162206573E-2</v>
      </c>
      <c r="X58" s="8">
        <v>0</v>
      </c>
      <c r="Y58" s="8">
        <v>1</v>
      </c>
      <c r="Z58" s="8">
        <v>733</v>
      </c>
      <c r="AA58" s="7">
        <v>4.9355350669552968E-2</v>
      </c>
      <c r="AB58" s="7">
        <v>5.8185819066277882E-3</v>
      </c>
      <c r="AC58" s="8">
        <v>0</v>
      </c>
      <c r="AD58" s="8">
        <v>1</v>
      </c>
      <c r="AE58" s="8">
        <v>3213</v>
      </c>
      <c r="AF58">
        <f>(AA60/AA59)-AA58</f>
        <v>-2.8958960184187442E-2</v>
      </c>
    </row>
    <row r="59" spans="1:32" ht="14.25" customHeight="1" x14ac:dyDescent="0.45">
      <c r="A59" s="6" t="s">
        <v>30</v>
      </c>
      <c r="B59" s="7">
        <v>6.4347504419908913E-2</v>
      </c>
      <c r="C59" s="7">
        <v>1.6210000455232083E-2</v>
      </c>
      <c r="D59" s="8">
        <v>0</v>
      </c>
      <c r="E59" s="8">
        <v>1</v>
      </c>
      <c r="F59" s="8">
        <v>343</v>
      </c>
      <c r="G59" s="7">
        <v>5.5760819257979384E-3</v>
      </c>
      <c r="H59" s="7">
        <v>2.4155139287461349E-3</v>
      </c>
      <c r="I59" s="8">
        <v>0</v>
      </c>
      <c r="J59" s="8">
        <v>1</v>
      </c>
      <c r="K59" s="8">
        <v>685</v>
      </c>
      <c r="L59" s="7">
        <v>5.7784639354585186E-2</v>
      </c>
      <c r="M59" s="7">
        <v>1.0739851453532647E-2</v>
      </c>
      <c r="N59" s="8">
        <v>0</v>
      </c>
      <c r="O59" s="8">
        <v>1</v>
      </c>
      <c r="P59" s="8">
        <v>622</v>
      </c>
      <c r="Q59" s="7">
        <v>4.8263280491864416E-2</v>
      </c>
      <c r="R59" s="7">
        <v>9.4601041768455525E-3</v>
      </c>
      <c r="S59" s="8">
        <v>0</v>
      </c>
      <c r="T59" s="8">
        <v>1</v>
      </c>
      <c r="U59" s="8">
        <v>830</v>
      </c>
      <c r="V59" s="7">
        <v>0.11301588571797948</v>
      </c>
      <c r="W59" s="7">
        <v>2.095351119764903E-2</v>
      </c>
      <c r="X59" s="8">
        <v>0</v>
      </c>
      <c r="Y59" s="8">
        <v>1</v>
      </c>
      <c r="Z59" s="8">
        <v>733</v>
      </c>
      <c r="AA59" s="7">
        <v>4.4127348950210449E-2</v>
      </c>
      <c r="AB59" s="7">
        <v>4.9821697834856737E-3</v>
      </c>
      <c r="AC59" s="8">
        <v>0</v>
      </c>
      <c r="AD59" s="8">
        <v>1</v>
      </c>
      <c r="AE59" s="8">
        <v>3213</v>
      </c>
      <c r="AF59">
        <f>(AA60/AA58)-AA59</f>
        <v>-2.5891461086734978E-2</v>
      </c>
    </row>
    <row r="60" spans="1:32" ht="14.25" customHeight="1" x14ac:dyDescent="0.45">
      <c r="A60" s="6" t="s">
        <v>48</v>
      </c>
      <c r="B60" s="7">
        <v>9.4901210331805545E-3</v>
      </c>
      <c r="C60" s="7">
        <v>4.794435249340011E-3</v>
      </c>
      <c r="D60" s="8">
        <v>0</v>
      </c>
      <c r="E60" s="8">
        <v>1</v>
      </c>
      <c r="F60" s="8">
        <v>343</v>
      </c>
      <c r="G60" s="7">
        <v>0</v>
      </c>
      <c r="H60" s="7">
        <v>0</v>
      </c>
      <c r="I60" s="8">
        <v>0</v>
      </c>
      <c r="J60" s="8">
        <v>0</v>
      </c>
      <c r="K60" s="8">
        <v>685</v>
      </c>
      <c r="L60" s="7">
        <v>0</v>
      </c>
      <c r="M60" s="7">
        <v>0</v>
      </c>
      <c r="N60" s="8">
        <v>0</v>
      </c>
      <c r="O60" s="8">
        <v>0</v>
      </c>
      <c r="P60" s="8">
        <v>622</v>
      </c>
      <c r="Q60" s="7">
        <v>1.7539321551563274E-3</v>
      </c>
      <c r="R60" s="7">
        <v>1.2475768906651682E-3</v>
      </c>
      <c r="S60" s="8">
        <v>0</v>
      </c>
      <c r="T60" s="8">
        <v>1</v>
      </c>
      <c r="U60" s="8">
        <v>830</v>
      </c>
      <c r="V60" s="7">
        <v>0</v>
      </c>
      <c r="W60" s="7">
        <v>0</v>
      </c>
      <c r="X60" s="8">
        <v>0</v>
      </c>
      <c r="Y60" s="8">
        <v>0</v>
      </c>
      <c r="Z60" s="8">
        <v>733</v>
      </c>
      <c r="AA60" s="7">
        <v>9.0003864027247689E-4</v>
      </c>
      <c r="AB60" s="7">
        <v>3.748069930446677E-4</v>
      </c>
      <c r="AC60" s="8">
        <v>0</v>
      </c>
      <c r="AD60" s="8">
        <v>1</v>
      </c>
      <c r="AE60" s="8">
        <v>3213</v>
      </c>
    </row>
    <row r="61" spans="1:32" ht="14.25" customHeight="1" x14ac:dyDescent="0.45">
      <c r="A61" s="6" t="s">
        <v>14</v>
      </c>
      <c r="B61" s="7">
        <v>2.9020117427887855E-2</v>
      </c>
      <c r="C61" s="7">
        <v>9.4972765431903545E-3</v>
      </c>
      <c r="D61" s="8">
        <v>0</v>
      </c>
      <c r="E61" s="8">
        <v>1</v>
      </c>
      <c r="F61" s="8">
        <v>343</v>
      </c>
      <c r="G61" s="7">
        <v>5.104964432344361E-2</v>
      </c>
      <c r="H61" s="7">
        <v>9.9579774630556665E-3</v>
      </c>
      <c r="I61" s="8">
        <v>0</v>
      </c>
      <c r="J61" s="8">
        <v>1</v>
      </c>
      <c r="K61" s="8">
        <v>685</v>
      </c>
      <c r="L61" s="7">
        <v>5.7690141642327379E-2</v>
      </c>
      <c r="M61" s="7">
        <v>1.2029012925360384E-2</v>
      </c>
      <c r="N61" s="8">
        <v>0</v>
      </c>
      <c r="O61" s="8">
        <v>1</v>
      </c>
      <c r="P61" s="8">
        <v>622</v>
      </c>
      <c r="Q61" s="7">
        <v>3.7030174615891337E-2</v>
      </c>
      <c r="R61" s="7">
        <v>7.2371732526603123E-3</v>
      </c>
      <c r="S61" s="8">
        <v>0</v>
      </c>
      <c r="T61" s="8">
        <v>1</v>
      </c>
      <c r="U61" s="8">
        <v>830</v>
      </c>
      <c r="V61" s="7">
        <v>4.7858764160044816E-2</v>
      </c>
      <c r="W61" s="7">
        <v>1.1783495162206573E-2</v>
      </c>
      <c r="X61" s="8">
        <v>0</v>
      </c>
      <c r="Y61" s="8">
        <v>1</v>
      </c>
      <c r="Z61" s="8">
        <v>733</v>
      </c>
      <c r="AA61" s="7">
        <v>4.9355350669552968E-2</v>
      </c>
      <c r="AB61" s="7">
        <v>5.8185819066277882E-3</v>
      </c>
      <c r="AC61" s="8">
        <v>0</v>
      </c>
      <c r="AD61" s="8">
        <v>1</v>
      </c>
      <c r="AE61" s="8">
        <v>3213</v>
      </c>
      <c r="AF61">
        <f>(AA63/AA62)-AA61</f>
        <v>1.4073138445108851E-3</v>
      </c>
    </row>
    <row r="62" spans="1:32" ht="14.25" customHeight="1" x14ac:dyDescent="0.45">
      <c r="A62" s="6" t="s">
        <v>32</v>
      </c>
      <c r="B62" s="7">
        <v>0.2508434395881563</v>
      </c>
      <c r="C62" s="7">
        <v>2.6564985993478434E-2</v>
      </c>
      <c r="D62" s="8">
        <v>0</v>
      </c>
      <c r="E62" s="8">
        <v>1</v>
      </c>
      <c r="F62" s="8">
        <v>343</v>
      </c>
      <c r="G62" s="7">
        <v>0.11723648022517399</v>
      </c>
      <c r="H62" s="7">
        <v>1.3553156415989618E-2</v>
      </c>
      <c r="I62" s="8">
        <v>0</v>
      </c>
      <c r="J62" s="8">
        <v>1</v>
      </c>
      <c r="K62" s="8">
        <v>685</v>
      </c>
      <c r="L62" s="7">
        <v>0.10134866639101314</v>
      </c>
      <c r="M62" s="7">
        <v>1.4304965922128491E-2</v>
      </c>
      <c r="N62" s="8">
        <v>0</v>
      </c>
      <c r="O62" s="8">
        <v>1</v>
      </c>
      <c r="P62" s="8">
        <v>622</v>
      </c>
      <c r="Q62" s="7">
        <v>5.8577332732493929E-2</v>
      </c>
      <c r="R62" s="7">
        <v>1.0597856223613596E-2</v>
      </c>
      <c r="S62" s="8">
        <v>0</v>
      </c>
      <c r="T62" s="8">
        <v>1</v>
      </c>
      <c r="U62" s="8">
        <v>830</v>
      </c>
      <c r="V62" s="7">
        <v>3.2833700964905246E-2</v>
      </c>
      <c r="W62" s="7">
        <v>8.8742993180766557E-3</v>
      </c>
      <c r="X62" s="8">
        <v>0</v>
      </c>
      <c r="Y62" s="8">
        <v>1</v>
      </c>
      <c r="Z62" s="8">
        <v>733</v>
      </c>
      <c r="AA62" s="7">
        <v>0.10185964544597292</v>
      </c>
      <c r="AB62" s="7">
        <v>7.4120245141954984E-3</v>
      </c>
      <c r="AC62" s="8">
        <v>0</v>
      </c>
      <c r="AD62" s="8">
        <v>1</v>
      </c>
      <c r="AE62" s="8">
        <v>3213</v>
      </c>
      <c r="AF62">
        <f>(AA63/AA61)-AA62</f>
        <v>2.904416386236286E-3</v>
      </c>
    </row>
    <row r="63" spans="1:32" ht="14.25" customHeight="1" x14ac:dyDescent="0.45">
      <c r="A63" s="6" t="s">
        <v>49</v>
      </c>
      <c r="B63" s="7">
        <v>7.8817705018697625E-3</v>
      </c>
      <c r="C63" s="7">
        <v>4.6303459891974263E-3</v>
      </c>
      <c r="D63" s="8">
        <v>0</v>
      </c>
      <c r="E63" s="8">
        <v>1</v>
      </c>
      <c r="F63" s="8">
        <v>343</v>
      </c>
      <c r="G63" s="7">
        <v>2.4643647754629479E-3</v>
      </c>
      <c r="H63" s="7">
        <v>2.4623616043380962E-3</v>
      </c>
      <c r="I63" s="8">
        <v>0</v>
      </c>
      <c r="J63" s="8">
        <v>1</v>
      </c>
      <c r="K63" s="8">
        <v>685</v>
      </c>
      <c r="L63" s="7">
        <v>9.4798068410284764E-3</v>
      </c>
      <c r="M63" s="7">
        <v>4.7247631943008132E-3</v>
      </c>
      <c r="N63" s="8">
        <v>0</v>
      </c>
      <c r="O63" s="8">
        <v>1</v>
      </c>
      <c r="P63" s="8">
        <v>622</v>
      </c>
      <c r="Q63" s="7">
        <v>1.3026701430249583E-3</v>
      </c>
      <c r="R63" s="7">
        <v>8.7145637576478078E-4</v>
      </c>
      <c r="S63" s="8">
        <v>0</v>
      </c>
      <c r="T63" s="8">
        <v>1</v>
      </c>
      <c r="U63" s="8">
        <v>830</v>
      </c>
      <c r="V63" s="7">
        <v>0</v>
      </c>
      <c r="W63" s="7">
        <v>0</v>
      </c>
      <c r="X63" s="8">
        <v>0</v>
      </c>
      <c r="Y63" s="8">
        <v>0</v>
      </c>
      <c r="Z63" s="8">
        <v>733</v>
      </c>
      <c r="AA63" s="7">
        <v>5.1706670092954155E-3</v>
      </c>
      <c r="AB63" s="7">
        <v>2.0237283903489943E-3</v>
      </c>
      <c r="AC63" s="8">
        <v>0</v>
      </c>
      <c r="AD63" s="8">
        <v>1</v>
      </c>
      <c r="AE63" s="8">
        <v>3213</v>
      </c>
    </row>
    <row r="64" spans="1:32" ht="14.25" customHeight="1" x14ac:dyDescent="0.45">
      <c r="A64" s="6" t="s">
        <v>14</v>
      </c>
      <c r="B64" s="7">
        <v>2.9020117427887855E-2</v>
      </c>
      <c r="C64" s="7">
        <v>9.4972765431903545E-3</v>
      </c>
      <c r="D64" s="8">
        <v>0</v>
      </c>
      <c r="E64" s="8">
        <v>1</v>
      </c>
      <c r="F64" s="8">
        <v>343</v>
      </c>
      <c r="G64" s="7">
        <v>5.104964432344361E-2</v>
      </c>
      <c r="H64" s="7">
        <v>9.9579774630556665E-3</v>
      </c>
      <c r="I64" s="8">
        <v>0</v>
      </c>
      <c r="J64" s="8">
        <v>1</v>
      </c>
      <c r="K64" s="8">
        <v>685</v>
      </c>
      <c r="L64" s="7">
        <v>5.7690141642327379E-2</v>
      </c>
      <c r="M64" s="7">
        <v>1.2029012925360384E-2</v>
      </c>
      <c r="N64" s="8">
        <v>0</v>
      </c>
      <c r="O64" s="8">
        <v>1</v>
      </c>
      <c r="P64" s="8">
        <v>622</v>
      </c>
      <c r="Q64" s="7">
        <v>3.7030174615891337E-2</v>
      </c>
      <c r="R64" s="7">
        <v>7.2371732526603123E-3</v>
      </c>
      <c r="S64" s="8">
        <v>0</v>
      </c>
      <c r="T64" s="8">
        <v>1</v>
      </c>
      <c r="U64" s="8">
        <v>830</v>
      </c>
      <c r="V64" s="7">
        <v>4.7858764160044816E-2</v>
      </c>
      <c r="W64" s="7">
        <v>1.1783495162206573E-2</v>
      </c>
      <c r="X64" s="8">
        <v>0</v>
      </c>
      <c r="Y64" s="8">
        <v>1</v>
      </c>
      <c r="Z64" s="8">
        <v>733</v>
      </c>
      <c r="AA64" s="7">
        <v>4.9355350669552968E-2</v>
      </c>
      <c r="AB64" s="7">
        <v>5.8185819066277882E-3</v>
      </c>
      <c r="AC64" s="8">
        <v>0</v>
      </c>
      <c r="AD64" s="8">
        <v>1</v>
      </c>
      <c r="AE64" s="8">
        <v>3213</v>
      </c>
      <c r="AF64">
        <f>(AA66/AA65)-AA64</f>
        <v>9.5521786133628897E-3</v>
      </c>
    </row>
    <row r="65" spans="1:32" ht="14.25" customHeight="1" x14ac:dyDescent="0.45">
      <c r="A65" s="6" t="s">
        <v>34</v>
      </c>
      <c r="B65" s="7">
        <v>8.1787533107309865E-2</v>
      </c>
      <c r="C65" s="7">
        <v>1.7279206638313685E-2</v>
      </c>
      <c r="D65" s="8">
        <v>0</v>
      </c>
      <c r="E65" s="8">
        <v>1</v>
      </c>
      <c r="F65" s="8">
        <v>343</v>
      </c>
      <c r="G65" s="7">
        <v>7.7471492628192432E-2</v>
      </c>
      <c r="H65" s="7">
        <v>1.1471911375371565E-2</v>
      </c>
      <c r="I65" s="8">
        <v>0</v>
      </c>
      <c r="J65" s="8">
        <v>1</v>
      </c>
      <c r="K65" s="8">
        <v>685</v>
      </c>
      <c r="L65" s="7">
        <v>9.3337188203922908E-2</v>
      </c>
      <c r="M65" s="7">
        <v>1.3871048191407841E-2</v>
      </c>
      <c r="N65" s="8">
        <v>0</v>
      </c>
      <c r="O65" s="8">
        <v>1</v>
      </c>
      <c r="P65" s="8">
        <v>622</v>
      </c>
      <c r="Q65" s="7">
        <v>3.7296049679389667E-2</v>
      </c>
      <c r="R65" s="7">
        <v>9.3089825291206869E-3</v>
      </c>
      <c r="S65" s="8">
        <v>0</v>
      </c>
      <c r="T65" s="8">
        <v>1</v>
      </c>
      <c r="U65" s="8">
        <v>830</v>
      </c>
      <c r="V65" s="7">
        <v>2.513469963218028E-2</v>
      </c>
      <c r="W65" s="7">
        <v>7.9594489535297543E-3</v>
      </c>
      <c r="X65" s="8">
        <v>0</v>
      </c>
      <c r="Y65" s="8">
        <v>1</v>
      </c>
      <c r="Z65" s="8">
        <v>733</v>
      </c>
      <c r="AA65" s="7">
        <v>7.2866767578355668E-2</v>
      </c>
      <c r="AB65" s="7">
        <v>6.7889588799079637E-3</v>
      </c>
      <c r="AC65" s="8">
        <v>0</v>
      </c>
      <c r="AD65" s="8">
        <v>1</v>
      </c>
      <c r="AE65" s="8">
        <v>3213</v>
      </c>
      <c r="AF65">
        <f>(AA66/AA64)-AA65</f>
        <v>1.4102551586493622E-2</v>
      </c>
    </row>
    <row r="66" spans="1:32" ht="26.25" customHeight="1" x14ac:dyDescent="0.45">
      <c r="A66" s="6" t="s">
        <v>50</v>
      </c>
      <c r="B66" s="7">
        <v>4.8932502046152059E-3</v>
      </c>
      <c r="C66" s="7">
        <v>3.5430510391668735E-3</v>
      </c>
      <c r="D66" s="8">
        <v>0</v>
      </c>
      <c r="E66" s="8">
        <v>1</v>
      </c>
      <c r="F66" s="8">
        <v>343</v>
      </c>
      <c r="G66" s="7">
        <v>0</v>
      </c>
      <c r="H66" s="7">
        <v>0</v>
      </c>
      <c r="I66" s="8">
        <v>0</v>
      </c>
      <c r="J66" s="8">
        <v>0</v>
      </c>
      <c r="K66" s="8">
        <v>685</v>
      </c>
      <c r="L66" s="7">
        <v>9.4798068410284764E-3</v>
      </c>
      <c r="M66" s="7">
        <v>4.7247631943008132E-3</v>
      </c>
      <c r="N66" s="8">
        <v>0</v>
      </c>
      <c r="O66" s="8">
        <v>1</v>
      </c>
      <c r="P66" s="8">
        <v>622</v>
      </c>
      <c r="Q66" s="7">
        <v>1.3026701430249583E-3</v>
      </c>
      <c r="R66" s="7">
        <v>8.7145637576478078E-4</v>
      </c>
      <c r="S66" s="8">
        <v>0</v>
      </c>
      <c r="T66" s="8">
        <v>1</v>
      </c>
      <c r="U66" s="8">
        <v>830</v>
      </c>
      <c r="V66" s="7">
        <v>0</v>
      </c>
      <c r="W66" s="7">
        <v>0</v>
      </c>
      <c r="X66" s="8">
        <v>0</v>
      </c>
      <c r="Y66" s="8">
        <v>0</v>
      </c>
      <c r="Z66" s="8">
        <v>733</v>
      </c>
      <c r="AA66" s="7">
        <v>4.2924012448734101E-3</v>
      </c>
      <c r="AB66" s="7">
        <v>1.8896115056085603E-3</v>
      </c>
      <c r="AC66" s="8">
        <v>0</v>
      </c>
      <c r="AD66" s="8">
        <v>1</v>
      </c>
      <c r="AE66" s="8">
        <v>3213</v>
      </c>
    </row>
    <row r="67" spans="1:32" ht="14.25" customHeight="1" x14ac:dyDescent="0.45">
      <c r="A67" s="6" t="s">
        <v>14</v>
      </c>
      <c r="B67" s="7">
        <v>2.9020117427887855E-2</v>
      </c>
      <c r="C67" s="7">
        <v>9.4972765431903545E-3</v>
      </c>
      <c r="D67" s="8">
        <v>0</v>
      </c>
      <c r="E67" s="8">
        <v>1</v>
      </c>
      <c r="F67" s="8">
        <v>343</v>
      </c>
      <c r="G67" s="7">
        <v>5.104964432344361E-2</v>
      </c>
      <c r="H67" s="7">
        <v>9.9579774630556665E-3</v>
      </c>
      <c r="I67" s="8">
        <v>0</v>
      </c>
      <c r="J67" s="8">
        <v>1</v>
      </c>
      <c r="K67" s="8">
        <v>685</v>
      </c>
      <c r="L67" s="7">
        <v>5.7690141642327379E-2</v>
      </c>
      <c r="M67" s="7">
        <v>1.2029012925360384E-2</v>
      </c>
      <c r="N67" s="8">
        <v>0</v>
      </c>
      <c r="O67" s="8">
        <v>1</v>
      </c>
      <c r="P67" s="8">
        <v>622</v>
      </c>
      <c r="Q67" s="7">
        <v>3.7030174615891337E-2</v>
      </c>
      <c r="R67" s="7">
        <v>7.2371732526603123E-3</v>
      </c>
      <c r="S67" s="8">
        <v>0</v>
      </c>
      <c r="T67" s="8">
        <v>1</v>
      </c>
      <c r="U67" s="8">
        <v>830</v>
      </c>
      <c r="V67" s="7">
        <v>4.7858764160044816E-2</v>
      </c>
      <c r="W67" s="7">
        <v>1.1783495162206573E-2</v>
      </c>
      <c r="X67" s="8">
        <v>0</v>
      </c>
      <c r="Y67" s="8">
        <v>1</v>
      </c>
      <c r="Z67" s="8">
        <v>733</v>
      </c>
      <c r="AA67" s="7">
        <v>4.9355350669552968E-2</v>
      </c>
      <c r="AB67" s="7">
        <v>5.8185819066277882E-3</v>
      </c>
      <c r="AC67" s="8">
        <v>0</v>
      </c>
      <c r="AD67" s="8">
        <v>1</v>
      </c>
      <c r="AE67" s="8">
        <v>3213</v>
      </c>
      <c r="AF67">
        <f>(AA69/AA68)-AA67</f>
        <v>-6.0852058054473926E-3</v>
      </c>
    </row>
    <row r="68" spans="1:32" ht="14.25" customHeight="1" x14ac:dyDescent="0.45">
      <c r="A68" s="6" t="s">
        <v>36</v>
      </c>
      <c r="B68" s="7">
        <v>0.22207872184389335</v>
      </c>
      <c r="C68" s="7">
        <v>2.4775433116898182E-2</v>
      </c>
      <c r="D68" s="8">
        <v>0</v>
      </c>
      <c r="E68" s="8">
        <v>1</v>
      </c>
      <c r="F68" s="8">
        <v>343</v>
      </c>
      <c r="G68" s="7">
        <v>9.3629004050585732E-2</v>
      </c>
      <c r="H68" s="7">
        <v>1.2914309363192237E-2</v>
      </c>
      <c r="I68" s="8">
        <v>0</v>
      </c>
      <c r="J68" s="8">
        <v>1</v>
      </c>
      <c r="K68" s="8">
        <v>685</v>
      </c>
      <c r="L68" s="7">
        <v>5.0675747986819425E-2</v>
      </c>
      <c r="M68" s="7">
        <v>1.1258657548167093E-2</v>
      </c>
      <c r="N68" s="8">
        <v>0</v>
      </c>
      <c r="O68" s="8">
        <v>1</v>
      </c>
      <c r="P68" s="8">
        <v>622</v>
      </c>
      <c r="Q68" s="7">
        <v>8.8906899619095245E-2</v>
      </c>
      <c r="R68" s="7">
        <v>1.5689910940161863E-2</v>
      </c>
      <c r="S68" s="8">
        <v>0</v>
      </c>
      <c r="T68" s="8">
        <v>1</v>
      </c>
      <c r="U68" s="8">
        <v>830</v>
      </c>
      <c r="V68" s="7">
        <v>0.14223726061043815</v>
      </c>
      <c r="W68" s="7">
        <v>1.6491487573434171E-2</v>
      </c>
      <c r="X68" s="8">
        <v>0</v>
      </c>
      <c r="Y68" s="8">
        <v>1</v>
      </c>
      <c r="Z68" s="8">
        <v>733</v>
      </c>
      <c r="AA68" s="7">
        <v>8.5558452234588231E-2</v>
      </c>
      <c r="AB68" s="7">
        <v>6.8658306176085059E-3</v>
      </c>
      <c r="AC68" s="8">
        <v>0</v>
      </c>
      <c r="AD68" s="8">
        <v>1</v>
      </c>
      <c r="AE68" s="8">
        <v>3213</v>
      </c>
      <c r="AF68">
        <f>(AA69/AA67)-AA68</f>
        <v>-1.054882162075671E-2</v>
      </c>
    </row>
    <row r="69" spans="1:32" ht="14.25" customHeight="1" x14ac:dyDescent="0.45">
      <c r="A69" s="6" t="s">
        <v>51</v>
      </c>
      <c r="B69" s="7">
        <v>1.7355936683507062E-2</v>
      </c>
      <c r="C69" s="7">
        <v>7.9637524890060624E-3</v>
      </c>
      <c r="D69" s="8">
        <v>0</v>
      </c>
      <c r="E69" s="8">
        <v>1</v>
      </c>
      <c r="F69" s="8">
        <v>343</v>
      </c>
      <c r="G69" s="7">
        <v>2.4643647754629479E-3</v>
      </c>
      <c r="H69" s="7">
        <v>2.4623616043380962E-3</v>
      </c>
      <c r="I69" s="8">
        <v>0</v>
      </c>
      <c r="J69" s="8">
        <v>1</v>
      </c>
      <c r="K69" s="8">
        <v>685</v>
      </c>
      <c r="L69" s="7">
        <v>4.4551338215949145E-3</v>
      </c>
      <c r="M69" s="7">
        <v>3.1464372049688836E-3</v>
      </c>
      <c r="N69" s="8">
        <v>0</v>
      </c>
      <c r="O69" s="8">
        <v>1</v>
      </c>
      <c r="P69" s="8">
        <v>622</v>
      </c>
      <c r="Q69" s="7">
        <v>1.2090301316699398E-3</v>
      </c>
      <c r="R69" s="7">
        <v>1.2096922509310091E-3</v>
      </c>
      <c r="S69" s="8">
        <v>0</v>
      </c>
      <c r="T69" s="8">
        <v>1</v>
      </c>
      <c r="U69" s="8">
        <v>830</v>
      </c>
      <c r="V69" s="7">
        <v>0</v>
      </c>
      <c r="W69" s="7">
        <v>0</v>
      </c>
      <c r="X69" s="8">
        <v>0</v>
      </c>
      <c r="Y69" s="8">
        <v>0</v>
      </c>
      <c r="Z69" s="8">
        <v>733</v>
      </c>
      <c r="AA69" s="7">
        <v>3.7021266225392901E-3</v>
      </c>
      <c r="AB69" s="7">
        <v>1.5211277519517252E-3</v>
      </c>
      <c r="AC69" s="8">
        <v>0</v>
      </c>
      <c r="AD69" s="8">
        <v>1</v>
      </c>
      <c r="AE69" s="8">
        <v>3213</v>
      </c>
    </row>
    <row r="70" spans="1:32" ht="14.25" customHeight="1" x14ac:dyDescent="0.45">
      <c r="A70" s="6" t="s">
        <v>26</v>
      </c>
      <c r="B70" s="7">
        <v>8.576486464093927E-2</v>
      </c>
      <c r="C70" s="7">
        <v>1.5771548847512216E-2</v>
      </c>
      <c r="D70" s="8">
        <v>0</v>
      </c>
      <c r="E70" s="8">
        <v>1</v>
      </c>
      <c r="F70" s="8">
        <v>343</v>
      </c>
      <c r="G70" s="7">
        <v>0.13925597154135472</v>
      </c>
      <c r="H70" s="7">
        <v>1.4827699712798324E-2</v>
      </c>
      <c r="I70" s="8">
        <v>0</v>
      </c>
      <c r="J70" s="8">
        <v>1</v>
      </c>
      <c r="K70" s="8">
        <v>685</v>
      </c>
      <c r="L70" s="7">
        <v>0.19294981038581291</v>
      </c>
      <c r="M70" s="7">
        <v>1.7247019680870192E-2</v>
      </c>
      <c r="N70" s="8">
        <v>0</v>
      </c>
      <c r="O70" s="8">
        <v>1</v>
      </c>
      <c r="P70" s="8">
        <v>622</v>
      </c>
      <c r="Q70" s="7">
        <v>0.25108715945834204</v>
      </c>
      <c r="R70" s="7">
        <v>1.9830048301317873E-2</v>
      </c>
      <c r="S70" s="8">
        <v>0</v>
      </c>
      <c r="T70" s="8">
        <v>1</v>
      </c>
      <c r="U70" s="8">
        <v>830</v>
      </c>
      <c r="V70" s="7">
        <v>7.0128859538446192E-2</v>
      </c>
      <c r="W70" s="7">
        <v>1.3299827256235006E-2</v>
      </c>
      <c r="X70" s="8">
        <v>0</v>
      </c>
      <c r="Y70" s="8">
        <v>1</v>
      </c>
      <c r="Z70" s="8">
        <v>733</v>
      </c>
      <c r="AA70" s="7">
        <v>0.17686941314292795</v>
      </c>
      <c r="AB70" s="7">
        <v>9.108457477247504E-3</v>
      </c>
      <c r="AC70" s="8">
        <v>0</v>
      </c>
      <c r="AD70" s="8">
        <v>1</v>
      </c>
      <c r="AE70" s="8">
        <v>3213</v>
      </c>
      <c r="AF70">
        <f>(AA72/AA71)-AA70</f>
        <v>4.3253895064135572E-2</v>
      </c>
    </row>
    <row r="71" spans="1:32" ht="14.25" customHeight="1" x14ac:dyDescent="0.45">
      <c r="A71" s="6" t="s">
        <v>28</v>
      </c>
      <c r="B71" s="7">
        <v>2.3006458258515102E-2</v>
      </c>
      <c r="C71" s="7">
        <v>1.0076455733186959E-2</v>
      </c>
      <c r="D71" s="8">
        <v>0</v>
      </c>
      <c r="E71" s="8">
        <v>1</v>
      </c>
      <c r="F71" s="8">
        <v>343</v>
      </c>
      <c r="G71" s="7">
        <v>4.1625717873765983E-2</v>
      </c>
      <c r="H71" s="7">
        <v>8.2303678308347332E-3</v>
      </c>
      <c r="I71" s="8">
        <v>0</v>
      </c>
      <c r="J71" s="8">
        <v>1</v>
      </c>
      <c r="K71" s="8">
        <v>685</v>
      </c>
      <c r="L71" s="7">
        <v>0.18433984786311641</v>
      </c>
      <c r="M71" s="7">
        <v>1.8140749734377713E-2</v>
      </c>
      <c r="N71" s="8">
        <v>0</v>
      </c>
      <c r="O71" s="8">
        <v>1</v>
      </c>
      <c r="P71" s="8">
        <v>622</v>
      </c>
      <c r="Q71" s="7">
        <v>0.31375250664319881</v>
      </c>
      <c r="R71" s="7">
        <v>2.2409181743750201E-2</v>
      </c>
      <c r="S71" s="8">
        <v>0</v>
      </c>
      <c r="T71" s="8">
        <v>1</v>
      </c>
      <c r="U71" s="8">
        <v>830</v>
      </c>
      <c r="V71" s="7">
        <v>0.16879495507154094</v>
      </c>
      <c r="W71" s="7">
        <v>1.9160672712976504E-2</v>
      </c>
      <c r="X71" s="8">
        <v>0</v>
      </c>
      <c r="Y71" s="8">
        <v>1</v>
      </c>
      <c r="Z71" s="8">
        <v>733</v>
      </c>
      <c r="AA71" s="7">
        <v>0.16007873398575856</v>
      </c>
      <c r="AB71" s="7">
        <v>9.2204164547557959E-3</v>
      </c>
      <c r="AC71" s="8">
        <v>0</v>
      </c>
      <c r="AD71" s="8">
        <v>1</v>
      </c>
      <c r="AE71" s="8">
        <v>3213</v>
      </c>
      <c r="AF71">
        <f>(AA72/AA70)-AA71</f>
        <v>3.9147688900988076E-2</v>
      </c>
    </row>
    <row r="72" spans="1:32" ht="14.25" customHeight="1" x14ac:dyDescent="0.45">
      <c r="A72" s="6" t="s">
        <v>52</v>
      </c>
      <c r="B72" s="7">
        <v>3.0461780581136186E-3</v>
      </c>
      <c r="C72" s="7">
        <v>3.0471473728500139E-3</v>
      </c>
      <c r="D72" s="8">
        <v>0</v>
      </c>
      <c r="E72" s="8">
        <v>1</v>
      </c>
      <c r="F72" s="8">
        <v>343</v>
      </c>
      <c r="G72" s="7">
        <v>1.468311811684424E-3</v>
      </c>
      <c r="H72" s="7">
        <v>1.4685834016261899E-3</v>
      </c>
      <c r="I72" s="8">
        <v>0</v>
      </c>
      <c r="J72" s="8">
        <v>1</v>
      </c>
      <c r="K72" s="8">
        <v>685</v>
      </c>
      <c r="L72" s="7">
        <v>3.2588644510151039E-2</v>
      </c>
      <c r="M72" s="7">
        <v>6.3665254761817924E-3</v>
      </c>
      <c r="N72" s="8">
        <v>0</v>
      </c>
      <c r="O72" s="8">
        <v>1</v>
      </c>
      <c r="P72" s="8">
        <v>622</v>
      </c>
      <c r="Q72" s="7">
        <v>9.7768220493268332E-2</v>
      </c>
      <c r="R72" s="7">
        <v>1.4086565624139171E-2</v>
      </c>
      <c r="S72" s="8">
        <v>0</v>
      </c>
      <c r="T72" s="8">
        <v>1</v>
      </c>
      <c r="U72" s="8">
        <v>830</v>
      </c>
      <c r="V72" s="7">
        <v>2.8719293668223428E-2</v>
      </c>
      <c r="W72" s="7">
        <v>9.7266124745399966E-3</v>
      </c>
      <c r="X72" s="8">
        <v>0</v>
      </c>
      <c r="Y72" s="8">
        <v>1</v>
      </c>
      <c r="Z72" s="8">
        <v>733</v>
      </c>
      <c r="AA72" s="7">
        <v>3.5237060498543665E-2</v>
      </c>
      <c r="AB72" s="7">
        <v>3.9814077945524926E-3</v>
      </c>
      <c r="AC72" s="8">
        <v>0</v>
      </c>
      <c r="AD72" s="8">
        <v>1</v>
      </c>
      <c r="AE72" s="8">
        <v>3213</v>
      </c>
    </row>
    <row r="73" spans="1:32" ht="14.25" customHeight="1" x14ac:dyDescent="0.45">
      <c r="A73" s="6" t="s">
        <v>26</v>
      </c>
      <c r="B73" s="7">
        <v>8.576486464093927E-2</v>
      </c>
      <c r="C73" s="7">
        <v>1.5771548847512216E-2</v>
      </c>
      <c r="D73" s="8">
        <v>0</v>
      </c>
      <c r="E73" s="8">
        <v>1</v>
      </c>
      <c r="F73" s="8">
        <v>343</v>
      </c>
      <c r="G73" s="7">
        <v>0.13925597154135472</v>
      </c>
      <c r="H73" s="7">
        <v>1.4827699712798324E-2</v>
      </c>
      <c r="I73" s="8">
        <v>0</v>
      </c>
      <c r="J73" s="8">
        <v>1</v>
      </c>
      <c r="K73" s="8">
        <v>685</v>
      </c>
      <c r="L73" s="7">
        <v>0.19294981038581291</v>
      </c>
      <c r="M73" s="7">
        <v>1.7247019680870192E-2</v>
      </c>
      <c r="N73" s="8">
        <v>0</v>
      </c>
      <c r="O73" s="8">
        <v>1</v>
      </c>
      <c r="P73" s="8">
        <v>622</v>
      </c>
      <c r="Q73" s="7">
        <v>0.25108715945834204</v>
      </c>
      <c r="R73" s="7">
        <v>1.9830048301317873E-2</v>
      </c>
      <c r="S73" s="8">
        <v>0</v>
      </c>
      <c r="T73" s="8">
        <v>1</v>
      </c>
      <c r="U73" s="8">
        <v>830</v>
      </c>
      <c r="V73" s="7">
        <v>7.0128859538446192E-2</v>
      </c>
      <c r="W73" s="7">
        <v>1.3299827256235006E-2</v>
      </c>
      <c r="X73" s="8">
        <v>0</v>
      </c>
      <c r="Y73" s="8">
        <v>1</v>
      </c>
      <c r="Z73" s="8">
        <v>733</v>
      </c>
      <c r="AA73" s="7">
        <v>0.17686941314292795</v>
      </c>
      <c r="AB73" s="7">
        <v>9.108457477247504E-3</v>
      </c>
      <c r="AC73" s="8">
        <v>0</v>
      </c>
      <c r="AD73" s="8">
        <v>1</v>
      </c>
      <c r="AE73" s="8">
        <v>3213</v>
      </c>
      <c r="AF73">
        <f>(AA75/AA74)-AA73</f>
        <v>8.1043155927412264E-2</v>
      </c>
    </row>
    <row r="74" spans="1:32" ht="14.25" customHeight="1" x14ac:dyDescent="0.45">
      <c r="A74" s="6" t="s">
        <v>30</v>
      </c>
      <c r="B74" s="7">
        <v>6.4347504419908913E-2</v>
      </c>
      <c r="C74" s="7">
        <v>1.6210000455232083E-2</v>
      </c>
      <c r="D74" s="8">
        <v>0</v>
      </c>
      <c r="E74" s="8">
        <v>1</v>
      </c>
      <c r="F74" s="8">
        <v>343</v>
      </c>
      <c r="G74" s="7">
        <v>5.5760819257979384E-3</v>
      </c>
      <c r="H74" s="7">
        <v>2.4155139287461349E-3</v>
      </c>
      <c r="I74" s="8">
        <v>0</v>
      </c>
      <c r="J74" s="8">
        <v>1</v>
      </c>
      <c r="K74" s="8">
        <v>685</v>
      </c>
      <c r="L74" s="7">
        <v>5.7784639354585186E-2</v>
      </c>
      <c r="M74" s="7">
        <v>1.0739851453532647E-2</v>
      </c>
      <c r="N74" s="8">
        <v>0</v>
      </c>
      <c r="O74" s="8">
        <v>1</v>
      </c>
      <c r="P74" s="8">
        <v>622</v>
      </c>
      <c r="Q74" s="7">
        <v>4.8263280491864416E-2</v>
      </c>
      <c r="R74" s="7">
        <v>9.4601041768455525E-3</v>
      </c>
      <c r="S74" s="8">
        <v>0</v>
      </c>
      <c r="T74" s="8">
        <v>1</v>
      </c>
      <c r="U74" s="8">
        <v>830</v>
      </c>
      <c r="V74" s="7">
        <v>0.11301588571797948</v>
      </c>
      <c r="W74" s="7">
        <v>2.095351119764903E-2</v>
      </c>
      <c r="X74" s="8">
        <v>0</v>
      </c>
      <c r="Y74" s="8">
        <v>1</v>
      </c>
      <c r="Z74" s="8">
        <v>733</v>
      </c>
      <c r="AA74" s="7">
        <v>4.4127348950210449E-2</v>
      </c>
      <c r="AB74" s="7">
        <v>4.9821697834856737E-3</v>
      </c>
      <c r="AC74" s="8">
        <v>0</v>
      </c>
      <c r="AD74" s="8">
        <v>1</v>
      </c>
      <c r="AE74" s="8">
        <v>3213</v>
      </c>
      <c r="AF74">
        <f>(AA75/AA73)-AA74</f>
        <v>2.021954818578664E-2</v>
      </c>
    </row>
    <row r="75" spans="1:32" ht="26.25" customHeight="1" x14ac:dyDescent="0.45">
      <c r="A75" s="6" t="s">
        <v>53</v>
      </c>
      <c r="B75" s="7">
        <v>9.7445245175167821E-3</v>
      </c>
      <c r="C75" s="7">
        <v>5.2214483213636562E-3</v>
      </c>
      <c r="D75" s="8">
        <v>0</v>
      </c>
      <c r="E75" s="8">
        <v>1</v>
      </c>
      <c r="F75" s="8">
        <v>343</v>
      </c>
      <c r="G75" s="7">
        <v>1.468311811684424E-3</v>
      </c>
      <c r="H75" s="7">
        <v>1.4685834016261899E-3</v>
      </c>
      <c r="I75" s="8">
        <v>0</v>
      </c>
      <c r="J75" s="8">
        <v>1</v>
      </c>
      <c r="K75" s="8">
        <v>685</v>
      </c>
      <c r="L75" s="7">
        <v>1.6783316394461772E-2</v>
      </c>
      <c r="M75" s="7">
        <v>5.6989142111183314E-3</v>
      </c>
      <c r="N75" s="8">
        <v>0</v>
      </c>
      <c r="O75" s="8">
        <v>1</v>
      </c>
      <c r="P75" s="8">
        <v>622</v>
      </c>
      <c r="Q75" s="7">
        <v>1.78127429534039E-2</v>
      </c>
      <c r="R75" s="7">
        <v>4.8146123901191308E-3</v>
      </c>
      <c r="S75" s="8">
        <v>0</v>
      </c>
      <c r="T75" s="8">
        <v>1</v>
      </c>
      <c r="U75" s="8">
        <v>830</v>
      </c>
      <c r="V75" s="7">
        <v>1.6829978104586803E-3</v>
      </c>
      <c r="W75" s="7">
        <v>7.9711433896776751E-4</v>
      </c>
      <c r="X75" s="8">
        <v>0</v>
      </c>
      <c r="Y75" s="8">
        <v>1</v>
      </c>
      <c r="Z75" s="8">
        <v>733</v>
      </c>
      <c r="AA75" s="7">
        <v>1.1380997934012156E-2</v>
      </c>
      <c r="AB75" s="7">
        <v>2.5176929544121866E-3</v>
      </c>
      <c r="AC75" s="8">
        <v>0</v>
      </c>
      <c r="AD75" s="8">
        <v>1</v>
      </c>
      <c r="AE75" s="8">
        <v>3213</v>
      </c>
    </row>
    <row r="76" spans="1:32" ht="14.25" customHeight="1" x14ac:dyDescent="0.45">
      <c r="A76" s="6" t="s">
        <v>26</v>
      </c>
      <c r="B76" s="7">
        <v>8.576486464093927E-2</v>
      </c>
      <c r="C76" s="7">
        <v>1.5771548847512216E-2</v>
      </c>
      <c r="D76" s="8">
        <v>0</v>
      </c>
      <c r="E76" s="8">
        <v>1</v>
      </c>
      <c r="F76" s="8">
        <v>343</v>
      </c>
      <c r="G76" s="7">
        <v>0.13925597154135472</v>
      </c>
      <c r="H76" s="7">
        <v>1.4827699712798324E-2</v>
      </c>
      <c r="I76" s="8">
        <v>0</v>
      </c>
      <c r="J76" s="8">
        <v>1</v>
      </c>
      <c r="K76" s="8">
        <v>685</v>
      </c>
      <c r="L76" s="7">
        <v>0.19294981038581291</v>
      </c>
      <c r="M76" s="7">
        <v>1.7247019680870192E-2</v>
      </c>
      <c r="N76" s="8">
        <v>0</v>
      </c>
      <c r="O76" s="8">
        <v>1</v>
      </c>
      <c r="P76" s="8">
        <v>622</v>
      </c>
      <c r="Q76" s="7">
        <v>0.25108715945834204</v>
      </c>
      <c r="R76" s="7">
        <v>1.9830048301317873E-2</v>
      </c>
      <c r="S76" s="8">
        <v>0</v>
      </c>
      <c r="T76" s="8">
        <v>1</v>
      </c>
      <c r="U76" s="8">
        <v>830</v>
      </c>
      <c r="V76" s="7">
        <v>7.0128859538446192E-2</v>
      </c>
      <c r="W76" s="7">
        <v>1.3299827256235006E-2</v>
      </c>
      <c r="X76" s="8">
        <v>0</v>
      </c>
      <c r="Y76" s="8">
        <v>1</v>
      </c>
      <c r="Z76" s="8">
        <v>733</v>
      </c>
      <c r="AA76" s="7">
        <v>0.17686941314292795</v>
      </c>
      <c r="AB76" s="7">
        <v>9.108457477247504E-3</v>
      </c>
      <c r="AC76" s="8">
        <v>0</v>
      </c>
      <c r="AD76" s="8">
        <v>1</v>
      </c>
      <c r="AE76" s="8">
        <v>3213</v>
      </c>
      <c r="AF76">
        <f>(AA78/AA77)-AA76</f>
        <v>7.6558802036976542E-2</v>
      </c>
    </row>
    <row r="77" spans="1:32" ht="14.25" customHeight="1" x14ac:dyDescent="0.45">
      <c r="A77" s="6" t="s">
        <v>32</v>
      </c>
      <c r="B77" s="7">
        <v>0.2508434395881563</v>
      </c>
      <c r="C77" s="7">
        <v>2.6564985993478434E-2</v>
      </c>
      <c r="D77" s="8">
        <v>0</v>
      </c>
      <c r="E77" s="8">
        <v>1</v>
      </c>
      <c r="F77" s="8">
        <v>343</v>
      </c>
      <c r="G77" s="7">
        <v>0.11723648022517399</v>
      </c>
      <c r="H77" s="7">
        <v>1.3553156415989618E-2</v>
      </c>
      <c r="I77" s="8">
        <v>0</v>
      </c>
      <c r="J77" s="8">
        <v>1</v>
      </c>
      <c r="K77" s="8">
        <v>685</v>
      </c>
      <c r="L77" s="7">
        <v>0.10134866639101314</v>
      </c>
      <c r="M77" s="7">
        <v>1.4304965922128491E-2</v>
      </c>
      <c r="N77" s="8">
        <v>0</v>
      </c>
      <c r="O77" s="8">
        <v>1</v>
      </c>
      <c r="P77" s="8">
        <v>622</v>
      </c>
      <c r="Q77" s="7">
        <v>5.8577332732493929E-2</v>
      </c>
      <c r="R77" s="7">
        <v>1.0597856223613596E-2</v>
      </c>
      <c r="S77" s="8">
        <v>0</v>
      </c>
      <c r="T77" s="8">
        <v>1</v>
      </c>
      <c r="U77" s="8">
        <v>830</v>
      </c>
      <c r="V77" s="7">
        <v>3.2833700964905246E-2</v>
      </c>
      <c r="W77" s="7">
        <v>8.8742993180766557E-3</v>
      </c>
      <c r="X77" s="8">
        <v>0</v>
      </c>
      <c r="Y77" s="8">
        <v>1</v>
      </c>
      <c r="Z77" s="8">
        <v>733</v>
      </c>
      <c r="AA77" s="7">
        <v>0.10185964544597292</v>
      </c>
      <c r="AB77" s="7">
        <v>7.4120245141954984E-3</v>
      </c>
      <c r="AC77" s="8">
        <v>0</v>
      </c>
      <c r="AD77" s="8">
        <v>1</v>
      </c>
      <c r="AE77" s="8">
        <v>3213</v>
      </c>
      <c r="AF77">
        <f>(AA78/AA76)-AA77</f>
        <v>4.4090452343804099E-2</v>
      </c>
    </row>
    <row r="78" spans="1:32" ht="26.25" customHeight="1" x14ac:dyDescent="0.45">
      <c r="A78" s="6" t="s">
        <v>54</v>
      </c>
      <c r="B78" s="7">
        <v>3.8885936527488674E-2</v>
      </c>
      <c r="C78" s="7">
        <v>1.0574581852406447E-2</v>
      </c>
      <c r="D78" s="8">
        <v>0</v>
      </c>
      <c r="E78" s="8">
        <v>1</v>
      </c>
      <c r="F78" s="8">
        <v>343</v>
      </c>
      <c r="G78" s="7">
        <v>2.2568593907620688E-2</v>
      </c>
      <c r="H78" s="7">
        <v>6.1162172539352402E-3</v>
      </c>
      <c r="I78" s="8">
        <v>0</v>
      </c>
      <c r="J78" s="8">
        <v>1</v>
      </c>
      <c r="K78" s="8">
        <v>685</v>
      </c>
      <c r="L78" s="7">
        <v>3.2937805022014793E-2</v>
      </c>
      <c r="M78" s="7">
        <v>8.4536535443363193E-3</v>
      </c>
      <c r="N78" s="8">
        <v>0</v>
      </c>
      <c r="O78" s="8">
        <v>1</v>
      </c>
      <c r="P78" s="8">
        <v>622</v>
      </c>
      <c r="Q78" s="7">
        <v>1.925965267899778E-2</v>
      </c>
      <c r="R78" s="7">
        <v>5.2956971750310836E-3</v>
      </c>
      <c r="S78" s="8">
        <v>0</v>
      </c>
      <c r="T78" s="8">
        <v>1</v>
      </c>
      <c r="U78" s="8">
        <v>830</v>
      </c>
      <c r="V78" s="7">
        <v>2.2307614652230111E-3</v>
      </c>
      <c r="W78" s="7">
        <v>1.4149204262237688E-3</v>
      </c>
      <c r="X78" s="8">
        <v>0</v>
      </c>
      <c r="Y78" s="8">
        <v>1</v>
      </c>
      <c r="Z78" s="8">
        <v>733</v>
      </c>
      <c r="AA78" s="7">
        <v>2.5814108144230807E-2</v>
      </c>
      <c r="AB78" s="7">
        <v>3.9806236244021862E-3</v>
      </c>
      <c r="AC78" s="8">
        <v>0</v>
      </c>
      <c r="AD78" s="8">
        <v>1</v>
      </c>
      <c r="AE78" s="8">
        <v>3213</v>
      </c>
    </row>
    <row r="79" spans="1:32" ht="14.25" customHeight="1" x14ac:dyDescent="0.45">
      <c r="A79" s="6" t="s">
        <v>26</v>
      </c>
      <c r="B79" s="7">
        <v>8.576486464093927E-2</v>
      </c>
      <c r="C79" s="7">
        <v>1.5771548847512216E-2</v>
      </c>
      <c r="D79" s="8">
        <v>0</v>
      </c>
      <c r="E79" s="8">
        <v>1</v>
      </c>
      <c r="F79" s="8">
        <v>343</v>
      </c>
      <c r="G79" s="7">
        <v>0.13925597154135472</v>
      </c>
      <c r="H79" s="7">
        <v>1.4827699712798324E-2</v>
      </c>
      <c r="I79" s="8">
        <v>0</v>
      </c>
      <c r="J79" s="8">
        <v>1</v>
      </c>
      <c r="K79" s="8">
        <v>685</v>
      </c>
      <c r="L79" s="7">
        <v>0.19294981038581291</v>
      </c>
      <c r="M79" s="7">
        <v>1.7247019680870192E-2</v>
      </c>
      <c r="N79" s="8">
        <v>0</v>
      </c>
      <c r="O79" s="8">
        <v>1</v>
      </c>
      <c r="P79" s="8">
        <v>622</v>
      </c>
      <c r="Q79" s="7">
        <v>0.25108715945834204</v>
      </c>
      <c r="R79" s="7">
        <v>1.9830048301317873E-2</v>
      </c>
      <c r="S79" s="8">
        <v>0</v>
      </c>
      <c r="T79" s="8">
        <v>1</v>
      </c>
      <c r="U79" s="8">
        <v>830</v>
      </c>
      <c r="V79" s="7">
        <v>7.0128859538446192E-2</v>
      </c>
      <c r="W79" s="7">
        <v>1.3299827256235006E-2</v>
      </c>
      <c r="X79" s="8">
        <v>0</v>
      </c>
      <c r="Y79" s="8">
        <v>1</v>
      </c>
      <c r="Z79" s="8">
        <v>733</v>
      </c>
      <c r="AA79" s="7">
        <v>0.17686941314292795</v>
      </c>
      <c r="AB79" s="7">
        <v>9.108457477247504E-3</v>
      </c>
      <c r="AC79" s="8">
        <v>0</v>
      </c>
      <c r="AD79" s="8">
        <v>1</v>
      </c>
      <c r="AE79" s="8">
        <v>3213</v>
      </c>
      <c r="AF79">
        <f>(AA81/AA80)-AA79</f>
        <v>0.12464733433238703</v>
      </c>
    </row>
    <row r="80" spans="1:32" ht="14.25" customHeight="1" x14ac:dyDescent="0.45">
      <c r="A80" s="6" t="s">
        <v>34</v>
      </c>
      <c r="B80" s="7">
        <v>8.1787533107309865E-2</v>
      </c>
      <c r="C80" s="7">
        <v>1.7279206638313685E-2</v>
      </c>
      <c r="D80" s="8">
        <v>0</v>
      </c>
      <c r="E80" s="8">
        <v>1</v>
      </c>
      <c r="F80" s="8">
        <v>343</v>
      </c>
      <c r="G80" s="7">
        <v>7.7471492628192432E-2</v>
      </c>
      <c r="H80" s="7">
        <v>1.1471911375371565E-2</v>
      </c>
      <c r="I80" s="8">
        <v>0</v>
      </c>
      <c r="J80" s="8">
        <v>1</v>
      </c>
      <c r="K80" s="8">
        <v>685</v>
      </c>
      <c r="L80" s="7">
        <v>9.3337188203922908E-2</v>
      </c>
      <c r="M80" s="7">
        <v>1.3871048191407841E-2</v>
      </c>
      <c r="N80" s="8">
        <v>0</v>
      </c>
      <c r="O80" s="8">
        <v>1</v>
      </c>
      <c r="P80" s="8">
        <v>622</v>
      </c>
      <c r="Q80" s="7">
        <v>3.7296049679389667E-2</v>
      </c>
      <c r="R80" s="7">
        <v>9.3089825291206869E-3</v>
      </c>
      <c r="S80" s="8">
        <v>0</v>
      </c>
      <c r="T80" s="8">
        <v>1</v>
      </c>
      <c r="U80" s="8">
        <v>830</v>
      </c>
      <c r="V80" s="7">
        <v>2.513469963218028E-2</v>
      </c>
      <c r="W80" s="7">
        <v>7.9594489535297543E-3</v>
      </c>
      <c r="X80" s="8">
        <v>0</v>
      </c>
      <c r="Y80" s="8">
        <v>1</v>
      </c>
      <c r="Z80" s="8">
        <v>733</v>
      </c>
      <c r="AA80" s="7">
        <v>7.2866767578355668E-2</v>
      </c>
      <c r="AB80" s="7">
        <v>6.7889588799079637E-3</v>
      </c>
      <c r="AC80" s="8">
        <v>0</v>
      </c>
      <c r="AD80" s="8">
        <v>1</v>
      </c>
      <c r="AE80" s="8">
        <v>3213</v>
      </c>
      <c r="AF80">
        <f>(AA81/AA79)-AA80</f>
        <v>5.1352284030704395E-2</v>
      </c>
    </row>
    <row r="81" spans="1:32" ht="26.25" customHeight="1" x14ac:dyDescent="0.45">
      <c r="A81" s="6" t="s">
        <v>55</v>
      </c>
      <c r="B81" s="7">
        <v>1.3749408999914623E-2</v>
      </c>
      <c r="C81" s="7">
        <v>6.1730036446925153E-3</v>
      </c>
      <c r="D81" s="8">
        <v>0</v>
      </c>
      <c r="E81" s="8">
        <v>1</v>
      </c>
      <c r="F81" s="8">
        <v>343</v>
      </c>
      <c r="G81" s="7">
        <v>2.1527581541649087E-2</v>
      </c>
      <c r="H81" s="7">
        <v>6.0302727683080315E-3</v>
      </c>
      <c r="I81" s="8">
        <v>0</v>
      </c>
      <c r="J81" s="8">
        <v>1</v>
      </c>
      <c r="K81" s="8">
        <v>685</v>
      </c>
      <c r="L81" s="7">
        <v>3.0749356137907656E-2</v>
      </c>
      <c r="M81" s="7">
        <v>8.1845071236635054E-3</v>
      </c>
      <c r="N81" s="8">
        <v>0</v>
      </c>
      <c r="O81" s="8">
        <v>1</v>
      </c>
      <c r="P81" s="8">
        <v>622</v>
      </c>
      <c r="Q81" s="7">
        <v>1.3440413864653916E-2</v>
      </c>
      <c r="R81" s="7">
        <v>4.4069520833993426E-3</v>
      </c>
      <c r="S81" s="8">
        <v>0</v>
      </c>
      <c r="T81" s="8">
        <v>1</v>
      </c>
      <c r="U81" s="8">
        <v>830</v>
      </c>
      <c r="V81" s="7">
        <v>1.2511415300819292E-3</v>
      </c>
      <c r="W81" s="7">
        <v>1.0183153655313958E-3</v>
      </c>
      <c r="X81" s="8">
        <v>0</v>
      </c>
      <c r="Y81" s="8">
        <v>1</v>
      </c>
      <c r="Z81" s="8">
        <v>733</v>
      </c>
      <c r="AA81" s="7">
        <v>2.1970550759265534E-2</v>
      </c>
      <c r="AB81" s="7">
        <v>3.803119774354801E-3</v>
      </c>
      <c r="AC81" s="8">
        <v>0</v>
      </c>
      <c r="AD81" s="8">
        <v>1</v>
      </c>
      <c r="AE81" s="8">
        <v>3213</v>
      </c>
    </row>
    <row r="82" spans="1:32" ht="14.25" customHeight="1" x14ac:dyDescent="0.45">
      <c r="A82" s="6" t="s">
        <v>26</v>
      </c>
      <c r="B82" s="7">
        <v>8.576486464093927E-2</v>
      </c>
      <c r="C82" s="7">
        <v>1.5771548847512216E-2</v>
      </c>
      <c r="D82" s="8">
        <v>0</v>
      </c>
      <c r="E82" s="8">
        <v>1</v>
      </c>
      <c r="F82" s="8">
        <v>343</v>
      </c>
      <c r="G82" s="7">
        <v>0.13925597154135472</v>
      </c>
      <c r="H82" s="7">
        <v>1.4827699712798324E-2</v>
      </c>
      <c r="I82" s="8">
        <v>0</v>
      </c>
      <c r="J82" s="8">
        <v>1</v>
      </c>
      <c r="K82" s="8">
        <v>685</v>
      </c>
      <c r="L82" s="7">
        <v>0.19294981038581291</v>
      </c>
      <c r="M82" s="7">
        <v>1.7247019680870192E-2</v>
      </c>
      <c r="N82" s="8">
        <v>0</v>
      </c>
      <c r="O82" s="8">
        <v>1</v>
      </c>
      <c r="P82" s="8">
        <v>622</v>
      </c>
      <c r="Q82" s="7">
        <v>0.25108715945834204</v>
      </c>
      <c r="R82" s="7">
        <v>1.9830048301317873E-2</v>
      </c>
      <c r="S82" s="8">
        <v>0</v>
      </c>
      <c r="T82" s="8">
        <v>1</v>
      </c>
      <c r="U82" s="8">
        <v>830</v>
      </c>
      <c r="V82" s="7">
        <v>7.0128859538446192E-2</v>
      </c>
      <c r="W82" s="7">
        <v>1.3299827256235006E-2</v>
      </c>
      <c r="X82" s="8">
        <v>0</v>
      </c>
      <c r="Y82" s="8">
        <v>1</v>
      </c>
      <c r="Z82" s="8">
        <v>733</v>
      </c>
      <c r="AA82" s="7">
        <v>0.17686941314292795</v>
      </c>
      <c r="AB82" s="7">
        <v>9.108457477247504E-3</v>
      </c>
      <c r="AC82" s="8">
        <v>0</v>
      </c>
      <c r="AD82" s="8">
        <v>1</v>
      </c>
      <c r="AE82" s="8">
        <v>3213</v>
      </c>
      <c r="AF82">
        <f>(AA84/AA83)-AA82</f>
        <v>6.6714136531358464E-2</v>
      </c>
    </row>
    <row r="83" spans="1:32" ht="14.25" customHeight="1" x14ac:dyDescent="0.45">
      <c r="A83" s="6" t="s">
        <v>36</v>
      </c>
      <c r="B83" s="7">
        <v>0.22207872184389335</v>
      </c>
      <c r="C83" s="7">
        <v>2.4775433116898182E-2</v>
      </c>
      <c r="D83" s="8">
        <v>0</v>
      </c>
      <c r="E83" s="8">
        <v>1</v>
      </c>
      <c r="F83" s="8">
        <v>343</v>
      </c>
      <c r="G83" s="7">
        <v>9.3629004050585732E-2</v>
      </c>
      <c r="H83" s="7">
        <v>1.2914309363192237E-2</v>
      </c>
      <c r="I83" s="8">
        <v>0</v>
      </c>
      <c r="J83" s="8">
        <v>1</v>
      </c>
      <c r="K83" s="8">
        <v>685</v>
      </c>
      <c r="L83" s="7">
        <v>5.0675747986819425E-2</v>
      </c>
      <c r="M83" s="7">
        <v>1.1258657548167093E-2</v>
      </c>
      <c r="N83" s="8">
        <v>0</v>
      </c>
      <c r="O83" s="8">
        <v>1</v>
      </c>
      <c r="P83" s="8">
        <v>622</v>
      </c>
      <c r="Q83" s="7">
        <v>8.8906899619095245E-2</v>
      </c>
      <c r="R83" s="7">
        <v>1.5689910940161863E-2</v>
      </c>
      <c r="S83" s="8">
        <v>0</v>
      </c>
      <c r="T83" s="8">
        <v>1</v>
      </c>
      <c r="U83" s="8">
        <v>830</v>
      </c>
      <c r="V83" s="7">
        <v>0.14223726061043815</v>
      </c>
      <c r="W83" s="7">
        <v>1.6491487573434171E-2</v>
      </c>
      <c r="X83" s="8">
        <v>0</v>
      </c>
      <c r="Y83" s="8">
        <v>1</v>
      </c>
      <c r="Z83" s="8">
        <v>733</v>
      </c>
      <c r="AA83" s="7">
        <v>8.5558452234588231E-2</v>
      </c>
      <c r="AB83" s="7">
        <v>6.8658306176085059E-3</v>
      </c>
      <c r="AC83" s="8">
        <v>0</v>
      </c>
      <c r="AD83" s="8">
        <v>1</v>
      </c>
      <c r="AE83" s="8">
        <v>3213</v>
      </c>
      <c r="AF83">
        <f>(AA84/AA82)-AA83</f>
        <v>3.2272161491130394E-2</v>
      </c>
    </row>
    <row r="84" spans="1:32" ht="14.25" customHeight="1" x14ac:dyDescent="0.45">
      <c r="A84" s="6" t="s">
        <v>56</v>
      </c>
      <c r="B84" s="7">
        <v>3.6383247777105811E-2</v>
      </c>
      <c r="C84" s="7">
        <v>1.0725736638167296E-2</v>
      </c>
      <c r="D84" s="8">
        <v>0</v>
      </c>
      <c r="E84" s="8">
        <v>1</v>
      </c>
      <c r="F84" s="8">
        <v>343</v>
      </c>
      <c r="G84" s="7">
        <v>2.7769248882003991E-2</v>
      </c>
      <c r="H84" s="7">
        <v>7.761232835910078E-3</v>
      </c>
      <c r="I84" s="8">
        <v>0</v>
      </c>
      <c r="J84" s="8">
        <v>1</v>
      </c>
      <c r="K84" s="8">
        <v>685</v>
      </c>
      <c r="L84" s="7">
        <v>8.9665151503454908E-3</v>
      </c>
      <c r="M84" s="7">
        <v>4.971000834816326E-3</v>
      </c>
      <c r="N84" s="8">
        <v>0</v>
      </c>
      <c r="O84" s="8">
        <v>1</v>
      </c>
      <c r="P84" s="8">
        <v>622</v>
      </c>
      <c r="Q84" s="7">
        <v>3.4505487545941432E-2</v>
      </c>
      <c r="R84" s="7">
        <v>1.0794716130503474E-2</v>
      </c>
      <c r="S84" s="8">
        <v>0</v>
      </c>
      <c r="T84" s="8">
        <v>1</v>
      </c>
      <c r="U84" s="8">
        <v>830</v>
      </c>
      <c r="V84" s="7">
        <v>2.0498943443560767E-3</v>
      </c>
      <c r="W84" s="7">
        <v>9.3662435728613161E-4</v>
      </c>
      <c r="X84" s="8">
        <v>0</v>
      </c>
      <c r="Y84" s="8">
        <v>1</v>
      </c>
      <c r="Z84" s="8">
        <v>733</v>
      </c>
      <c r="AA84" s="7">
        <v>2.0840631499938884E-2</v>
      </c>
      <c r="AB84" s="7">
        <v>3.7822632320427072E-3</v>
      </c>
      <c r="AC84" s="8">
        <v>0</v>
      </c>
      <c r="AD84" s="8">
        <v>1</v>
      </c>
      <c r="AE84" s="8">
        <v>3213</v>
      </c>
    </row>
    <row r="85" spans="1:32" ht="14.25" customHeight="1" x14ac:dyDescent="0.45">
      <c r="A85" s="6" t="s">
        <v>26</v>
      </c>
      <c r="B85" s="7">
        <v>8.576486464093927E-2</v>
      </c>
      <c r="C85" s="7">
        <v>1.5771548847512216E-2</v>
      </c>
      <c r="D85" s="8">
        <v>0</v>
      </c>
      <c r="E85" s="8">
        <v>1</v>
      </c>
      <c r="F85" s="8">
        <v>343</v>
      </c>
      <c r="G85" s="7">
        <v>0.13925597154135472</v>
      </c>
      <c r="H85" s="7">
        <v>1.4827699712798324E-2</v>
      </c>
      <c r="I85" s="8">
        <v>0</v>
      </c>
      <c r="J85" s="8">
        <v>1</v>
      </c>
      <c r="K85" s="8">
        <v>685</v>
      </c>
      <c r="L85" s="7">
        <v>0.19294981038581291</v>
      </c>
      <c r="M85" s="7">
        <v>1.7247019680870192E-2</v>
      </c>
      <c r="N85" s="8">
        <v>0</v>
      </c>
      <c r="O85" s="8">
        <v>1</v>
      </c>
      <c r="P85" s="8">
        <v>622</v>
      </c>
      <c r="Q85" s="7">
        <v>0.25108715945834204</v>
      </c>
      <c r="R85" s="7">
        <v>1.9830048301317873E-2</v>
      </c>
      <c r="S85" s="8">
        <v>0</v>
      </c>
      <c r="T85" s="8">
        <v>1</v>
      </c>
      <c r="U85" s="8">
        <v>830</v>
      </c>
      <c r="V85" s="7">
        <v>7.0128859538446192E-2</v>
      </c>
      <c r="W85" s="7">
        <v>1.3299827256235006E-2</v>
      </c>
      <c r="X85" s="8">
        <v>0</v>
      </c>
      <c r="Y85" s="8">
        <v>1</v>
      </c>
      <c r="Z85" s="8">
        <v>733</v>
      </c>
      <c r="AA85" s="7">
        <v>0.17686941314292795</v>
      </c>
      <c r="AB85" s="7">
        <v>9.108457477247504E-3</v>
      </c>
      <c r="AC85" s="8">
        <v>0</v>
      </c>
      <c r="AD85" s="8">
        <v>1</v>
      </c>
      <c r="AE85" s="8">
        <v>3213</v>
      </c>
      <c r="AF85">
        <f>(AA87/AA86)-AA85</f>
        <v>0.11018928882648429</v>
      </c>
    </row>
    <row r="86" spans="1:32" ht="26.25" customHeight="1" x14ac:dyDescent="0.45">
      <c r="A86" s="6" t="s">
        <v>38</v>
      </c>
      <c r="B86" s="7">
        <v>0.429717204212403</v>
      </c>
      <c r="C86" s="7">
        <v>3.0392503365876303E-2</v>
      </c>
      <c r="D86" s="8">
        <v>0</v>
      </c>
      <c r="E86" s="8">
        <v>1</v>
      </c>
      <c r="F86" s="8">
        <v>343</v>
      </c>
      <c r="G86" s="7">
        <v>0.4800939721985647</v>
      </c>
      <c r="H86" s="7">
        <v>2.1458745860172199E-2</v>
      </c>
      <c r="I86" s="8">
        <v>0</v>
      </c>
      <c r="J86" s="8">
        <v>1</v>
      </c>
      <c r="K86" s="8">
        <v>685</v>
      </c>
      <c r="L86" s="7">
        <v>0.54292486162987486</v>
      </c>
      <c r="M86" s="7">
        <v>2.3097197169809559E-2</v>
      </c>
      <c r="N86" s="8">
        <v>0</v>
      </c>
      <c r="O86" s="8">
        <v>1</v>
      </c>
      <c r="P86" s="8">
        <v>622</v>
      </c>
      <c r="Q86" s="7">
        <v>0.5061258995781831</v>
      </c>
      <c r="R86" s="7">
        <v>2.4068941722059152E-2</v>
      </c>
      <c r="S86" s="8">
        <v>0</v>
      </c>
      <c r="T86" s="8">
        <v>1</v>
      </c>
      <c r="U86" s="8">
        <v>830</v>
      </c>
      <c r="V86" s="7">
        <v>0.21923941521723078</v>
      </c>
      <c r="W86" s="7">
        <v>2.2302742957611636E-2</v>
      </c>
      <c r="X86" s="8">
        <v>0</v>
      </c>
      <c r="Y86" s="8">
        <v>1</v>
      </c>
      <c r="Z86" s="8">
        <v>733</v>
      </c>
      <c r="AA86" s="7">
        <v>0.49346013284592816</v>
      </c>
      <c r="AB86" s="7">
        <v>1.2333331111640417E-2</v>
      </c>
      <c r="AC86" s="8">
        <v>0</v>
      </c>
      <c r="AD86" s="8">
        <v>1</v>
      </c>
      <c r="AE86" s="8">
        <v>3213</v>
      </c>
      <c r="AF86">
        <f>(AA87/AA85)-AA86</f>
        <v>0.307424670757378</v>
      </c>
    </row>
    <row r="87" spans="1:32" ht="26.25" customHeight="1" x14ac:dyDescent="0.45">
      <c r="A87" s="6" t="s">
        <v>57</v>
      </c>
      <c r="B87" s="7">
        <v>8.0151122148477957E-2</v>
      </c>
      <c r="C87" s="7">
        <v>1.5324676950897792E-2</v>
      </c>
      <c r="D87" s="8">
        <v>0</v>
      </c>
      <c r="E87" s="8">
        <v>1</v>
      </c>
      <c r="F87" s="8">
        <v>343</v>
      </c>
      <c r="G87" s="7">
        <v>0.11991775429922832</v>
      </c>
      <c r="H87" s="7">
        <v>1.3888073634832203E-2</v>
      </c>
      <c r="I87" s="8">
        <v>0</v>
      </c>
      <c r="J87" s="8">
        <v>1</v>
      </c>
      <c r="K87" s="8">
        <v>685</v>
      </c>
      <c r="L87" s="7">
        <v>0.16076151800957553</v>
      </c>
      <c r="M87" s="7">
        <v>1.6193701024964043E-2</v>
      </c>
      <c r="N87" s="8">
        <v>0</v>
      </c>
      <c r="O87" s="8">
        <v>1</v>
      </c>
      <c r="P87" s="8">
        <v>622</v>
      </c>
      <c r="Q87" s="7">
        <v>0.17748367128502199</v>
      </c>
      <c r="R87" s="7">
        <v>1.5899484908845948E-2</v>
      </c>
      <c r="S87" s="8">
        <v>0</v>
      </c>
      <c r="T87" s="8">
        <v>1</v>
      </c>
      <c r="U87" s="8">
        <v>830</v>
      </c>
      <c r="V87" s="7">
        <v>4.4205790269195674E-2</v>
      </c>
      <c r="W87" s="7">
        <v>1.0866519452044018E-2</v>
      </c>
      <c r="X87" s="8">
        <v>0</v>
      </c>
      <c r="Y87" s="8">
        <v>1</v>
      </c>
      <c r="Z87" s="8">
        <v>733</v>
      </c>
      <c r="AA87" s="7">
        <v>0.14165202520840586</v>
      </c>
      <c r="AB87" s="7">
        <v>8.2814525109502039E-3</v>
      </c>
      <c r="AC87" s="8">
        <v>0</v>
      </c>
      <c r="AD87" s="8">
        <v>1</v>
      </c>
      <c r="AE87" s="8">
        <v>3213</v>
      </c>
    </row>
    <row r="88" spans="1:32" ht="14.25" customHeight="1" x14ac:dyDescent="0.45">
      <c r="A88" s="6" t="s">
        <v>26</v>
      </c>
      <c r="B88" s="7">
        <v>8.576486464093927E-2</v>
      </c>
      <c r="C88" s="7">
        <v>1.5771548847512216E-2</v>
      </c>
      <c r="D88" s="8">
        <v>0</v>
      </c>
      <c r="E88" s="8">
        <v>1</v>
      </c>
      <c r="F88" s="8">
        <v>343</v>
      </c>
      <c r="G88" s="7">
        <v>0.13925597154135472</v>
      </c>
      <c r="H88" s="7">
        <v>1.4827699712798324E-2</v>
      </c>
      <c r="I88" s="8">
        <v>0</v>
      </c>
      <c r="J88" s="8">
        <v>1</v>
      </c>
      <c r="K88" s="8">
        <v>685</v>
      </c>
      <c r="L88" s="7">
        <v>0.19294981038581291</v>
      </c>
      <c r="M88" s="7">
        <v>1.7247019680870192E-2</v>
      </c>
      <c r="N88" s="8">
        <v>0</v>
      </c>
      <c r="O88" s="8">
        <v>1</v>
      </c>
      <c r="P88" s="8">
        <v>622</v>
      </c>
      <c r="Q88" s="7">
        <v>0.25108715945834204</v>
      </c>
      <c r="R88" s="7">
        <v>1.9830048301317873E-2</v>
      </c>
      <c r="S88" s="8">
        <v>0</v>
      </c>
      <c r="T88" s="8">
        <v>1</v>
      </c>
      <c r="U88" s="8">
        <v>830</v>
      </c>
      <c r="V88" s="7">
        <v>7.0128859538446192E-2</v>
      </c>
      <c r="W88" s="7">
        <v>1.3299827256235006E-2</v>
      </c>
      <c r="X88" s="8">
        <v>0</v>
      </c>
      <c r="Y88" s="8">
        <v>1</v>
      </c>
      <c r="Z88" s="8">
        <v>733</v>
      </c>
      <c r="AA88" s="7">
        <v>0.17686941314292795</v>
      </c>
      <c r="AB88" s="7">
        <v>9.108457477247504E-3</v>
      </c>
      <c r="AC88" s="8">
        <v>0</v>
      </c>
      <c r="AD88" s="8">
        <v>1</v>
      </c>
      <c r="AE88" s="8">
        <v>3213</v>
      </c>
      <c r="AF88">
        <f>(AA90/AA89)-AA88</f>
        <v>3.3110248573004208E-2</v>
      </c>
    </row>
    <row r="89" spans="1:32" ht="14.25" customHeight="1" x14ac:dyDescent="0.45">
      <c r="A89" s="6" t="s">
        <v>40</v>
      </c>
      <c r="B89" s="7">
        <v>0.11043143982498899</v>
      </c>
      <c r="C89" s="7">
        <v>1.9318318636183492E-2</v>
      </c>
      <c r="D89" s="8">
        <v>0</v>
      </c>
      <c r="E89" s="8">
        <v>1</v>
      </c>
      <c r="F89" s="8">
        <v>343</v>
      </c>
      <c r="G89" s="7">
        <v>0.11069522201123315</v>
      </c>
      <c r="H89" s="7">
        <v>1.3640876599586607E-2</v>
      </c>
      <c r="I89" s="8">
        <v>0</v>
      </c>
      <c r="J89" s="8">
        <v>1</v>
      </c>
      <c r="K89" s="8">
        <v>685</v>
      </c>
      <c r="L89" s="7">
        <v>0.20545282167499468</v>
      </c>
      <c r="M89" s="7">
        <v>1.8994482679167819E-2</v>
      </c>
      <c r="N89" s="8">
        <v>0</v>
      </c>
      <c r="O89" s="8">
        <v>1</v>
      </c>
      <c r="P89" s="8">
        <v>622</v>
      </c>
      <c r="Q89" s="7">
        <v>0.31815038623555536</v>
      </c>
      <c r="R89" s="7">
        <v>2.2407093634880186E-2</v>
      </c>
      <c r="S89" s="8">
        <v>0</v>
      </c>
      <c r="T89" s="8">
        <v>1</v>
      </c>
      <c r="U89" s="8">
        <v>830</v>
      </c>
      <c r="V89" s="7">
        <v>0.13233968886421418</v>
      </c>
      <c r="W89" s="7">
        <v>1.8303690851725167E-2</v>
      </c>
      <c r="X89" s="8">
        <v>0</v>
      </c>
      <c r="Y89" s="8">
        <v>1</v>
      </c>
      <c r="Z89" s="8">
        <v>733</v>
      </c>
      <c r="AA89" s="7">
        <v>0.19219833829689462</v>
      </c>
      <c r="AB89" s="7">
        <v>9.9022963989124652E-3</v>
      </c>
      <c r="AC89" s="8">
        <v>0</v>
      </c>
      <c r="AD89" s="8">
        <v>1</v>
      </c>
      <c r="AE89" s="8">
        <v>3213</v>
      </c>
      <c r="AF89">
        <f>(AA90/AA88)-AA89</f>
        <v>3.5979848879726911E-2</v>
      </c>
    </row>
    <row r="90" spans="1:32" ht="26.25" customHeight="1" x14ac:dyDescent="0.45">
      <c r="A90" s="6" t="s">
        <v>58</v>
      </c>
      <c r="B90" s="7">
        <v>1.8497384834260031E-2</v>
      </c>
      <c r="C90" s="7">
        <v>8.3005602750999673E-3</v>
      </c>
      <c r="D90" s="8">
        <v>0</v>
      </c>
      <c r="E90" s="8">
        <v>1</v>
      </c>
      <c r="F90" s="8">
        <v>343</v>
      </c>
      <c r="G90" s="7">
        <v>2.6253307811096666E-2</v>
      </c>
      <c r="H90" s="7">
        <v>6.8045752122984134E-3</v>
      </c>
      <c r="I90" s="8">
        <v>0</v>
      </c>
      <c r="J90" s="8">
        <v>1</v>
      </c>
      <c r="K90" s="8">
        <v>685</v>
      </c>
      <c r="L90" s="7">
        <v>2.5224849511550095E-2</v>
      </c>
      <c r="M90" s="7">
        <v>7.2346449952953367E-3</v>
      </c>
      <c r="N90" s="8">
        <v>0</v>
      </c>
      <c r="O90" s="8">
        <v>1</v>
      </c>
      <c r="P90" s="8">
        <v>622</v>
      </c>
      <c r="Q90" s="7">
        <v>0.10179457006756741</v>
      </c>
      <c r="R90" s="7">
        <v>1.506042665058969E-2</v>
      </c>
      <c r="S90" s="8">
        <v>0</v>
      </c>
      <c r="T90" s="8">
        <v>1</v>
      </c>
      <c r="U90" s="8">
        <v>830</v>
      </c>
      <c r="V90" s="7">
        <v>1.3646445817737491E-2</v>
      </c>
      <c r="W90" s="7">
        <v>6.0723541893351407E-3</v>
      </c>
      <c r="X90" s="8">
        <v>0</v>
      </c>
      <c r="Y90" s="8">
        <v>1</v>
      </c>
      <c r="Z90" s="8">
        <v>733</v>
      </c>
      <c r="AA90" s="7">
        <v>4.0357742057946219E-2</v>
      </c>
      <c r="AB90" s="7">
        <v>4.7555124392815139E-3</v>
      </c>
      <c r="AC90" s="8">
        <v>0</v>
      </c>
      <c r="AD90" s="8">
        <v>1</v>
      </c>
      <c r="AE90" s="8">
        <v>3213</v>
      </c>
    </row>
    <row r="91" spans="1:32" ht="14.25" customHeight="1" x14ac:dyDescent="0.45">
      <c r="A91" s="6" t="s">
        <v>26</v>
      </c>
      <c r="B91" s="7">
        <v>8.576486464093927E-2</v>
      </c>
      <c r="C91" s="7">
        <v>1.5771548847512216E-2</v>
      </c>
      <c r="D91" s="8">
        <v>0</v>
      </c>
      <c r="E91" s="8">
        <v>1</v>
      </c>
      <c r="F91" s="8">
        <v>343</v>
      </c>
      <c r="G91" s="7">
        <v>0.13925597154135472</v>
      </c>
      <c r="H91" s="7">
        <v>1.4827699712798324E-2</v>
      </c>
      <c r="I91" s="8">
        <v>0</v>
      </c>
      <c r="J91" s="8">
        <v>1</v>
      </c>
      <c r="K91" s="8">
        <v>685</v>
      </c>
      <c r="L91" s="7">
        <v>0.19294981038581291</v>
      </c>
      <c r="M91" s="7">
        <v>1.7247019680870192E-2</v>
      </c>
      <c r="N91" s="8">
        <v>0</v>
      </c>
      <c r="O91" s="8">
        <v>1</v>
      </c>
      <c r="P91" s="8">
        <v>622</v>
      </c>
      <c r="Q91" s="7">
        <v>0.25108715945834204</v>
      </c>
      <c r="R91" s="7">
        <v>1.9830048301317873E-2</v>
      </c>
      <c r="S91" s="8">
        <v>0</v>
      </c>
      <c r="T91" s="8">
        <v>1</v>
      </c>
      <c r="U91" s="8">
        <v>830</v>
      </c>
      <c r="V91" s="7">
        <v>7.0128859538446192E-2</v>
      </c>
      <c r="W91" s="7">
        <v>1.3299827256235006E-2</v>
      </c>
      <c r="X91" s="8">
        <v>0</v>
      </c>
      <c r="Y91" s="8">
        <v>1</v>
      </c>
      <c r="Z91" s="8">
        <v>733</v>
      </c>
      <c r="AA91" s="7">
        <v>0.17686941314292795</v>
      </c>
      <c r="AB91" s="7">
        <v>9.108457477247504E-3</v>
      </c>
      <c r="AC91" s="8">
        <v>0</v>
      </c>
      <c r="AD91" s="8">
        <v>1</v>
      </c>
      <c r="AE91" s="8">
        <v>3213</v>
      </c>
      <c r="AF91">
        <f>(AA93/AA92)-AA91</f>
        <v>5.6206013454794229E-2</v>
      </c>
    </row>
    <row r="92" spans="1:32" ht="14.25" customHeight="1" x14ac:dyDescent="0.45">
      <c r="A92" s="6" t="s">
        <v>42</v>
      </c>
      <c r="B92" s="7">
        <v>0.4041930049279841</v>
      </c>
      <c r="C92" s="7">
        <v>3.0232276444073676E-2</v>
      </c>
      <c r="D92" s="8">
        <v>0</v>
      </c>
      <c r="E92" s="8">
        <v>1</v>
      </c>
      <c r="F92" s="8">
        <v>343</v>
      </c>
      <c r="G92" s="7">
        <v>0.47166434397907836</v>
      </c>
      <c r="H92" s="7">
        <v>2.1519532355489479E-2</v>
      </c>
      <c r="I92" s="8">
        <v>0</v>
      </c>
      <c r="J92" s="8">
        <v>1</v>
      </c>
      <c r="K92" s="8">
        <v>685</v>
      </c>
      <c r="L92" s="7">
        <v>0.43338553269768243</v>
      </c>
      <c r="M92" s="7">
        <v>2.2944313900862667E-2</v>
      </c>
      <c r="N92" s="8">
        <v>0</v>
      </c>
      <c r="O92" s="8">
        <v>1</v>
      </c>
      <c r="P92" s="8">
        <v>622</v>
      </c>
      <c r="Q92" s="7">
        <v>0.37080005445994324</v>
      </c>
      <c r="R92" s="7">
        <v>2.2758196670672724E-2</v>
      </c>
      <c r="S92" s="8">
        <v>0</v>
      </c>
      <c r="T92" s="8">
        <v>1</v>
      </c>
      <c r="U92" s="8">
        <v>830</v>
      </c>
      <c r="V92" s="7">
        <v>0.40704376021255967</v>
      </c>
      <c r="W92" s="7">
        <v>2.6476273726386629E-2</v>
      </c>
      <c r="X92" s="8">
        <v>0</v>
      </c>
      <c r="Y92" s="8">
        <v>1</v>
      </c>
      <c r="Z92" s="8">
        <v>733</v>
      </c>
      <c r="AA92" s="7">
        <v>0.42838777016507279</v>
      </c>
      <c r="AB92" s="7">
        <v>1.219850561897003E-2</v>
      </c>
      <c r="AC92" s="8">
        <v>0</v>
      </c>
      <c r="AD92" s="8">
        <v>1</v>
      </c>
      <c r="AE92" s="8">
        <v>3213</v>
      </c>
      <c r="AF92">
        <f>(AA93/AA91)-AA92</f>
        <v>0.13613415878928714</v>
      </c>
    </row>
    <row r="93" spans="1:32" ht="26.25" customHeight="1" x14ac:dyDescent="0.45">
      <c r="A93" s="6" t="s">
        <v>59</v>
      </c>
      <c r="B93" s="7">
        <v>4.4080618818415553E-2</v>
      </c>
      <c r="C93" s="7">
        <v>1.1389423777308295E-2</v>
      </c>
      <c r="D93" s="8">
        <v>0</v>
      </c>
      <c r="E93" s="8">
        <v>1</v>
      </c>
      <c r="F93" s="8">
        <v>343</v>
      </c>
      <c r="G93" s="7">
        <v>8.0888856243022084E-2</v>
      </c>
      <c r="H93" s="7">
        <v>1.1876567443774824E-2</v>
      </c>
      <c r="I93" s="8">
        <v>0</v>
      </c>
      <c r="J93" s="8">
        <v>1</v>
      </c>
      <c r="K93" s="8">
        <v>685</v>
      </c>
      <c r="L93" s="7">
        <v>0.12076124766527466</v>
      </c>
      <c r="M93" s="7">
        <v>1.4565506728710886E-2</v>
      </c>
      <c r="N93" s="8">
        <v>0</v>
      </c>
      <c r="O93" s="8">
        <v>1</v>
      </c>
      <c r="P93" s="8">
        <v>622</v>
      </c>
      <c r="Q93" s="7">
        <v>0.1141502832056186</v>
      </c>
      <c r="R93" s="7">
        <v>1.3274013154673081E-2</v>
      </c>
      <c r="S93" s="8">
        <v>0</v>
      </c>
      <c r="T93" s="8">
        <v>1</v>
      </c>
      <c r="U93" s="8">
        <v>830</v>
      </c>
      <c r="V93" s="7">
        <v>5.1169665162510293E-2</v>
      </c>
      <c r="W93" s="7">
        <v>1.1291843844908894E-2</v>
      </c>
      <c r="X93" s="8">
        <v>0</v>
      </c>
      <c r="Y93" s="8">
        <v>1</v>
      </c>
      <c r="Z93" s="8">
        <v>733</v>
      </c>
      <c r="AA93" s="7">
        <v>9.9846662280471302E-2</v>
      </c>
      <c r="AB93" s="7">
        <v>7.2880658483570129E-3</v>
      </c>
      <c r="AC93" s="8">
        <v>0</v>
      </c>
      <c r="AD93" s="8">
        <v>1</v>
      </c>
      <c r="AE93" s="8">
        <v>3213</v>
      </c>
    </row>
    <row r="94" spans="1:32" ht="14.25" customHeight="1" x14ac:dyDescent="0.45">
      <c r="A94" s="6" t="s">
        <v>26</v>
      </c>
      <c r="B94" s="7">
        <v>8.576486464093927E-2</v>
      </c>
      <c r="C94" s="7">
        <v>1.5771548847512216E-2</v>
      </c>
      <c r="D94" s="8">
        <v>0</v>
      </c>
      <c r="E94" s="8">
        <v>1</v>
      </c>
      <c r="F94" s="8">
        <v>343</v>
      </c>
      <c r="G94" s="7">
        <v>0.13925597154135472</v>
      </c>
      <c r="H94" s="7">
        <v>1.4827699712798324E-2</v>
      </c>
      <c r="I94" s="8">
        <v>0</v>
      </c>
      <c r="J94" s="8">
        <v>1</v>
      </c>
      <c r="K94" s="8">
        <v>685</v>
      </c>
      <c r="L94" s="7">
        <v>0.19294981038581291</v>
      </c>
      <c r="M94" s="7">
        <v>1.7247019680870192E-2</v>
      </c>
      <c r="N94" s="8">
        <v>0</v>
      </c>
      <c r="O94" s="8">
        <v>1</v>
      </c>
      <c r="P94" s="8">
        <v>622</v>
      </c>
      <c r="Q94" s="7">
        <v>0.25108715945834204</v>
      </c>
      <c r="R94" s="7">
        <v>1.9830048301317873E-2</v>
      </c>
      <c r="S94" s="8">
        <v>0</v>
      </c>
      <c r="T94" s="8">
        <v>1</v>
      </c>
      <c r="U94" s="8">
        <v>830</v>
      </c>
      <c r="V94" s="7">
        <v>7.0128859538446192E-2</v>
      </c>
      <c r="W94" s="7">
        <v>1.3299827256235006E-2</v>
      </c>
      <c r="X94" s="8">
        <v>0</v>
      </c>
      <c r="Y94" s="8">
        <v>1</v>
      </c>
      <c r="Z94" s="8">
        <v>733</v>
      </c>
      <c r="AA94" s="7">
        <v>0.17686941314292795</v>
      </c>
      <c r="AB94" s="7">
        <v>9.108457477247504E-3</v>
      </c>
      <c r="AC94" s="8">
        <v>0</v>
      </c>
      <c r="AD94" s="8">
        <v>1</v>
      </c>
      <c r="AE94" s="8">
        <v>3213</v>
      </c>
      <c r="AF94">
        <f>(AA96/AA95)-AA94</f>
        <v>-6.7862377046849207E-2</v>
      </c>
    </row>
    <row r="95" spans="1:32" ht="14.25" customHeight="1" x14ac:dyDescent="0.45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343</v>
      </c>
      <c r="G95" s="7">
        <v>6.1239228844402228E-3</v>
      </c>
      <c r="H95" s="7">
        <v>2.559788277249609E-3</v>
      </c>
      <c r="I95" s="8">
        <v>0</v>
      </c>
      <c r="J95" s="8">
        <v>1</v>
      </c>
      <c r="K95" s="8">
        <v>685</v>
      </c>
      <c r="L95" s="7">
        <v>7.5222336372921406E-3</v>
      </c>
      <c r="M95" s="7">
        <v>3.888810135536692E-3</v>
      </c>
      <c r="N95" s="8">
        <v>0</v>
      </c>
      <c r="O95" s="8">
        <v>1</v>
      </c>
      <c r="P95" s="8">
        <v>622</v>
      </c>
      <c r="Q95" s="7">
        <v>4.3787001294212568E-3</v>
      </c>
      <c r="R95" s="7">
        <v>1.9345454374379675E-3</v>
      </c>
      <c r="S95" s="8">
        <v>0</v>
      </c>
      <c r="T95" s="8">
        <v>1</v>
      </c>
      <c r="U95" s="8">
        <v>830</v>
      </c>
      <c r="V95" s="7">
        <v>7.4989268254143093E-3</v>
      </c>
      <c r="W95" s="7">
        <v>5.3346475986279715E-3</v>
      </c>
      <c r="X95" s="8">
        <v>0</v>
      </c>
      <c r="Y95" s="8">
        <v>1</v>
      </c>
      <c r="Z95" s="8">
        <v>733</v>
      </c>
      <c r="AA95" s="7">
        <v>6.0425505430857273E-3</v>
      </c>
      <c r="AB95" s="7">
        <v>1.7730974810922998E-3</v>
      </c>
      <c r="AC95" s="8">
        <v>0</v>
      </c>
      <c r="AD95" s="8">
        <v>1</v>
      </c>
      <c r="AE95" s="8">
        <v>3213</v>
      </c>
      <c r="AF95">
        <f>(AA96/AA94)-AA95</f>
        <v>-2.3184440768634009E-3</v>
      </c>
    </row>
    <row r="96" spans="1:32" ht="26.25" customHeight="1" x14ac:dyDescent="0.45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343</v>
      </c>
      <c r="G96" s="7">
        <v>0</v>
      </c>
      <c r="H96" s="7">
        <v>0</v>
      </c>
      <c r="I96" s="8">
        <v>0</v>
      </c>
      <c r="J96" s="8">
        <v>0</v>
      </c>
      <c r="K96" s="8">
        <v>685</v>
      </c>
      <c r="L96" s="7">
        <v>1.5724607960677422E-3</v>
      </c>
      <c r="M96" s="7">
        <v>1.072812203712422E-3</v>
      </c>
      <c r="N96" s="8">
        <v>0</v>
      </c>
      <c r="O96" s="8">
        <v>1</v>
      </c>
      <c r="P96" s="8">
        <v>622</v>
      </c>
      <c r="Q96" s="7">
        <v>1.8043737193092687E-4</v>
      </c>
      <c r="R96" s="7">
        <v>1.7561853879222736E-4</v>
      </c>
      <c r="S96" s="8">
        <v>0</v>
      </c>
      <c r="T96" s="8">
        <v>1</v>
      </c>
      <c r="U96" s="8">
        <v>830</v>
      </c>
      <c r="V96" s="7">
        <v>0</v>
      </c>
      <c r="W96" s="7">
        <v>0</v>
      </c>
      <c r="X96" s="8">
        <v>0</v>
      </c>
      <c r="Y96" s="8">
        <v>0</v>
      </c>
      <c r="Z96" s="8">
        <v>733</v>
      </c>
      <c r="AA96" s="7">
        <v>6.5868052516252613E-4</v>
      </c>
      <c r="AB96" s="7">
        <v>4.24912858291952E-4</v>
      </c>
      <c r="AC96" s="8">
        <v>0</v>
      </c>
      <c r="AD96" s="8">
        <v>1</v>
      </c>
      <c r="AE96" s="8">
        <v>3213</v>
      </c>
    </row>
    <row r="97" spans="1:32" ht="14.25" customHeight="1" x14ac:dyDescent="0.45">
      <c r="A97" s="6" t="s">
        <v>26</v>
      </c>
      <c r="B97" s="7">
        <v>8.576486464093927E-2</v>
      </c>
      <c r="C97" s="7">
        <v>1.5771548847512216E-2</v>
      </c>
      <c r="D97" s="8">
        <v>0</v>
      </c>
      <c r="E97" s="8">
        <v>1</v>
      </c>
      <c r="F97" s="8">
        <v>343</v>
      </c>
      <c r="G97" s="7">
        <v>0.13925597154135472</v>
      </c>
      <c r="H97" s="7">
        <v>1.4827699712798324E-2</v>
      </c>
      <c r="I97" s="8">
        <v>0</v>
      </c>
      <c r="J97" s="8">
        <v>1</v>
      </c>
      <c r="K97" s="8">
        <v>685</v>
      </c>
      <c r="L97" s="7">
        <v>0.19294981038581291</v>
      </c>
      <c r="M97" s="7">
        <v>1.7247019680870192E-2</v>
      </c>
      <c r="N97" s="8">
        <v>0</v>
      </c>
      <c r="O97" s="8">
        <v>1</v>
      </c>
      <c r="P97" s="8">
        <v>622</v>
      </c>
      <c r="Q97" s="7">
        <v>0.25108715945834204</v>
      </c>
      <c r="R97" s="7">
        <v>1.9830048301317873E-2</v>
      </c>
      <c r="S97" s="8">
        <v>0</v>
      </c>
      <c r="T97" s="8">
        <v>1</v>
      </c>
      <c r="U97" s="8">
        <v>830</v>
      </c>
      <c r="V97" s="7">
        <v>7.0128859538446192E-2</v>
      </c>
      <c r="W97" s="7">
        <v>1.3299827256235006E-2</v>
      </c>
      <c r="X97" s="8">
        <v>0</v>
      </c>
      <c r="Y97" s="8">
        <v>1</v>
      </c>
      <c r="Z97" s="8">
        <v>733</v>
      </c>
      <c r="AA97" s="7">
        <v>0.17686941314292795</v>
      </c>
      <c r="AB97" s="7">
        <v>9.108457477247504E-3</v>
      </c>
      <c r="AC97" s="8">
        <v>0</v>
      </c>
      <c r="AD97" s="8">
        <v>1</v>
      </c>
      <c r="AE97" s="8">
        <v>3213</v>
      </c>
      <c r="AF97">
        <f>(AA99/AA98)-AA97</f>
        <v>8.9893001845757464E-2</v>
      </c>
    </row>
    <row r="98" spans="1:32" ht="39.5" customHeight="1" x14ac:dyDescent="0.45">
      <c r="A98" s="6" t="s">
        <v>16</v>
      </c>
      <c r="B98" s="7">
        <v>0.46175737392174987</v>
      </c>
      <c r="C98" s="7">
        <v>3.0710810789507388E-2</v>
      </c>
      <c r="D98" s="8">
        <v>0</v>
      </c>
      <c r="E98" s="8">
        <v>1</v>
      </c>
      <c r="F98" s="8">
        <v>343</v>
      </c>
      <c r="G98" s="7">
        <v>0.51171849969410388</v>
      </c>
      <c r="H98" s="7">
        <v>2.1509798906621986E-2</v>
      </c>
      <c r="I98" s="8">
        <v>0</v>
      </c>
      <c r="J98" s="8">
        <v>1</v>
      </c>
      <c r="K98" s="8">
        <v>685</v>
      </c>
      <c r="L98" s="7">
        <v>0.63828459018132044</v>
      </c>
      <c r="M98" s="7">
        <v>2.224943796975826E-2</v>
      </c>
      <c r="N98" s="8">
        <v>0</v>
      </c>
      <c r="O98" s="8">
        <v>1</v>
      </c>
      <c r="P98" s="8">
        <v>622</v>
      </c>
      <c r="Q98" s="7">
        <v>0.6594859044787692</v>
      </c>
      <c r="R98" s="7">
        <v>2.3371802530881509E-2</v>
      </c>
      <c r="S98" s="8">
        <v>0</v>
      </c>
      <c r="T98" s="8">
        <v>1</v>
      </c>
      <c r="U98" s="8">
        <v>830</v>
      </c>
      <c r="V98" s="7">
        <v>0.29098870335197347</v>
      </c>
      <c r="W98" s="7">
        <v>2.4531818658125738E-2</v>
      </c>
      <c r="X98" s="8">
        <v>0</v>
      </c>
      <c r="Y98" s="8">
        <v>1</v>
      </c>
      <c r="Z98" s="8">
        <v>733</v>
      </c>
      <c r="AA98" s="7">
        <v>0.57762752018153862</v>
      </c>
      <c r="AB98" s="7">
        <v>1.212537286467308E-2</v>
      </c>
      <c r="AC98" s="8">
        <v>0</v>
      </c>
      <c r="AD98" s="8">
        <v>1</v>
      </c>
      <c r="AE98" s="8">
        <v>3213</v>
      </c>
      <c r="AF98">
        <f>(AA99/AA97)-AA98</f>
        <v>0.29357632173449399</v>
      </c>
    </row>
    <row r="99" spans="1:32" ht="14.25" customHeight="1" x14ac:dyDescent="0.45">
      <c r="A99" s="6" t="s">
        <v>61</v>
      </c>
      <c r="B99" s="7">
        <v>8.0151122148477957E-2</v>
      </c>
      <c r="C99" s="7">
        <v>1.5324676950897792E-2</v>
      </c>
      <c r="D99" s="8">
        <v>0</v>
      </c>
      <c r="E99" s="8">
        <v>1</v>
      </c>
      <c r="F99" s="8">
        <v>343</v>
      </c>
      <c r="G99" s="7">
        <v>0.12276194026943467</v>
      </c>
      <c r="H99" s="7">
        <v>1.4005253519117192E-2</v>
      </c>
      <c r="I99" s="8">
        <v>0</v>
      </c>
      <c r="J99" s="8">
        <v>1</v>
      </c>
      <c r="K99" s="8">
        <v>685</v>
      </c>
      <c r="L99" s="7">
        <v>0.16663231034587295</v>
      </c>
      <c r="M99" s="7">
        <v>1.639829214004801E-2</v>
      </c>
      <c r="N99" s="8">
        <v>0</v>
      </c>
      <c r="O99" s="8">
        <v>1</v>
      </c>
      <c r="P99" s="8">
        <v>622</v>
      </c>
      <c r="Q99" s="7">
        <v>0.22065958833019758</v>
      </c>
      <c r="R99" s="7">
        <v>1.8745920306014192E-2</v>
      </c>
      <c r="S99" s="8">
        <v>0</v>
      </c>
      <c r="T99" s="8">
        <v>1</v>
      </c>
      <c r="U99" s="8">
        <v>830</v>
      </c>
      <c r="V99" s="7">
        <v>5.1062290311869159E-2</v>
      </c>
      <c r="W99" s="7">
        <v>1.1645793016622902E-2</v>
      </c>
      <c r="X99" s="8">
        <v>0</v>
      </c>
      <c r="Y99" s="8">
        <v>1</v>
      </c>
      <c r="Z99" s="8">
        <v>733</v>
      </c>
      <c r="AA99" s="7">
        <v>0.15408931224755287</v>
      </c>
      <c r="AB99" s="7">
        <v>8.6330139593536175E-3</v>
      </c>
      <c r="AC99" s="8">
        <v>0</v>
      </c>
      <c r="AD99" s="8">
        <v>1</v>
      </c>
      <c r="AE99" s="8">
        <v>3213</v>
      </c>
    </row>
    <row r="100" spans="1:32" ht="14.25" customHeight="1" x14ac:dyDescent="0.45">
      <c r="A100" s="6" t="s">
        <v>26</v>
      </c>
      <c r="B100" s="7">
        <v>8.576486464093927E-2</v>
      </c>
      <c r="C100" s="7">
        <v>1.5771548847512216E-2</v>
      </c>
      <c r="D100" s="8">
        <v>0</v>
      </c>
      <c r="E100" s="8">
        <v>1</v>
      </c>
      <c r="F100" s="8">
        <v>343</v>
      </c>
      <c r="G100" s="7">
        <v>0.13925597154135472</v>
      </c>
      <c r="H100" s="7">
        <v>1.4827699712798324E-2</v>
      </c>
      <c r="I100" s="8">
        <v>0</v>
      </c>
      <c r="J100" s="8">
        <v>1</v>
      </c>
      <c r="K100" s="8">
        <v>685</v>
      </c>
      <c r="L100" s="7">
        <v>0.19294981038581291</v>
      </c>
      <c r="M100" s="7">
        <v>1.7247019680870192E-2</v>
      </c>
      <c r="N100" s="8">
        <v>0</v>
      </c>
      <c r="O100" s="8">
        <v>1</v>
      </c>
      <c r="P100" s="8">
        <v>622</v>
      </c>
      <c r="Q100" s="7">
        <v>0.25108715945834204</v>
      </c>
      <c r="R100" s="7">
        <v>1.9830048301317873E-2</v>
      </c>
      <c r="S100" s="8">
        <v>0</v>
      </c>
      <c r="T100" s="8">
        <v>1</v>
      </c>
      <c r="U100" s="8">
        <v>830</v>
      </c>
      <c r="V100" s="7">
        <v>7.0128859538446192E-2</v>
      </c>
      <c r="W100" s="7">
        <v>1.3299827256235006E-2</v>
      </c>
      <c r="X100" s="8">
        <v>0</v>
      </c>
      <c r="Y100" s="8">
        <v>1</v>
      </c>
      <c r="Z100" s="8">
        <v>733</v>
      </c>
      <c r="AA100" s="7">
        <v>0.17686941314292795</v>
      </c>
      <c r="AB100" s="7">
        <v>9.108457477247504E-3</v>
      </c>
      <c r="AC100" s="8">
        <v>0</v>
      </c>
      <c r="AD100" s="8">
        <v>1</v>
      </c>
      <c r="AE100" s="8">
        <v>3213</v>
      </c>
      <c r="AF100">
        <f>(AA102/AA101)-AA100</f>
        <v>5.4554513354824835E-2</v>
      </c>
    </row>
    <row r="101" spans="1:32" ht="39.5" customHeight="1" x14ac:dyDescent="0.45">
      <c r="A101" s="6" t="s">
        <v>18</v>
      </c>
      <c r="B101" s="7">
        <v>0.65870111528749431</v>
      </c>
      <c r="C101" s="7">
        <v>2.9720045914151373E-2</v>
      </c>
      <c r="D101" s="8">
        <v>0</v>
      </c>
      <c r="E101" s="8">
        <v>1</v>
      </c>
      <c r="F101" s="8">
        <v>343</v>
      </c>
      <c r="G101" s="7">
        <v>0.68973128721603705</v>
      </c>
      <c r="H101" s="7">
        <v>1.9757484138470113E-2</v>
      </c>
      <c r="I101" s="8">
        <v>0</v>
      </c>
      <c r="J101" s="8">
        <v>1</v>
      </c>
      <c r="K101" s="8">
        <v>685</v>
      </c>
      <c r="L101" s="7">
        <v>0.69326134184086086</v>
      </c>
      <c r="M101" s="7">
        <v>2.1633597813178515E-2</v>
      </c>
      <c r="N101" s="8">
        <v>0</v>
      </c>
      <c r="O101" s="8">
        <v>1</v>
      </c>
      <c r="P101" s="8">
        <v>622</v>
      </c>
      <c r="Q101" s="7">
        <v>0.668125365389454</v>
      </c>
      <c r="R101" s="7">
        <v>2.3701307596769659E-2</v>
      </c>
      <c r="S101" s="8">
        <v>0</v>
      </c>
      <c r="T101" s="8">
        <v>1</v>
      </c>
      <c r="U101" s="8">
        <v>830</v>
      </c>
      <c r="V101" s="7">
        <v>0.47714183749717526</v>
      </c>
      <c r="W101" s="7">
        <v>2.7405582617474847E-2</v>
      </c>
      <c r="X101" s="8">
        <v>0</v>
      </c>
      <c r="Y101" s="8">
        <v>1</v>
      </c>
      <c r="Z101" s="8">
        <v>733</v>
      </c>
      <c r="AA101" s="7">
        <v>0.67349513472272604</v>
      </c>
      <c r="AB101" s="7">
        <v>1.1615894672939582E-2</v>
      </c>
      <c r="AC101" s="8">
        <v>0</v>
      </c>
      <c r="AD101" s="8">
        <v>1</v>
      </c>
      <c r="AE101" s="8">
        <v>3213</v>
      </c>
      <c r="AF101">
        <f>(AA102/AA100)-AA101</f>
        <v>0.20773631047189145</v>
      </c>
    </row>
    <row r="102" spans="1:32" ht="14.25" customHeight="1" x14ac:dyDescent="0.45">
      <c r="A102" s="6" t="s">
        <v>62</v>
      </c>
      <c r="B102" s="7">
        <v>8.2776344343684707E-2</v>
      </c>
      <c r="C102" s="7">
        <v>1.5522034152823399E-2</v>
      </c>
      <c r="D102" s="8">
        <v>0</v>
      </c>
      <c r="E102" s="8">
        <v>1</v>
      </c>
      <c r="F102" s="8">
        <v>343</v>
      </c>
      <c r="G102" s="7">
        <v>0.12731789358398113</v>
      </c>
      <c r="H102" s="7">
        <v>1.4283924442608464E-2</v>
      </c>
      <c r="I102" s="8">
        <v>0</v>
      </c>
      <c r="J102" s="8">
        <v>1</v>
      </c>
      <c r="K102" s="8">
        <v>685</v>
      </c>
      <c r="L102" s="7">
        <v>0.17705107458657249</v>
      </c>
      <c r="M102" s="7">
        <v>1.6715959281009614E-2</v>
      </c>
      <c r="N102" s="8">
        <v>0</v>
      </c>
      <c r="O102" s="8">
        <v>1</v>
      </c>
      <c r="P102" s="8">
        <v>622</v>
      </c>
      <c r="Q102" s="7">
        <v>0.19969568634399115</v>
      </c>
      <c r="R102" s="7">
        <v>1.6990717288356466E-2</v>
      </c>
      <c r="S102" s="8">
        <v>0</v>
      </c>
      <c r="T102" s="8">
        <v>1</v>
      </c>
      <c r="U102" s="8">
        <v>830</v>
      </c>
      <c r="V102" s="7">
        <v>6.1008748557850115E-2</v>
      </c>
      <c r="W102" s="7">
        <v>1.2700922670734896E-2</v>
      </c>
      <c r="X102" s="8">
        <v>0</v>
      </c>
      <c r="Y102" s="8">
        <v>1</v>
      </c>
      <c r="Z102" s="8">
        <v>733</v>
      </c>
      <c r="AA102" s="7">
        <v>0.15586288855466626</v>
      </c>
      <c r="AB102" s="7">
        <v>8.5920187693970321E-3</v>
      </c>
      <c r="AC102" s="8">
        <v>0</v>
      </c>
      <c r="AD102" s="8">
        <v>1</v>
      </c>
      <c r="AE102" s="8">
        <v>3213</v>
      </c>
    </row>
    <row r="103" spans="1:32" ht="14.25" customHeight="1" x14ac:dyDescent="0.45">
      <c r="A103" s="6" t="s">
        <v>26</v>
      </c>
      <c r="B103" s="7">
        <v>8.576486464093927E-2</v>
      </c>
      <c r="C103" s="7">
        <v>1.5771548847512216E-2</v>
      </c>
      <c r="D103" s="8">
        <v>0</v>
      </c>
      <c r="E103" s="8">
        <v>1</v>
      </c>
      <c r="F103" s="8">
        <v>343</v>
      </c>
      <c r="G103" s="7">
        <v>0.13925597154135472</v>
      </c>
      <c r="H103" s="7">
        <v>1.4827699712798324E-2</v>
      </c>
      <c r="I103" s="8">
        <v>0</v>
      </c>
      <c r="J103" s="8">
        <v>1</v>
      </c>
      <c r="K103" s="8">
        <v>685</v>
      </c>
      <c r="L103" s="7">
        <v>0.19294981038581291</v>
      </c>
      <c r="M103" s="7">
        <v>1.7247019680870192E-2</v>
      </c>
      <c r="N103" s="8">
        <v>0</v>
      </c>
      <c r="O103" s="8">
        <v>1</v>
      </c>
      <c r="P103" s="8">
        <v>622</v>
      </c>
      <c r="Q103" s="7">
        <v>0.25108715945834204</v>
      </c>
      <c r="R103" s="7">
        <v>1.9830048301317873E-2</v>
      </c>
      <c r="S103" s="8">
        <v>0</v>
      </c>
      <c r="T103" s="8">
        <v>1</v>
      </c>
      <c r="U103" s="8">
        <v>830</v>
      </c>
      <c r="V103" s="7">
        <v>7.0128859538446192E-2</v>
      </c>
      <c r="W103" s="7">
        <v>1.3299827256235006E-2</v>
      </c>
      <c r="X103" s="8">
        <v>0</v>
      </c>
      <c r="Y103" s="8">
        <v>1</v>
      </c>
      <c r="Z103" s="8">
        <v>733</v>
      </c>
      <c r="AA103" s="7">
        <v>0.17686941314292795</v>
      </c>
      <c r="AB103" s="7">
        <v>9.108457477247504E-3</v>
      </c>
      <c r="AC103" s="8">
        <v>0</v>
      </c>
      <c r="AD103" s="8">
        <v>1</v>
      </c>
      <c r="AE103" s="8">
        <v>3213</v>
      </c>
      <c r="AF103">
        <f>(AA105/AA104)-AA103</f>
        <v>0.109589571120046</v>
      </c>
    </row>
    <row r="104" spans="1:32" ht="39.5" customHeight="1" x14ac:dyDescent="0.45">
      <c r="A104" s="6" t="s">
        <v>20</v>
      </c>
      <c r="B104" s="7">
        <v>0.429717204212403</v>
      </c>
      <c r="C104" s="7">
        <v>3.0392503365876303E-2</v>
      </c>
      <c r="D104" s="8">
        <v>0</v>
      </c>
      <c r="E104" s="8">
        <v>1</v>
      </c>
      <c r="F104" s="8">
        <v>343</v>
      </c>
      <c r="G104" s="7">
        <v>0.48245904042650412</v>
      </c>
      <c r="H104" s="7">
        <v>2.146411101488091E-2</v>
      </c>
      <c r="I104" s="8">
        <v>0</v>
      </c>
      <c r="J104" s="8">
        <v>1</v>
      </c>
      <c r="K104" s="8">
        <v>685</v>
      </c>
      <c r="L104" s="7">
        <v>0.54779032545005502</v>
      </c>
      <c r="M104" s="7">
        <v>2.3079129928781021E-2</v>
      </c>
      <c r="N104" s="8">
        <v>0</v>
      </c>
      <c r="O104" s="8">
        <v>1</v>
      </c>
      <c r="P104" s="8">
        <v>622</v>
      </c>
      <c r="Q104" s="7">
        <v>0.50863999660499892</v>
      </c>
      <c r="R104" s="7">
        <v>2.4084097248153895E-2</v>
      </c>
      <c r="S104" s="8">
        <v>0</v>
      </c>
      <c r="T104" s="8">
        <v>1</v>
      </c>
      <c r="U104" s="8">
        <v>830</v>
      </c>
      <c r="V104" s="7">
        <v>0.21923941521723078</v>
      </c>
      <c r="W104" s="7">
        <v>2.2302742957611636E-2</v>
      </c>
      <c r="X104" s="8">
        <v>0</v>
      </c>
      <c r="Y104" s="8">
        <v>1</v>
      </c>
      <c r="Z104" s="8">
        <v>733</v>
      </c>
      <c r="AA104" s="7">
        <v>0.49658329004295232</v>
      </c>
      <c r="AB104" s="7">
        <v>1.2332775383448446E-2</v>
      </c>
      <c r="AC104" s="8">
        <v>0</v>
      </c>
      <c r="AD104" s="8">
        <v>1</v>
      </c>
      <c r="AE104" s="8">
        <v>3213</v>
      </c>
      <c r="AF104">
        <f>(AA105/AA103)-AA104</f>
        <v>0.3076866079564109</v>
      </c>
    </row>
    <row r="105" spans="1:32" ht="14.25" customHeight="1" x14ac:dyDescent="0.45">
      <c r="A105" s="6" t="s">
        <v>63</v>
      </c>
      <c r="B105" s="7">
        <v>8.0151122148477957E-2</v>
      </c>
      <c r="C105" s="7">
        <v>1.5324676950897792E-2</v>
      </c>
      <c r="D105" s="8">
        <v>0</v>
      </c>
      <c r="E105" s="8">
        <v>1</v>
      </c>
      <c r="F105" s="8">
        <v>343</v>
      </c>
      <c r="G105" s="7">
        <v>0.11991775429922832</v>
      </c>
      <c r="H105" s="7">
        <v>1.3888073634832203E-2</v>
      </c>
      <c r="I105" s="8">
        <v>0</v>
      </c>
      <c r="J105" s="8">
        <v>1</v>
      </c>
      <c r="K105" s="8">
        <v>685</v>
      </c>
      <c r="L105" s="7">
        <v>0.1622739799292299</v>
      </c>
      <c r="M105" s="7">
        <v>1.6221598564390746E-2</v>
      </c>
      <c r="N105" s="8">
        <v>0</v>
      </c>
      <c r="O105" s="8">
        <v>1</v>
      </c>
      <c r="P105" s="8">
        <v>622</v>
      </c>
      <c r="Q105" s="7">
        <v>0.17748885510723342</v>
      </c>
      <c r="R105" s="7">
        <v>1.5899528152835168E-2</v>
      </c>
      <c r="S105" s="8">
        <v>0</v>
      </c>
      <c r="T105" s="8">
        <v>1</v>
      </c>
      <c r="U105" s="8">
        <v>830</v>
      </c>
      <c r="V105" s="7">
        <v>4.4205790269195674E-2</v>
      </c>
      <c r="W105" s="7">
        <v>1.0866519452044018E-2</v>
      </c>
      <c r="X105" s="8">
        <v>0</v>
      </c>
      <c r="Y105" s="8">
        <v>1</v>
      </c>
      <c r="Z105" s="8">
        <v>733</v>
      </c>
      <c r="AA105" s="7">
        <v>0.14225074486766989</v>
      </c>
      <c r="AB105" s="7">
        <v>8.2897213885089575E-3</v>
      </c>
      <c r="AC105" s="8">
        <v>0</v>
      </c>
      <c r="AD105" s="8">
        <v>1</v>
      </c>
      <c r="AE105" s="8">
        <v>3213</v>
      </c>
    </row>
    <row r="106" spans="1:32" ht="14.25" customHeight="1" x14ac:dyDescent="0.45">
      <c r="A106" s="6" t="s">
        <v>26</v>
      </c>
      <c r="B106" s="7">
        <v>8.576486464093927E-2</v>
      </c>
      <c r="C106" s="7">
        <v>1.5771548847512216E-2</v>
      </c>
      <c r="D106" s="8">
        <v>0</v>
      </c>
      <c r="E106" s="8">
        <v>1</v>
      </c>
      <c r="F106" s="8">
        <v>343</v>
      </c>
      <c r="G106" s="7">
        <v>0.13925597154135472</v>
      </c>
      <c r="H106" s="7">
        <v>1.4827699712798324E-2</v>
      </c>
      <c r="I106" s="8">
        <v>0</v>
      </c>
      <c r="J106" s="8">
        <v>1</v>
      </c>
      <c r="K106" s="8">
        <v>685</v>
      </c>
      <c r="L106" s="7">
        <v>0.19294981038581291</v>
      </c>
      <c r="M106" s="7">
        <v>1.7247019680870192E-2</v>
      </c>
      <c r="N106" s="8">
        <v>0</v>
      </c>
      <c r="O106" s="8">
        <v>1</v>
      </c>
      <c r="P106" s="8">
        <v>622</v>
      </c>
      <c r="Q106" s="7">
        <v>0.25108715945834204</v>
      </c>
      <c r="R106" s="7">
        <v>1.9830048301317873E-2</v>
      </c>
      <c r="S106" s="8">
        <v>0</v>
      </c>
      <c r="T106" s="8">
        <v>1</v>
      </c>
      <c r="U106" s="8">
        <v>830</v>
      </c>
      <c r="V106" s="7">
        <v>7.0128859538446192E-2</v>
      </c>
      <c r="W106" s="7">
        <v>1.3299827256235006E-2</v>
      </c>
      <c r="X106" s="8">
        <v>0</v>
      </c>
      <c r="Y106" s="8">
        <v>1</v>
      </c>
      <c r="Z106" s="8">
        <v>733</v>
      </c>
      <c r="AA106" s="7">
        <v>0.17686941314292795</v>
      </c>
      <c r="AB106" s="7">
        <v>9.108457477247504E-3</v>
      </c>
      <c r="AC106" s="8">
        <v>0</v>
      </c>
      <c r="AD106" s="8">
        <v>1</v>
      </c>
      <c r="AE106" s="8">
        <v>3213</v>
      </c>
      <c r="AF106">
        <f>(AA108/AA107)-AA106</f>
        <v>5.1685124948252059E-2</v>
      </c>
    </row>
    <row r="107" spans="1:32" ht="26.25" customHeight="1" x14ac:dyDescent="0.45">
      <c r="A107" s="6" t="s">
        <v>22</v>
      </c>
      <c r="B107" s="7">
        <v>0.46674587389419697</v>
      </c>
      <c r="C107" s="7">
        <v>3.0838428333854969E-2</v>
      </c>
      <c r="D107" s="8">
        <v>0</v>
      </c>
      <c r="E107" s="8">
        <v>1</v>
      </c>
      <c r="F107" s="8">
        <v>343</v>
      </c>
      <c r="G107" s="7">
        <v>0.49721456493371274</v>
      </c>
      <c r="H107" s="7">
        <v>2.1503868885976371E-2</v>
      </c>
      <c r="I107" s="8">
        <v>0</v>
      </c>
      <c r="J107" s="8">
        <v>1</v>
      </c>
      <c r="K107" s="8">
        <v>685</v>
      </c>
      <c r="L107" s="7">
        <v>0.49499161311096951</v>
      </c>
      <c r="M107" s="7">
        <v>2.3190131273243066E-2</v>
      </c>
      <c r="N107" s="8">
        <v>0</v>
      </c>
      <c r="O107" s="8">
        <v>1</v>
      </c>
      <c r="P107" s="8">
        <v>622</v>
      </c>
      <c r="Q107" s="7">
        <v>0.52967048191567545</v>
      </c>
      <c r="R107" s="7">
        <v>2.4042503277593212E-2</v>
      </c>
      <c r="S107" s="8">
        <v>0</v>
      </c>
      <c r="T107" s="8">
        <v>1</v>
      </c>
      <c r="U107" s="8">
        <v>830</v>
      </c>
      <c r="V107" s="7">
        <v>0.43883011512701503</v>
      </c>
      <c r="W107" s="7">
        <v>2.6915661407478465E-2</v>
      </c>
      <c r="X107" s="8">
        <v>0</v>
      </c>
      <c r="Y107" s="8">
        <v>1</v>
      </c>
      <c r="Z107" s="8">
        <v>733</v>
      </c>
      <c r="AA107" s="7">
        <v>0.49819284931542523</v>
      </c>
      <c r="AB107" s="7">
        <v>1.2331295303939749E-2</v>
      </c>
      <c r="AC107" s="8">
        <v>0</v>
      </c>
      <c r="AD107" s="8">
        <v>1</v>
      </c>
      <c r="AE107" s="8">
        <v>3213</v>
      </c>
      <c r="AF107">
        <f>(AA108/AA106)-AA107</f>
        <v>0.14558288630937904</v>
      </c>
    </row>
    <row r="108" spans="1:32" ht="14.25" customHeight="1" x14ac:dyDescent="0.45">
      <c r="A108" s="6" t="s">
        <v>64</v>
      </c>
      <c r="B108" s="7">
        <v>5.5435254529123741E-2</v>
      </c>
      <c r="C108" s="7">
        <v>1.3040154806508485E-2</v>
      </c>
      <c r="D108" s="8">
        <v>0</v>
      </c>
      <c r="E108" s="8">
        <v>1</v>
      </c>
      <c r="F108" s="8">
        <v>343</v>
      </c>
      <c r="G108" s="7">
        <v>8.2125140960498569E-2</v>
      </c>
      <c r="H108" s="7">
        <v>1.1929974978721662E-2</v>
      </c>
      <c r="I108" s="8">
        <v>0</v>
      </c>
      <c r="J108" s="8">
        <v>1</v>
      </c>
      <c r="K108" s="8">
        <v>685</v>
      </c>
      <c r="L108" s="7">
        <v>0.12419882905755551</v>
      </c>
      <c r="M108" s="7">
        <v>1.4753447435504078E-2</v>
      </c>
      <c r="N108" s="8">
        <v>0</v>
      </c>
      <c r="O108" s="8">
        <v>1</v>
      </c>
      <c r="P108" s="8">
        <v>622</v>
      </c>
      <c r="Q108" s="7">
        <v>0.1695589823971044</v>
      </c>
      <c r="R108" s="7">
        <v>1.7067386190794506E-2</v>
      </c>
      <c r="S108" s="8">
        <v>0</v>
      </c>
      <c r="T108" s="8">
        <v>1</v>
      </c>
      <c r="U108" s="8">
        <v>830</v>
      </c>
      <c r="V108" s="7">
        <v>5.4879983654022468E-2</v>
      </c>
      <c r="W108" s="7">
        <v>1.1436052165576258E-2</v>
      </c>
      <c r="X108" s="8">
        <v>0</v>
      </c>
      <c r="Y108" s="8">
        <v>1</v>
      </c>
      <c r="Z108" s="8">
        <v>733</v>
      </c>
      <c r="AA108" s="7">
        <v>0.11386423655561587</v>
      </c>
      <c r="AB108" s="7">
        <v>7.7034008520527704E-3</v>
      </c>
      <c r="AC108" s="8">
        <v>0</v>
      </c>
      <c r="AD108" s="8">
        <v>1</v>
      </c>
      <c r="AE108" s="8">
        <v>3213</v>
      </c>
    </row>
    <row r="109" spans="1:32" ht="14.25" customHeight="1" x14ac:dyDescent="0.45">
      <c r="A109" s="6" t="s">
        <v>26</v>
      </c>
      <c r="B109" s="7">
        <v>8.576486464093927E-2</v>
      </c>
      <c r="C109" s="7">
        <v>1.5771548847512216E-2</v>
      </c>
      <c r="D109" s="8">
        <v>0</v>
      </c>
      <c r="E109" s="8">
        <v>1</v>
      </c>
      <c r="F109" s="8">
        <v>343</v>
      </c>
      <c r="G109" s="7">
        <v>0.13925597154135472</v>
      </c>
      <c r="H109" s="7">
        <v>1.4827699712798324E-2</v>
      </c>
      <c r="I109" s="8">
        <v>0</v>
      </c>
      <c r="J109" s="8">
        <v>1</v>
      </c>
      <c r="K109" s="8">
        <v>685</v>
      </c>
      <c r="L109" s="7">
        <v>0.19294981038581291</v>
      </c>
      <c r="M109" s="7">
        <v>1.7247019680870192E-2</v>
      </c>
      <c r="N109" s="8">
        <v>0</v>
      </c>
      <c r="O109" s="8">
        <v>1</v>
      </c>
      <c r="P109" s="8">
        <v>622</v>
      </c>
      <c r="Q109" s="7">
        <v>0.25108715945834204</v>
      </c>
      <c r="R109" s="7">
        <v>1.9830048301317873E-2</v>
      </c>
      <c r="S109" s="8">
        <v>0</v>
      </c>
      <c r="T109" s="8">
        <v>1</v>
      </c>
      <c r="U109" s="8">
        <v>830</v>
      </c>
      <c r="V109" s="7">
        <v>7.0128859538446192E-2</v>
      </c>
      <c r="W109" s="7">
        <v>1.3299827256235006E-2</v>
      </c>
      <c r="X109" s="8">
        <v>0</v>
      </c>
      <c r="Y109" s="8">
        <v>1</v>
      </c>
      <c r="Z109" s="8">
        <v>733</v>
      </c>
      <c r="AA109" s="7">
        <v>0.17686941314292795</v>
      </c>
      <c r="AB109" s="7">
        <v>9.108457477247504E-3</v>
      </c>
      <c r="AC109" s="8">
        <v>0</v>
      </c>
      <c r="AD109" s="8">
        <v>1</v>
      </c>
      <c r="AE109" s="8">
        <v>3213</v>
      </c>
      <c r="AF109">
        <f>(AA111/AA110)-AA109</f>
        <v>2.899467414190246E-2</v>
      </c>
    </row>
    <row r="110" spans="1:32" ht="26.25" customHeight="1" x14ac:dyDescent="0.45">
      <c r="A110" s="6" t="s">
        <v>24</v>
      </c>
      <c r="B110" s="7">
        <v>0.11043143982498899</v>
      </c>
      <c r="C110" s="7">
        <v>1.9318318636183492E-2</v>
      </c>
      <c r="D110" s="8">
        <v>0</v>
      </c>
      <c r="E110" s="8">
        <v>1</v>
      </c>
      <c r="F110" s="8">
        <v>343</v>
      </c>
      <c r="G110" s="7">
        <v>0.1141877917275687</v>
      </c>
      <c r="H110" s="7">
        <v>1.372767009886945E-2</v>
      </c>
      <c r="I110" s="8">
        <v>0</v>
      </c>
      <c r="J110" s="8">
        <v>1</v>
      </c>
      <c r="K110" s="8">
        <v>685</v>
      </c>
      <c r="L110" s="7">
        <v>0.2107063624328053</v>
      </c>
      <c r="M110" s="7">
        <v>1.9196340458493756E-2</v>
      </c>
      <c r="N110" s="8">
        <v>0</v>
      </c>
      <c r="O110" s="8">
        <v>1</v>
      </c>
      <c r="P110" s="8">
        <v>622</v>
      </c>
      <c r="Q110" s="7">
        <v>0.32132005623330667</v>
      </c>
      <c r="R110" s="7">
        <v>2.2425332775680609E-2</v>
      </c>
      <c r="S110" s="8">
        <v>0</v>
      </c>
      <c r="T110" s="8">
        <v>1</v>
      </c>
      <c r="U110" s="8">
        <v>830</v>
      </c>
      <c r="V110" s="7">
        <v>0.13983861568962849</v>
      </c>
      <c r="W110" s="7">
        <v>1.8872674699234135E-2</v>
      </c>
      <c r="X110" s="8">
        <v>0</v>
      </c>
      <c r="Y110" s="8">
        <v>1</v>
      </c>
      <c r="Z110" s="8">
        <v>733</v>
      </c>
      <c r="AA110" s="7">
        <v>0.19633718423549712</v>
      </c>
      <c r="AB110" s="7">
        <v>9.9780503174346086E-3</v>
      </c>
      <c r="AC110" s="8">
        <v>0</v>
      </c>
      <c r="AD110" s="8">
        <v>1</v>
      </c>
      <c r="AE110" s="8">
        <v>3213</v>
      </c>
      <c r="AF110">
        <f>(AA111/AA109)-AA110</f>
        <v>3.2186077726433199E-2</v>
      </c>
    </row>
    <row r="111" spans="1:32" ht="14.25" customHeight="1" x14ac:dyDescent="0.45">
      <c r="A111" s="6" t="s">
        <v>65</v>
      </c>
      <c r="B111" s="7">
        <v>1.8497384834260031E-2</v>
      </c>
      <c r="C111" s="7">
        <v>8.3005602750999673E-3</v>
      </c>
      <c r="D111" s="8">
        <v>0</v>
      </c>
      <c r="E111" s="8">
        <v>1</v>
      </c>
      <c r="F111" s="8">
        <v>343</v>
      </c>
      <c r="G111" s="7">
        <v>2.6253307811096666E-2</v>
      </c>
      <c r="H111" s="7">
        <v>6.8045752122984134E-3</v>
      </c>
      <c r="I111" s="8">
        <v>0</v>
      </c>
      <c r="J111" s="8">
        <v>1</v>
      </c>
      <c r="K111" s="8">
        <v>685</v>
      </c>
      <c r="L111" s="7">
        <v>2.5284848387963476E-2</v>
      </c>
      <c r="M111" s="7">
        <v>7.2348872328564118E-3</v>
      </c>
      <c r="N111" s="8">
        <v>0</v>
      </c>
      <c r="O111" s="8">
        <v>1</v>
      </c>
      <c r="P111" s="8">
        <v>622</v>
      </c>
      <c r="Q111" s="7">
        <v>0.10197500743949835</v>
      </c>
      <c r="R111" s="7">
        <v>1.5061008158970176E-2</v>
      </c>
      <c r="S111" s="8">
        <v>0</v>
      </c>
      <c r="T111" s="8">
        <v>1</v>
      </c>
      <c r="U111" s="8">
        <v>830</v>
      </c>
      <c r="V111" s="7">
        <v>1.3646445817737491E-2</v>
      </c>
      <c r="W111" s="7">
        <v>6.0723541893351407E-3</v>
      </c>
      <c r="X111" s="8">
        <v>0</v>
      </c>
      <c r="Y111" s="8">
        <v>1</v>
      </c>
      <c r="Z111" s="8">
        <v>733</v>
      </c>
      <c r="AA111" s="7">
        <v>4.0418775232714206E-2</v>
      </c>
      <c r="AB111" s="7">
        <v>4.7557073458288444E-3</v>
      </c>
      <c r="AC111" s="8">
        <v>0</v>
      </c>
      <c r="AD111" s="8">
        <v>1</v>
      </c>
      <c r="AE111" s="8">
        <v>3213</v>
      </c>
    </row>
    <row r="112" spans="1:32" ht="14.25" customHeight="1" x14ac:dyDescent="0.45">
      <c r="A112" s="6" t="s">
        <v>28</v>
      </c>
      <c r="B112" s="7">
        <v>2.3006458258515102E-2</v>
      </c>
      <c r="C112" s="7">
        <v>1.0076455733186959E-2</v>
      </c>
      <c r="D112" s="8">
        <v>0</v>
      </c>
      <c r="E112" s="8">
        <v>1</v>
      </c>
      <c r="F112" s="8">
        <v>343</v>
      </c>
      <c r="G112" s="7">
        <v>4.1625717873765983E-2</v>
      </c>
      <c r="H112" s="7">
        <v>8.2303678308347332E-3</v>
      </c>
      <c r="I112" s="8">
        <v>0</v>
      </c>
      <c r="J112" s="8">
        <v>1</v>
      </c>
      <c r="K112" s="8">
        <v>685</v>
      </c>
      <c r="L112" s="7">
        <v>0.18433984786311641</v>
      </c>
      <c r="M112" s="7">
        <v>1.8140749734377713E-2</v>
      </c>
      <c r="N112" s="8">
        <v>0</v>
      </c>
      <c r="O112" s="8">
        <v>1</v>
      </c>
      <c r="P112" s="8">
        <v>622</v>
      </c>
      <c r="Q112" s="7">
        <v>0.31375250664319881</v>
      </c>
      <c r="R112" s="7">
        <v>2.2409181743750201E-2</v>
      </c>
      <c r="S112" s="8">
        <v>0</v>
      </c>
      <c r="T112" s="8">
        <v>1</v>
      </c>
      <c r="U112" s="8">
        <v>830</v>
      </c>
      <c r="V112" s="7">
        <v>0.16879495507154094</v>
      </c>
      <c r="W112" s="7">
        <v>1.9160672712976504E-2</v>
      </c>
      <c r="X112" s="8">
        <v>0</v>
      </c>
      <c r="Y112" s="8">
        <v>1</v>
      </c>
      <c r="Z112" s="8">
        <v>733</v>
      </c>
      <c r="AA112" s="7">
        <v>0.16007873398575856</v>
      </c>
      <c r="AB112" s="7">
        <v>9.2204164547557959E-3</v>
      </c>
      <c r="AC112" s="8">
        <v>0</v>
      </c>
      <c r="AD112" s="8">
        <v>1</v>
      </c>
      <c r="AE112" s="8">
        <v>3213</v>
      </c>
      <c r="AF112">
        <f>(AA114/AA113)-AA112</f>
        <v>-4.6417225934182543E-2</v>
      </c>
    </row>
    <row r="113" spans="1:32" ht="14.25" customHeight="1" x14ac:dyDescent="0.45">
      <c r="A113" s="6" t="s">
        <v>30</v>
      </c>
      <c r="B113" s="7">
        <v>6.4347504419908913E-2</v>
      </c>
      <c r="C113" s="7">
        <v>1.6210000455232083E-2</v>
      </c>
      <c r="D113" s="8">
        <v>0</v>
      </c>
      <c r="E113" s="8">
        <v>1</v>
      </c>
      <c r="F113" s="8">
        <v>343</v>
      </c>
      <c r="G113" s="7">
        <v>5.5760819257979384E-3</v>
      </c>
      <c r="H113" s="7">
        <v>2.4155139287461349E-3</v>
      </c>
      <c r="I113" s="8">
        <v>0</v>
      </c>
      <c r="J113" s="8">
        <v>1</v>
      </c>
      <c r="K113" s="8">
        <v>685</v>
      </c>
      <c r="L113" s="7">
        <v>5.7784639354585186E-2</v>
      </c>
      <c r="M113" s="7">
        <v>1.0739851453532647E-2</v>
      </c>
      <c r="N113" s="8">
        <v>0</v>
      </c>
      <c r="O113" s="8">
        <v>1</v>
      </c>
      <c r="P113" s="8">
        <v>622</v>
      </c>
      <c r="Q113" s="7">
        <v>4.8263280491864416E-2</v>
      </c>
      <c r="R113" s="7">
        <v>9.4601041768455525E-3</v>
      </c>
      <c r="S113" s="8">
        <v>0</v>
      </c>
      <c r="T113" s="8">
        <v>1</v>
      </c>
      <c r="U113" s="8">
        <v>830</v>
      </c>
      <c r="V113" s="7">
        <v>0.11301588571797948</v>
      </c>
      <c r="W113" s="7">
        <v>2.095351119764903E-2</v>
      </c>
      <c r="X113" s="8">
        <v>0</v>
      </c>
      <c r="Y113" s="8">
        <v>1</v>
      </c>
      <c r="Z113" s="8">
        <v>733</v>
      </c>
      <c r="AA113" s="7">
        <v>4.4127348950210449E-2</v>
      </c>
      <c r="AB113" s="7">
        <v>4.9821697834856737E-3</v>
      </c>
      <c r="AC113" s="8">
        <v>0</v>
      </c>
      <c r="AD113" s="8">
        <v>1</v>
      </c>
      <c r="AE113" s="8">
        <v>3213</v>
      </c>
      <c r="AF113">
        <f>(AA114/AA112)-AA113</f>
        <v>-1.2795385589947611E-2</v>
      </c>
    </row>
    <row r="114" spans="1:32" ht="26.25" customHeight="1" x14ac:dyDescent="0.45">
      <c r="A114" s="6" t="s">
        <v>66</v>
      </c>
      <c r="B114" s="7">
        <v>6.3851716548637416E-3</v>
      </c>
      <c r="C114" s="7">
        <v>6.365791987261003E-3</v>
      </c>
      <c r="D114" s="8">
        <v>0</v>
      </c>
      <c r="E114" s="8">
        <v>1</v>
      </c>
      <c r="F114" s="8">
        <v>343</v>
      </c>
      <c r="G114" s="7">
        <v>3.4505426710893404E-3</v>
      </c>
      <c r="H114" s="7">
        <v>1.8624752966940382E-3</v>
      </c>
      <c r="I114" s="8">
        <v>0</v>
      </c>
      <c r="J114" s="8">
        <v>1</v>
      </c>
      <c r="K114" s="8">
        <v>685</v>
      </c>
      <c r="L114" s="7">
        <v>3.3287807689882064E-3</v>
      </c>
      <c r="M114" s="7">
        <v>2.3529169858024666E-3</v>
      </c>
      <c r="N114" s="8">
        <v>0</v>
      </c>
      <c r="O114" s="8">
        <v>1</v>
      </c>
      <c r="P114" s="8">
        <v>622</v>
      </c>
      <c r="Q114" s="7">
        <v>1.0106413610436522E-2</v>
      </c>
      <c r="R114" s="7">
        <v>3.444591572059081E-3</v>
      </c>
      <c r="S114" s="8">
        <v>0</v>
      </c>
      <c r="T114" s="8">
        <v>1</v>
      </c>
      <c r="U114" s="8">
        <v>830</v>
      </c>
      <c r="V114" s="7">
        <v>4.7593175477552083E-3</v>
      </c>
      <c r="W114" s="7">
        <v>1.4715625240446322E-3</v>
      </c>
      <c r="X114" s="8">
        <v>0</v>
      </c>
      <c r="Y114" s="8">
        <v>1</v>
      </c>
      <c r="Z114" s="8">
        <v>733</v>
      </c>
      <c r="AA114" s="7">
        <v>5.0155810279990491E-3</v>
      </c>
      <c r="AB114" s="7">
        <v>1.3393522184282337E-3</v>
      </c>
      <c r="AC114" s="8">
        <v>0</v>
      </c>
      <c r="AD114" s="8">
        <v>1</v>
      </c>
      <c r="AE114" s="8">
        <v>3213</v>
      </c>
    </row>
    <row r="115" spans="1:32" ht="14.25" customHeight="1" x14ac:dyDescent="0.45">
      <c r="A115" s="6" t="s">
        <v>28</v>
      </c>
      <c r="B115" s="7">
        <v>2.3006458258515102E-2</v>
      </c>
      <c r="C115" s="7">
        <v>1.0076455733186959E-2</v>
      </c>
      <c r="D115" s="8">
        <v>0</v>
      </c>
      <c r="E115" s="8">
        <v>1</v>
      </c>
      <c r="F115" s="8">
        <v>343</v>
      </c>
      <c r="G115" s="7">
        <v>4.1625717873765983E-2</v>
      </c>
      <c r="H115" s="7">
        <v>8.2303678308347332E-3</v>
      </c>
      <c r="I115" s="8">
        <v>0</v>
      </c>
      <c r="J115" s="8">
        <v>1</v>
      </c>
      <c r="K115" s="8">
        <v>685</v>
      </c>
      <c r="L115" s="7">
        <v>0.18433984786311641</v>
      </c>
      <c r="M115" s="7">
        <v>1.8140749734377713E-2</v>
      </c>
      <c r="N115" s="8">
        <v>0</v>
      </c>
      <c r="O115" s="8">
        <v>1</v>
      </c>
      <c r="P115" s="8">
        <v>622</v>
      </c>
      <c r="Q115" s="7">
        <v>0.31375250664319881</v>
      </c>
      <c r="R115" s="7">
        <v>2.2409181743750201E-2</v>
      </c>
      <c r="S115" s="8">
        <v>0</v>
      </c>
      <c r="T115" s="8">
        <v>1</v>
      </c>
      <c r="U115" s="8">
        <v>830</v>
      </c>
      <c r="V115" s="7">
        <v>0.16879495507154094</v>
      </c>
      <c r="W115" s="7">
        <v>1.9160672712976504E-2</v>
      </c>
      <c r="X115" s="8">
        <v>0</v>
      </c>
      <c r="Y115" s="8">
        <v>1</v>
      </c>
      <c r="Z115" s="8">
        <v>733</v>
      </c>
      <c r="AA115" s="7">
        <v>0.16007873398575856</v>
      </c>
      <c r="AB115" s="7">
        <v>9.2204164547557959E-3</v>
      </c>
      <c r="AC115" s="8">
        <v>0</v>
      </c>
      <c r="AD115" s="8">
        <v>1</v>
      </c>
      <c r="AE115" s="8">
        <v>3213</v>
      </c>
      <c r="AF115">
        <f>(AA117/AA116)-AA115</f>
        <v>-5.4292740097733966E-2</v>
      </c>
    </row>
    <row r="116" spans="1:32" ht="14.25" customHeight="1" x14ac:dyDescent="0.45">
      <c r="A116" s="6" t="s">
        <v>32</v>
      </c>
      <c r="B116" s="7">
        <v>0.2508434395881563</v>
      </c>
      <c r="C116" s="7">
        <v>2.6564985993478434E-2</v>
      </c>
      <c r="D116" s="8">
        <v>0</v>
      </c>
      <c r="E116" s="8">
        <v>1</v>
      </c>
      <c r="F116" s="8">
        <v>343</v>
      </c>
      <c r="G116" s="7">
        <v>0.11723648022517399</v>
      </c>
      <c r="H116" s="7">
        <v>1.3553156415989618E-2</v>
      </c>
      <c r="I116" s="8">
        <v>0</v>
      </c>
      <c r="J116" s="8">
        <v>1</v>
      </c>
      <c r="K116" s="8">
        <v>685</v>
      </c>
      <c r="L116" s="7">
        <v>0.10134866639101314</v>
      </c>
      <c r="M116" s="7">
        <v>1.4304965922128491E-2</v>
      </c>
      <c r="N116" s="8">
        <v>0</v>
      </c>
      <c r="O116" s="8">
        <v>1</v>
      </c>
      <c r="P116" s="8">
        <v>622</v>
      </c>
      <c r="Q116" s="7">
        <v>5.8577332732493929E-2</v>
      </c>
      <c r="R116" s="7">
        <v>1.0597856223613596E-2</v>
      </c>
      <c r="S116" s="8">
        <v>0</v>
      </c>
      <c r="T116" s="8">
        <v>1</v>
      </c>
      <c r="U116" s="8">
        <v>830</v>
      </c>
      <c r="V116" s="7">
        <v>3.2833700964905246E-2</v>
      </c>
      <c r="W116" s="7">
        <v>8.8742993180766557E-3</v>
      </c>
      <c r="X116" s="8">
        <v>0</v>
      </c>
      <c r="Y116" s="8">
        <v>1</v>
      </c>
      <c r="Z116" s="8">
        <v>733</v>
      </c>
      <c r="AA116" s="7">
        <v>0.10185964544597292</v>
      </c>
      <c r="AB116" s="7">
        <v>7.4120245141954984E-3</v>
      </c>
      <c r="AC116" s="8">
        <v>0</v>
      </c>
      <c r="AD116" s="8">
        <v>1</v>
      </c>
      <c r="AE116" s="8">
        <v>3213</v>
      </c>
      <c r="AF116">
        <f>(AA117/AA115)-AA116</f>
        <v>-3.4546995212602932E-2</v>
      </c>
    </row>
    <row r="117" spans="1:32" ht="14.25" customHeight="1" x14ac:dyDescent="0.45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343</v>
      </c>
      <c r="G117" s="7">
        <v>1.1057085512952265E-2</v>
      </c>
      <c r="H117" s="7">
        <v>4.4601342045545635E-3</v>
      </c>
      <c r="I117" s="8">
        <v>0</v>
      </c>
      <c r="J117" s="8">
        <v>1</v>
      </c>
      <c r="K117" s="8">
        <v>685</v>
      </c>
      <c r="L117" s="7">
        <v>6.5543518235842858E-3</v>
      </c>
      <c r="M117" s="7">
        <v>3.2563608908134545E-3</v>
      </c>
      <c r="N117" s="8">
        <v>0</v>
      </c>
      <c r="O117" s="8">
        <v>1</v>
      </c>
      <c r="P117" s="8">
        <v>622</v>
      </c>
      <c r="Q117" s="7">
        <v>2.2332910683658162E-2</v>
      </c>
      <c r="R117" s="7">
        <v>6.8417400662710492E-3</v>
      </c>
      <c r="S117" s="8">
        <v>0</v>
      </c>
      <c r="T117" s="8">
        <v>1</v>
      </c>
      <c r="U117" s="8">
        <v>830</v>
      </c>
      <c r="V117" s="7">
        <v>7.1601844639710257E-3</v>
      </c>
      <c r="W117" s="7">
        <v>3.9531722483326266E-3</v>
      </c>
      <c r="X117" s="8">
        <v>0</v>
      </c>
      <c r="Y117" s="8">
        <v>1</v>
      </c>
      <c r="Z117" s="8">
        <v>733</v>
      </c>
      <c r="AA117" s="7">
        <v>1.0775323830584044E-2</v>
      </c>
      <c r="AB117" s="7">
        <v>2.316544353564807E-3</v>
      </c>
      <c r="AC117" s="8">
        <v>0</v>
      </c>
      <c r="AD117" s="8">
        <v>1</v>
      </c>
      <c r="AE117" s="8">
        <v>3213</v>
      </c>
    </row>
    <row r="118" spans="1:32" ht="14.25" customHeight="1" x14ac:dyDescent="0.45">
      <c r="A118" s="6" t="s">
        <v>28</v>
      </c>
      <c r="B118" s="7">
        <v>2.3006458258515102E-2</v>
      </c>
      <c r="C118" s="7">
        <v>1.0076455733186959E-2</v>
      </c>
      <c r="D118" s="8">
        <v>0</v>
      </c>
      <c r="E118" s="8">
        <v>1</v>
      </c>
      <c r="F118" s="8">
        <v>343</v>
      </c>
      <c r="G118" s="7">
        <v>4.1625717873765983E-2</v>
      </c>
      <c r="H118" s="7">
        <v>8.2303678308347332E-3</v>
      </c>
      <c r="I118" s="8">
        <v>0</v>
      </c>
      <c r="J118" s="8">
        <v>1</v>
      </c>
      <c r="K118" s="8">
        <v>685</v>
      </c>
      <c r="L118" s="7">
        <v>0.18433984786311641</v>
      </c>
      <c r="M118" s="7">
        <v>1.8140749734377713E-2</v>
      </c>
      <c r="N118" s="8">
        <v>0</v>
      </c>
      <c r="O118" s="8">
        <v>1</v>
      </c>
      <c r="P118" s="8">
        <v>622</v>
      </c>
      <c r="Q118" s="7">
        <v>0.31375250664319881</v>
      </c>
      <c r="R118" s="7">
        <v>2.2409181743750201E-2</v>
      </c>
      <c r="S118" s="8">
        <v>0</v>
      </c>
      <c r="T118" s="8">
        <v>1</v>
      </c>
      <c r="U118" s="8">
        <v>830</v>
      </c>
      <c r="V118" s="7">
        <v>0.16879495507154094</v>
      </c>
      <c r="W118" s="7">
        <v>1.9160672712976504E-2</v>
      </c>
      <c r="X118" s="8">
        <v>0</v>
      </c>
      <c r="Y118" s="8">
        <v>1</v>
      </c>
      <c r="Z118" s="8">
        <v>733</v>
      </c>
      <c r="AA118" s="7">
        <v>0.16007873398575856</v>
      </c>
      <c r="AB118" s="7">
        <v>9.2204164547557959E-3</v>
      </c>
      <c r="AC118" s="8">
        <v>0</v>
      </c>
      <c r="AD118" s="8">
        <v>1</v>
      </c>
      <c r="AE118" s="8">
        <v>3213</v>
      </c>
      <c r="AF118">
        <f>(AA120/AA119)-AA118</f>
        <v>-5.6309675930200975E-2</v>
      </c>
    </row>
    <row r="119" spans="1:32" ht="14.25" customHeight="1" x14ac:dyDescent="0.45">
      <c r="A119" s="6" t="s">
        <v>34</v>
      </c>
      <c r="B119" s="7">
        <v>8.1787533107309865E-2</v>
      </c>
      <c r="C119" s="7">
        <v>1.7279206638313685E-2</v>
      </c>
      <c r="D119" s="8">
        <v>0</v>
      </c>
      <c r="E119" s="8">
        <v>1</v>
      </c>
      <c r="F119" s="8">
        <v>343</v>
      </c>
      <c r="G119" s="7">
        <v>7.7471492628192432E-2</v>
      </c>
      <c r="H119" s="7">
        <v>1.1471911375371565E-2</v>
      </c>
      <c r="I119" s="8">
        <v>0</v>
      </c>
      <c r="J119" s="8">
        <v>1</v>
      </c>
      <c r="K119" s="8">
        <v>685</v>
      </c>
      <c r="L119" s="7">
        <v>9.3337188203922908E-2</v>
      </c>
      <c r="M119" s="7">
        <v>1.3871048191407841E-2</v>
      </c>
      <c r="N119" s="8">
        <v>0</v>
      </c>
      <c r="O119" s="8">
        <v>1</v>
      </c>
      <c r="P119" s="8">
        <v>622</v>
      </c>
      <c r="Q119" s="7">
        <v>3.7296049679389667E-2</v>
      </c>
      <c r="R119" s="7">
        <v>9.3089825291206869E-3</v>
      </c>
      <c r="S119" s="8">
        <v>0</v>
      </c>
      <c r="T119" s="8">
        <v>1</v>
      </c>
      <c r="U119" s="8">
        <v>830</v>
      </c>
      <c r="V119" s="7">
        <v>2.513469963218028E-2</v>
      </c>
      <c r="W119" s="7">
        <v>7.9594489535297543E-3</v>
      </c>
      <c r="X119" s="8">
        <v>0</v>
      </c>
      <c r="Y119" s="8">
        <v>1</v>
      </c>
      <c r="Z119" s="8">
        <v>733</v>
      </c>
      <c r="AA119" s="7">
        <v>7.2866767578355668E-2</v>
      </c>
      <c r="AB119" s="7">
        <v>6.7889588799079637E-3</v>
      </c>
      <c r="AC119" s="8">
        <v>0</v>
      </c>
      <c r="AD119" s="8">
        <v>1</v>
      </c>
      <c r="AE119" s="8">
        <v>3213</v>
      </c>
      <c r="AF119">
        <f>(AA120/AA118)-AA119</f>
        <v>-2.5631787347740499E-2</v>
      </c>
    </row>
    <row r="120" spans="1:32" ht="26.25" customHeight="1" x14ac:dyDescent="0.45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343</v>
      </c>
      <c r="G120" s="7">
        <v>8.0291274140028551E-3</v>
      </c>
      <c r="H120" s="7">
        <v>4.0368343262132556E-3</v>
      </c>
      <c r="I120" s="8">
        <v>0</v>
      </c>
      <c r="J120" s="8">
        <v>1</v>
      </c>
      <c r="K120" s="8">
        <v>685</v>
      </c>
      <c r="L120" s="7">
        <v>5.7826979202846756E-3</v>
      </c>
      <c r="M120" s="7">
        <v>3.1639092946778363E-3</v>
      </c>
      <c r="N120" s="8">
        <v>0</v>
      </c>
      <c r="O120" s="8">
        <v>1</v>
      </c>
      <c r="P120" s="8">
        <v>622</v>
      </c>
      <c r="Q120" s="7">
        <v>1.3730925527791992E-2</v>
      </c>
      <c r="R120" s="7">
        <v>5.9405458960334013E-3</v>
      </c>
      <c r="S120" s="8">
        <v>0</v>
      </c>
      <c r="T120" s="8">
        <v>1</v>
      </c>
      <c r="U120" s="8">
        <v>830</v>
      </c>
      <c r="V120" s="7">
        <v>2.3426240226094054E-3</v>
      </c>
      <c r="W120" s="7">
        <v>1.1566453991259113E-3</v>
      </c>
      <c r="X120" s="8">
        <v>0</v>
      </c>
      <c r="Y120" s="8">
        <v>1</v>
      </c>
      <c r="Z120" s="8">
        <v>733</v>
      </c>
      <c r="AA120" s="7">
        <v>7.5613158351592099E-3</v>
      </c>
      <c r="AB120" s="7">
        <v>2.1049434765189686E-3</v>
      </c>
      <c r="AC120" s="8">
        <v>0</v>
      </c>
      <c r="AD120" s="8">
        <v>1</v>
      </c>
      <c r="AE120" s="8">
        <v>3213</v>
      </c>
    </row>
    <row r="121" spans="1:32" ht="14.25" customHeight="1" x14ac:dyDescent="0.45">
      <c r="A121" s="6" t="s">
        <v>28</v>
      </c>
      <c r="B121" s="7">
        <v>2.3006458258515102E-2</v>
      </c>
      <c r="C121" s="7">
        <v>1.0076455733186959E-2</v>
      </c>
      <c r="D121" s="8">
        <v>0</v>
      </c>
      <c r="E121" s="8">
        <v>1</v>
      </c>
      <c r="F121" s="8">
        <v>343</v>
      </c>
      <c r="G121" s="7">
        <v>4.1625717873765983E-2</v>
      </c>
      <c r="H121" s="7">
        <v>8.2303678308347332E-3</v>
      </c>
      <c r="I121" s="8">
        <v>0</v>
      </c>
      <c r="J121" s="8">
        <v>1</v>
      </c>
      <c r="K121" s="8">
        <v>685</v>
      </c>
      <c r="L121" s="7">
        <v>0.18433984786311641</v>
      </c>
      <c r="M121" s="7">
        <v>1.8140749734377713E-2</v>
      </c>
      <c r="N121" s="8">
        <v>0</v>
      </c>
      <c r="O121" s="8">
        <v>1</v>
      </c>
      <c r="P121" s="8">
        <v>622</v>
      </c>
      <c r="Q121" s="7">
        <v>0.31375250664319881</v>
      </c>
      <c r="R121" s="7">
        <v>2.2409181743750201E-2</v>
      </c>
      <c r="S121" s="8">
        <v>0</v>
      </c>
      <c r="T121" s="8">
        <v>1</v>
      </c>
      <c r="U121" s="8">
        <v>830</v>
      </c>
      <c r="V121" s="7">
        <v>0.16879495507154094</v>
      </c>
      <c r="W121" s="7">
        <v>1.9160672712976504E-2</v>
      </c>
      <c r="X121" s="8">
        <v>0</v>
      </c>
      <c r="Y121" s="8">
        <v>1</v>
      </c>
      <c r="Z121" s="8">
        <v>733</v>
      </c>
      <c r="AA121" s="7">
        <v>0.16007873398575856</v>
      </c>
      <c r="AB121" s="7">
        <v>9.2204164547557959E-3</v>
      </c>
      <c r="AC121" s="8">
        <v>0</v>
      </c>
      <c r="AD121" s="8">
        <v>1</v>
      </c>
      <c r="AE121" s="8">
        <v>3213</v>
      </c>
      <c r="AF121">
        <f>(AA123/AA122)-AA121</f>
        <v>-4.0091171102738257E-2</v>
      </c>
    </row>
    <row r="122" spans="1:32" ht="14.25" customHeight="1" x14ac:dyDescent="0.45">
      <c r="A122" s="6" t="s">
        <v>36</v>
      </c>
      <c r="B122" s="7">
        <v>0.22207872184389335</v>
      </c>
      <c r="C122" s="7">
        <v>2.4775433116898182E-2</v>
      </c>
      <c r="D122" s="8">
        <v>0</v>
      </c>
      <c r="E122" s="8">
        <v>1</v>
      </c>
      <c r="F122" s="8">
        <v>343</v>
      </c>
      <c r="G122" s="7">
        <v>9.3629004050585732E-2</v>
      </c>
      <c r="H122" s="7">
        <v>1.2914309363192237E-2</v>
      </c>
      <c r="I122" s="8">
        <v>0</v>
      </c>
      <c r="J122" s="8">
        <v>1</v>
      </c>
      <c r="K122" s="8">
        <v>685</v>
      </c>
      <c r="L122" s="7">
        <v>5.0675747986819425E-2</v>
      </c>
      <c r="M122" s="7">
        <v>1.1258657548167093E-2</v>
      </c>
      <c r="N122" s="8">
        <v>0</v>
      </c>
      <c r="O122" s="8">
        <v>1</v>
      </c>
      <c r="P122" s="8">
        <v>622</v>
      </c>
      <c r="Q122" s="7">
        <v>8.8906899619095245E-2</v>
      </c>
      <c r="R122" s="7">
        <v>1.5689910940161863E-2</v>
      </c>
      <c r="S122" s="8">
        <v>0</v>
      </c>
      <c r="T122" s="8">
        <v>1</v>
      </c>
      <c r="U122" s="8">
        <v>830</v>
      </c>
      <c r="V122" s="7">
        <v>0.14223726061043815</v>
      </c>
      <c r="W122" s="7">
        <v>1.6491487573434171E-2</v>
      </c>
      <c r="X122" s="8">
        <v>0</v>
      </c>
      <c r="Y122" s="8">
        <v>1</v>
      </c>
      <c r="Z122" s="8">
        <v>733</v>
      </c>
      <c r="AA122" s="7">
        <v>8.5558452234588231E-2</v>
      </c>
      <c r="AB122" s="7">
        <v>6.8658306176085059E-3</v>
      </c>
      <c r="AC122" s="8">
        <v>0</v>
      </c>
      <c r="AD122" s="8">
        <v>1</v>
      </c>
      <c r="AE122" s="8">
        <v>3213</v>
      </c>
      <c r="AF122">
        <f>(AA123/AA121)-AA122</f>
        <v>-2.1427821562653646E-2</v>
      </c>
    </row>
    <row r="123" spans="1:32" ht="14.25" customHeight="1" x14ac:dyDescent="0.45">
      <c r="A123" s="6" t="s">
        <v>69</v>
      </c>
      <c r="B123" s="7">
        <v>1.8945661610897187E-3</v>
      </c>
      <c r="C123" s="7">
        <v>1.8973552524378546E-3</v>
      </c>
      <c r="D123" s="8">
        <v>0</v>
      </c>
      <c r="E123" s="8">
        <v>1</v>
      </c>
      <c r="F123" s="8">
        <v>343</v>
      </c>
      <c r="G123" s="7">
        <v>1.3214872396032774E-3</v>
      </c>
      <c r="H123" s="7">
        <v>9.3560594075410488E-4</v>
      </c>
      <c r="I123" s="8">
        <v>0</v>
      </c>
      <c r="J123" s="8">
        <v>1</v>
      </c>
      <c r="K123" s="8">
        <v>685</v>
      </c>
      <c r="L123" s="7">
        <v>7.5623095982718051E-4</v>
      </c>
      <c r="M123" s="7">
        <v>7.5708043196814478E-4</v>
      </c>
      <c r="N123" s="8">
        <v>0</v>
      </c>
      <c r="O123" s="8">
        <v>1</v>
      </c>
      <c r="P123" s="8">
        <v>622</v>
      </c>
      <c r="Q123" s="7">
        <v>4.3935533135103538E-2</v>
      </c>
      <c r="R123" s="7">
        <v>1.2275903840047255E-2</v>
      </c>
      <c r="S123" s="8">
        <v>0</v>
      </c>
      <c r="T123" s="8">
        <v>1</v>
      </c>
      <c r="U123" s="8">
        <v>830</v>
      </c>
      <c r="V123" s="7">
        <v>7.2932467230159264E-3</v>
      </c>
      <c r="W123" s="7">
        <v>1.7876225721938299E-3</v>
      </c>
      <c r="X123" s="8">
        <v>0</v>
      </c>
      <c r="Y123" s="8">
        <v>1</v>
      </c>
      <c r="Z123" s="8">
        <v>733</v>
      </c>
      <c r="AA123" s="7">
        <v>1.0265950167671544E-2</v>
      </c>
      <c r="AB123" s="7">
        <v>2.6373889426077515E-3</v>
      </c>
      <c r="AC123" s="8">
        <v>0</v>
      </c>
      <c r="AD123" s="8">
        <v>1</v>
      </c>
      <c r="AE123" s="8">
        <v>3213</v>
      </c>
    </row>
    <row r="124" spans="1:32" ht="14.25" customHeight="1" x14ac:dyDescent="0.45">
      <c r="A124" s="6" t="s">
        <v>28</v>
      </c>
      <c r="B124" s="7">
        <v>2.3006458258515102E-2</v>
      </c>
      <c r="C124" s="7">
        <v>1.0076455733186959E-2</v>
      </c>
      <c r="D124" s="8">
        <v>0</v>
      </c>
      <c r="E124" s="8">
        <v>1</v>
      </c>
      <c r="F124" s="8">
        <v>343</v>
      </c>
      <c r="G124" s="7">
        <v>4.1625717873765983E-2</v>
      </c>
      <c r="H124" s="7">
        <v>8.2303678308347332E-3</v>
      </c>
      <c r="I124" s="8">
        <v>0</v>
      </c>
      <c r="J124" s="8">
        <v>1</v>
      </c>
      <c r="K124" s="8">
        <v>685</v>
      </c>
      <c r="L124" s="7">
        <v>0.18433984786311641</v>
      </c>
      <c r="M124" s="7">
        <v>1.8140749734377713E-2</v>
      </c>
      <c r="N124" s="8">
        <v>0</v>
      </c>
      <c r="O124" s="8">
        <v>1</v>
      </c>
      <c r="P124" s="8">
        <v>622</v>
      </c>
      <c r="Q124" s="7">
        <v>0.31375250664319881</v>
      </c>
      <c r="R124" s="7">
        <v>2.2409181743750201E-2</v>
      </c>
      <c r="S124" s="8">
        <v>0</v>
      </c>
      <c r="T124" s="8">
        <v>1</v>
      </c>
      <c r="U124" s="8">
        <v>830</v>
      </c>
      <c r="V124" s="7">
        <v>0.16879495507154094</v>
      </c>
      <c r="W124" s="7">
        <v>1.9160672712976504E-2</v>
      </c>
      <c r="X124" s="8">
        <v>0</v>
      </c>
      <c r="Y124" s="8">
        <v>1</v>
      </c>
      <c r="Z124" s="8">
        <v>733</v>
      </c>
      <c r="AA124" s="7">
        <v>0.16007873398575856</v>
      </c>
      <c r="AB124" s="7">
        <v>9.2204164547557959E-3</v>
      </c>
      <c r="AC124" s="8">
        <v>0</v>
      </c>
      <c r="AD124" s="8">
        <v>1</v>
      </c>
      <c r="AE124" s="8">
        <v>3213</v>
      </c>
      <c r="AF124">
        <f>(AA126/AA125)-AA124</f>
        <v>-2.8352920645210861E-2</v>
      </c>
    </row>
    <row r="125" spans="1:32" ht="26.25" customHeight="1" x14ac:dyDescent="0.45">
      <c r="A125" s="6" t="s">
        <v>38</v>
      </c>
      <c r="B125" s="7">
        <v>0.429717204212403</v>
      </c>
      <c r="C125" s="7">
        <v>3.0392503365876303E-2</v>
      </c>
      <c r="D125" s="8">
        <v>0</v>
      </c>
      <c r="E125" s="8">
        <v>1</v>
      </c>
      <c r="F125" s="8">
        <v>343</v>
      </c>
      <c r="G125" s="7">
        <v>0.4800939721985647</v>
      </c>
      <c r="H125" s="7">
        <v>2.1458745860172199E-2</v>
      </c>
      <c r="I125" s="8">
        <v>0</v>
      </c>
      <c r="J125" s="8">
        <v>1</v>
      </c>
      <c r="K125" s="8">
        <v>685</v>
      </c>
      <c r="L125" s="7">
        <v>0.54292486162987486</v>
      </c>
      <c r="M125" s="7">
        <v>2.3097197169809559E-2</v>
      </c>
      <c r="N125" s="8">
        <v>0</v>
      </c>
      <c r="O125" s="8">
        <v>1</v>
      </c>
      <c r="P125" s="8">
        <v>622</v>
      </c>
      <c r="Q125" s="7">
        <v>0.5061258995781831</v>
      </c>
      <c r="R125" s="7">
        <v>2.4068941722059152E-2</v>
      </c>
      <c r="S125" s="8">
        <v>0</v>
      </c>
      <c r="T125" s="8">
        <v>1</v>
      </c>
      <c r="U125" s="8">
        <v>830</v>
      </c>
      <c r="V125" s="7">
        <v>0.21923941521723078</v>
      </c>
      <c r="W125" s="7">
        <v>2.2302742957611636E-2</v>
      </c>
      <c r="X125" s="8">
        <v>0</v>
      </c>
      <c r="Y125" s="8">
        <v>1</v>
      </c>
      <c r="Z125" s="8">
        <v>733</v>
      </c>
      <c r="AA125" s="7">
        <v>0.49346013284592816</v>
      </c>
      <c r="AB125" s="7">
        <v>1.2333331111640417E-2</v>
      </c>
      <c r="AC125" s="8">
        <v>0</v>
      </c>
      <c r="AD125" s="8">
        <v>1</v>
      </c>
      <c r="AE125" s="8">
        <v>3213</v>
      </c>
      <c r="AF125">
        <f>(AA126/AA124)-AA125</f>
        <v>-8.7400966010891368E-2</v>
      </c>
    </row>
    <row r="126" spans="1:32" ht="26.25" customHeight="1" x14ac:dyDescent="0.45">
      <c r="A126" s="6" t="s">
        <v>70</v>
      </c>
      <c r="B126" s="7">
        <v>5.2150931698951774E-3</v>
      </c>
      <c r="C126" s="7">
        <v>3.7392474819172607E-3</v>
      </c>
      <c r="D126" s="8">
        <v>0</v>
      </c>
      <c r="E126" s="8">
        <v>1</v>
      </c>
      <c r="F126" s="8">
        <v>343</v>
      </c>
      <c r="G126" s="7">
        <v>5.4789549791944827E-3</v>
      </c>
      <c r="H126" s="7">
        <v>3.1661141541881065E-3</v>
      </c>
      <c r="I126" s="8">
        <v>0</v>
      </c>
      <c r="J126" s="8">
        <v>1</v>
      </c>
      <c r="K126" s="8">
        <v>685</v>
      </c>
      <c r="L126" s="7">
        <v>6.5287228930563351E-2</v>
      </c>
      <c r="M126" s="7">
        <v>1.1796550072810981E-2</v>
      </c>
      <c r="N126" s="8">
        <v>0</v>
      </c>
      <c r="O126" s="8">
        <v>1</v>
      </c>
      <c r="P126" s="8">
        <v>622</v>
      </c>
      <c r="Q126" s="7">
        <v>0.1626053979214086</v>
      </c>
      <c r="R126" s="7">
        <v>1.8485341783857676E-2</v>
      </c>
      <c r="S126" s="8">
        <v>0</v>
      </c>
      <c r="T126" s="8">
        <v>1</v>
      </c>
      <c r="U126" s="8">
        <v>830</v>
      </c>
      <c r="V126" s="7">
        <v>6.8883843128271727E-2</v>
      </c>
      <c r="W126" s="7">
        <v>1.4229414884621544E-2</v>
      </c>
      <c r="X126" s="8">
        <v>0</v>
      </c>
      <c r="Y126" s="8">
        <v>1</v>
      </c>
      <c r="Z126" s="8">
        <v>733</v>
      </c>
      <c r="AA126" s="7">
        <v>6.5001437350264604E-2</v>
      </c>
      <c r="AB126" s="7">
        <v>6.2952705207300879E-3</v>
      </c>
      <c r="AC126" s="8">
        <v>0</v>
      </c>
      <c r="AD126" s="8">
        <v>1</v>
      </c>
      <c r="AE126" s="8">
        <v>3213</v>
      </c>
    </row>
    <row r="127" spans="1:32" ht="14.25" customHeight="1" x14ac:dyDescent="0.45">
      <c r="A127" s="6" t="s">
        <v>28</v>
      </c>
      <c r="B127" s="7">
        <v>2.3006458258515102E-2</v>
      </c>
      <c r="C127" s="7">
        <v>1.0076455733186959E-2</v>
      </c>
      <c r="D127" s="8">
        <v>0</v>
      </c>
      <c r="E127" s="8">
        <v>1</v>
      </c>
      <c r="F127" s="8">
        <v>343</v>
      </c>
      <c r="G127" s="7">
        <v>4.1625717873765983E-2</v>
      </c>
      <c r="H127" s="7">
        <v>8.2303678308347332E-3</v>
      </c>
      <c r="I127" s="8">
        <v>0</v>
      </c>
      <c r="J127" s="8">
        <v>1</v>
      </c>
      <c r="K127" s="8">
        <v>685</v>
      </c>
      <c r="L127" s="7">
        <v>0.18433984786311641</v>
      </c>
      <c r="M127" s="7">
        <v>1.8140749734377713E-2</v>
      </c>
      <c r="N127" s="8">
        <v>0</v>
      </c>
      <c r="O127" s="8">
        <v>1</v>
      </c>
      <c r="P127" s="8">
        <v>622</v>
      </c>
      <c r="Q127" s="7">
        <v>0.31375250664319881</v>
      </c>
      <c r="R127" s="7">
        <v>2.2409181743750201E-2</v>
      </c>
      <c r="S127" s="8">
        <v>0</v>
      </c>
      <c r="T127" s="8">
        <v>1</v>
      </c>
      <c r="U127" s="8">
        <v>830</v>
      </c>
      <c r="V127" s="7">
        <v>0.16879495507154094</v>
      </c>
      <c r="W127" s="7">
        <v>1.9160672712976504E-2</v>
      </c>
      <c r="X127" s="8">
        <v>0</v>
      </c>
      <c r="Y127" s="8">
        <v>1</v>
      </c>
      <c r="Z127" s="8">
        <v>733</v>
      </c>
      <c r="AA127" s="7">
        <v>0.16007873398575856</v>
      </c>
      <c r="AB127" s="7">
        <v>9.2204164547557959E-3</v>
      </c>
      <c r="AC127" s="8">
        <v>0</v>
      </c>
      <c r="AD127" s="8">
        <v>1</v>
      </c>
      <c r="AE127" s="8">
        <v>3213</v>
      </c>
      <c r="AF127">
        <f>(AA129/AA128)-AA127</f>
        <v>3.8284817073998667E-2</v>
      </c>
    </row>
    <row r="128" spans="1:32" ht="14.25" customHeight="1" x14ac:dyDescent="0.45">
      <c r="A128" s="6" t="s">
        <v>40</v>
      </c>
      <c r="B128" s="7">
        <v>0.11043143982498899</v>
      </c>
      <c r="C128" s="7">
        <v>1.9318318636183492E-2</v>
      </c>
      <c r="D128" s="8">
        <v>0</v>
      </c>
      <c r="E128" s="8">
        <v>1</v>
      </c>
      <c r="F128" s="8">
        <v>343</v>
      </c>
      <c r="G128" s="7">
        <v>0.11069522201123315</v>
      </c>
      <c r="H128" s="7">
        <v>1.3640876599586607E-2</v>
      </c>
      <c r="I128" s="8">
        <v>0</v>
      </c>
      <c r="J128" s="8">
        <v>1</v>
      </c>
      <c r="K128" s="8">
        <v>685</v>
      </c>
      <c r="L128" s="7">
        <v>0.20545282167499468</v>
      </c>
      <c r="M128" s="7">
        <v>1.8994482679167819E-2</v>
      </c>
      <c r="N128" s="8">
        <v>0</v>
      </c>
      <c r="O128" s="8">
        <v>1</v>
      </c>
      <c r="P128" s="8">
        <v>622</v>
      </c>
      <c r="Q128" s="7">
        <v>0.31815038623555536</v>
      </c>
      <c r="R128" s="7">
        <v>2.2407093634880186E-2</v>
      </c>
      <c r="S128" s="8">
        <v>0</v>
      </c>
      <c r="T128" s="8">
        <v>1</v>
      </c>
      <c r="U128" s="8">
        <v>830</v>
      </c>
      <c r="V128" s="7">
        <v>0.13233968886421418</v>
      </c>
      <c r="W128" s="7">
        <v>1.8303690851725167E-2</v>
      </c>
      <c r="X128" s="8">
        <v>0</v>
      </c>
      <c r="Y128" s="8">
        <v>1</v>
      </c>
      <c r="Z128" s="8">
        <v>733</v>
      </c>
      <c r="AA128" s="7">
        <v>0.19219833829689462</v>
      </c>
      <c r="AB128" s="7">
        <v>9.9022963989124652E-3</v>
      </c>
      <c r="AC128" s="8">
        <v>0</v>
      </c>
      <c r="AD128" s="8">
        <v>1</v>
      </c>
      <c r="AE128" s="8">
        <v>3213</v>
      </c>
      <c r="AF128">
        <f>(AA129/AA127)-AA128</f>
        <v>4.5966619302959727E-2</v>
      </c>
    </row>
    <row r="129" spans="1:32" ht="26.25" customHeight="1" x14ac:dyDescent="0.45">
      <c r="A129" s="6" t="s">
        <v>71</v>
      </c>
      <c r="B129" s="7">
        <v>3.0461780581136186E-3</v>
      </c>
      <c r="C129" s="7">
        <v>3.0471473728500139E-3</v>
      </c>
      <c r="D129" s="8">
        <v>0</v>
      </c>
      <c r="E129" s="8">
        <v>1</v>
      </c>
      <c r="F129" s="8">
        <v>343</v>
      </c>
      <c r="G129" s="7">
        <v>0</v>
      </c>
      <c r="H129" s="7">
        <v>0</v>
      </c>
      <c r="I129" s="8">
        <v>0</v>
      </c>
      <c r="J129" s="8">
        <v>0</v>
      </c>
      <c r="K129" s="8">
        <v>685</v>
      </c>
      <c r="L129" s="7">
        <v>3.0261011737435603E-2</v>
      </c>
      <c r="M129" s="7">
        <v>8.893560592077741E-3</v>
      </c>
      <c r="N129" s="8">
        <v>0</v>
      </c>
      <c r="O129" s="8">
        <v>1</v>
      </c>
      <c r="P129" s="8">
        <v>622</v>
      </c>
      <c r="Q129" s="7">
        <v>0.11748110052375182</v>
      </c>
      <c r="R129" s="7">
        <v>1.6369725441692039E-2</v>
      </c>
      <c r="S129" s="8">
        <v>0</v>
      </c>
      <c r="T129" s="8">
        <v>1</v>
      </c>
      <c r="U129" s="8">
        <v>830</v>
      </c>
      <c r="V129" s="7">
        <v>3.1563536366066063E-2</v>
      </c>
      <c r="W129" s="7">
        <v>8.4133055438193362E-3</v>
      </c>
      <c r="X129" s="8">
        <v>0</v>
      </c>
      <c r="Y129" s="8">
        <v>1</v>
      </c>
      <c r="Z129" s="8">
        <v>733</v>
      </c>
      <c r="AA129" s="7">
        <v>3.8125144892356549E-2</v>
      </c>
      <c r="AB129" s="7">
        <v>5.0115667236063305E-3</v>
      </c>
      <c r="AC129" s="8">
        <v>0</v>
      </c>
      <c r="AD129" s="8">
        <v>1</v>
      </c>
      <c r="AE129" s="8">
        <v>3213</v>
      </c>
    </row>
    <row r="130" spans="1:32" ht="14.25" customHeight="1" x14ac:dyDescent="0.45">
      <c r="A130" s="6" t="s">
        <v>28</v>
      </c>
      <c r="B130" s="7">
        <v>2.3006458258515102E-2</v>
      </c>
      <c r="C130" s="7">
        <v>1.0076455733186959E-2</v>
      </c>
      <c r="D130" s="8">
        <v>0</v>
      </c>
      <c r="E130" s="8">
        <v>1</v>
      </c>
      <c r="F130" s="8">
        <v>343</v>
      </c>
      <c r="G130" s="7">
        <v>4.1625717873765983E-2</v>
      </c>
      <c r="H130" s="7">
        <v>8.2303678308347332E-3</v>
      </c>
      <c r="I130" s="8">
        <v>0</v>
      </c>
      <c r="J130" s="8">
        <v>1</v>
      </c>
      <c r="K130" s="8">
        <v>685</v>
      </c>
      <c r="L130" s="7">
        <v>0.18433984786311641</v>
      </c>
      <c r="M130" s="7">
        <v>1.8140749734377713E-2</v>
      </c>
      <c r="N130" s="8">
        <v>0</v>
      </c>
      <c r="O130" s="8">
        <v>1</v>
      </c>
      <c r="P130" s="8">
        <v>622</v>
      </c>
      <c r="Q130" s="7">
        <v>0.31375250664319881</v>
      </c>
      <c r="R130" s="7">
        <v>2.2409181743750201E-2</v>
      </c>
      <c r="S130" s="8">
        <v>0</v>
      </c>
      <c r="T130" s="8">
        <v>1</v>
      </c>
      <c r="U130" s="8">
        <v>830</v>
      </c>
      <c r="V130" s="7">
        <v>0.16879495507154094</v>
      </c>
      <c r="W130" s="7">
        <v>1.9160672712976504E-2</v>
      </c>
      <c r="X130" s="8">
        <v>0</v>
      </c>
      <c r="Y130" s="8">
        <v>1</v>
      </c>
      <c r="Z130" s="8">
        <v>733</v>
      </c>
      <c r="AA130" s="7">
        <v>0.16007873398575856</v>
      </c>
      <c r="AB130" s="7">
        <v>9.2204164547557959E-3</v>
      </c>
      <c r="AC130" s="8">
        <v>0</v>
      </c>
      <c r="AD130" s="8">
        <v>1</v>
      </c>
      <c r="AE130" s="8">
        <v>3213</v>
      </c>
      <c r="AF130">
        <f>(AA132/AA131)-AA130</f>
        <v>2.6584544871741306E-2</v>
      </c>
    </row>
    <row r="131" spans="1:32" ht="14.25" customHeight="1" x14ac:dyDescent="0.45">
      <c r="A131" s="6" t="s">
        <v>42</v>
      </c>
      <c r="B131" s="7">
        <v>0.4041930049279841</v>
      </c>
      <c r="C131" s="7">
        <v>3.0232276444073676E-2</v>
      </c>
      <c r="D131" s="8">
        <v>0</v>
      </c>
      <c r="E131" s="8">
        <v>1</v>
      </c>
      <c r="F131" s="8">
        <v>343</v>
      </c>
      <c r="G131" s="7">
        <v>0.47166434397907836</v>
      </c>
      <c r="H131" s="7">
        <v>2.1519532355489479E-2</v>
      </c>
      <c r="I131" s="8">
        <v>0</v>
      </c>
      <c r="J131" s="8">
        <v>1</v>
      </c>
      <c r="K131" s="8">
        <v>685</v>
      </c>
      <c r="L131" s="7">
        <v>0.43338553269768243</v>
      </c>
      <c r="M131" s="7">
        <v>2.2944313900862667E-2</v>
      </c>
      <c r="N131" s="8">
        <v>0</v>
      </c>
      <c r="O131" s="8">
        <v>1</v>
      </c>
      <c r="P131" s="8">
        <v>622</v>
      </c>
      <c r="Q131" s="7">
        <v>0.37080005445994324</v>
      </c>
      <c r="R131" s="7">
        <v>2.2758196670672724E-2</v>
      </c>
      <c r="S131" s="8">
        <v>0</v>
      </c>
      <c r="T131" s="8">
        <v>1</v>
      </c>
      <c r="U131" s="8">
        <v>830</v>
      </c>
      <c r="V131" s="7">
        <v>0.40704376021255967</v>
      </c>
      <c r="W131" s="7">
        <v>2.6476273726386629E-2</v>
      </c>
      <c r="X131" s="8">
        <v>0</v>
      </c>
      <c r="Y131" s="8">
        <v>1</v>
      </c>
      <c r="Z131" s="8">
        <v>733</v>
      </c>
      <c r="AA131" s="7">
        <v>0.42838777016507279</v>
      </c>
      <c r="AB131" s="7">
        <v>1.219850561897003E-2</v>
      </c>
      <c r="AC131" s="8">
        <v>0</v>
      </c>
      <c r="AD131" s="8">
        <v>1</v>
      </c>
      <c r="AE131" s="8">
        <v>3213</v>
      </c>
      <c r="AF131">
        <f>(AA132/AA130)-AA131</f>
        <v>7.1143078252179026E-2</v>
      </c>
    </row>
    <row r="132" spans="1:32" ht="14.25" customHeight="1" x14ac:dyDescent="0.45">
      <c r="A132" s="6" t="s">
        <v>72</v>
      </c>
      <c r="B132" s="7">
        <v>1.8341409553995498E-2</v>
      </c>
      <c r="C132" s="7">
        <v>9.5012575355394591E-3</v>
      </c>
      <c r="D132" s="8">
        <v>0</v>
      </c>
      <c r="E132" s="8">
        <v>1</v>
      </c>
      <c r="F132" s="8">
        <v>343</v>
      </c>
      <c r="G132" s="7">
        <v>1.4470299342911882E-2</v>
      </c>
      <c r="H132" s="7">
        <v>4.7521631247988434E-3</v>
      </c>
      <c r="I132" s="8">
        <v>0</v>
      </c>
      <c r="J132" s="8">
        <v>1</v>
      </c>
      <c r="K132" s="8">
        <v>685</v>
      </c>
      <c r="L132" s="7">
        <v>0.10310914265533797</v>
      </c>
      <c r="M132" s="7">
        <v>1.4276306047608503E-2</v>
      </c>
      <c r="N132" s="8">
        <v>0</v>
      </c>
      <c r="O132" s="8">
        <v>1</v>
      </c>
      <c r="P132" s="8">
        <v>622</v>
      </c>
      <c r="Q132" s="7">
        <v>0.13644181745449832</v>
      </c>
      <c r="R132" s="7">
        <v>1.5622728712092282E-2</v>
      </c>
      <c r="S132" s="8">
        <v>0</v>
      </c>
      <c r="T132" s="8">
        <v>1</v>
      </c>
      <c r="U132" s="8">
        <v>830</v>
      </c>
      <c r="V132" s="7">
        <v>0.10801726642541626</v>
      </c>
      <c r="W132" s="7">
        <v>1.5556368356494162E-2</v>
      </c>
      <c r="X132" s="8">
        <v>0</v>
      </c>
      <c r="Y132" s="8">
        <v>1</v>
      </c>
      <c r="Z132" s="8">
        <v>733</v>
      </c>
      <c r="AA132" s="7">
        <v>7.9964265801465539E-2</v>
      </c>
      <c r="AB132" s="7">
        <v>6.7935314030749365E-3</v>
      </c>
      <c r="AC132" s="8">
        <v>0</v>
      </c>
      <c r="AD132" s="8">
        <v>1</v>
      </c>
      <c r="AE132" s="8">
        <v>3213</v>
      </c>
    </row>
    <row r="133" spans="1:32" ht="14.25" customHeight="1" x14ac:dyDescent="0.45">
      <c r="A133" s="6" t="s">
        <v>28</v>
      </c>
      <c r="B133" s="7">
        <v>2.3006458258515102E-2</v>
      </c>
      <c r="C133" s="7">
        <v>1.0076455733186959E-2</v>
      </c>
      <c r="D133" s="8">
        <v>0</v>
      </c>
      <c r="E133" s="8">
        <v>1</v>
      </c>
      <c r="F133" s="8">
        <v>343</v>
      </c>
      <c r="G133" s="7">
        <v>4.1625717873765983E-2</v>
      </c>
      <c r="H133" s="7">
        <v>8.2303678308347332E-3</v>
      </c>
      <c r="I133" s="8">
        <v>0</v>
      </c>
      <c r="J133" s="8">
        <v>1</v>
      </c>
      <c r="K133" s="8">
        <v>685</v>
      </c>
      <c r="L133" s="7">
        <v>0.18433984786311641</v>
      </c>
      <c r="M133" s="7">
        <v>1.8140749734377713E-2</v>
      </c>
      <c r="N133" s="8">
        <v>0</v>
      </c>
      <c r="O133" s="8">
        <v>1</v>
      </c>
      <c r="P133" s="8">
        <v>622</v>
      </c>
      <c r="Q133" s="7">
        <v>0.31375250664319881</v>
      </c>
      <c r="R133" s="7">
        <v>2.2409181743750201E-2</v>
      </c>
      <c r="S133" s="8">
        <v>0</v>
      </c>
      <c r="T133" s="8">
        <v>1</v>
      </c>
      <c r="U133" s="8">
        <v>830</v>
      </c>
      <c r="V133" s="7">
        <v>0.16879495507154094</v>
      </c>
      <c r="W133" s="7">
        <v>1.9160672712976504E-2</v>
      </c>
      <c r="X133" s="8">
        <v>0</v>
      </c>
      <c r="Y133" s="8">
        <v>1</v>
      </c>
      <c r="Z133" s="8">
        <v>733</v>
      </c>
      <c r="AA133" s="7">
        <v>0.16007873398575856</v>
      </c>
      <c r="AB133" s="7">
        <v>9.2204164547557959E-3</v>
      </c>
      <c r="AC133" s="8">
        <v>0</v>
      </c>
      <c r="AD133" s="8">
        <v>1</v>
      </c>
      <c r="AE133" s="8">
        <v>3213</v>
      </c>
      <c r="AF133">
        <f>(AA135/AA134)-AA133</f>
        <v>9.8220634538170537E-2</v>
      </c>
    </row>
    <row r="134" spans="1:32" ht="14.25" customHeight="1" x14ac:dyDescent="0.45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343</v>
      </c>
      <c r="G134" s="7">
        <v>6.1239228844402228E-3</v>
      </c>
      <c r="H134" s="7">
        <v>2.559788277249609E-3</v>
      </c>
      <c r="I134" s="8">
        <v>0</v>
      </c>
      <c r="J134" s="8">
        <v>1</v>
      </c>
      <c r="K134" s="8">
        <v>685</v>
      </c>
      <c r="L134" s="7">
        <v>7.5222336372921406E-3</v>
      </c>
      <c r="M134" s="7">
        <v>3.888810135536692E-3</v>
      </c>
      <c r="N134" s="8">
        <v>0</v>
      </c>
      <c r="O134" s="8">
        <v>1</v>
      </c>
      <c r="P134" s="8">
        <v>622</v>
      </c>
      <c r="Q134" s="7">
        <v>4.3787001294212568E-3</v>
      </c>
      <c r="R134" s="7">
        <v>1.9345454374379675E-3</v>
      </c>
      <c r="S134" s="8">
        <v>0</v>
      </c>
      <c r="T134" s="8">
        <v>1</v>
      </c>
      <c r="U134" s="8">
        <v>830</v>
      </c>
      <c r="V134" s="7">
        <v>7.4989268254143093E-3</v>
      </c>
      <c r="W134" s="7">
        <v>5.3346475986279715E-3</v>
      </c>
      <c r="X134" s="8">
        <v>0</v>
      </c>
      <c r="Y134" s="8">
        <v>1</v>
      </c>
      <c r="Z134" s="8">
        <v>733</v>
      </c>
      <c r="AA134" s="7">
        <v>6.0425505430857273E-3</v>
      </c>
      <c r="AB134" s="7">
        <v>1.7730974810922998E-3</v>
      </c>
      <c r="AC134" s="8">
        <v>0</v>
      </c>
      <c r="AD134" s="8">
        <v>1</v>
      </c>
      <c r="AE134" s="8">
        <v>3213</v>
      </c>
      <c r="AF134">
        <f>(AA135/AA133)-AA134</f>
        <v>3.7075702299322793E-3</v>
      </c>
    </row>
    <row r="135" spans="1:32" ht="14.25" customHeight="1" x14ac:dyDescent="0.45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343</v>
      </c>
      <c r="G135" s="7">
        <v>0</v>
      </c>
      <c r="H135" s="7">
        <v>0</v>
      </c>
      <c r="I135" s="8">
        <v>0</v>
      </c>
      <c r="J135" s="8">
        <v>0</v>
      </c>
      <c r="K135" s="8">
        <v>685</v>
      </c>
      <c r="L135" s="7">
        <v>2.2686928794815415E-3</v>
      </c>
      <c r="M135" s="7">
        <v>1.3121356542374284E-3</v>
      </c>
      <c r="N135" s="8">
        <v>0</v>
      </c>
      <c r="O135" s="8">
        <v>1</v>
      </c>
      <c r="P135" s="8">
        <v>622</v>
      </c>
      <c r="Q135" s="7">
        <v>2.1015825675828803E-3</v>
      </c>
      <c r="R135" s="7">
        <v>1.3556204452503252E-3</v>
      </c>
      <c r="S135" s="8">
        <v>0</v>
      </c>
      <c r="T135" s="8">
        <v>1</v>
      </c>
      <c r="U135" s="8">
        <v>830</v>
      </c>
      <c r="V135" s="7">
        <v>4.2795006366491018E-3</v>
      </c>
      <c r="W135" s="7">
        <v>4.2705883142690063E-3</v>
      </c>
      <c r="X135" s="8">
        <v>0</v>
      </c>
      <c r="Y135" s="8">
        <v>1</v>
      </c>
      <c r="Z135" s="8">
        <v>733</v>
      </c>
      <c r="AA135" s="7">
        <v>1.5607869895529682E-3</v>
      </c>
      <c r="AB135" s="7">
        <v>6.3197461485824385E-4</v>
      </c>
      <c r="AC135" s="8">
        <v>0</v>
      </c>
      <c r="AD135" s="8">
        <v>1</v>
      </c>
      <c r="AE135" s="8">
        <v>3213</v>
      </c>
    </row>
    <row r="136" spans="1:32" ht="14.25" customHeight="1" x14ac:dyDescent="0.45">
      <c r="A136" s="6" t="s">
        <v>28</v>
      </c>
      <c r="B136" s="7">
        <v>2.3006458258515102E-2</v>
      </c>
      <c r="C136" s="7">
        <v>1.0076455733186959E-2</v>
      </c>
      <c r="D136" s="8">
        <v>0</v>
      </c>
      <c r="E136" s="8">
        <v>1</v>
      </c>
      <c r="F136" s="8">
        <v>343</v>
      </c>
      <c r="G136" s="7">
        <v>4.1625717873765983E-2</v>
      </c>
      <c r="H136" s="7">
        <v>8.2303678308347332E-3</v>
      </c>
      <c r="I136" s="8">
        <v>0</v>
      </c>
      <c r="J136" s="8">
        <v>1</v>
      </c>
      <c r="K136" s="8">
        <v>685</v>
      </c>
      <c r="L136" s="7">
        <v>0.18433984786311641</v>
      </c>
      <c r="M136" s="7">
        <v>1.8140749734377713E-2</v>
      </c>
      <c r="N136" s="8">
        <v>0</v>
      </c>
      <c r="O136" s="8">
        <v>1</v>
      </c>
      <c r="P136" s="8">
        <v>622</v>
      </c>
      <c r="Q136" s="7">
        <v>0.31375250664319881</v>
      </c>
      <c r="R136" s="7">
        <v>2.2409181743750201E-2</v>
      </c>
      <c r="S136" s="8">
        <v>0</v>
      </c>
      <c r="T136" s="8">
        <v>1</v>
      </c>
      <c r="U136" s="8">
        <v>830</v>
      </c>
      <c r="V136" s="7">
        <v>0.16879495507154094</v>
      </c>
      <c r="W136" s="7">
        <v>1.9160672712976504E-2</v>
      </c>
      <c r="X136" s="8">
        <v>0</v>
      </c>
      <c r="Y136" s="8">
        <v>1</v>
      </c>
      <c r="Z136" s="8">
        <v>733</v>
      </c>
      <c r="AA136" s="7">
        <v>0.16007873398575856</v>
      </c>
      <c r="AB136" s="7">
        <v>9.2204164547557959E-3</v>
      </c>
      <c r="AC136" s="8">
        <v>0</v>
      </c>
      <c r="AD136" s="8">
        <v>1</v>
      </c>
      <c r="AE136" s="8">
        <v>3213</v>
      </c>
      <c r="AF136">
        <f>(AA138/AA137)-AA136</f>
        <v>-1.2105636814309317E-2</v>
      </c>
    </row>
    <row r="137" spans="1:32" ht="39.5" customHeight="1" x14ac:dyDescent="0.45">
      <c r="A137" s="6" t="s">
        <v>16</v>
      </c>
      <c r="B137" s="7">
        <v>0.46175737392174987</v>
      </c>
      <c r="C137" s="7">
        <v>3.0710810789507388E-2</v>
      </c>
      <c r="D137" s="8">
        <v>0</v>
      </c>
      <c r="E137" s="8">
        <v>1</v>
      </c>
      <c r="F137" s="8">
        <v>343</v>
      </c>
      <c r="G137" s="7">
        <v>0.51171849969410388</v>
      </c>
      <c r="H137" s="7">
        <v>2.1509798906621986E-2</v>
      </c>
      <c r="I137" s="8">
        <v>0</v>
      </c>
      <c r="J137" s="8">
        <v>1</v>
      </c>
      <c r="K137" s="8">
        <v>685</v>
      </c>
      <c r="L137" s="7">
        <v>0.63828459018132044</v>
      </c>
      <c r="M137" s="7">
        <v>2.224943796975826E-2</v>
      </c>
      <c r="N137" s="8">
        <v>0</v>
      </c>
      <c r="O137" s="8">
        <v>1</v>
      </c>
      <c r="P137" s="8">
        <v>622</v>
      </c>
      <c r="Q137" s="7">
        <v>0.6594859044787692</v>
      </c>
      <c r="R137" s="7">
        <v>2.3371802530881509E-2</v>
      </c>
      <c r="S137" s="8">
        <v>0</v>
      </c>
      <c r="T137" s="8">
        <v>1</v>
      </c>
      <c r="U137" s="8">
        <v>830</v>
      </c>
      <c r="V137" s="7">
        <v>0.29098870335197347</v>
      </c>
      <c r="W137" s="7">
        <v>2.4531818658125738E-2</v>
      </c>
      <c r="X137" s="8">
        <v>0</v>
      </c>
      <c r="Y137" s="8">
        <v>1</v>
      </c>
      <c r="Z137" s="8">
        <v>733</v>
      </c>
      <c r="AA137" s="7">
        <v>0.57762752018153862</v>
      </c>
      <c r="AB137" s="7">
        <v>1.212537286467308E-2</v>
      </c>
      <c r="AC137" s="8">
        <v>0</v>
      </c>
      <c r="AD137" s="8">
        <v>1</v>
      </c>
      <c r="AE137" s="8">
        <v>3213</v>
      </c>
      <c r="AF137">
        <f>(AA138/AA136)-AA137</f>
        <v>-4.3681935752252543E-2</v>
      </c>
    </row>
    <row r="138" spans="1:32" ht="14.25" customHeight="1" x14ac:dyDescent="0.45">
      <c r="A138" s="6" t="s">
        <v>74</v>
      </c>
      <c r="B138" s="7">
        <v>5.2150931698951774E-3</v>
      </c>
      <c r="C138" s="7">
        <v>3.7392474819172607E-3</v>
      </c>
      <c r="D138" s="8">
        <v>0</v>
      </c>
      <c r="E138" s="8">
        <v>1</v>
      </c>
      <c r="F138" s="8">
        <v>343</v>
      </c>
      <c r="G138" s="7">
        <v>5.4789549791944827E-3</v>
      </c>
      <c r="H138" s="7">
        <v>3.1661141541881065E-3</v>
      </c>
      <c r="I138" s="8">
        <v>0</v>
      </c>
      <c r="J138" s="8">
        <v>1</v>
      </c>
      <c r="K138" s="8">
        <v>685</v>
      </c>
      <c r="L138" s="7">
        <v>9.0519522530173355E-2</v>
      </c>
      <c r="M138" s="7">
        <v>1.4124546811618333E-2</v>
      </c>
      <c r="N138" s="8">
        <v>0</v>
      </c>
      <c r="O138" s="8">
        <v>1</v>
      </c>
      <c r="P138" s="8">
        <v>622</v>
      </c>
      <c r="Q138" s="7">
        <v>0.20784002489910913</v>
      </c>
      <c r="R138" s="7">
        <v>2.0354870151971328E-2</v>
      </c>
      <c r="S138" s="8">
        <v>0</v>
      </c>
      <c r="T138" s="8">
        <v>1</v>
      </c>
      <c r="U138" s="8">
        <v>830</v>
      </c>
      <c r="V138" s="7">
        <v>9.0213334187022959E-2</v>
      </c>
      <c r="W138" s="7">
        <v>1.5415629210482191E-2</v>
      </c>
      <c r="X138" s="8">
        <v>0</v>
      </c>
      <c r="Y138" s="8">
        <v>1</v>
      </c>
      <c r="Z138" s="8">
        <v>733</v>
      </c>
      <c r="AA138" s="7">
        <v>8.5473333172726068E-2</v>
      </c>
      <c r="AB138" s="7">
        <v>7.3197695864492505E-3</v>
      </c>
      <c r="AC138" s="8">
        <v>0</v>
      </c>
      <c r="AD138" s="8">
        <v>1</v>
      </c>
      <c r="AE138" s="8">
        <v>3213</v>
      </c>
    </row>
    <row r="139" spans="1:32" ht="14.25" customHeight="1" x14ac:dyDescent="0.45">
      <c r="A139" s="6" t="s">
        <v>28</v>
      </c>
      <c r="B139" s="7">
        <v>2.3006458258515102E-2</v>
      </c>
      <c r="C139" s="7">
        <v>1.0076455733186959E-2</v>
      </c>
      <c r="D139" s="8">
        <v>0</v>
      </c>
      <c r="E139" s="8">
        <v>1</v>
      </c>
      <c r="F139" s="8">
        <v>343</v>
      </c>
      <c r="G139" s="7">
        <v>4.1625717873765983E-2</v>
      </c>
      <c r="H139" s="7">
        <v>8.2303678308347332E-3</v>
      </c>
      <c r="I139" s="8">
        <v>0</v>
      </c>
      <c r="J139" s="8">
        <v>1</v>
      </c>
      <c r="K139" s="8">
        <v>685</v>
      </c>
      <c r="L139" s="7">
        <v>0.18433984786311641</v>
      </c>
      <c r="M139" s="7">
        <v>1.8140749734377713E-2</v>
      </c>
      <c r="N139" s="8">
        <v>0</v>
      </c>
      <c r="O139" s="8">
        <v>1</v>
      </c>
      <c r="P139" s="8">
        <v>622</v>
      </c>
      <c r="Q139" s="7">
        <v>0.31375250664319881</v>
      </c>
      <c r="R139" s="7">
        <v>2.2409181743750201E-2</v>
      </c>
      <c r="S139" s="8">
        <v>0</v>
      </c>
      <c r="T139" s="8">
        <v>1</v>
      </c>
      <c r="U139" s="8">
        <v>830</v>
      </c>
      <c r="V139" s="7">
        <v>0.16879495507154094</v>
      </c>
      <c r="W139" s="7">
        <v>1.9160672712976504E-2</v>
      </c>
      <c r="X139" s="8">
        <v>0</v>
      </c>
      <c r="Y139" s="8">
        <v>1</v>
      </c>
      <c r="Z139" s="8">
        <v>733</v>
      </c>
      <c r="AA139" s="7">
        <v>0.16007873398575856</v>
      </c>
      <c r="AB139" s="7">
        <v>9.2204164547557959E-3</v>
      </c>
      <c r="AC139" s="8">
        <v>0</v>
      </c>
      <c r="AD139" s="8">
        <v>1</v>
      </c>
      <c r="AE139" s="8">
        <v>3213</v>
      </c>
      <c r="AF139">
        <f>(AA141/AA140)-AA139</f>
        <v>-4.3694764140583542E-3</v>
      </c>
    </row>
    <row r="140" spans="1:32" ht="39.5" customHeight="1" x14ac:dyDescent="0.45">
      <c r="A140" s="6" t="s">
        <v>18</v>
      </c>
      <c r="B140" s="7">
        <v>0.65870111528749431</v>
      </c>
      <c r="C140" s="7">
        <v>2.9720045914151373E-2</v>
      </c>
      <c r="D140" s="8">
        <v>0</v>
      </c>
      <c r="E140" s="8">
        <v>1</v>
      </c>
      <c r="F140" s="8">
        <v>343</v>
      </c>
      <c r="G140" s="7">
        <v>0.68973128721603705</v>
      </c>
      <c r="H140" s="7">
        <v>1.9757484138470113E-2</v>
      </c>
      <c r="I140" s="8">
        <v>0</v>
      </c>
      <c r="J140" s="8">
        <v>1</v>
      </c>
      <c r="K140" s="8">
        <v>685</v>
      </c>
      <c r="L140" s="7">
        <v>0.69326134184086086</v>
      </c>
      <c r="M140" s="7">
        <v>2.1633597813178515E-2</v>
      </c>
      <c r="N140" s="8">
        <v>0</v>
      </c>
      <c r="O140" s="8">
        <v>1</v>
      </c>
      <c r="P140" s="8">
        <v>622</v>
      </c>
      <c r="Q140" s="7">
        <v>0.668125365389454</v>
      </c>
      <c r="R140" s="7">
        <v>2.3701307596769659E-2</v>
      </c>
      <c r="S140" s="8">
        <v>0</v>
      </c>
      <c r="T140" s="8">
        <v>1</v>
      </c>
      <c r="U140" s="8">
        <v>830</v>
      </c>
      <c r="V140" s="7">
        <v>0.47714183749717526</v>
      </c>
      <c r="W140" s="7">
        <v>2.7405582617474847E-2</v>
      </c>
      <c r="X140" s="8">
        <v>0</v>
      </c>
      <c r="Y140" s="8">
        <v>1</v>
      </c>
      <c r="Z140" s="8">
        <v>733</v>
      </c>
      <c r="AA140" s="7">
        <v>0.67349513472272604</v>
      </c>
      <c r="AB140" s="7">
        <v>1.1615894672939582E-2</v>
      </c>
      <c r="AC140" s="8">
        <v>0</v>
      </c>
      <c r="AD140" s="8">
        <v>1</v>
      </c>
      <c r="AE140" s="8">
        <v>3213</v>
      </c>
      <c r="AF140">
        <f>(AA141/AA139)-AA140</f>
        <v>-1.8383585582428474E-2</v>
      </c>
    </row>
    <row r="141" spans="1:32" ht="14.25" customHeight="1" x14ac:dyDescent="0.45">
      <c r="A141" s="6" t="s">
        <v>75</v>
      </c>
      <c r="B141" s="7">
        <v>2.1387587612109116E-2</v>
      </c>
      <c r="C141" s="7">
        <v>9.9539935286594786E-3</v>
      </c>
      <c r="D141" s="8">
        <v>0</v>
      </c>
      <c r="E141" s="8">
        <v>1</v>
      </c>
      <c r="F141" s="8">
        <v>343</v>
      </c>
      <c r="G141" s="7">
        <v>1.7872869501176416E-2</v>
      </c>
      <c r="H141" s="7">
        <v>5.3091029058745147E-3</v>
      </c>
      <c r="I141" s="8">
        <v>0</v>
      </c>
      <c r="J141" s="8">
        <v>1</v>
      </c>
      <c r="K141" s="8">
        <v>685</v>
      </c>
      <c r="L141" s="7">
        <v>0.11805004520343591</v>
      </c>
      <c r="M141" s="7">
        <v>1.5459794130242078E-2</v>
      </c>
      <c r="N141" s="8">
        <v>0</v>
      </c>
      <c r="O141" s="8">
        <v>1</v>
      </c>
      <c r="P141" s="8">
        <v>622</v>
      </c>
      <c r="Q141" s="7">
        <v>0.21656320394623271</v>
      </c>
      <c r="R141" s="7">
        <v>1.9663405457849309E-2</v>
      </c>
      <c r="S141" s="8">
        <v>0</v>
      </c>
      <c r="T141" s="8">
        <v>1</v>
      </c>
      <c r="U141" s="8">
        <v>830</v>
      </c>
      <c r="V141" s="7">
        <v>0.13180434252159984</v>
      </c>
      <c r="W141" s="7">
        <v>1.7581547647212665E-2</v>
      </c>
      <c r="X141" s="8">
        <v>0</v>
      </c>
      <c r="Y141" s="8">
        <v>1</v>
      </c>
      <c r="Z141" s="8">
        <v>733</v>
      </c>
      <c r="AA141" s="7">
        <v>0.10486942740582789</v>
      </c>
      <c r="AB141" s="7">
        <v>7.7402348267941404E-3</v>
      </c>
      <c r="AC141" s="8">
        <v>0</v>
      </c>
      <c r="AD141" s="8">
        <v>1</v>
      </c>
      <c r="AE141" s="8">
        <v>3213</v>
      </c>
    </row>
    <row r="142" spans="1:32" ht="14.25" customHeight="1" x14ac:dyDescent="0.45">
      <c r="A142" s="6" t="s">
        <v>28</v>
      </c>
      <c r="B142" s="7">
        <v>2.3006458258515102E-2</v>
      </c>
      <c r="C142" s="7">
        <v>1.0076455733186959E-2</v>
      </c>
      <c r="D142" s="8">
        <v>0</v>
      </c>
      <c r="E142" s="8">
        <v>1</v>
      </c>
      <c r="F142" s="8">
        <v>343</v>
      </c>
      <c r="G142" s="7">
        <v>4.1625717873765983E-2</v>
      </c>
      <c r="H142" s="7">
        <v>8.2303678308347332E-3</v>
      </c>
      <c r="I142" s="8">
        <v>0</v>
      </c>
      <c r="J142" s="8">
        <v>1</v>
      </c>
      <c r="K142" s="8">
        <v>685</v>
      </c>
      <c r="L142" s="7">
        <v>0.18433984786311641</v>
      </c>
      <c r="M142" s="7">
        <v>1.8140749734377713E-2</v>
      </c>
      <c r="N142" s="8">
        <v>0</v>
      </c>
      <c r="O142" s="8">
        <v>1</v>
      </c>
      <c r="P142" s="8">
        <v>622</v>
      </c>
      <c r="Q142" s="7">
        <v>0.31375250664319881</v>
      </c>
      <c r="R142" s="7">
        <v>2.2409181743750201E-2</v>
      </c>
      <c r="S142" s="8">
        <v>0</v>
      </c>
      <c r="T142" s="8">
        <v>1</v>
      </c>
      <c r="U142" s="8">
        <v>830</v>
      </c>
      <c r="V142" s="7">
        <v>0.16879495507154094</v>
      </c>
      <c r="W142" s="7">
        <v>1.9160672712976504E-2</v>
      </c>
      <c r="X142" s="8">
        <v>0</v>
      </c>
      <c r="Y142" s="8">
        <v>1</v>
      </c>
      <c r="Z142" s="8">
        <v>733</v>
      </c>
      <c r="AA142" s="7">
        <v>0.16007873398575856</v>
      </c>
      <c r="AB142" s="7">
        <v>9.2204164547557959E-3</v>
      </c>
      <c r="AC142" s="8">
        <v>0</v>
      </c>
      <c r="AD142" s="8">
        <v>1</v>
      </c>
      <c r="AE142" s="8">
        <v>3213</v>
      </c>
      <c r="AF142">
        <f>(AA144/AA143)-AA142</f>
        <v>-2.6500668938531785E-2</v>
      </c>
    </row>
    <row r="143" spans="1:32" ht="39.5" customHeight="1" x14ac:dyDescent="0.45">
      <c r="A143" s="6" t="s">
        <v>20</v>
      </c>
      <c r="B143" s="7">
        <v>0.429717204212403</v>
      </c>
      <c r="C143" s="7">
        <v>3.0392503365876303E-2</v>
      </c>
      <c r="D143" s="8">
        <v>0</v>
      </c>
      <c r="E143" s="8">
        <v>1</v>
      </c>
      <c r="F143" s="8">
        <v>343</v>
      </c>
      <c r="G143" s="7">
        <v>0.48245904042650412</v>
      </c>
      <c r="H143" s="7">
        <v>2.146411101488091E-2</v>
      </c>
      <c r="I143" s="8">
        <v>0</v>
      </c>
      <c r="J143" s="8">
        <v>1</v>
      </c>
      <c r="K143" s="8">
        <v>685</v>
      </c>
      <c r="L143" s="7">
        <v>0.54779032545005502</v>
      </c>
      <c r="M143" s="7">
        <v>2.3079129928781021E-2</v>
      </c>
      <c r="N143" s="8">
        <v>0</v>
      </c>
      <c r="O143" s="8">
        <v>1</v>
      </c>
      <c r="P143" s="8">
        <v>622</v>
      </c>
      <c r="Q143" s="7">
        <v>0.50863999660499892</v>
      </c>
      <c r="R143" s="7">
        <v>2.4084097248153895E-2</v>
      </c>
      <c r="S143" s="8">
        <v>0</v>
      </c>
      <c r="T143" s="8">
        <v>1</v>
      </c>
      <c r="U143" s="8">
        <v>830</v>
      </c>
      <c r="V143" s="7">
        <v>0.21923941521723078</v>
      </c>
      <c r="W143" s="7">
        <v>2.2302742957611636E-2</v>
      </c>
      <c r="X143" s="8">
        <v>0</v>
      </c>
      <c r="Y143" s="8">
        <v>1</v>
      </c>
      <c r="Z143" s="8">
        <v>733</v>
      </c>
      <c r="AA143" s="7">
        <v>0.49658329004295232</v>
      </c>
      <c r="AB143" s="7">
        <v>1.2332775383448446E-2</v>
      </c>
      <c r="AC143" s="8">
        <v>0</v>
      </c>
      <c r="AD143" s="8">
        <v>1</v>
      </c>
      <c r="AE143" s="8">
        <v>3213</v>
      </c>
      <c r="AF143">
        <f>(AA144/AA142)-AA143</f>
        <v>-8.2208229926443221E-2</v>
      </c>
    </row>
    <row r="144" spans="1:32" ht="14.25" customHeight="1" x14ac:dyDescent="0.45">
      <c r="A144" s="6" t="s">
        <v>76</v>
      </c>
      <c r="B144" s="7">
        <v>5.2150931698951774E-3</v>
      </c>
      <c r="C144" s="7">
        <v>3.7392474819172607E-3</v>
      </c>
      <c r="D144" s="8">
        <v>0</v>
      </c>
      <c r="E144" s="8">
        <v>1</v>
      </c>
      <c r="F144" s="8">
        <v>343</v>
      </c>
      <c r="G144" s="7">
        <v>5.4789549791944827E-3</v>
      </c>
      <c r="H144" s="7">
        <v>3.1661141541881065E-3</v>
      </c>
      <c r="I144" s="8">
        <v>0</v>
      </c>
      <c r="J144" s="8">
        <v>1</v>
      </c>
      <c r="K144" s="8">
        <v>685</v>
      </c>
      <c r="L144" s="7">
        <v>6.7555921810044897E-2</v>
      </c>
      <c r="M144" s="7">
        <v>1.1858126935540033E-2</v>
      </c>
      <c r="N144" s="8">
        <v>0</v>
      </c>
      <c r="O144" s="8">
        <v>1</v>
      </c>
      <c r="P144" s="8">
        <v>622</v>
      </c>
      <c r="Q144" s="7">
        <v>0.16470698048899146</v>
      </c>
      <c r="R144" s="7">
        <v>1.8514312456993476E-2</v>
      </c>
      <c r="S144" s="8">
        <v>0</v>
      </c>
      <c r="T144" s="8">
        <v>1</v>
      </c>
      <c r="U144" s="8">
        <v>830</v>
      </c>
      <c r="V144" s="7">
        <v>6.8883843128271727E-2</v>
      </c>
      <c r="W144" s="7">
        <v>1.4229414884621544E-2</v>
      </c>
      <c r="X144" s="8">
        <v>0</v>
      </c>
      <c r="Y144" s="8">
        <v>1</v>
      </c>
      <c r="Z144" s="8">
        <v>733</v>
      </c>
      <c r="AA144" s="7">
        <v>6.6332635018723371E-2</v>
      </c>
      <c r="AB144" s="7">
        <v>6.3185311128031163E-3</v>
      </c>
      <c r="AC144" s="8">
        <v>0</v>
      </c>
      <c r="AD144" s="8">
        <v>1</v>
      </c>
      <c r="AE144" s="8">
        <v>3213</v>
      </c>
    </row>
    <row r="145" spans="1:32" ht="14.25" customHeight="1" x14ac:dyDescent="0.45">
      <c r="A145" s="6" t="s">
        <v>28</v>
      </c>
      <c r="B145" s="7">
        <v>2.3006458258515102E-2</v>
      </c>
      <c r="C145" s="7">
        <v>1.0076455733186959E-2</v>
      </c>
      <c r="D145" s="8">
        <v>0</v>
      </c>
      <c r="E145" s="8">
        <v>1</v>
      </c>
      <c r="F145" s="8">
        <v>343</v>
      </c>
      <c r="G145" s="7">
        <v>4.1625717873765983E-2</v>
      </c>
      <c r="H145" s="7">
        <v>8.2303678308347332E-3</v>
      </c>
      <c r="I145" s="8">
        <v>0</v>
      </c>
      <c r="J145" s="8">
        <v>1</v>
      </c>
      <c r="K145" s="8">
        <v>685</v>
      </c>
      <c r="L145" s="7">
        <v>0.18433984786311641</v>
      </c>
      <c r="M145" s="7">
        <v>1.8140749734377713E-2</v>
      </c>
      <c r="N145" s="8">
        <v>0</v>
      </c>
      <c r="O145" s="8">
        <v>1</v>
      </c>
      <c r="P145" s="8">
        <v>622</v>
      </c>
      <c r="Q145" s="7">
        <v>0.31375250664319881</v>
      </c>
      <c r="R145" s="7">
        <v>2.2409181743750201E-2</v>
      </c>
      <c r="S145" s="8">
        <v>0</v>
      </c>
      <c r="T145" s="8">
        <v>1</v>
      </c>
      <c r="U145" s="8">
        <v>830</v>
      </c>
      <c r="V145" s="7">
        <v>0.16879495507154094</v>
      </c>
      <c r="W145" s="7">
        <v>1.9160672712976504E-2</v>
      </c>
      <c r="X145" s="8">
        <v>0</v>
      </c>
      <c r="Y145" s="8">
        <v>1</v>
      </c>
      <c r="Z145" s="8">
        <v>733</v>
      </c>
      <c r="AA145" s="7">
        <v>0.16007873398575856</v>
      </c>
      <c r="AB145" s="7">
        <v>9.2204164547557959E-3</v>
      </c>
      <c r="AC145" s="8">
        <v>0</v>
      </c>
      <c r="AD145" s="8">
        <v>1</v>
      </c>
      <c r="AE145" s="8">
        <v>3213</v>
      </c>
      <c r="AF145">
        <f>(AA147/AA146)-AA145</f>
        <v>2.8831536327521751E-2</v>
      </c>
    </row>
    <row r="146" spans="1:32" ht="26.25" customHeight="1" x14ac:dyDescent="0.45">
      <c r="A146" s="6" t="s">
        <v>22</v>
      </c>
      <c r="B146" s="7">
        <v>0.46674587389419697</v>
      </c>
      <c r="C146" s="7">
        <v>3.0838428333854969E-2</v>
      </c>
      <c r="D146" s="8">
        <v>0</v>
      </c>
      <c r="E146" s="8">
        <v>1</v>
      </c>
      <c r="F146" s="8">
        <v>343</v>
      </c>
      <c r="G146" s="7">
        <v>0.49721456493371274</v>
      </c>
      <c r="H146" s="7">
        <v>2.1503868885976371E-2</v>
      </c>
      <c r="I146" s="8">
        <v>0</v>
      </c>
      <c r="J146" s="8">
        <v>1</v>
      </c>
      <c r="K146" s="8">
        <v>685</v>
      </c>
      <c r="L146" s="7">
        <v>0.49499161311096951</v>
      </c>
      <c r="M146" s="7">
        <v>2.3190131273243066E-2</v>
      </c>
      <c r="N146" s="8">
        <v>0</v>
      </c>
      <c r="O146" s="8">
        <v>1</v>
      </c>
      <c r="P146" s="8">
        <v>622</v>
      </c>
      <c r="Q146" s="7">
        <v>0.52967048191567545</v>
      </c>
      <c r="R146" s="7">
        <v>2.4042503277593212E-2</v>
      </c>
      <c r="S146" s="8">
        <v>0</v>
      </c>
      <c r="T146" s="8">
        <v>1</v>
      </c>
      <c r="U146" s="8">
        <v>830</v>
      </c>
      <c r="V146" s="7">
        <v>0.43883011512701503</v>
      </c>
      <c r="W146" s="7">
        <v>2.6915661407478465E-2</v>
      </c>
      <c r="X146" s="8">
        <v>0</v>
      </c>
      <c r="Y146" s="8">
        <v>1</v>
      </c>
      <c r="Z146" s="8">
        <v>733</v>
      </c>
      <c r="AA146" s="7">
        <v>0.49819284931542523</v>
      </c>
      <c r="AB146" s="7">
        <v>1.2331295303939749E-2</v>
      </c>
      <c r="AC146" s="8">
        <v>0</v>
      </c>
      <c r="AD146" s="8">
        <v>1</v>
      </c>
      <c r="AE146" s="8">
        <v>3213</v>
      </c>
      <c r="AF146">
        <f>(AA147/AA145)-AA146</f>
        <v>8.9728753317271537E-2</v>
      </c>
    </row>
    <row r="147" spans="1:32" ht="14.25" customHeight="1" x14ac:dyDescent="0.45">
      <c r="A147" s="6" t="s">
        <v>77</v>
      </c>
      <c r="B147" s="7">
        <v>2.1387587612109116E-2</v>
      </c>
      <c r="C147" s="7">
        <v>9.9539935286594786E-3</v>
      </c>
      <c r="D147" s="8">
        <v>0</v>
      </c>
      <c r="E147" s="8">
        <v>1</v>
      </c>
      <c r="F147" s="8">
        <v>343</v>
      </c>
      <c r="G147" s="7">
        <v>1.4470299342911882E-2</v>
      </c>
      <c r="H147" s="7">
        <v>4.7521631247988434E-3</v>
      </c>
      <c r="I147" s="8">
        <v>0</v>
      </c>
      <c r="J147" s="8">
        <v>1</v>
      </c>
      <c r="K147" s="8">
        <v>685</v>
      </c>
      <c r="L147" s="7">
        <v>0.1121133442868408</v>
      </c>
      <c r="M147" s="7">
        <v>1.4778302294641853E-2</v>
      </c>
      <c r="N147" s="8">
        <v>0</v>
      </c>
      <c r="O147" s="8">
        <v>1</v>
      </c>
      <c r="P147" s="8">
        <v>622</v>
      </c>
      <c r="Q147" s="7">
        <v>0.18400634500420401</v>
      </c>
      <c r="R147" s="7">
        <v>1.8334637196095217E-2</v>
      </c>
      <c r="S147" s="8">
        <v>0</v>
      </c>
      <c r="T147" s="8">
        <v>1</v>
      </c>
      <c r="U147" s="8">
        <v>830</v>
      </c>
      <c r="V147" s="7">
        <v>0.11882825473854193</v>
      </c>
      <c r="W147" s="7">
        <v>1.6198898727563613E-2</v>
      </c>
      <c r="X147" s="8">
        <v>0</v>
      </c>
      <c r="Y147" s="8">
        <v>1</v>
      </c>
      <c r="Z147" s="8">
        <v>733</v>
      </c>
      <c r="AA147" s="7">
        <v>9.4113745832320309E-2</v>
      </c>
      <c r="AB147" s="7">
        <v>7.296898179132684E-3</v>
      </c>
      <c r="AC147" s="8">
        <v>0</v>
      </c>
      <c r="AD147" s="8">
        <v>1</v>
      </c>
      <c r="AE147" s="8">
        <v>3213</v>
      </c>
    </row>
    <row r="148" spans="1:32" ht="14.25" customHeight="1" x14ac:dyDescent="0.45">
      <c r="A148" s="6" t="s">
        <v>28</v>
      </c>
      <c r="B148" s="7">
        <v>2.3006458258515102E-2</v>
      </c>
      <c r="C148" s="7">
        <v>1.0076455733186959E-2</v>
      </c>
      <c r="D148" s="8">
        <v>0</v>
      </c>
      <c r="E148" s="8">
        <v>1</v>
      </c>
      <c r="F148" s="8">
        <v>343</v>
      </c>
      <c r="G148" s="7">
        <v>4.1625717873765983E-2</v>
      </c>
      <c r="H148" s="7">
        <v>8.2303678308347332E-3</v>
      </c>
      <c r="I148" s="8">
        <v>0</v>
      </c>
      <c r="J148" s="8">
        <v>1</v>
      </c>
      <c r="K148" s="8">
        <v>685</v>
      </c>
      <c r="L148" s="7">
        <v>0.18433984786311641</v>
      </c>
      <c r="M148" s="7">
        <v>1.8140749734377713E-2</v>
      </c>
      <c r="N148" s="8">
        <v>0</v>
      </c>
      <c r="O148" s="8">
        <v>1</v>
      </c>
      <c r="P148" s="8">
        <v>622</v>
      </c>
      <c r="Q148" s="7">
        <v>0.31375250664319881</v>
      </c>
      <c r="R148" s="7">
        <v>2.2409181743750201E-2</v>
      </c>
      <c r="S148" s="8">
        <v>0</v>
      </c>
      <c r="T148" s="8">
        <v>1</v>
      </c>
      <c r="U148" s="8">
        <v>830</v>
      </c>
      <c r="V148" s="7">
        <v>0.16879495507154094</v>
      </c>
      <c r="W148" s="7">
        <v>1.9160672712976504E-2</v>
      </c>
      <c r="X148" s="8">
        <v>0</v>
      </c>
      <c r="Y148" s="8">
        <v>1</v>
      </c>
      <c r="Z148" s="8">
        <v>733</v>
      </c>
      <c r="AA148" s="7">
        <v>0.16007873398575856</v>
      </c>
      <c r="AB148" s="7">
        <v>9.2204164547557959E-3</v>
      </c>
      <c r="AC148" s="8">
        <v>0</v>
      </c>
      <c r="AD148" s="8">
        <v>1</v>
      </c>
      <c r="AE148" s="8">
        <v>3213</v>
      </c>
      <c r="AF148">
        <f>(AA150/AA149)-AA148</f>
        <v>3.7486801077592391E-2</v>
      </c>
    </row>
    <row r="149" spans="1:32" ht="26.25" customHeight="1" x14ac:dyDescent="0.45">
      <c r="A149" s="6" t="s">
        <v>24</v>
      </c>
      <c r="B149" s="7">
        <v>0.11043143982498899</v>
      </c>
      <c r="C149" s="7">
        <v>1.9318318636183492E-2</v>
      </c>
      <c r="D149" s="8">
        <v>0</v>
      </c>
      <c r="E149" s="8">
        <v>1</v>
      </c>
      <c r="F149" s="8">
        <v>343</v>
      </c>
      <c r="G149" s="7">
        <v>0.1141877917275687</v>
      </c>
      <c r="H149" s="7">
        <v>1.372767009886945E-2</v>
      </c>
      <c r="I149" s="8">
        <v>0</v>
      </c>
      <c r="J149" s="8">
        <v>1</v>
      </c>
      <c r="K149" s="8">
        <v>685</v>
      </c>
      <c r="L149" s="7">
        <v>0.2107063624328053</v>
      </c>
      <c r="M149" s="7">
        <v>1.9196340458493756E-2</v>
      </c>
      <c r="N149" s="8">
        <v>0</v>
      </c>
      <c r="O149" s="8">
        <v>1</v>
      </c>
      <c r="P149" s="8">
        <v>622</v>
      </c>
      <c r="Q149" s="7">
        <v>0.32132005623330667</v>
      </c>
      <c r="R149" s="7">
        <v>2.2425332775680609E-2</v>
      </c>
      <c r="S149" s="8">
        <v>0</v>
      </c>
      <c r="T149" s="8">
        <v>1</v>
      </c>
      <c r="U149" s="8">
        <v>830</v>
      </c>
      <c r="V149" s="7">
        <v>0.13983861568962849</v>
      </c>
      <c r="W149" s="7">
        <v>1.8872674699234135E-2</v>
      </c>
      <c r="X149" s="8">
        <v>0</v>
      </c>
      <c r="Y149" s="8">
        <v>1</v>
      </c>
      <c r="Z149" s="8">
        <v>733</v>
      </c>
      <c r="AA149" s="7">
        <v>0.19633718423549712</v>
      </c>
      <c r="AB149" s="7">
        <v>9.9780503174346086E-3</v>
      </c>
      <c r="AC149" s="8">
        <v>0</v>
      </c>
      <c r="AD149" s="8">
        <v>1</v>
      </c>
      <c r="AE149" s="8">
        <v>3213</v>
      </c>
      <c r="AF149">
        <f>(AA150/AA148)-AA149</f>
        <v>4.5977706009503294E-2</v>
      </c>
    </row>
    <row r="150" spans="1:32" ht="14.25" customHeight="1" x14ac:dyDescent="0.45">
      <c r="A150" s="6" t="s">
        <v>78</v>
      </c>
      <c r="B150" s="7">
        <v>3.0461780581136186E-3</v>
      </c>
      <c r="C150" s="7">
        <v>3.0471473728500139E-3</v>
      </c>
      <c r="D150" s="8">
        <v>0</v>
      </c>
      <c r="E150" s="8">
        <v>1</v>
      </c>
      <c r="F150" s="8">
        <v>343</v>
      </c>
      <c r="G150" s="7">
        <v>0</v>
      </c>
      <c r="H150" s="7">
        <v>0</v>
      </c>
      <c r="I150" s="8">
        <v>0</v>
      </c>
      <c r="J150" s="8">
        <v>0</v>
      </c>
      <c r="K150" s="8">
        <v>685</v>
      </c>
      <c r="L150" s="7">
        <v>3.0261011737435603E-2</v>
      </c>
      <c r="M150" s="7">
        <v>8.893560592077741E-3</v>
      </c>
      <c r="N150" s="8">
        <v>0</v>
      </c>
      <c r="O150" s="8">
        <v>1</v>
      </c>
      <c r="P150" s="8">
        <v>622</v>
      </c>
      <c r="Q150" s="7">
        <v>0.11958268309133471</v>
      </c>
      <c r="R150" s="7">
        <v>1.640786914407517E-2</v>
      </c>
      <c r="S150" s="8">
        <v>0</v>
      </c>
      <c r="T150" s="8">
        <v>1</v>
      </c>
      <c r="U150" s="8">
        <v>830</v>
      </c>
      <c r="V150" s="7">
        <v>3.584303700271517E-2</v>
      </c>
      <c r="W150" s="7">
        <v>9.384416241439408E-3</v>
      </c>
      <c r="X150" s="8">
        <v>0</v>
      </c>
      <c r="Y150" s="8">
        <v>1</v>
      </c>
      <c r="Z150" s="8">
        <v>733</v>
      </c>
      <c r="AA150" s="7">
        <v>3.8789460856317702E-2</v>
      </c>
      <c r="AB150" s="7">
        <v>5.0232497625994381E-3</v>
      </c>
      <c r="AC150" s="8">
        <v>0</v>
      </c>
      <c r="AD150" s="8">
        <v>1</v>
      </c>
      <c r="AE150" s="8">
        <v>3213</v>
      </c>
    </row>
    <row r="151" spans="1:32" ht="14.25" customHeight="1" x14ac:dyDescent="0.45">
      <c r="A151" s="6" t="s">
        <v>30</v>
      </c>
      <c r="B151" s="7">
        <v>6.4347504419908913E-2</v>
      </c>
      <c r="C151" s="7">
        <v>1.6210000455232083E-2</v>
      </c>
      <c r="D151" s="8">
        <v>0</v>
      </c>
      <c r="E151" s="8">
        <v>1</v>
      </c>
      <c r="F151" s="8">
        <v>343</v>
      </c>
      <c r="G151" s="7">
        <v>5.5760819257979384E-3</v>
      </c>
      <c r="H151" s="7">
        <v>2.4155139287461349E-3</v>
      </c>
      <c r="I151" s="8">
        <v>0</v>
      </c>
      <c r="J151" s="8">
        <v>1</v>
      </c>
      <c r="K151" s="8">
        <v>685</v>
      </c>
      <c r="L151" s="7">
        <v>5.7784639354585186E-2</v>
      </c>
      <c r="M151" s="7">
        <v>1.0739851453532647E-2</v>
      </c>
      <c r="N151" s="8">
        <v>0</v>
      </c>
      <c r="O151" s="8">
        <v>1</v>
      </c>
      <c r="P151" s="8">
        <v>622</v>
      </c>
      <c r="Q151" s="7">
        <v>4.8263280491864416E-2</v>
      </c>
      <c r="R151" s="7">
        <v>9.4601041768455525E-3</v>
      </c>
      <c r="S151" s="8">
        <v>0</v>
      </c>
      <c r="T151" s="8">
        <v>1</v>
      </c>
      <c r="U151" s="8">
        <v>830</v>
      </c>
      <c r="V151" s="7">
        <v>0.11301588571797948</v>
      </c>
      <c r="W151" s="7">
        <v>2.095351119764903E-2</v>
      </c>
      <c r="X151" s="8">
        <v>0</v>
      </c>
      <c r="Y151" s="8">
        <v>1</v>
      </c>
      <c r="Z151" s="8">
        <v>733</v>
      </c>
      <c r="AA151" s="7">
        <v>4.4127348950210449E-2</v>
      </c>
      <c r="AB151" s="7">
        <v>4.9821697834856737E-3</v>
      </c>
      <c r="AC151" s="8">
        <v>0</v>
      </c>
      <c r="AD151" s="8">
        <v>1</v>
      </c>
      <c r="AE151" s="8">
        <v>3213</v>
      </c>
      <c r="AF151">
        <f>(AA153/AA152)-AA151</f>
        <v>7.5436463655991298E-2</v>
      </c>
    </row>
    <row r="152" spans="1:32" ht="14.25" customHeight="1" x14ac:dyDescent="0.45">
      <c r="A152" s="6" t="s">
        <v>32</v>
      </c>
      <c r="B152" s="7">
        <v>0.2508434395881563</v>
      </c>
      <c r="C152" s="7">
        <v>2.6564985993478434E-2</v>
      </c>
      <c r="D152" s="8">
        <v>0</v>
      </c>
      <c r="E152" s="8">
        <v>1</v>
      </c>
      <c r="F152" s="8">
        <v>343</v>
      </c>
      <c r="G152" s="7">
        <v>0.11723648022517399</v>
      </c>
      <c r="H152" s="7">
        <v>1.3553156415989618E-2</v>
      </c>
      <c r="I152" s="8">
        <v>0</v>
      </c>
      <c r="J152" s="8">
        <v>1</v>
      </c>
      <c r="K152" s="8">
        <v>685</v>
      </c>
      <c r="L152" s="7">
        <v>0.10134866639101314</v>
      </c>
      <c r="M152" s="7">
        <v>1.4304965922128491E-2</v>
      </c>
      <c r="N152" s="8">
        <v>0</v>
      </c>
      <c r="O152" s="8">
        <v>1</v>
      </c>
      <c r="P152" s="8">
        <v>622</v>
      </c>
      <c r="Q152" s="7">
        <v>5.8577332732493929E-2</v>
      </c>
      <c r="R152" s="7">
        <v>1.0597856223613596E-2</v>
      </c>
      <c r="S152" s="8">
        <v>0</v>
      </c>
      <c r="T152" s="8">
        <v>1</v>
      </c>
      <c r="U152" s="8">
        <v>830</v>
      </c>
      <c r="V152" s="7">
        <v>3.2833700964905246E-2</v>
      </c>
      <c r="W152" s="7">
        <v>8.8742993180766557E-3</v>
      </c>
      <c r="X152" s="8">
        <v>0</v>
      </c>
      <c r="Y152" s="8">
        <v>1</v>
      </c>
      <c r="Z152" s="8">
        <v>733</v>
      </c>
      <c r="AA152" s="7">
        <v>0.10185964544597292</v>
      </c>
      <c r="AB152" s="7">
        <v>7.4120245141954984E-3</v>
      </c>
      <c r="AC152" s="8">
        <v>0</v>
      </c>
      <c r="AD152" s="8">
        <v>1</v>
      </c>
      <c r="AE152" s="8">
        <v>3213</v>
      </c>
      <c r="AF152">
        <f>(AA153/AA151)-AA152</f>
        <v>0.17413081965035315</v>
      </c>
    </row>
    <row r="153" spans="1:32" ht="26.25" customHeight="1" x14ac:dyDescent="0.45">
      <c r="A153" s="6" t="s">
        <v>79</v>
      </c>
      <c r="B153" s="7">
        <v>2.2641817023401713E-2</v>
      </c>
      <c r="C153" s="7">
        <v>9.0396297744489238E-3</v>
      </c>
      <c r="D153" s="8">
        <v>0</v>
      </c>
      <c r="E153" s="8">
        <v>1</v>
      </c>
      <c r="F153" s="8">
        <v>343</v>
      </c>
      <c r="G153" s="7">
        <v>2.1290554314860625E-3</v>
      </c>
      <c r="H153" s="7">
        <v>1.610477378350081E-3</v>
      </c>
      <c r="I153" s="8">
        <v>0</v>
      </c>
      <c r="J153" s="8">
        <v>1</v>
      </c>
      <c r="K153" s="8">
        <v>685</v>
      </c>
      <c r="L153" s="7">
        <v>2.0874655405796472E-2</v>
      </c>
      <c r="M153" s="7">
        <v>7.1802203740306278E-3</v>
      </c>
      <c r="N153" s="8">
        <v>0</v>
      </c>
      <c r="O153" s="8">
        <v>1</v>
      </c>
      <c r="P153" s="8">
        <v>622</v>
      </c>
      <c r="Q153" s="7">
        <v>9.0590760809941256E-3</v>
      </c>
      <c r="R153" s="7">
        <v>3.0815827650924848E-3</v>
      </c>
      <c r="S153" s="8">
        <v>0</v>
      </c>
      <c r="T153" s="8">
        <v>1</v>
      </c>
      <c r="U153" s="8">
        <v>830</v>
      </c>
      <c r="V153" s="7">
        <v>3.0171469129542721E-3</v>
      </c>
      <c r="W153" s="7">
        <v>8.9711252565386162E-4</v>
      </c>
      <c r="X153" s="8">
        <v>0</v>
      </c>
      <c r="Y153" s="8">
        <v>1</v>
      </c>
      <c r="Z153" s="8">
        <v>733</v>
      </c>
      <c r="AA153" s="7">
        <v>1.2178727560236458E-2</v>
      </c>
      <c r="AB153" s="7">
        <v>2.9990517524498108E-3</v>
      </c>
      <c r="AC153" s="8">
        <v>0</v>
      </c>
      <c r="AD153" s="8">
        <v>1</v>
      </c>
      <c r="AE153" s="8">
        <v>3213</v>
      </c>
    </row>
    <row r="154" spans="1:32" ht="14.25" customHeight="1" x14ac:dyDescent="0.45">
      <c r="A154" s="6" t="s">
        <v>30</v>
      </c>
      <c r="B154" s="7">
        <v>6.4347504419908913E-2</v>
      </c>
      <c r="C154" s="7">
        <v>1.6210000455232083E-2</v>
      </c>
      <c r="D154" s="8">
        <v>0</v>
      </c>
      <c r="E154" s="8">
        <v>1</v>
      </c>
      <c r="F154" s="8">
        <v>343</v>
      </c>
      <c r="G154" s="7">
        <v>5.5760819257979384E-3</v>
      </c>
      <c r="H154" s="7">
        <v>2.4155139287461349E-3</v>
      </c>
      <c r="I154" s="8">
        <v>0</v>
      </c>
      <c r="J154" s="8">
        <v>1</v>
      </c>
      <c r="K154" s="8">
        <v>685</v>
      </c>
      <c r="L154" s="7">
        <v>5.7784639354585186E-2</v>
      </c>
      <c r="M154" s="7">
        <v>1.0739851453532647E-2</v>
      </c>
      <c r="N154" s="8">
        <v>0</v>
      </c>
      <c r="O154" s="8">
        <v>1</v>
      </c>
      <c r="P154" s="8">
        <v>622</v>
      </c>
      <c r="Q154" s="7">
        <v>4.8263280491864416E-2</v>
      </c>
      <c r="R154" s="7">
        <v>9.4601041768455525E-3</v>
      </c>
      <c r="S154" s="8">
        <v>0</v>
      </c>
      <c r="T154" s="8">
        <v>1</v>
      </c>
      <c r="U154" s="8">
        <v>830</v>
      </c>
      <c r="V154" s="7">
        <v>0.11301588571797948</v>
      </c>
      <c r="W154" s="7">
        <v>2.095351119764903E-2</v>
      </c>
      <c r="X154" s="8">
        <v>0</v>
      </c>
      <c r="Y154" s="8">
        <v>1</v>
      </c>
      <c r="Z154" s="8">
        <v>733</v>
      </c>
      <c r="AA154" s="7">
        <v>4.4127348950210449E-2</v>
      </c>
      <c r="AB154" s="7">
        <v>4.9821697834856737E-3</v>
      </c>
      <c r="AC154" s="8">
        <v>0</v>
      </c>
      <c r="AD154" s="8">
        <v>1</v>
      </c>
      <c r="AE154" s="8">
        <v>3213</v>
      </c>
      <c r="AF154">
        <f>(AA156/AA155)-AA154</f>
        <v>9.0666951122999134E-2</v>
      </c>
    </row>
    <row r="155" spans="1:32" ht="14.25" customHeight="1" x14ac:dyDescent="0.45">
      <c r="A155" s="6" t="s">
        <v>34</v>
      </c>
      <c r="B155" s="7">
        <v>8.1787533107309865E-2</v>
      </c>
      <c r="C155" s="7">
        <v>1.7279206638313685E-2</v>
      </c>
      <c r="D155" s="8">
        <v>0</v>
      </c>
      <c r="E155" s="8">
        <v>1</v>
      </c>
      <c r="F155" s="8">
        <v>343</v>
      </c>
      <c r="G155" s="7">
        <v>7.7471492628192432E-2</v>
      </c>
      <c r="H155" s="7">
        <v>1.1471911375371565E-2</v>
      </c>
      <c r="I155" s="8">
        <v>0</v>
      </c>
      <c r="J155" s="8">
        <v>1</v>
      </c>
      <c r="K155" s="8">
        <v>685</v>
      </c>
      <c r="L155" s="7">
        <v>9.3337188203922908E-2</v>
      </c>
      <c r="M155" s="7">
        <v>1.3871048191407841E-2</v>
      </c>
      <c r="N155" s="8">
        <v>0</v>
      </c>
      <c r="O155" s="8">
        <v>1</v>
      </c>
      <c r="P155" s="8">
        <v>622</v>
      </c>
      <c r="Q155" s="7">
        <v>3.7296049679389667E-2</v>
      </c>
      <c r="R155" s="7">
        <v>9.3089825291206869E-3</v>
      </c>
      <c r="S155" s="8">
        <v>0</v>
      </c>
      <c r="T155" s="8">
        <v>1</v>
      </c>
      <c r="U155" s="8">
        <v>830</v>
      </c>
      <c r="V155" s="7">
        <v>2.513469963218028E-2</v>
      </c>
      <c r="W155" s="7">
        <v>7.9594489535297543E-3</v>
      </c>
      <c r="X155" s="8">
        <v>0</v>
      </c>
      <c r="Y155" s="8">
        <v>1</v>
      </c>
      <c r="Z155" s="8">
        <v>733</v>
      </c>
      <c r="AA155" s="7">
        <v>7.2866767578355668E-2</v>
      </c>
      <c r="AB155" s="7">
        <v>6.7889588799079637E-3</v>
      </c>
      <c r="AC155" s="8">
        <v>0</v>
      </c>
      <c r="AD155" s="8">
        <v>1</v>
      </c>
      <c r="AE155" s="8">
        <v>3213</v>
      </c>
      <c r="AF155">
        <f>(AA156/AA154)-AA155</f>
        <v>0.14971684933921697</v>
      </c>
    </row>
    <row r="156" spans="1:32" ht="26.25" customHeight="1" x14ac:dyDescent="0.45">
      <c r="A156" s="6" t="s">
        <v>80</v>
      </c>
      <c r="B156" s="7">
        <v>2.1852564198811243E-2</v>
      </c>
      <c r="C156" s="7">
        <v>9.0063917046388758E-3</v>
      </c>
      <c r="D156" s="8">
        <v>0</v>
      </c>
      <c r="E156" s="8">
        <v>1</v>
      </c>
      <c r="F156" s="8">
        <v>343</v>
      </c>
      <c r="G156" s="7">
        <v>2.1290554314860625E-3</v>
      </c>
      <c r="H156" s="7">
        <v>1.610477378350081E-3</v>
      </c>
      <c r="I156" s="8">
        <v>0</v>
      </c>
      <c r="J156" s="8">
        <v>1</v>
      </c>
      <c r="K156" s="8">
        <v>685</v>
      </c>
      <c r="L156" s="7">
        <v>1.6183841337369439E-2</v>
      </c>
      <c r="M156" s="7">
        <v>6.4004921898802875E-3</v>
      </c>
      <c r="N156" s="8">
        <v>0</v>
      </c>
      <c r="O156" s="8">
        <v>1</v>
      </c>
      <c r="P156" s="8">
        <v>622</v>
      </c>
      <c r="Q156" s="7">
        <v>6.8974020174563432E-3</v>
      </c>
      <c r="R156" s="7">
        <v>2.6688997985871497E-3</v>
      </c>
      <c r="S156" s="8">
        <v>0</v>
      </c>
      <c r="T156" s="8">
        <v>1</v>
      </c>
      <c r="U156" s="8">
        <v>830</v>
      </c>
      <c r="V156" s="7">
        <v>2.8065576797578419E-3</v>
      </c>
      <c r="W156" s="7">
        <v>8.7020003384365369E-4</v>
      </c>
      <c r="X156" s="8">
        <v>0</v>
      </c>
      <c r="Y156" s="8">
        <v>1</v>
      </c>
      <c r="Z156" s="8">
        <v>733</v>
      </c>
      <c r="AA156" s="7">
        <v>9.8220249343216933E-3</v>
      </c>
      <c r="AB156" s="7">
        <v>2.6855754445525549E-3</v>
      </c>
      <c r="AC156" s="8">
        <v>0</v>
      </c>
      <c r="AD156" s="8">
        <v>1</v>
      </c>
      <c r="AE156" s="8">
        <v>3213</v>
      </c>
    </row>
    <row r="157" spans="1:32" ht="14.25" customHeight="1" x14ac:dyDescent="0.45">
      <c r="A157" s="6" t="s">
        <v>30</v>
      </c>
      <c r="B157" s="7">
        <v>6.4347504419908913E-2</v>
      </c>
      <c r="C157" s="7">
        <v>1.6210000455232083E-2</v>
      </c>
      <c r="D157" s="8">
        <v>0</v>
      </c>
      <c r="E157" s="8">
        <v>1</v>
      </c>
      <c r="F157" s="8">
        <v>343</v>
      </c>
      <c r="G157" s="7">
        <v>5.5760819257979384E-3</v>
      </c>
      <c r="H157" s="7">
        <v>2.4155139287461349E-3</v>
      </c>
      <c r="I157" s="8">
        <v>0</v>
      </c>
      <c r="J157" s="8">
        <v>1</v>
      </c>
      <c r="K157" s="8">
        <v>685</v>
      </c>
      <c r="L157" s="7">
        <v>5.7784639354585186E-2</v>
      </c>
      <c r="M157" s="7">
        <v>1.0739851453532647E-2</v>
      </c>
      <c r="N157" s="8">
        <v>0</v>
      </c>
      <c r="O157" s="8">
        <v>1</v>
      </c>
      <c r="P157" s="8">
        <v>622</v>
      </c>
      <c r="Q157" s="7">
        <v>4.8263280491864416E-2</v>
      </c>
      <c r="R157" s="7">
        <v>9.4601041768455525E-3</v>
      </c>
      <c r="S157" s="8">
        <v>0</v>
      </c>
      <c r="T157" s="8">
        <v>1</v>
      </c>
      <c r="U157" s="8">
        <v>830</v>
      </c>
      <c r="V157" s="7">
        <v>0.11301588571797948</v>
      </c>
      <c r="W157" s="7">
        <v>2.095351119764903E-2</v>
      </c>
      <c r="X157" s="8">
        <v>0</v>
      </c>
      <c r="Y157" s="8">
        <v>1</v>
      </c>
      <c r="Z157" s="8">
        <v>733</v>
      </c>
      <c r="AA157" s="7">
        <v>4.4127348950210449E-2</v>
      </c>
      <c r="AB157" s="7">
        <v>4.9821697834856737E-3</v>
      </c>
      <c r="AC157" s="8">
        <v>0</v>
      </c>
      <c r="AD157" s="8">
        <v>1</v>
      </c>
      <c r="AE157" s="8">
        <v>3213</v>
      </c>
      <c r="AF157">
        <f>(AA159/AA158)-AA157</f>
        <v>1.7780402378585761E-2</v>
      </c>
    </row>
    <row r="158" spans="1:32" ht="14.25" customHeight="1" x14ac:dyDescent="0.45">
      <c r="A158" s="6" t="s">
        <v>36</v>
      </c>
      <c r="B158" s="7">
        <v>0.22207872184389335</v>
      </c>
      <c r="C158" s="7">
        <v>2.4775433116898182E-2</v>
      </c>
      <c r="D158" s="8">
        <v>0</v>
      </c>
      <c r="E158" s="8">
        <v>1</v>
      </c>
      <c r="F158" s="8">
        <v>343</v>
      </c>
      <c r="G158" s="7">
        <v>9.3629004050585732E-2</v>
      </c>
      <c r="H158" s="7">
        <v>1.2914309363192237E-2</v>
      </c>
      <c r="I158" s="8">
        <v>0</v>
      </c>
      <c r="J158" s="8">
        <v>1</v>
      </c>
      <c r="K158" s="8">
        <v>685</v>
      </c>
      <c r="L158" s="7">
        <v>5.0675747986819425E-2</v>
      </c>
      <c r="M158" s="7">
        <v>1.1258657548167093E-2</v>
      </c>
      <c r="N158" s="8">
        <v>0</v>
      </c>
      <c r="O158" s="8">
        <v>1</v>
      </c>
      <c r="P158" s="8">
        <v>622</v>
      </c>
      <c r="Q158" s="7">
        <v>8.8906899619095245E-2</v>
      </c>
      <c r="R158" s="7">
        <v>1.5689910940161863E-2</v>
      </c>
      <c r="S158" s="8">
        <v>0</v>
      </c>
      <c r="T158" s="8">
        <v>1</v>
      </c>
      <c r="U158" s="8">
        <v>830</v>
      </c>
      <c r="V158" s="7">
        <v>0.14223726061043815</v>
      </c>
      <c r="W158" s="7">
        <v>1.6491487573434171E-2</v>
      </c>
      <c r="X158" s="8">
        <v>0</v>
      </c>
      <c r="Y158" s="8">
        <v>1</v>
      </c>
      <c r="Z158" s="8">
        <v>733</v>
      </c>
      <c r="AA158" s="7">
        <v>8.5558452234588231E-2</v>
      </c>
      <c r="AB158" s="7">
        <v>6.8658306176085059E-3</v>
      </c>
      <c r="AC158" s="8">
        <v>0</v>
      </c>
      <c r="AD158" s="8">
        <v>1</v>
      </c>
      <c r="AE158" s="8">
        <v>3213</v>
      </c>
      <c r="AF158">
        <f>(AA159/AA157)-AA158</f>
        <v>3.4474396124191675E-2</v>
      </c>
    </row>
    <row r="159" spans="1:32" ht="26.25" customHeight="1" x14ac:dyDescent="0.45">
      <c r="A159" s="6" t="s">
        <v>81</v>
      </c>
      <c r="B159" s="7">
        <v>1.6532340883221707E-2</v>
      </c>
      <c r="C159" s="7">
        <v>6.574380229420084E-3</v>
      </c>
      <c r="D159" s="8">
        <v>0</v>
      </c>
      <c r="E159" s="8">
        <v>1</v>
      </c>
      <c r="F159" s="8">
        <v>343</v>
      </c>
      <c r="G159" s="7">
        <v>1.3214872396032774E-3</v>
      </c>
      <c r="H159" s="7">
        <v>9.3560594075410488E-4</v>
      </c>
      <c r="I159" s="8">
        <v>0</v>
      </c>
      <c r="J159" s="8">
        <v>1</v>
      </c>
      <c r="K159" s="8">
        <v>685</v>
      </c>
      <c r="L159" s="7">
        <v>4.6489830548061845E-3</v>
      </c>
      <c r="M159" s="7">
        <v>3.2822908299529143E-3</v>
      </c>
      <c r="N159" s="8">
        <v>0</v>
      </c>
      <c r="O159" s="8">
        <v>1</v>
      </c>
      <c r="P159" s="8">
        <v>622</v>
      </c>
      <c r="Q159" s="7">
        <v>4.5284048505296829E-3</v>
      </c>
      <c r="R159" s="7">
        <v>2.2943690510545903E-3</v>
      </c>
      <c r="S159" s="8">
        <v>0</v>
      </c>
      <c r="T159" s="8">
        <v>1</v>
      </c>
      <c r="U159" s="8">
        <v>830</v>
      </c>
      <c r="V159" s="7">
        <v>2.2495287651530603E-2</v>
      </c>
      <c r="W159" s="7">
        <v>8.539641783325079E-3</v>
      </c>
      <c r="X159" s="8">
        <v>0</v>
      </c>
      <c r="Y159" s="8">
        <v>1</v>
      </c>
      <c r="Z159" s="8">
        <v>733</v>
      </c>
      <c r="AA159" s="7">
        <v>5.2967313850155765E-3</v>
      </c>
      <c r="AB159" s="7">
        <v>1.5272315907292411E-3</v>
      </c>
      <c r="AC159" s="8">
        <v>0</v>
      </c>
      <c r="AD159" s="8">
        <v>1</v>
      </c>
      <c r="AE159" s="8">
        <v>3213</v>
      </c>
    </row>
    <row r="160" spans="1:32" ht="14.25" customHeight="1" x14ac:dyDescent="0.45">
      <c r="A160" s="6" t="s">
        <v>30</v>
      </c>
      <c r="B160" s="7">
        <v>6.4347504419908913E-2</v>
      </c>
      <c r="C160" s="7">
        <v>1.6210000455232083E-2</v>
      </c>
      <c r="D160" s="8">
        <v>0</v>
      </c>
      <c r="E160" s="8">
        <v>1</v>
      </c>
      <c r="F160" s="8">
        <v>343</v>
      </c>
      <c r="G160" s="7">
        <v>5.5760819257979384E-3</v>
      </c>
      <c r="H160" s="7">
        <v>2.4155139287461349E-3</v>
      </c>
      <c r="I160" s="8">
        <v>0</v>
      </c>
      <c r="J160" s="8">
        <v>1</v>
      </c>
      <c r="K160" s="8">
        <v>685</v>
      </c>
      <c r="L160" s="7">
        <v>5.7784639354585186E-2</v>
      </c>
      <c r="M160" s="7">
        <v>1.0739851453532647E-2</v>
      </c>
      <c r="N160" s="8">
        <v>0</v>
      </c>
      <c r="O160" s="8">
        <v>1</v>
      </c>
      <c r="P160" s="8">
        <v>622</v>
      </c>
      <c r="Q160" s="7">
        <v>4.8263280491864416E-2</v>
      </c>
      <c r="R160" s="7">
        <v>9.4601041768455525E-3</v>
      </c>
      <c r="S160" s="8">
        <v>0</v>
      </c>
      <c r="T160" s="8">
        <v>1</v>
      </c>
      <c r="U160" s="8">
        <v>830</v>
      </c>
      <c r="V160" s="7">
        <v>0.11301588571797948</v>
      </c>
      <c r="W160" s="7">
        <v>2.095351119764903E-2</v>
      </c>
      <c r="X160" s="8">
        <v>0</v>
      </c>
      <c r="Y160" s="8">
        <v>1</v>
      </c>
      <c r="Z160" s="8">
        <v>733</v>
      </c>
      <c r="AA160" s="7">
        <v>4.4127348950210449E-2</v>
      </c>
      <c r="AB160" s="7">
        <v>4.9821697834856737E-3</v>
      </c>
      <c r="AC160" s="8">
        <v>0</v>
      </c>
      <c r="AD160" s="8">
        <v>1</v>
      </c>
      <c r="AE160" s="8">
        <v>3213</v>
      </c>
      <c r="AF160">
        <f>(AA162/AA161)-AA160</f>
        <v>5.7007720960532207E-3</v>
      </c>
    </row>
    <row r="161" spans="1:32" ht="26.25" customHeight="1" x14ac:dyDescent="0.45">
      <c r="A161" s="6" t="s">
        <v>38</v>
      </c>
      <c r="B161" s="7">
        <v>0.429717204212403</v>
      </c>
      <c r="C161" s="7">
        <v>3.0392503365876303E-2</v>
      </c>
      <c r="D161" s="8">
        <v>0</v>
      </c>
      <c r="E161" s="8">
        <v>1</v>
      </c>
      <c r="F161" s="8">
        <v>343</v>
      </c>
      <c r="G161" s="7">
        <v>0.4800939721985647</v>
      </c>
      <c r="H161" s="7">
        <v>2.1458745860172199E-2</v>
      </c>
      <c r="I161" s="8">
        <v>0</v>
      </c>
      <c r="J161" s="8">
        <v>1</v>
      </c>
      <c r="K161" s="8">
        <v>685</v>
      </c>
      <c r="L161" s="7">
        <v>0.54292486162987486</v>
      </c>
      <c r="M161" s="7">
        <v>2.3097197169809559E-2</v>
      </c>
      <c r="N161" s="8">
        <v>0</v>
      </c>
      <c r="O161" s="8">
        <v>1</v>
      </c>
      <c r="P161" s="8">
        <v>622</v>
      </c>
      <c r="Q161" s="7">
        <v>0.5061258995781831</v>
      </c>
      <c r="R161" s="7">
        <v>2.4068941722059152E-2</v>
      </c>
      <c r="S161" s="8">
        <v>0</v>
      </c>
      <c r="T161" s="8">
        <v>1</v>
      </c>
      <c r="U161" s="8">
        <v>830</v>
      </c>
      <c r="V161" s="7">
        <v>0.21923941521723078</v>
      </c>
      <c r="W161" s="7">
        <v>2.2302742957611636E-2</v>
      </c>
      <c r="X161" s="8">
        <v>0</v>
      </c>
      <c r="Y161" s="8">
        <v>1</v>
      </c>
      <c r="Z161" s="8">
        <v>733</v>
      </c>
      <c r="AA161" s="7">
        <v>0.49346013284592816</v>
      </c>
      <c r="AB161" s="7">
        <v>1.2333331111640417E-2</v>
      </c>
      <c r="AC161" s="8">
        <v>0</v>
      </c>
      <c r="AD161" s="8">
        <v>1</v>
      </c>
      <c r="AE161" s="8">
        <v>3213</v>
      </c>
      <c r="AF161">
        <f>(AA162/AA160)-AA161</f>
        <v>6.3749665972838043E-2</v>
      </c>
    </row>
    <row r="162" spans="1:32" ht="39.5" customHeight="1" x14ac:dyDescent="0.45">
      <c r="A162" s="6" t="s">
        <v>82</v>
      </c>
      <c r="B162" s="7">
        <v>2.6281502521404491E-2</v>
      </c>
      <c r="C162" s="7">
        <v>8.1754963608682181E-3</v>
      </c>
      <c r="D162" s="8">
        <v>0</v>
      </c>
      <c r="E162" s="8">
        <v>1</v>
      </c>
      <c r="F162" s="8">
        <v>343</v>
      </c>
      <c r="G162" s="7">
        <v>1.468311811684424E-3</v>
      </c>
      <c r="H162" s="7">
        <v>1.4685834016261899E-3</v>
      </c>
      <c r="I162" s="8">
        <v>0</v>
      </c>
      <c r="J162" s="8">
        <v>1</v>
      </c>
      <c r="K162" s="8">
        <v>685</v>
      </c>
      <c r="L162" s="7">
        <v>3.155447727975625E-2</v>
      </c>
      <c r="M162" s="7">
        <v>7.5965126071540828E-3</v>
      </c>
      <c r="N162" s="8">
        <v>0</v>
      </c>
      <c r="O162" s="8">
        <v>1</v>
      </c>
      <c r="P162" s="8">
        <v>622</v>
      </c>
      <c r="Q162" s="7">
        <v>4.6101606428326634E-2</v>
      </c>
      <c r="R162" s="7">
        <v>9.3421615776293696E-3</v>
      </c>
      <c r="S162" s="8">
        <v>0</v>
      </c>
      <c r="T162" s="8">
        <v>1</v>
      </c>
      <c r="U162" s="8">
        <v>830</v>
      </c>
      <c r="V162" s="7">
        <v>1.2540751876741188E-2</v>
      </c>
      <c r="W162" s="7">
        <v>6.3534112386824347E-3</v>
      </c>
      <c r="X162" s="8">
        <v>0</v>
      </c>
      <c r="Y162" s="8">
        <v>1</v>
      </c>
      <c r="Z162" s="8">
        <v>733</v>
      </c>
      <c r="AA162" s="7">
        <v>2.458819123095226E-2</v>
      </c>
      <c r="AB162" s="7">
        <v>3.6519771446852584E-3</v>
      </c>
      <c r="AC162" s="8">
        <v>0</v>
      </c>
      <c r="AD162" s="8">
        <v>1</v>
      </c>
      <c r="AE162" s="8">
        <v>3213</v>
      </c>
    </row>
    <row r="163" spans="1:32" ht="14.25" customHeight="1" x14ac:dyDescent="0.45">
      <c r="A163" s="6" t="s">
        <v>30</v>
      </c>
      <c r="B163" s="7">
        <v>6.4347504419908913E-2</v>
      </c>
      <c r="C163" s="7">
        <v>1.6210000455232083E-2</v>
      </c>
      <c r="D163" s="8">
        <v>0</v>
      </c>
      <c r="E163" s="8">
        <v>1</v>
      </c>
      <c r="F163" s="8">
        <v>343</v>
      </c>
      <c r="G163" s="7">
        <v>5.5760819257979384E-3</v>
      </c>
      <c r="H163" s="7">
        <v>2.4155139287461349E-3</v>
      </c>
      <c r="I163" s="8">
        <v>0</v>
      </c>
      <c r="J163" s="8">
        <v>1</v>
      </c>
      <c r="K163" s="8">
        <v>685</v>
      </c>
      <c r="L163" s="7">
        <v>5.7784639354585186E-2</v>
      </c>
      <c r="M163" s="7">
        <v>1.0739851453532647E-2</v>
      </c>
      <c r="N163" s="8">
        <v>0</v>
      </c>
      <c r="O163" s="8">
        <v>1</v>
      </c>
      <c r="P163" s="8">
        <v>622</v>
      </c>
      <c r="Q163" s="7">
        <v>4.8263280491864416E-2</v>
      </c>
      <c r="R163" s="7">
        <v>9.4601041768455525E-3</v>
      </c>
      <c r="S163" s="8">
        <v>0</v>
      </c>
      <c r="T163" s="8">
        <v>1</v>
      </c>
      <c r="U163" s="8">
        <v>830</v>
      </c>
      <c r="V163" s="7">
        <v>0.11301588571797948</v>
      </c>
      <c r="W163" s="7">
        <v>2.095351119764903E-2</v>
      </c>
      <c r="X163" s="8">
        <v>0</v>
      </c>
      <c r="Y163" s="8">
        <v>1</v>
      </c>
      <c r="Z163" s="8">
        <v>733</v>
      </c>
      <c r="AA163" s="7">
        <v>4.4127348950210449E-2</v>
      </c>
      <c r="AB163" s="7">
        <v>4.9821697834856737E-3</v>
      </c>
      <c r="AC163" s="8">
        <v>0</v>
      </c>
      <c r="AD163" s="8">
        <v>1</v>
      </c>
      <c r="AE163" s="8">
        <v>3213</v>
      </c>
      <c r="AF163">
        <f>(AA165/AA164)-AA163</f>
        <v>-1.247218655650157E-2</v>
      </c>
    </row>
    <row r="164" spans="1:32" ht="14.25" customHeight="1" x14ac:dyDescent="0.45">
      <c r="A164" s="6" t="s">
        <v>40</v>
      </c>
      <c r="B164" s="7">
        <v>0.11043143982498899</v>
      </c>
      <c r="C164" s="7">
        <v>1.9318318636183492E-2</v>
      </c>
      <c r="D164" s="8">
        <v>0</v>
      </c>
      <c r="E164" s="8">
        <v>1</v>
      </c>
      <c r="F164" s="8">
        <v>343</v>
      </c>
      <c r="G164" s="7">
        <v>0.11069522201123315</v>
      </c>
      <c r="H164" s="7">
        <v>1.3640876599586607E-2</v>
      </c>
      <c r="I164" s="8">
        <v>0</v>
      </c>
      <c r="J164" s="8">
        <v>1</v>
      </c>
      <c r="K164" s="8">
        <v>685</v>
      </c>
      <c r="L164" s="7">
        <v>0.20545282167499468</v>
      </c>
      <c r="M164" s="7">
        <v>1.8994482679167819E-2</v>
      </c>
      <c r="N164" s="8">
        <v>0</v>
      </c>
      <c r="O164" s="8">
        <v>1</v>
      </c>
      <c r="P164" s="8">
        <v>622</v>
      </c>
      <c r="Q164" s="7">
        <v>0.31815038623555536</v>
      </c>
      <c r="R164" s="7">
        <v>2.2407093634880186E-2</v>
      </c>
      <c r="S164" s="8">
        <v>0</v>
      </c>
      <c r="T164" s="8">
        <v>1</v>
      </c>
      <c r="U164" s="8">
        <v>830</v>
      </c>
      <c r="V164" s="7">
        <v>0.13233968886421418</v>
      </c>
      <c r="W164" s="7">
        <v>1.8303690851725167E-2</v>
      </c>
      <c r="X164" s="8">
        <v>0</v>
      </c>
      <c r="Y164" s="8">
        <v>1</v>
      </c>
      <c r="Z164" s="8">
        <v>733</v>
      </c>
      <c r="AA164" s="7">
        <v>0.19219833829689462</v>
      </c>
      <c r="AB164" s="7">
        <v>9.9022963989124652E-3</v>
      </c>
      <c r="AC164" s="8">
        <v>0</v>
      </c>
      <c r="AD164" s="8">
        <v>1</v>
      </c>
      <c r="AE164" s="8">
        <v>3213</v>
      </c>
      <c r="AF164">
        <f>(AA165/AA163)-AA164</f>
        <v>-5.4323080541121838E-2</v>
      </c>
    </row>
    <row r="165" spans="1:32" ht="26.25" customHeight="1" x14ac:dyDescent="0.45">
      <c r="A165" s="6" t="s">
        <v>83</v>
      </c>
      <c r="B165" s="7">
        <v>1.1659036144962113E-2</v>
      </c>
      <c r="C165" s="7">
        <v>5.260206762682797E-3</v>
      </c>
      <c r="D165" s="8">
        <v>0</v>
      </c>
      <c r="E165" s="8">
        <v>1</v>
      </c>
      <c r="F165" s="8">
        <v>343</v>
      </c>
      <c r="G165" s="7">
        <v>0</v>
      </c>
      <c r="H165" s="7">
        <v>0</v>
      </c>
      <c r="I165" s="8">
        <v>0</v>
      </c>
      <c r="J165" s="8">
        <v>0</v>
      </c>
      <c r="K165" s="8">
        <v>685</v>
      </c>
      <c r="L165" s="7">
        <v>1.3422072443402182E-3</v>
      </c>
      <c r="M165" s="7">
        <v>1.3429278272637252E-3</v>
      </c>
      <c r="N165" s="8">
        <v>0</v>
      </c>
      <c r="O165" s="8">
        <v>1</v>
      </c>
      <c r="P165" s="8">
        <v>622</v>
      </c>
      <c r="Q165" s="7">
        <v>2.2000330848308405E-2</v>
      </c>
      <c r="R165" s="7">
        <v>5.2554655275088309E-3</v>
      </c>
      <c r="S165" s="8">
        <v>0</v>
      </c>
      <c r="T165" s="8">
        <v>1</v>
      </c>
      <c r="U165" s="8">
        <v>830</v>
      </c>
      <c r="V165" s="7">
        <v>6.3892465225669597E-3</v>
      </c>
      <c r="W165" s="7">
        <v>4.5983276130438233E-3</v>
      </c>
      <c r="X165" s="8">
        <v>0</v>
      </c>
      <c r="Y165" s="8">
        <v>1</v>
      </c>
      <c r="Z165" s="8">
        <v>733</v>
      </c>
      <c r="AA165" s="7">
        <v>6.0840696105891948E-3</v>
      </c>
      <c r="AB165" s="7">
        <v>1.272568067731038E-3</v>
      </c>
      <c r="AC165" s="8">
        <v>0</v>
      </c>
      <c r="AD165" s="8">
        <v>1</v>
      </c>
      <c r="AE165" s="8">
        <v>3213</v>
      </c>
    </row>
    <row r="166" spans="1:32" ht="14.25" customHeight="1" x14ac:dyDescent="0.45">
      <c r="A166" s="6" t="s">
        <v>30</v>
      </c>
      <c r="B166" s="7">
        <v>6.4347504419908913E-2</v>
      </c>
      <c r="C166" s="7">
        <v>1.6210000455232083E-2</v>
      </c>
      <c r="D166" s="8">
        <v>0</v>
      </c>
      <c r="E166" s="8">
        <v>1</v>
      </c>
      <c r="F166" s="8">
        <v>343</v>
      </c>
      <c r="G166" s="7">
        <v>5.5760819257979384E-3</v>
      </c>
      <c r="H166" s="7">
        <v>2.4155139287461349E-3</v>
      </c>
      <c r="I166" s="8">
        <v>0</v>
      </c>
      <c r="J166" s="8">
        <v>1</v>
      </c>
      <c r="K166" s="8">
        <v>685</v>
      </c>
      <c r="L166" s="7">
        <v>5.7784639354585186E-2</v>
      </c>
      <c r="M166" s="7">
        <v>1.0739851453532647E-2</v>
      </c>
      <c r="N166" s="8">
        <v>0</v>
      </c>
      <c r="O166" s="8">
        <v>1</v>
      </c>
      <c r="P166" s="8">
        <v>622</v>
      </c>
      <c r="Q166" s="7">
        <v>4.8263280491864416E-2</v>
      </c>
      <c r="R166" s="7">
        <v>9.4601041768455525E-3</v>
      </c>
      <c r="S166" s="8">
        <v>0</v>
      </c>
      <c r="T166" s="8">
        <v>1</v>
      </c>
      <c r="U166" s="8">
        <v>830</v>
      </c>
      <c r="V166" s="7">
        <v>0.11301588571797948</v>
      </c>
      <c r="W166" s="7">
        <v>2.095351119764903E-2</v>
      </c>
      <c r="X166" s="8">
        <v>0</v>
      </c>
      <c r="Y166" s="8">
        <v>1</v>
      </c>
      <c r="Z166" s="8">
        <v>733</v>
      </c>
      <c r="AA166" s="7">
        <v>4.4127348950210449E-2</v>
      </c>
      <c r="AB166" s="7">
        <v>4.9821697834856737E-3</v>
      </c>
      <c r="AC166" s="8">
        <v>0</v>
      </c>
      <c r="AD166" s="8">
        <v>1</v>
      </c>
      <c r="AE166" s="8">
        <v>3213</v>
      </c>
      <c r="AF166">
        <f>(AA168/AA167)-AA166</f>
        <v>-1.7848512822601956E-2</v>
      </c>
    </row>
    <row r="167" spans="1:32" ht="14.25" customHeight="1" x14ac:dyDescent="0.45">
      <c r="A167" s="6" t="s">
        <v>42</v>
      </c>
      <c r="B167" s="7">
        <v>0.4041930049279841</v>
      </c>
      <c r="C167" s="7">
        <v>3.0232276444073676E-2</v>
      </c>
      <c r="D167" s="8">
        <v>0</v>
      </c>
      <c r="E167" s="8">
        <v>1</v>
      </c>
      <c r="F167" s="8">
        <v>343</v>
      </c>
      <c r="G167" s="7">
        <v>0.47166434397907836</v>
      </c>
      <c r="H167" s="7">
        <v>2.1519532355489479E-2</v>
      </c>
      <c r="I167" s="8">
        <v>0</v>
      </c>
      <c r="J167" s="8">
        <v>1</v>
      </c>
      <c r="K167" s="8">
        <v>685</v>
      </c>
      <c r="L167" s="7">
        <v>0.43338553269768243</v>
      </c>
      <c r="M167" s="7">
        <v>2.2944313900862667E-2</v>
      </c>
      <c r="N167" s="8">
        <v>0</v>
      </c>
      <c r="O167" s="8">
        <v>1</v>
      </c>
      <c r="P167" s="8">
        <v>622</v>
      </c>
      <c r="Q167" s="7">
        <v>0.37080005445994324</v>
      </c>
      <c r="R167" s="7">
        <v>2.2758196670672724E-2</v>
      </c>
      <c r="S167" s="8">
        <v>0</v>
      </c>
      <c r="T167" s="8">
        <v>1</v>
      </c>
      <c r="U167" s="8">
        <v>830</v>
      </c>
      <c r="V167" s="7">
        <v>0.40704376021255967</v>
      </c>
      <c r="W167" s="7">
        <v>2.6476273726386629E-2</v>
      </c>
      <c r="X167" s="8">
        <v>0</v>
      </c>
      <c r="Y167" s="8">
        <v>1</v>
      </c>
      <c r="Z167" s="8">
        <v>733</v>
      </c>
      <c r="AA167" s="7">
        <v>0.42838777016507279</v>
      </c>
      <c r="AB167" s="7">
        <v>1.219850561897003E-2</v>
      </c>
      <c r="AC167" s="8">
        <v>0</v>
      </c>
      <c r="AD167" s="8">
        <v>1</v>
      </c>
      <c r="AE167" s="8">
        <v>3213</v>
      </c>
      <c r="AF167">
        <f>(AA168/AA166)-AA167</f>
        <v>-0.17327314671598226</v>
      </c>
    </row>
    <row r="168" spans="1:32" ht="26.25" customHeight="1" x14ac:dyDescent="0.45">
      <c r="A168" s="6" t="s">
        <v>84</v>
      </c>
      <c r="B168" s="7">
        <v>4.1278512382977965E-2</v>
      </c>
      <c r="C168" s="7">
        <v>1.3775242202871428E-2</v>
      </c>
      <c r="D168" s="8">
        <v>0</v>
      </c>
      <c r="E168" s="8">
        <v>1</v>
      </c>
      <c r="F168" s="8">
        <v>343</v>
      </c>
      <c r="G168" s="7">
        <v>3.409014840111837E-3</v>
      </c>
      <c r="H168" s="7">
        <v>1.8011055984669521E-3</v>
      </c>
      <c r="I168" s="8">
        <v>0</v>
      </c>
      <c r="J168" s="8">
        <v>1</v>
      </c>
      <c r="K168" s="8">
        <v>685</v>
      </c>
      <c r="L168" s="7">
        <v>8.9331280927071148E-3</v>
      </c>
      <c r="M168" s="7">
        <v>4.1275609444004265E-3</v>
      </c>
      <c r="N168" s="8">
        <v>0</v>
      </c>
      <c r="O168" s="8">
        <v>1</v>
      </c>
      <c r="P168" s="8">
        <v>622</v>
      </c>
      <c r="Q168" s="7">
        <v>1.3054644305219552E-2</v>
      </c>
      <c r="R168" s="7">
        <v>4.4364464510118044E-3</v>
      </c>
      <c r="S168" s="8">
        <v>0</v>
      </c>
      <c r="T168" s="8">
        <v>1</v>
      </c>
      <c r="U168" s="8">
        <v>830</v>
      </c>
      <c r="V168" s="7">
        <v>3.1865555710808235E-2</v>
      </c>
      <c r="W168" s="7">
        <v>1.017115424008852E-2</v>
      </c>
      <c r="X168" s="8">
        <v>0</v>
      </c>
      <c r="Y168" s="8">
        <v>1</v>
      </c>
      <c r="Z168" s="8">
        <v>733</v>
      </c>
      <c r="AA168" s="7">
        <v>1.1257532011239559E-2</v>
      </c>
      <c r="AB168" s="7">
        <v>2.1702008392953643E-3</v>
      </c>
      <c r="AC168" s="8">
        <v>0</v>
      </c>
      <c r="AD168" s="8">
        <v>1</v>
      </c>
      <c r="AE168" s="8">
        <v>3213</v>
      </c>
    </row>
    <row r="169" spans="1:32" ht="14.25" customHeight="1" x14ac:dyDescent="0.45">
      <c r="A169" s="6" t="s">
        <v>30</v>
      </c>
      <c r="B169" s="7">
        <v>6.4347504419908913E-2</v>
      </c>
      <c r="C169" s="7">
        <v>1.6210000455232083E-2</v>
      </c>
      <c r="D169" s="8">
        <v>0</v>
      </c>
      <c r="E169" s="8">
        <v>1</v>
      </c>
      <c r="F169" s="8">
        <v>343</v>
      </c>
      <c r="G169" s="7">
        <v>5.5760819257979384E-3</v>
      </c>
      <c r="H169" s="7">
        <v>2.4155139287461349E-3</v>
      </c>
      <c r="I169" s="8">
        <v>0</v>
      </c>
      <c r="J169" s="8">
        <v>1</v>
      </c>
      <c r="K169" s="8">
        <v>685</v>
      </c>
      <c r="L169" s="7">
        <v>5.7784639354585186E-2</v>
      </c>
      <c r="M169" s="7">
        <v>1.0739851453532647E-2</v>
      </c>
      <c r="N169" s="8">
        <v>0</v>
      </c>
      <c r="O169" s="8">
        <v>1</v>
      </c>
      <c r="P169" s="8">
        <v>622</v>
      </c>
      <c r="Q169" s="7">
        <v>4.8263280491864416E-2</v>
      </c>
      <c r="R169" s="7">
        <v>9.4601041768455525E-3</v>
      </c>
      <c r="S169" s="8">
        <v>0</v>
      </c>
      <c r="T169" s="8">
        <v>1</v>
      </c>
      <c r="U169" s="8">
        <v>830</v>
      </c>
      <c r="V169" s="7">
        <v>0.11301588571797948</v>
      </c>
      <c r="W169" s="7">
        <v>2.095351119764903E-2</v>
      </c>
      <c r="X169" s="8">
        <v>0</v>
      </c>
      <c r="Y169" s="8">
        <v>1</v>
      </c>
      <c r="Z169" s="8">
        <v>733</v>
      </c>
      <c r="AA169" s="7">
        <v>4.4127348950210449E-2</v>
      </c>
      <c r="AB169" s="7">
        <v>4.9821697834856737E-3</v>
      </c>
      <c r="AC169" s="8">
        <v>0</v>
      </c>
      <c r="AD169" s="8">
        <v>1</v>
      </c>
      <c r="AE169" s="8">
        <v>3213</v>
      </c>
      <c r="AF169">
        <f>(AA171/AA170)-AA169</f>
        <v>-4.4127348950210449E-2</v>
      </c>
    </row>
    <row r="170" spans="1:32" ht="14.25" customHeight="1" x14ac:dyDescent="0.45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343</v>
      </c>
      <c r="G170" s="7">
        <v>6.1239228844402228E-3</v>
      </c>
      <c r="H170" s="7">
        <v>2.559788277249609E-3</v>
      </c>
      <c r="I170" s="8">
        <v>0</v>
      </c>
      <c r="J170" s="8">
        <v>1</v>
      </c>
      <c r="K170" s="8">
        <v>685</v>
      </c>
      <c r="L170" s="7">
        <v>7.5222336372921406E-3</v>
      </c>
      <c r="M170" s="7">
        <v>3.888810135536692E-3</v>
      </c>
      <c r="N170" s="8">
        <v>0</v>
      </c>
      <c r="O170" s="8">
        <v>1</v>
      </c>
      <c r="P170" s="8">
        <v>622</v>
      </c>
      <c r="Q170" s="7">
        <v>4.3787001294212568E-3</v>
      </c>
      <c r="R170" s="7">
        <v>1.9345454374379675E-3</v>
      </c>
      <c r="S170" s="8">
        <v>0</v>
      </c>
      <c r="T170" s="8">
        <v>1</v>
      </c>
      <c r="U170" s="8">
        <v>830</v>
      </c>
      <c r="V170" s="7">
        <v>7.4989268254143093E-3</v>
      </c>
      <c r="W170" s="7">
        <v>5.3346475986279715E-3</v>
      </c>
      <c r="X170" s="8">
        <v>0</v>
      </c>
      <c r="Y170" s="8">
        <v>1</v>
      </c>
      <c r="Z170" s="8">
        <v>733</v>
      </c>
      <c r="AA170" s="7">
        <v>6.0425505430857273E-3</v>
      </c>
      <c r="AB170" s="7">
        <v>1.7730974810922998E-3</v>
      </c>
      <c r="AC170" s="8">
        <v>0</v>
      </c>
      <c r="AD170" s="8">
        <v>1</v>
      </c>
      <c r="AE170" s="8">
        <v>3213</v>
      </c>
      <c r="AF170">
        <f>(AA171/AA169)-AA170</f>
        <v>-6.0425505430857273E-3</v>
      </c>
    </row>
    <row r="171" spans="1:32" ht="26.25" customHeight="1" x14ac:dyDescent="0.45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343</v>
      </c>
      <c r="G171" s="7">
        <v>0</v>
      </c>
      <c r="H171" s="7">
        <v>0</v>
      </c>
      <c r="I171" s="8">
        <v>0</v>
      </c>
      <c r="J171" s="8">
        <v>0</v>
      </c>
      <c r="K171" s="8">
        <v>685</v>
      </c>
      <c r="L171" s="7">
        <v>0</v>
      </c>
      <c r="M171" s="7">
        <v>0</v>
      </c>
      <c r="N171" s="8">
        <v>0</v>
      </c>
      <c r="O171" s="8">
        <v>0</v>
      </c>
      <c r="P171" s="8">
        <v>622</v>
      </c>
      <c r="Q171" s="7">
        <v>0</v>
      </c>
      <c r="R171" s="7">
        <v>0</v>
      </c>
      <c r="S171" s="8">
        <v>0</v>
      </c>
      <c r="T171" s="8">
        <v>0</v>
      </c>
      <c r="U171" s="8">
        <v>830</v>
      </c>
      <c r="V171" s="7">
        <v>0</v>
      </c>
      <c r="W171" s="7">
        <v>0</v>
      </c>
      <c r="X171" s="8">
        <v>0</v>
      </c>
      <c r="Y171" s="8">
        <v>0</v>
      </c>
      <c r="Z171" s="8">
        <v>733</v>
      </c>
      <c r="AA171" s="7">
        <v>0</v>
      </c>
      <c r="AB171" s="7">
        <v>0</v>
      </c>
      <c r="AC171" s="8">
        <v>0</v>
      </c>
      <c r="AD171" s="8">
        <v>0</v>
      </c>
      <c r="AE171" s="8">
        <v>3213</v>
      </c>
    </row>
    <row r="172" spans="1:32" ht="14.25" customHeight="1" x14ac:dyDescent="0.45">
      <c r="A172" s="6" t="s">
        <v>30</v>
      </c>
      <c r="B172" s="7">
        <v>6.4347504419908913E-2</v>
      </c>
      <c r="C172" s="7">
        <v>1.6210000455232083E-2</v>
      </c>
      <c r="D172" s="8">
        <v>0</v>
      </c>
      <c r="E172" s="8">
        <v>1</v>
      </c>
      <c r="F172" s="8">
        <v>343</v>
      </c>
      <c r="G172" s="7">
        <v>5.5760819257979384E-3</v>
      </c>
      <c r="H172" s="7">
        <v>2.4155139287461349E-3</v>
      </c>
      <c r="I172" s="8">
        <v>0</v>
      </c>
      <c r="J172" s="8">
        <v>1</v>
      </c>
      <c r="K172" s="8">
        <v>685</v>
      </c>
      <c r="L172" s="7">
        <v>5.7784639354585186E-2</v>
      </c>
      <c r="M172" s="7">
        <v>1.0739851453532647E-2</v>
      </c>
      <c r="N172" s="8">
        <v>0</v>
      </c>
      <c r="O172" s="8">
        <v>1</v>
      </c>
      <c r="P172" s="8">
        <v>622</v>
      </c>
      <c r="Q172" s="7">
        <v>4.8263280491864416E-2</v>
      </c>
      <c r="R172" s="7">
        <v>9.4601041768455525E-3</v>
      </c>
      <c r="S172" s="8">
        <v>0</v>
      </c>
      <c r="T172" s="8">
        <v>1</v>
      </c>
      <c r="U172" s="8">
        <v>830</v>
      </c>
      <c r="V172" s="7">
        <v>0.11301588571797948</v>
      </c>
      <c r="W172" s="7">
        <v>2.095351119764903E-2</v>
      </c>
      <c r="X172" s="8">
        <v>0</v>
      </c>
      <c r="Y172" s="8">
        <v>1</v>
      </c>
      <c r="Z172" s="8">
        <v>733</v>
      </c>
      <c r="AA172" s="7">
        <v>4.4127348950210449E-2</v>
      </c>
      <c r="AB172" s="7">
        <v>4.9821697834856737E-3</v>
      </c>
      <c r="AC172" s="8">
        <v>0</v>
      </c>
      <c r="AD172" s="8">
        <v>1</v>
      </c>
      <c r="AE172" s="8">
        <v>3213</v>
      </c>
      <c r="AF172">
        <f>(AA174/AA173)-AA172</f>
        <v>5.0921456577287388E-4</v>
      </c>
    </row>
    <row r="173" spans="1:32" ht="39.5" customHeight="1" x14ac:dyDescent="0.45">
      <c r="A173" s="6" t="s">
        <v>16</v>
      </c>
      <c r="B173" s="7">
        <v>0.46175737392174987</v>
      </c>
      <c r="C173" s="7">
        <v>3.0710810789507388E-2</v>
      </c>
      <c r="D173" s="8">
        <v>0</v>
      </c>
      <c r="E173" s="8">
        <v>1</v>
      </c>
      <c r="F173" s="8">
        <v>343</v>
      </c>
      <c r="G173" s="7">
        <v>0.51171849969410388</v>
      </c>
      <c r="H173" s="7">
        <v>2.1509798906621986E-2</v>
      </c>
      <c r="I173" s="8">
        <v>0</v>
      </c>
      <c r="J173" s="8">
        <v>1</v>
      </c>
      <c r="K173" s="8">
        <v>685</v>
      </c>
      <c r="L173" s="7">
        <v>0.63828459018132044</v>
      </c>
      <c r="M173" s="7">
        <v>2.224943796975826E-2</v>
      </c>
      <c r="N173" s="8">
        <v>0</v>
      </c>
      <c r="O173" s="8">
        <v>1</v>
      </c>
      <c r="P173" s="8">
        <v>622</v>
      </c>
      <c r="Q173" s="7">
        <v>0.6594859044787692</v>
      </c>
      <c r="R173" s="7">
        <v>2.3371802530881509E-2</v>
      </c>
      <c r="S173" s="8">
        <v>0</v>
      </c>
      <c r="T173" s="8">
        <v>1</v>
      </c>
      <c r="U173" s="8">
        <v>830</v>
      </c>
      <c r="V173" s="7">
        <v>0.29098870335197347</v>
      </c>
      <c r="W173" s="7">
        <v>2.4531818658125738E-2</v>
      </c>
      <c r="X173" s="8">
        <v>0</v>
      </c>
      <c r="Y173" s="8">
        <v>1</v>
      </c>
      <c r="Z173" s="8">
        <v>733</v>
      </c>
      <c r="AA173" s="7">
        <v>0.57762752018153862</v>
      </c>
      <c r="AB173" s="7">
        <v>1.212537286467308E-2</v>
      </c>
      <c r="AC173" s="8">
        <v>0</v>
      </c>
      <c r="AD173" s="8">
        <v>1</v>
      </c>
      <c r="AE173" s="8">
        <v>3213</v>
      </c>
      <c r="AF173">
        <f>(AA174/AA172)-AA173</f>
        <v>6.6656246945535624E-3</v>
      </c>
    </row>
    <row r="174" spans="1:32" ht="26.25" customHeight="1" x14ac:dyDescent="0.45">
      <c r="A174" s="6" t="s">
        <v>86</v>
      </c>
      <c r="B174" s="7">
        <v>2.8450417633186051E-2</v>
      </c>
      <c r="C174" s="7">
        <v>8.4526972846211239E-3</v>
      </c>
      <c r="D174" s="8">
        <v>0</v>
      </c>
      <c r="E174" s="8">
        <v>1</v>
      </c>
      <c r="F174" s="8">
        <v>343</v>
      </c>
      <c r="G174" s="7">
        <v>1.468311811684424E-3</v>
      </c>
      <c r="H174" s="7">
        <v>1.4685834016261899E-3</v>
      </c>
      <c r="I174" s="8">
        <v>0</v>
      </c>
      <c r="J174" s="8">
        <v>1</v>
      </c>
      <c r="K174" s="8">
        <v>685</v>
      </c>
      <c r="L174" s="7">
        <v>3.2896684524096463E-2</v>
      </c>
      <c r="M174" s="7">
        <v>7.7084177341783739E-3</v>
      </c>
      <c r="N174" s="8">
        <v>0</v>
      </c>
      <c r="O174" s="8">
        <v>1</v>
      </c>
      <c r="P174" s="8">
        <v>622</v>
      </c>
      <c r="Q174" s="7">
        <v>4.7064545614959173E-2</v>
      </c>
      <c r="R174" s="7">
        <v>9.3887961436141011E-3</v>
      </c>
      <c r="S174" s="8">
        <v>0</v>
      </c>
      <c r="T174" s="8">
        <v>1</v>
      </c>
      <c r="U174" s="8">
        <v>830</v>
      </c>
      <c r="V174" s="7">
        <v>1.8929998399308149E-2</v>
      </c>
      <c r="W174" s="7">
        <v>7.806495187373935E-3</v>
      </c>
      <c r="X174" s="8">
        <v>0</v>
      </c>
      <c r="Y174" s="8">
        <v>1</v>
      </c>
      <c r="Z174" s="8">
        <v>733</v>
      </c>
      <c r="AA174" s="7">
        <v>2.5783307493163186E-2</v>
      </c>
      <c r="AB174" s="7">
        <v>3.7037591031240978E-3</v>
      </c>
      <c r="AC174" s="8">
        <v>0</v>
      </c>
      <c r="AD174" s="8">
        <v>1</v>
      </c>
      <c r="AE174" s="8">
        <v>3213</v>
      </c>
    </row>
    <row r="175" spans="1:32" ht="14.25" customHeight="1" x14ac:dyDescent="0.45">
      <c r="A175" s="6" t="s">
        <v>30</v>
      </c>
      <c r="B175" s="7">
        <v>6.4347504419908913E-2</v>
      </c>
      <c r="C175" s="7">
        <v>1.6210000455232083E-2</v>
      </c>
      <c r="D175" s="8">
        <v>0</v>
      </c>
      <c r="E175" s="8">
        <v>1</v>
      </c>
      <c r="F175" s="8">
        <v>343</v>
      </c>
      <c r="G175" s="7">
        <v>5.5760819257979384E-3</v>
      </c>
      <c r="H175" s="7">
        <v>2.4155139287461349E-3</v>
      </c>
      <c r="I175" s="8">
        <v>0</v>
      </c>
      <c r="J175" s="8">
        <v>1</v>
      </c>
      <c r="K175" s="8">
        <v>685</v>
      </c>
      <c r="L175" s="7">
        <v>5.7784639354585186E-2</v>
      </c>
      <c r="M175" s="7">
        <v>1.0739851453532647E-2</v>
      </c>
      <c r="N175" s="8">
        <v>0</v>
      </c>
      <c r="O175" s="8">
        <v>1</v>
      </c>
      <c r="P175" s="8">
        <v>622</v>
      </c>
      <c r="Q175" s="7">
        <v>4.8263280491864416E-2</v>
      </c>
      <c r="R175" s="7">
        <v>9.4601041768455525E-3</v>
      </c>
      <c r="S175" s="8">
        <v>0</v>
      </c>
      <c r="T175" s="8">
        <v>1</v>
      </c>
      <c r="U175" s="8">
        <v>830</v>
      </c>
      <c r="V175" s="7">
        <v>0.11301588571797948</v>
      </c>
      <c r="W175" s="7">
        <v>2.095351119764903E-2</v>
      </c>
      <c r="X175" s="8">
        <v>0</v>
      </c>
      <c r="Y175" s="8">
        <v>1</v>
      </c>
      <c r="Z175" s="8">
        <v>733</v>
      </c>
      <c r="AA175" s="7">
        <v>4.4127348950210449E-2</v>
      </c>
      <c r="AB175" s="7">
        <v>4.9821697834856737E-3</v>
      </c>
      <c r="AC175" s="8">
        <v>0</v>
      </c>
      <c r="AD175" s="8">
        <v>1</v>
      </c>
      <c r="AE175" s="8">
        <v>3213</v>
      </c>
      <c r="AF175">
        <f>(AA177/AA176)-AA175</f>
        <v>-1.9961551226628654E-3</v>
      </c>
    </row>
    <row r="176" spans="1:32" ht="39.5" customHeight="1" x14ac:dyDescent="0.45">
      <c r="A176" s="6" t="s">
        <v>18</v>
      </c>
      <c r="B176" s="7">
        <v>0.65870111528749431</v>
      </c>
      <c r="C176" s="7">
        <v>2.9720045914151373E-2</v>
      </c>
      <c r="D176" s="8">
        <v>0</v>
      </c>
      <c r="E176" s="8">
        <v>1</v>
      </c>
      <c r="F176" s="8">
        <v>343</v>
      </c>
      <c r="G176" s="7">
        <v>0.68973128721603705</v>
      </c>
      <c r="H176" s="7">
        <v>1.9757484138470113E-2</v>
      </c>
      <c r="I176" s="8">
        <v>0</v>
      </c>
      <c r="J176" s="8">
        <v>1</v>
      </c>
      <c r="K176" s="8">
        <v>685</v>
      </c>
      <c r="L176" s="7">
        <v>0.69326134184086086</v>
      </c>
      <c r="M176" s="7">
        <v>2.1633597813178515E-2</v>
      </c>
      <c r="N176" s="8">
        <v>0</v>
      </c>
      <c r="O176" s="8">
        <v>1</v>
      </c>
      <c r="P176" s="8">
        <v>622</v>
      </c>
      <c r="Q176" s="7">
        <v>0.668125365389454</v>
      </c>
      <c r="R176" s="7">
        <v>2.3701307596769659E-2</v>
      </c>
      <c r="S176" s="8">
        <v>0</v>
      </c>
      <c r="T176" s="8">
        <v>1</v>
      </c>
      <c r="U176" s="8">
        <v>830</v>
      </c>
      <c r="V176" s="7">
        <v>0.47714183749717526</v>
      </c>
      <c r="W176" s="7">
        <v>2.7405582617474847E-2</v>
      </c>
      <c r="X176" s="8">
        <v>0</v>
      </c>
      <c r="Y176" s="8">
        <v>1</v>
      </c>
      <c r="Z176" s="8">
        <v>733</v>
      </c>
      <c r="AA176" s="7">
        <v>0.67349513472272604</v>
      </c>
      <c r="AB176" s="7">
        <v>1.1615894672939582E-2</v>
      </c>
      <c r="AC176" s="8">
        <v>0</v>
      </c>
      <c r="AD176" s="8">
        <v>1</v>
      </c>
      <c r="AE176" s="8">
        <v>3213</v>
      </c>
      <c r="AF176">
        <f>(AA177/AA175)-AA176</f>
        <v>-3.0466384118887135E-2</v>
      </c>
    </row>
    <row r="177" spans="1:32" ht="26.25" customHeight="1" x14ac:dyDescent="0.45">
      <c r="A177" s="6" t="s">
        <v>87</v>
      </c>
      <c r="B177" s="7">
        <v>5.5900978759420343E-2</v>
      </c>
      <c r="C177" s="7">
        <v>1.4994734462058583E-2</v>
      </c>
      <c r="D177" s="8">
        <v>0</v>
      </c>
      <c r="E177" s="8">
        <v>1</v>
      </c>
      <c r="F177" s="8">
        <v>343</v>
      </c>
      <c r="G177" s="7">
        <v>4.8773266517962606E-3</v>
      </c>
      <c r="H177" s="7">
        <v>2.3227093922079723E-3</v>
      </c>
      <c r="I177" s="8">
        <v>0</v>
      </c>
      <c r="J177" s="8">
        <v>1</v>
      </c>
      <c r="K177" s="8">
        <v>685</v>
      </c>
      <c r="L177" s="7">
        <v>3.155447727975625E-2</v>
      </c>
      <c r="M177" s="7">
        <v>7.5965126071540828E-3</v>
      </c>
      <c r="N177" s="8">
        <v>0</v>
      </c>
      <c r="O177" s="8">
        <v>1</v>
      </c>
      <c r="P177" s="8">
        <v>622</v>
      </c>
      <c r="Q177" s="7">
        <v>4.6101606428326634E-2</v>
      </c>
      <c r="R177" s="7">
        <v>9.3421615776293696E-3</v>
      </c>
      <c r="S177" s="8">
        <v>0</v>
      </c>
      <c r="T177" s="8">
        <v>1</v>
      </c>
      <c r="U177" s="8">
        <v>830</v>
      </c>
      <c r="V177" s="7">
        <v>3.359135199755945E-2</v>
      </c>
      <c r="W177" s="7">
        <v>1.0189470282587416E-2</v>
      </c>
      <c r="X177" s="8">
        <v>0</v>
      </c>
      <c r="Y177" s="8">
        <v>1</v>
      </c>
      <c r="Z177" s="8">
        <v>733</v>
      </c>
      <c r="AA177" s="7">
        <v>2.8375154062913445E-2</v>
      </c>
      <c r="AB177" s="7">
        <v>3.7825908522929881E-3</v>
      </c>
      <c r="AC177" s="8">
        <v>0</v>
      </c>
      <c r="AD177" s="8">
        <v>1</v>
      </c>
      <c r="AE177" s="8">
        <v>3213</v>
      </c>
    </row>
    <row r="178" spans="1:32" ht="14.25" customHeight="1" x14ac:dyDescent="0.45">
      <c r="A178" s="6" t="s">
        <v>30</v>
      </c>
      <c r="B178" s="7">
        <v>6.4347504419908913E-2</v>
      </c>
      <c r="C178" s="7">
        <v>1.6210000455232083E-2</v>
      </c>
      <c r="D178" s="8">
        <v>0</v>
      </c>
      <c r="E178" s="8">
        <v>1</v>
      </c>
      <c r="F178" s="8">
        <v>343</v>
      </c>
      <c r="G178" s="7">
        <v>5.5760819257979384E-3</v>
      </c>
      <c r="H178" s="7">
        <v>2.4155139287461349E-3</v>
      </c>
      <c r="I178" s="8">
        <v>0</v>
      </c>
      <c r="J178" s="8">
        <v>1</v>
      </c>
      <c r="K178" s="8">
        <v>685</v>
      </c>
      <c r="L178" s="7">
        <v>5.7784639354585186E-2</v>
      </c>
      <c r="M178" s="7">
        <v>1.0739851453532647E-2</v>
      </c>
      <c r="N178" s="8">
        <v>0</v>
      </c>
      <c r="O178" s="8">
        <v>1</v>
      </c>
      <c r="P178" s="8">
        <v>622</v>
      </c>
      <c r="Q178" s="7">
        <v>4.8263280491864416E-2</v>
      </c>
      <c r="R178" s="7">
        <v>9.4601041768455525E-3</v>
      </c>
      <c r="S178" s="8">
        <v>0</v>
      </c>
      <c r="T178" s="8">
        <v>1</v>
      </c>
      <c r="U178" s="8">
        <v>830</v>
      </c>
      <c r="V178" s="7">
        <v>0.11301588571797948</v>
      </c>
      <c r="W178" s="7">
        <v>2.095351119764903E-2</v>
      </c>
      <c r="X178" s="8">
        <v>0</v>
      </c>
      <c r="Y178" s="8">
        <v>1</v>
      </c>
      <c r="Z178" s="8">
        <v>733</v>
      </c>
      <c r="AA178" s="7">
        <v>4.4127348950210449E-2</v>
      </c>
      <c r="AB178" s="7">
        <v>4.9821697834856737E-3</v>
      </c>
      <c r="AC178" s="8">
        <v>0</v>
      </c>
      <c r="AD178" s="8">
        <v>1</v>
      </c>
      <c r="AE178" s="8">
        <v>3213</v>
      </c>
      <c r="AF178">
        <f>(AA180/AA179)-AA178</f>
        <v>5.3873885046593836E-3</v>
      </c>
    </row>
    <row r="179" spans="1:32" ht="39.5" customHeight="1" x14ac:dyDescent="0.45">
      <c r="A179" s="6" t="s">
        <v>20</v>
      </c>
      <c r="B179" s="7">
        <v>0.429717204212403</v>
      </c>
      <c r="C179" s="7">
        <v>3.0392503365876303E-2</v>
      </c>
      <c r="D179" s="8">
        <v>0</v>
      </c>
      <c r="E179" s="8">
        <v>1</v>
      </c>
      <c r="F179" s="8">
        <v>343</v>
      </c>
      <c r="G179" s="7">
        <v>0.48245904042650412</v>
      </c>
      <c r="H179" s="7">
        <v>2.146411101488091E-2</v>
      </c>
      <c r="I179" s="8">
        <v>0</v>
      </c>
      <c r="J179" s="8">
        <v>1</v>
      </c>
      <c r="K179" s="8">
        <v>685</v>
      </c>
      <c r="L179" s="7">
        <v>0.54779032545005502</v>
      </c>
      <c r="M179" s="7">
        <v>2.3079129928781021E-2</v>
      </c>
      <c r="N179" s="8">
        <v>0</v>
      </c>
      <c r="O179" s="8">
        <v>1</v>
      </c>
      <c r="P179" s="8">
        <v>622</v>
      </c>
      <c r="Q179" s="7">
        <v>0.50863999660499892</v>
      </c>
      <c r="R179" s="7">
        <v>2.4084097248153895E-2</v>
      </c>
      <c r="S179" s="8">
        <v>0</v>
      </c>
      <c r="T179" s="8">
        <v>1</v>
      </c>
      <c r="U179" s="8">
        <v>830</v>
      </c>
      <c r="V179" s="7">
        <v>0.21923941521723078</v>
      </c>
      <c r="W179" s="7">
        <v>2.2302742957611636E-2</v>
      </c>
      <c r="X179" s="8">
        <v>0</v>
      </c>
      <c r="Y179" s="8">
        <v>1</v>
      </c>
      <c r="Z179" s="8">
        <v>733</v>
      </c>
      <c r="AA179" s="7">
        <v>0.49658329004295232</v>
      </c>
      <c r="AB179" s="7">
        <v>1.2332775383448446E-2</v>
      </c>
      <c r="AC179" s="8">
        <v>0</v>
      </c>
      <c r="AD179" s="8">
        <v>1</v>
      </c>
      <c r="AE179" s="8">
        <v>3213</v>
      </c>
      <c r="AF179">
        <f>(AA180/AA178)-AA179</f>
        <v>6.0626508775813881E-2</v>
      </c>
    </row>
    <row r="180" spans="1:32" ht="26.25" customHeight="1" x14ac:dyDescent="0.45">
      <c r="A180" s="6" t="s">
        <v>88</v>
      </c>
      <c r="B180" s="7">
        <v>2.6281502521404491E-2</v>
      </c>
      <c r="C180" s="7">
        <v>8.1754963608682181E-3</v>
      </c>
      <c r="D180" s="8">
        <v>0</v>
      </c>
      <c r="E180" s="8">
        <v>1</v>
      </c>
      <c r="F180" s="8">
        <v>343</v>
      </c>
      <c r="G180" s="7">
        <v>1.468311811684424E-3</v>
      </c>
      <c r="H180" s="7">
        <v>1.4685834016261899E-3</v>
      </c>
      <c r="I180" s="8">
        <v>0</v>
      </c>
      <c r="J180" s="8">
        <v>1</v>
      </c>
      <c r="K180" s="8">
        <v>685</v>
      </c>
      <c r="L180" s="7">
        <v>3.155447727975625E-2</v>
      </c>
      <c r="M180" s="7">
        <v>7.5965126071540828E-3</v>
      </c>
      <c r="N180" s="8">
        <v>0</v>
      </c>
      <c r="O180" s="8">
        <v>1</v>
      </c>
      <c r="P180" s="8">
        <v>622</v>
      </c>
      <c r="Q180" s="7">
        <v>4.6101606428326634E-2</v>
      </c>
      <c r="R180" s="7">
        <v>9.3421615776293696E-3</v>
      </c>
      <c r="S180" s="8">
        <v>0</v>
      </c>
      <c r="T180" s="8">
        <v>1</v>
      </c>
      <c r="U180" s="8">
        <v>830</v>
      </c>
      <c r="V180" s="7">
        <v>1.2540751876741188E-2</v>
      </c>
      <c r="W180" s="7">
        <v>6.3534112386824347E-3</v>
      </c>
      <c r="X180" s="8">
        <v>0</v>
      </c>
      <c r="Y180" s="8">
        <v>1</v>
      </c>
      <c r="Z180" s="8">
        <v>733</v>
      </c>
      <c r="AA180" s="7">
        <v>2.458819123095226E-2</v>
      </c>
      <c r="AB180" s="7">
        <v>3.6519771446852584E-3</v>
      </c>
      <c r="AC180" s="8">
        <v>0</v>
      </c>
      <c r="AD180" s="8">
        <v>1</v>
      </c>
      <c r="AE180" s="8">
        <v>3213</v>
      </c>
    </row>
    <row r="181" spans="1:32" ht="14.25" customHeight="1" x14ac:dyDescent="0.45">
      <c r="A181" s="6" t="s">
        <v>30</v>
      </c>
      <c r="B181" s="7">
        <v>6.4347504419908913E-2</v>
      </c>
      <c r="C181" s="7">
        <v>1.6210000455232083E-2</v>
      </c>
      <c r="D181" s="8">
        <v>0</v>
      </c>
      <c r="E181" s="8">
        <v>1</v>
      </c>
      <c r="F181" s="8">
        <v>343</v>
      </c>
      <c r="G181" s="7">
        <v>5.5760819257979384E-3</v>
      </c>
      <c r="H181" s="7">
        <v>2.4155139287461349E-3</v>
      </c>
      <c r="I181" s="8">
        <v>0</v>
      </c>
      <c r="J181" s="8">
        <v>1</v>
      </c>
      <c r="K181" s="8">
        <v>685</v>
      </c>
      <c r="L181" s="7">
        <v>5.7784639354585186E-2</v>
      </c>
      <c r="M181" s="7">
        <v>1.0739851453532647E-2</v>
      </c>
      <c r="N181" s="8">
        <v>0</v>
      </c>
      <c r="O181" s="8">
        <v>1</v>
      </c>
      <c r="P181" s="8">
        <v>622</v>
      </c>
      <c r="Q181" s="7">
        <v>4.8263280491864416E-2</v>
      </c>
      <c r="R181" s="7">
        <v>9.4601041768455525E-3</v>
      </c>
      <c r="S181" s="8">
        <v>0</v>
      </c>
      <c r="T181" s="8">
        <v>1</v>
      </c>
      <c r="U181" s="8">
        <v>830</v>
      </c>
      <c r="V181" s="7">
        <v>0.11301588571797948</v>
      </c>
      <c r="W181" s="7">
        <v>2.095351119764903E-2</v>
      </c>
      <c r="X181" s="8">
        <v>0</v>
      </c>
      <c r="Y181" s="8">
        <v>1</v>
      </c>
      <c r="Z181" s="8">
        <v>733</v>
      </c>
      <c r="AA181" s="7">
        <v>4.4127348950210449E-2</v>
      </c>
      <c r="AB181" s="7">
        <v>4.9821697834856737E-3</v>
      </c>
      <c r="AC181" s="8">
        <v>0</v>
      </c>
      <c r="AD181" s="8">
        <v>1</v>
      </c>
      <c r="AE181" s="8">
        <v>3213</v>
      </c>
      <c r="AF181">
        <f>(AA183/AA182)-AA181</f>
        <v>-1.4278378318758132E-2</v>
      </c>
    </row>
    <row r="182" spans="1:32" ht="26.25" customHeight="1" x14ac:dyDescent="0.45">
      <c r="A182" s="6" t="s">
        <v>22</v>
      </c>
      <c r="B182" s="7">
        <v>0.46674587389419697</v>
      </c>
      <c r="C182" s="7">
        <v>3.0838428333854969E-2</v>
      </c>
      <c r="D182" s="8">
        <v>0</v>
      </c>
      <c r="E182" s="8">
        <v>1</v>
      </c>
      <c r="F182" s="8">
        <v>343</v>
      </c>
      <c r="G182" s="7">
        <v>0.49721456493371274</v>
      </c>
      <c r="H182" s="7">
        <v>2.1503868885976371E-2</v>
      </c>
      <c r="I182" s="8">
        <v>0</v>
      </c>
      <c r="J182" s="8">
        <v>1</v>
      </c>
      <c r="K182" s="8">
        <v>685</v>
      </c>
      <c r="L182" s="7">
        <v>0.49499161311096951</v>
      </c>
      <c r="M182" s="7">
        <v>2.3190131273243066E-2</v>
      </c>
      <c r="N182" s="8">
        <v>0</v>
      </c>
      <c r="O182" s="8">
        <v>1</v>
      </c>
      <c r="P182" s="8">
        <v>622</v>
      </c>
      <c r="Q182" s="7">
        <v>0.52967048191567545</v>
      </c>
      <c r="R182" s="7">
        <v>2.4042503277593212E-2</v>
      </c>
      <c r="S182" s="8">
        <v>0</v>
      </c>
      <c r="T182" s="8">
        <v>1</v>
      </c>
      <c r="U182" s="8">
        <v>830</v>
      </c>
      <c r="V182" s="7">
        <v>0.43883011512701503</v>
      </c>
      <c r="W182" s="7">
        <v>2.6915661407478465E-2</v>
      </c>
      <c r="X182" s="8">
        <v>0</v>
      </c>
      <c r="Y182" s="8">
        <v>1</v>
      </c>
      <c r="Z182" s="8">
        <v>733</v>
      </c>
      <c r="AA182" s="7">
        <v>0.49819284931542523</v>
      </c>
      <c r="AB182" s="7">
        <v>1.2331295303939749E-2</v>
      </c>
      <c r="AC182" s="8">
        <v>0</v>
      </c>
      <c r="AD182" s="8">
        <v>1</v>
      </c>
      <c r="AE182" s="8">
        <v>3213</v>
      </c>
      <c r="AF182">
        <f>(AA183/AA181)-AA182</f>
        <v>-0.16120129913654785</v>
      </c>
    </row>
    <row r="183" spans="1:32" ht="26.25" customHeight="1" x14ac:dyDescent="0.45">
      <c r="A183" s="6" t="s">
        <v>89</v>
      </c>
      <c r="B183" s="7">
        <v>4.1278512382977965E-2</v>
      </c>
      <c r="C183" s="7">
        <v>1.3775242202871428E-2</v>
      </c>
      <c r="D183" s="8">
        <v>0</v>
      </c>
      <c r="E183" s="8">
        <v>1</v>
      </c>
      <c r="F183" s="8">
        <v>343</v>
      </c>
      <c r="G183" s="7">
        <v>3.409014840111837E-3</v>
      </c>
      <c r="H183" s="7">
        <v>1.8011055984669521E-3</v>
      </c>
      <c r="I183" s="8">
        <v>0</v>
      </c>
      <c r="J183" s="8">
        <v>1</v>
      </c>
      <c r="K183" s="8">
        <v>685</v>
      </c>
      <c r="L183" s="7">
        <v>1.0275335337047333E-2</v>
      </c>
      <c r="M183" s="7">
        <v>4.3374527336744228E-3</v>
      </c>
      <c r="N183" s="8">
        <v>0</v>
      </c>
      <c r="O183" s="8">
        <v>1</v>
      </c>
      <c r="P183" s="8">
        <v>622</v>
      </c>
      <c r="Q183" s="7">
        <v>2.7865965502821076E-2</v>
      </c>
      <c r="R183" s="7">
        <v>6.0882516904264636E-3</v>
      </c>
      <c r="S183" s="8">
        <v>0</v>
      </c>
      <c r="T183" s="8">
        <v>1</v>
      </c>
      <c r="U183" s="8">
        <v>830</v>
      </c>
      <c r="V183" s="7">
        <v>3.22163156129548E-2</v>
      </c>
      <c r="W183" s="7">
        <v>1.0176485599332524E-2</v>
      </c>
      <c r="X183" s="8">
        <v>0</v>
      </c>
      <c r="Y183" s="8">
        <v>1</v>
      </c>
      <c r="Z183" s="8">
        <v>733</v>
      </c>
      <c r="AA183" s="7">
        <v>1.4870543728015677E-2</v>
      </c>
      <c r="AB183" s="7">
        <v>2.3946289175049988E-3</v>
      </c>
      <c r="AC183" s="8">
        <v>0</v>
      </c>
      <c r="AD183" s="8">
        <v>1</v>
      </c>
      <c r="AE183" s="8">
        <v>3213</v>
      </c>
    </row>
    <row r="184" spans="1:32" ht="14.25" customHeight="1" x14ac:dyDescent="0.45">
      <c r="A184" s="6" t="s">
        <v>30</v>
      </c>
      <c r="B184" s="7">
        <v>6.4347504419908913E-2</v>
      </c>
      <c r="C184" s="7">
        <v>1.6210000455232083E-2</v>
      </c>
      <c r="D184" s="8">
        <v>0</v>
      </c>
      <c r="E184" s="8">
        <v>1</v>
      </c>
      <c r="F184" s="8">
        <v>343</v>
      </c>
      <c r="G184" s="7">
        <v>5.5760819257979384E-3</v>
      </c>
      <c r="H184" s="7">
        <v>2.4155139287461349E-3</v>
      </c>
      <c r="I184" s="8">
        <v>0</v>
      </c>
      <c r="J184" s="8">
        <v>1</v>
      </c>
      <c r="K184" s="8">
        <v>685</v>
      </c>
      <c r="L184" s="7">
        <v>5.7784639354585186E-2</v>
      </c>
      <c r="M184" s="7">
        <v>1.0739851453532647E-2</v>
      </c>
      <c r="N184" s="8">
        <v>0</v>
      </c>
      <c r="O184" s="8">
        <v>1</v>
      </c>
      <c r="P184" s="8">
        <v>622</v>
      </c>
      <c r="Q184" s="7">
        <v>4.8263280491864416E-2</v>
      </c>
      <c r="R184" s="7">
        <v>9.4601041768455525E-3</v>
      </c>
      <c r="S184" s="8">
        <v>0</v>
      </c>
      <c r="T184" s="8">
        <v>1</v>
      </c>
      <c r="U184" s="8">
        <v>830</v>
      </c>
      <c r="V184" s="7">
        <v>0.11301588571797948</v>
      </c>
      <c r="W184" s="7">
        <v>2.095351119764903E-2</v>
      </c>
      <c r="X184" s="8">
        <v>0</v>
      </c>
      <c r="Y184" s="8">
        <v>1</v>
      </c>
      <c r="Z184" s="8">
        <v>733</v>
      </c>
      <c r="AA184" s="7">
        <v>4.4127348950210449E-2</v>
      </c>
      <c r="AB184" s="7">
        <v>4.9821697834856737E-3</v>
      </c>
      <c r="AC184" s="8">
        <v>0</v>
      </c>
      <c r="AD184" s="8">
        <v>1</v>
      </c>
      <c r="AE184" s="8">
        <v>3213</v>
      </c>
      <c r="AF184">
        <f>(AA186/AA185)-AA184</f>
        <v>-1.3139486746321233E-2</v>
      </c>
    </row>
    <row r="185" spans="1:32" ht="26.25" customHeight="1" x14ac:dyDescent="0.45">
      <c r="A185" s="6" t="s">
        <v>24</v>
      </c>
      <c r="B185" s="7">
        <v>0.11043143982498899</v>
      </c>
      <c r="C185" s="7">
        <v>1.9318318636183492E-2</v>
      </c>
      <c r="D185" s="8">
        <v>0</v>
      </c>
      <c r="E185" s="8">
        <v>1</v>
      </c>
      <c r="F185" s="8">
        <v>343</v>
      </c>
      <c r="G185" s="7">
        <v>0.1141877917275687</v>
      </c>
      <c r="H185" s="7">
        <v>1.372767009886945E-2</v>
      </c>
      <c r="I185" s="8">
        <v>0</v>
      </c>
      <c r="J185" s="8">
        <v>1</v>
      </c>
      <c r="K185" s="8">
        <v>685</v>
      </c>
      <c r="L185" s="7">
        <v>0.2107063624328053</v>
      </c>
      <c r="M185" s="7">
        <v>1.9196340458493756E-2</v>
      </c>
      <c r="N185" s="8">
        <v>0</v>
      </c>
      <c r="O185" s="8">
        <v>1</v>
      </c>
      <c r="P185" s="8">
        <v>622</v>
      </c>
      <c r="Q185" s="7">
        <v>0.32132005623330667</v>
      </c>
      <c r="R185" s="7">
        <v>2.2425332775680609E-2</v>
      </c>
      <c r="S185" s="8">
        <v>0</v>
      </c>
      <c r="T185" s="8">
        <v>1</v>
      </c>
      <c r="U185" s="8">
        <v>830</v>
      </c>
      <c r="V185" s="7">
        <v>0.13983861568962849</v>
      </c>
      <c r="W185" s="7">
        <v>1.8872674699234135E-2</v>
      </c>
      <c r="X185" s="8">
        <v>0</v>
      </c>
      <c r="Y185" s="8">
        <v>1</v>
      </c>
      <c r="Z185" s="8">
        <v>733</v>
      </c>
      <c r="AA185" s="7">
        <v>0.19633718423549712</v>
      </c>
      <c r="AB185" s="7">
        <v>9.9780503174346086E-3</v>
      </c>
      <c r="AC185" s="8">
        <v>0</v>
      </c>
      <c r="AD185" s="8">
        <v>1</v>
      </c>
      <c r="AE185" s="8">
        <v>3213</v>
      </c>
      <c r="AF185">
        <f>(AA186/AA184)-AA185</f>
        <v>-5.8461926479724341E-2</v>
      </c>
    </row>
    <row r="186" spans="1:32" ht="26.25" customHeight="1" x14ac:dyDescent="0.45">
      <c r="A186" s="6" t="s">
        <v>90</v>
      </c>
      <c r="B186" s="7">
        <v>1.1659036144962113E-2</v>
      </c>
      <c r="C186" s="7">
        <v>5.260206762682797E-3</v>
      </c>
      <c r="D186" s="8">
        <v>0</v>
      </c>
      <c r="E186" s="8">
        <v>1</v>
      </c>
      <c r="F186" s="8">
        <v>343</v>
      </c>
      <c r="G186" s="7">
        <v>0</v>
      </c>
      <c r="H186" s="7">
        <v>0</v>
      </c>
      <c r="I186" s="8">
        <v>0</v>
      </c>
      <c r="J186" s="8">
        <v>0</v>
      </c>
      <c r="K186" s="8">
        <v>685</v>
      </c>
      <c r="L186" s="7">
        <v>1.3422072443402182E-3</v>
      </c>
      <c r="M186" s="7">
        <v>1.3429278272637252E-3</v>
      </c>
      <c r="N186" s="8">
        <v>0</v>
      </c>
      <c r="O186" s="8">
        <v>1</v>
      </c>
      <c r="P186" s="8">
        <v>622</v>
      </c>
      <c r="Q186" s="7">
        <v>2.2000330848308405E-2</v>
      </c>
      <c r="R186" s="7">
        <v>5.2554655275088309E-3</v>
      </c>
      <c r="S186" s="8">
        <v>0</v>
      </c>
      <c r="T186" s="8">
        <v>1</v>
      </c>
      <c r="U186" s="8">
        <v>830</v>
      </c>
      <c r="V186" s="7">
        <v>6.3892465225669597E-3</v>
      </c>
      <c r="W186" s="7">
        <v>4.5983276130438233E-3</v>
      </c>
      <c r="X186" s="8">
        <v>0</v>
      </c>
      <c r="Y186" s="8">
        <v>1</v>
      </c>
      <c r="Z186" s="8">
        <v>733</v>
      </c>
      <c r="AA186" s="7">
        <v>6.0840696105891948E-3</v>
      </c>
      <c r="AB186" s="7">
        <v>1.272568067731038E-3</v>
      </c>
      <c r="AC186" s="8">
        <v>0</v>
      </c>
      <c r="AD186" s="8">
        <v>1</v>
      </c>
      <c r="AE186" s="8">
        <v>3213</v>
      </c>
    </row>
    <row r="187" spans="1:32" ht="14.25" customHeight="1" x14ac:dyDescent="0.45">
      <c r="A187" s="6" t="s">
        <v>32</v>
      </c>
      <c r="B187" s="7">
        <v>0.2508434395881563</v>
      </c>
      <c r="C187" s="7">
        <v>2.6564985993478434E-2</v>
      </c>
      <c r="D187" s="8">
        <v>0</v>
      </c>
      <c r="E187" s="8">
        <v>1</v>
      </c>
      <c r="F187" s="8">
        <v>343</v>
      </c>
      <c r="G187" s="7">
        <v>0.11723648022517399</v>
      </c>
      <c r="H187" s="7">
        <v>1.3553156415989618E-2</v>
      </c>
      <c r="I187" s="8">
        <v>0</v>
      </c>
      <c r="J187" s="8">
        <v>1</v>
      </c>
      <c r="K187" s="8">
        <v>685</v>
      </c>
      <c r="L187" s="7">
        <v>0.10134866639101314</v>
      </c>
      <c r="M187" s="7">
        <v>1.4304965922128491E-2</v>
      </c>
      <c r="N187" s="8">
        <v>0</v>
      </c>
      <c r="O187" s="8">
        <v>1</v>
      </c>
      <c r="P187" s="8">
        <v>622</v>
      </c>
      <c r="Q187" s="7">
        <v>5.8577332732493929E-2</v>
      </c>
      <c r="R187" s="7">
        <v>1.0597856223613596E-2</v>
      </c>
      <c r="S187" s="8">
        <v>0</v>
      </c>
      <c r="T187" s="8">
        <v>1</v>
      </c>
      <c r="U187" s="8">
        <v>830</v>
      </c>
      <c r="V187" s="7">
        <v>3.2833700964905246E-2</v>
      </c>
      <c r="W187" s="7">
        <v>8.8742993180766557E-3</v>
      </c>
      <c r="X187" s="8">
        <v>0</v>
      </c>
      <c r="Y187" s="8">
        <v>1</v>
      </c>
      <c r="Z187" s="8">
        <v>733</v>
      </c>
      <c r="AA187" s="7">
        <v>0.10185964544597292</v>
      </c>
      <c r="AB187" s="7">
        <v>7.4120245141954984E-3</v>
      </c>
      <c r="AC187" s="8">
        <v>0</v>
      </c>
      <c r="AD187" s="8">
        <v>1</v>
      </c>
      <c r="AE187" s="8">
        <v>3213</v>
      </c>
      <c r="AF187">
        <f>(AA189/AA188)-AA187</f>
        <v>-2.9114043489628927E-3</v>
      </c>
    </row>
    <row r="188" spans="1:32" ht="14.25" customHeight="1" x14ac:dyDescent="0.45">
      <c r="A188" s="6" t="s">
        <v>36</v>
      </c>
      <c r="B188" s="7">
        <v>0.22207872184389335</v>
      </c>
      <c r="C188" s="7">
        <v>2.4775433116898182E-2</v>
      </c>
      <c r="D188" s="8">
        <v>0</v>
      </c>
      <c r="E188" s="8">
        <v>1</v>
      </c>
      <c r="F188" s="8">
        <v>343</v>
      </c>
      <c r="G188" s="7">
        <v>9.3629004050585732E-2</v>
      </c>
      <c r="H188" s="7">
        <v>1.2914309363192237E-2</v>
      </c>
      <c r="I188" s="8">
        <v>0</v>
      </c>
      <c r="J188" s="8">
        <v>1</v>
      </c>
      <c r="K188" s="8">
        <v>685</v>
      </c>
      <c r="L188" s="7">
        <v>5.0675747986819425E-2</v>
      </c>
      <c r="M188" s="7">
        <v>1.1258657548167093E-2</v>
      </c>
      <c r="N188" s="8">
        <v>0</v>
      </c>
      <c r="O188" s="8">
        <v>1</v>
      </c>
      <c r="P188" s="8">
        <v>622</v>
      </c>
      <c r="Q188" s="7">
        <v>8.8906899619095245E-2</v>
      </c>
      <c r="R188" s="7">
        <v>1.5689910940161863E-2</v>
      </c>
      <c r="S188" s="8">
        <v>0</v>
      </c>
      <c r="T188" s="8">
        <v>1</v>
      </c>
      <c r="U188" s="8">
        <v>830</v>
      </c>
      <c r="V188" s="7">
        <v>0.14223726061043815</v>
      </c>
      <c r="W188" s="7">
        <v>1.6491487573434171E-2</v>
      </c>
      <c r="X188" s="8">
        <v>0</v>
      </c>
      <c r="Y188" s="8">
        <v>1</v>
      </c>
      <c r="Z188" s="8">
        <v>733</v>
      </c>
      <c r="AA188" s="7">
        <v>8.5558452234588231E-2</v>
      </c>
      <c r="AB188" s="7">
        <v>6.8658306176085059E-3</v>
      </c>
      <c r="AC188" s="8">
        <v>0</v>
      </c>
      <c r="AD188" s="8">
        <v>1</v>
      </c>
      <c r="AE188" s="8">
        <v>3213</v>
      </c>
      <c r="AF188">
        <f>(AA189/AA187)-AA188</f>
        <v>-2.4454753286809322E-3</v>
      </c>
    </row>
    <row r="189" spans="1:32" ht="14.25" customHeight="1" x14ac:dyDescent="0.45">
      <c r="A189" s="6" t="s">
        <v>91</v>
      </c>
      <c r="B189" s="7">
        <v>7.6236766535246456E-2</v>
      </c>
      <c r="C189" s="7">
        <v>1.5402798939876635E-2</v>
      </c>
      <c r="D189" s="8">
        <v>0</v>
      </c>
      <c r="E189" s="8">
        <v>1</v>
      </c>
      <c r="F189" s="8">
        <v>343</v>
      </c>
      <c r="G189" s="7">
        <v>6.1173990226749599E-3</v>
      </c>
      <c r="H189" s="7">
        <v>2.9653712880184737E-3</v>
      </c>
      <c r="I189" s="8">
        <v>0</v>
      </c>
      <c r="J189" s="8">
        <v>1</v>
      </c>
      <c r="K189" s="8">
        <v>685</v>
      </c>
      <c r="L189" s="7">
        <v>4.4551338215949145E-3</v>
      </c>
      <c r="M189" s="7">
        <v>3.1464372049688841E-3</v>
      </c>
      <c r="N189" s="8">
        <v>0</v>
      </c>
      <c r="O189" s="8">
        <v>1</v>
      </c>
      <c r="P189" s="8">
        <v>622</v>
      </c>
      <c r="Q189" s="7">
        <v>0</v>
      </c>
      <c r="R189" s="7">
        <v>0</v>
      </c>
      <c r="S189" s="8">
        <v>0</v>
      </c>
      <c r="T189" s="8">
        <v>0</v>
      </c>
      <c r="U189" s="8">
        <v>830</v>
      </c>
      <c r="V189" s="7">
        <v>1.1734367153342773E-2</v>
      </c>
      <c r="W189" s="7">
        <v>6.4943883289331752E-3</v>
      </c>
      <c r="X189" s="8">
        <v>0</v>
      </c>
      <c r="Y189" s="8">
        <v>1</v>
      </c>
      <c r="Z189" s="8">
        <v>733</v>
      </c>
      <c r="AA189" s="7">
        <v>8.4658583595950531E-3</v>
      </c>
      <c r="AB189" s="7">
        <v>1.7900861418446768E-3</v>
      </c>
      <c r="AC189" s="8">
        <v>0</v>
      </c>
      <c r="AD189" s="8">
        <v>1</v>
      </c>
      <c r="AE189" s="8">
        <v>3213</v>
      </c>
    </row>
    <row r="190" spans="1:32" ht="14.25" customHeight="1" x14ac:dyDescent="0.45">
      <c r="A190" s="6" t="s">
        <v>32</v>
      </c>
      <c r="B190" s="7">
        <v>0.2508434395881563</v>
      </c>
      <c r="C190" s="7">
        <v>2.6564985993478434E-2</v>
      </c>
      <c r="D190" s="8">
        <v>0</v>
      </c>
      <c r="E190" s="8">
        <v>1</v>
      </c>
      <c r="F190" s="8">
        <v>343</v>
      </c>
      <c r="G190" s="7">
        <v>0.11723648022517399</v>
      </c>
      <c r="H190" s="7">
        <v>1.3553156415989618E-2</v>
      </c>
      <c r="I190" s="8">
        <v>0</v>
      </c>
      <c r="J190" s="8">
        <v>1</v>
      </c>
      <c r="K190" s="8">
        <v>685</v>
      </c>
      <c r="L190" s="7">
        <v>0.10134866639101314</v>
      </c>
      <c r="M190" s="7">
        <v>1.4304965922128491E-2</v>
      </c>
      <c r="N190" s="8">
        <v>0</v>
      </c>
      <c r="O190" s="8">
        <v>1</v>
      </c>
      <c r="P190" s="8">
        <v>622</v>
      </c>
      <c r="Q190" s="7">
        <v>5.8577332732493929E-2</v>
      </c>
      <c r="R190" s="7">
        <v>1.0597856223613596E-2</v>
      </c>
      <c r="S190" s="8">
        <v>0</v>
      </c>
      <c r="T190" s="8">
        <v>1</v>
      </c>
      <c r="U190" s="8">
        <v>830</v>
      </c>
      <c r="V190" s="7">
        <v>3.2833700964905246E-2</v>
      </c>
      <c r="W190" s="7">
        <v>8.8742993180766557E-3</v>
      </c>
      <c r="X190" s="8">
        <v>0</v>
      </c>
      <c r="Y190" s="8">
        <v>1</v>
      </c>
      <c r="Z190" s="8">
        <v>733</v>
      </c>
      <c r="AA190" s="7">
        <v>0.10185964544597292</v>
      </c>
      <c r="AB190" s="7">
        <v>7.4120245141954984E-3</v>
      </c>
      <c r="AC190" s="8">
        <v>0</v>
      </c>
      <c r="AD190" s="8">
        <v>1</v>
      </c>
      <c r="AE190" s="8">
        <v>3213</v>
      </c>
      <c r="AF190">
        <f>(AA192/AA191)-AA190</f>
        <v>2.0967720795479955E-2</v>
      </c>
    </row>
    <row r="191" spans="1:32" ht="26.25" customHeight="1" x14ac:dyDescent="0.45">
      <c r="A191" s="6" t="s">
        <v>38</v>
      </c>
      <c r="B191" s="7">
        <v>0.429717204212403</v>
      </c>
      <c r="C191" s="7">
        <v>3.0392503365876303E-2</v>
      </c>
      <c r="D191" s="8">
        <v>0</v>
      </c>
      <c r="E191" s="8">
        <v>1</v>
      </c>
      <c r="F191" s="8">
        <v>343</v>
      </c>
      <c r="G191" s="7">
        <v>0.4800939721985647</v>
      </c>
      <c r="H191" s="7">
        <v>2.1458745860172199E-2</v>
      </c>
      <c r="I191" s="8">
        <v>0</v>
      </c>
      <c r="J191" s="8">
        <v>1</v>
      </c>
      <c r="K191" s="8">
        <v>685</v>
      </c>
      <c r="L191" s="7">
        <v>0.54292486162987486</v>
      </c>
      <c r="M191" s="7">
        <v>2.3097197169809559E-2</v>
      </c>
      <c r="N191" s="8">
        <v>0</v>
      </c>
      <c r="O191" s="8">
        <v>1</v>
      </c>
      <c r="P191" s="8">
        <v>622</v>
      </c>
      <c r="Q191" s="7">
        <v>0.5061258995781831</v>
      </c>
      <c r="R191" s="7">
        <v>2.4068941722059152E-2</v>
      </c>
      <c r="S191" s="8">
        <v>0</v>
      </c>
      <c r="T191" s="8">
        <v>1</v>
      </c>
      <c r="U191" s="8">
        <v>830</v>
      </c>
      <c r="V191" s="7">
        <v>0.21923941521723078</v>
      </c>
      <c r="W191" s="7">
        <v>2.2302742957611636E-2</v>
      </c>
      <c r="X191" s="8">
        <v>0</v>
      </c>
      <c r="Y191" s="8">
        <v>1</v>
      </c>
      <c r="Z191" s="8">
        <v>733</v>
      </c>
      <c r="AA191" s="7">
        <v>0.49346013284592816</v>
      </c>
      <c r="AB191" s="7">
        <v>1.2333331111640417E-2</v>
      </c>
      <c r="AC191" s="8">
        <v>0</v>
      </c>
      <c r="AD191" s="8">
        <v>1</v>
      </c>
      <c r="AE191" s="8">
        <v>3213</v>
      </c>
      <c r="AF191">
        <f>(AA192/AA190)-AA191</f>
        <v>0.10157834581018488</v>
      </c>
    </row>
    <row r="192" spans="1:32" ht="26.25" customHeight="1" x14ac:dyDescent="0.45">
      <c r="A192" s="6" t="s">
        <v>92</v>
      </c>
      <c r="B192" s="7">
        <v>0.15278609295607634</v>
      </c>
      <c r="C192" s="7">
        <v>2.1617330857265984E-2</v>
      </c>
      <c r="D192" s="8">
        <v>0</v>
      </c>
      <c r="E192" s="8">
        <v>1</v>
      </c>
      <c r="F192" s="8">
        <v>343</v>
      </c>
      <c r="G192" s="7">
        <v>6.477999289398971E-2</v>
      </c>
      <c r="H192" s="7">
        <v>1.0190645823410924E-2</v>
      </c>
      <c r="I192" s="8">
        <v>0</v>
      </c>
      <c r="J192" s="8">
        <v>1</v>
      </c>
      <c r="K192" s="8">
        <v>685</v>
      </c>
      <c r="L192" s="7">
        <v>6.6103072003966659E-2</v>
      </c>
      <c r="M192" s="7">
        <v>1.1573285573187746E-2</v>
      </c>
      <c r="N192" s="8">
        <v>0</v>
      </c>
      <c r="O192" s="8">
        <v>1</v>
      </c>
      <c r="P192" s="8">
        <v>622</v>
      </c>
      <c r="Q192" s="7">
        <v>3.3545064133703402E-2</v>
      </c>
      <c r="R192" s="7">
        <v>7.6232131874062383E-3</v>
      </c>
      <c r="S192" s="8">
        <v>0</v>
      </c>
      <c r="T192" s="8">
        <v>1</v>
      </c>
      <c r="U192" s="8">
        <v>830</v>
      </c>
      <c r="V192" s="7">
        <v>4.8870585583397188E-3</v>
      </c>
      <c r="W192" s="7">
        <v>2.2314192359916682E-3</v>
      </c>
      <c r="X192" s="8">
        <v>0</v>
      </c>
      <c r="Y192" s="8">
        <v>1</v>
      </c>
      <c r="Z192" s="8">
        <v>733</v>
      </c>
      <c r="AA192" s="7">
        <v>6.0610408462622806E-2</v>
      </c>
      <c r="AB192" s="7">
        <v>5.8052056388047321E-3</v>
      </c>
      <c r="AC192" s="8">
        <v>0</v>
      </c>
      <c r="AD192" s="8">
        <v>1</v>
      </c>
      <c r="AE192" s="8">
        <v>3213</v>
      </c>
    </row>
    <row r="193" spans="1:32" ht="14.25" customHeight="1" x14ac:dyDescent="0.45">
      <c r="A193" s="6" t="s">
        <v>32</v>
      </c>
      <c r="B193" s="7">
        <v>0.2508434395881563</v>
      </c>
      <c r="C193" s="7">
        <v>2.6564985993478434E-2</v>
      </c>
      <c r="D193" s="8">
        <v>0</v>
      </c>
      <c r="E193" s="8">
        <v>1</v>
      </c>
      <c r="F193" s="8">
        <v>343</v>
      </c>
      <c r="G193" s="7">
        <v>0.11723648022517399</v>
      </c>
      <c r="H193" s="7">
        <v>1.3553156415989618E-2</v>
      </c>
      <c r="I193" s="8">
        <v>0</v>
      </c>
      <c r="J193" s="8">
        <v>1</v>
      </c>
      <c r="K193" s="8">
        <v>685</v>
      </c>
      <c r="L193" s="7">
        <v>0.10134866639101314</v>
      </c>
      <c r="M193" s="7">
        <v>1.4304965922128491E-2</v>
      </c>
      <c r="N193" s="8">
        <v>0</v>
      </c>
      <c r="O193" s="8">
        <v>1</v>
      </c>
      <c r="P193" s="8">
        <v>622</v>
      </c>
      <c r="Q193" s="7">
        <v>5.8577332732493929E-2</v>
      </c>
      <c r="R193" s="7">
        <v>1.0597856223613596E-2</v>
      </c>
      <c r="S193" s="8">
        <v>0</v>
      </c>
      <c r="T193" s="8">
        <v>1</v>
      </c>
      <c r="U193" s="8">
        <v>830</v>
      </c>
      <c r="V193" s="7">
        <v>3.2833700964905246E-2</v>
      </c>
      <c r="W193" s="7">
        <v>8.8742993180766557E-3</v>
      </c>
      <c r="X193" s="8">
        <v>0</v>
      </c>
      <c r="Y193" s="8">
        <v>1</v>
      </c>
      <c r="Z193" s="8">
        <v>733</v>
      </c>
      <c r="AA193" s="7">
        <v>0.10185964544597292</v>
      </c>
      <c r="AB193" s="7">
        <v>7.4120245141954984E-3</v>
      </c>
      <c r="AC193" s="8">
        <v>0</v>
      </c>
      <c r="AD193" s="8">
        <v>1</v>
      </c>
      <c r="AE193" s="8">
        <v>3213</v>
      </c>
      <c r="AF193">
        <f>(AA195/AA194)-AA193</f>
        <v>-1.9789969396573487E-3</v>
      </c>
    </row>
    <row r="194" spans="1:32" ht="14.25" customHeight="1" x14ac:dyDescent="0.45">
      <c r="A194" s="6" t="s">
        <v>40</v>
      </c>
      <c r="B194" s="7">
        <v>0.11043143982498899</v>
      </c>
      <c r="C194" s="7">
        <v>1.9318318636183492E-2</v>
      </c>
      <c r="D194" s="8">
        <v>0</v>
      </c>
      <c r="E194" s="8">
        <v>1</v>
      </c>
      <c r="F194" s="8">
        <v>343</v>
      </c>
      <c r="G194" s="7">
        <v>0.11069522201123315</v>
      </c>
      <c r="H194" s="7">
        <v>1.3640876599586607E-2</v>
      </c>
      <c r="I194" s="8">
        <v>0</v>
      </c>
      <c r="J194" s="8">
        <v>1</v>
      </c>
      <c r="K194" s="8">
        <v>685</v>
      </c>
      <c r="L194" s="7">
        <v>0.20545282167499468</v>
      </c>
      <c r="M194" s="7">
        <v>1.8994482679167819E-2</v>
      </c>
      <c r="N194" s="8">
        <v>0</v>
      </c>
      <c r="O194" s="8">
        <v>1</v>
      </c>
      <c r="P194" s="8">
        <v>622</v>
      </c>
      <c r="Q194" s="7">
        <v>0.31815038623555536</v>
      </c>
      <c r="R194" s="7">
        <v>2.2407093634880186E-2</v>
      </c>
      <c r="S194" s="8">
        <v>0</v>
      </c>
      <c r="T194" s="8">
        <v>1</v>
      </c>
      <c r="U194" s="8">
        <v>830</v>
      </c>
      <c r="V194" s="7">
        <v>0.13233968886421418</v>
      </c>
      <c r="W194" s="7">
        <v>1.8303690851725167E-2</v>
      </c>
      <c r="X194" s="8">
        <v>0</v>
      </c>
      <c r="Y194" s="8">
        <v>1</v>
      </c>
      <c r="Z194" s="8">
        <v>733</v>
      </c>
      <c r="AA194" s="7">
        <v>0.19219833829689462</v>
      </c>
      <c r="AB194" s="7">
        <v>9.9022963989124652E-3</v>
      </c>
      <c r="AC194" s="8">
        <v>0</v>
      </c>
      <c r="AD194" s="8">
        <v>1</v>
      </c>
      <c r="AE194" s="8">
        <v>3213</v>
      </c>
      <c r="AF194">
        <f>(AA195/AA193)-AA194</f>
        <v>-3.734157149589995E-3</v>
      </c>
    </row>
    <row r="195" spans="1:32" ht="26.25" customHeight="1" x14ac:dyDescent="0.45">
      <c r="A195" s="6" t="s">
        <v>93</v>
      </c>
      <c r="B195" s="7">
        <v>2.7190393387353396E-2</v>
      </c>
      <c r="C195" s="7">
        <v>9.9035251282166784E-3</v>
      </c>
      <c r="D195" s="8">
        <v>0</v>
      </c>
      <c r="E195" s="8">
        <v>1</v>
      </c>
      <c r="F195" s="8">
        <v>343</v>
      </c>
      <c r="G195" s="7">
        <v>5.9248163231793967E-3</v>
      </c>
      <c r="H195" s="7">
        <v>3.5330933471604347E-3</v>
      </c>
      <c r="I195" s="8">
        <v>0</v>
      </c>
      <c r="J195" s="8">
        <v>1</v>
      </c>
      <c r="K195" s="8">
        <v>685</v>
      </c>
      <c r="L195" s="7">
        <v>2.8736152806136714E-2</v>
      </c>
      <c r="M195" s="7">
        <v>8.0493946712239545E-3</v>
      </c>
      <c r="N195" s="8">
        <v>0</v>
      </c>
      <c r="O195" s="8">
        <v>1</v>
      </c>
      <c r="P195" s="8">
        <v>622</v>
      </c>
      <c r="Q195" s="7">
        <v>2.1898344690160245E-2</v>
      </c>
      <c r="R195" s="7">
        <v>8.2436719096995858E-3</v>
      </c>
      <c r="S195" s="8">
        <v>0</v>
      </c>
      <c r="T195" s="8">
        <v>1</v>
      </c>
      <c r="U195" s="8">
        <v>830</v>
      </c>
      <c r="V195" s="7">
        <v>1.2677254391562658E-3</v>
      </c>
      <c r="W195" s="7">
        <v>9.8987379062101814E-4</v>
      </c>
      <c r="X195" s="8">
        <v>0</v>
      </c>
      <c r="Y195" s="8">
        <v>1</v>
      </c>
      <c r="Z195" s="8">
        <v>733</v>
      </c>
      <c r="AA195" s="7">
        <v>1.9196894670930064E-2</v>
      </c>
      <c r="AB195" s="7">
        <v>3.7993977186425872E-3</v>
      </c>
      <c r="AC195" s="8">
        <v>0</v>
      </c>
      <c r="AD195" s="8">
        <v>1</v>
      </c>
      <c r="AE195" s="8">
        <v>3213</v>
      </c>
    </row>
    <row r="196" spans="1:32" ht="14.25" customHeight="1" x14ac:dyDescent="0.45">
      <c r="A196" s="6" t="s">
        <v>32</v>
      </c>
      <c r="B196" s="7">
        <v>0.2508434395881563</v>
      </c>
      <c r="C196" s="7">
        <v>2.6564985993478434E-2</v>
      </c>
      <c r="D196" s="8">
        <v>0</v>
      </c>
      <c r="E196" s="8">
        <v>1</v>
      </c>
      <c r="F196" s="8">
        <v>343</v>
      </c>
      <c r="G196" s="7">
        <v>0.11723648022517399</v>
      </c>
      <c r="H196" s="7">
        <v>1.3553156415989618E-2</v>
      </c>
      <c r="I196" s="8">
        <v>0</v>
      </c>
      <c r="J196" s="8">
        <v>1</v>
      </c>
      <c r="K196" s="8">
        <v>685</v>
      </c>
      <c r="L196" s="7">
        <v>0.10134866639101314</v>
      </c>
      <c r="M196" s="7">
        <v>1.4304965922128491E-2</v>
      </c>
      <c r="N196" s="8">
        <v>0</v>
      </c>
      <c r="O196" s="8">
        <v>1</v>
      </c>
      <c r="P196" s="8">
        <v>622</v>
      </c>
      <c r="Q196" s="7">
        <v>5.8577332732493929E-2</v>
      </c>
      <c r="R196" s="7">
        <v>1.0597856223613596E-2</v>
      </c>
      <c r="S196" s="8">
        <v>0</v>
      </c>
      <c r="T196" s="8">
        <v>1</v>
      </c>
      <c r="U196" s="8">
        <v>830</v>
      </c>
      <c r="V196" s="7">
        <v>3.2833700964905246E-2</v>
      </c>
      <c r="W196" s="7">
        <v>8.8742993180766557E-3</v>
      </c>
      <c r="X196" s="8">
        <v>0</v>
      </c>
      <c r="Y196" s="8">
        <v>1</v>
      </c>
      <c r="Z196" s="8">
        <v>733</v>
      </c>
      <c r="AA196" s="7">
        <v>0.10185964544597292</v>
      </c>
      <c r="AB196" s="7">
        <v>7.4120245141954984E-3</v>
      </c>
      <c r="AC196" s="8">
        <v>0</v>
      </c>
      <c r="AD196" s="8">
        <v>1</v>
      </c>
      <c r="AE196" s="8">
        <v>3213</v>
      </c>
      <c r="AF196">
        <f>(AA198/AA197)-AA196</f>
        <v>2.0490354701124119E-3</v>
      </c>
    </row>
    <row r="197" spans="1:32" ht="14.25" customHeight="1" x14ac:dyDescent="0.45">
      <c r="A197" s="6" t="s">
        <v>42</v>
      </c>
      <c r="B197" s="7">
        <v>0.4041930049279841</v>
      </c>
      <c r="C197" s="7">
        <v>3.0232276444073676E-2</v>
      </c>
      <c r="D197" s="8">
        <v>0</v>
      </c>
      <c r="E197" s="8">
        <v>1</v>
      </c>
      <c r="F197" s="8">
        <v>343</v>
      </c>
      <c r="G197" s="7">
        <v>0.47166434397907836</v>
      </c>
      <c r="H197" s="7">
        <v>2.1519532355489479E-2</v>
      </c>
      <c r="I197" s="8">
        <v>0</v>
      </c>
      <c r="J197" s="8">
        <v>1</v>
      </c>
      <c r="K197" s="8">
        <v>685</v>
      </c>
      <c r="L197" s="7">
        <v>0.43338553269768243</v>
      </c>
      <c r="M197" s="7">
        <v>2.2944313900862667E-2</v>
      </c>
      <c r="N197" s="8">
        <v>0</v>
      </c>
      <c r="O197" s="8">
        <v>1</v>
      </c>
      <c r="P197" s="8">
        <v>622</v>
      </c>
      <c r="Q197" s="7">
        <v>0.37080005445994324</v>
      </c>
      <c r="R197" s="7">
        <v>2.2758196670672724E-2</v>
      </c>
      <c r="S197" s="8">
        <v>0</v>
      </c>
      <c r="T197" s="8">
        <v>1</v>
      </c>
      <c r="U197" s="8">
        <v>830</v>
      </c>
      <c r="V197" s="7">
        <v>0.40704376021255967</v>
      </c>
      <c r="W197" s="7">
        <v>2.6476273726386629E-2</v>
      </c>
      <c r="X197" s="8">
        <v>0</v>
      </c>
      <c r="Y197" s="8">
        <v>1</v>
      </c>
      <c r="Z197" s="8">
        <v>733</v>
      </c>
      <c r="AA197" s="7">
        <v>0.42838777016507279</v>
      </c>
      <c r="AB197" s="7">
        <v>1.219850561897003E-2</v>
      </c>
      <c r="AC197" s="8">
        <v>0</v>
      </c>
      <c r="AD197" s="8">
        <v>1</v>
      </c>
      <c r="AE197" s="8">
        <v>3213</v>
      </c>
      <c r="AF197">
        <f>(AA198/AA196)-AA197</f>
        <v>8.6175612745106323E-3</v>
      </c>
    </row>
    <row r="198" spans="1:32" ht="26.25" customHeight="1" x14ac:dyDescent="0.45">
      <c r="A198" s="6" t="s">
        <v>94</v>
      </c>
      <c r="B198" s="7">
        <v>7.4407584021679046E-2</v>
      </c>
      <c r="C198" s="7">
        <v>1.5708260639045523E-2</v>
      </c>
      <c r="D198" s="8">
        <v>0</v>
      </c>
      <c r="E198" s="8">
        <v>1</v>
      </c>
      <c r="F198" s="8">
        <v>343</v>
      </c>
      <c r="G198" s="7">
        <v>4.9945070087570563E-2</v>
      </c>
      <c r="H198" s="7">
        <v>9.2320265869953975E-3</v>
      </c>
      <c r="I198" s="8">
        <v>0</v>
      </c>
      <c r="J198" s="8">
        <v>1</v>
      </c>
      <c r="K198" s="8">
        <v>685</v>
      </c>
      <c r="L198" s="7">
        <v>5.4722406826823854E-2</v>
      </c>
      <c r="M198" s="7">
        <v>1.0754401707061786E-2</v>
      </c>
      <c r="N198" s="8">
        <v>0</v>
      </c>
      <c r="O198" s="8">
        <v>1</v>
      </c>
      <c r="P198" s="8">
        <v>622</v>
      </c>
      <c r="Q198" s="7">
        <v>1.6132047103534802E-2</v>
      </c>
      <c r="R198" s="7">
        <v>4.5779208054140376E-3</v>
      </c>
      <c r="S198" s="8">
        <v>0</v>
      </c>
      <c r="T198" s="8">
        <v>1</v>
      </c>
      <c r="U198" s="8">
        <v>830</v>
      </c>
      <c r="V198" s="7">
        <v>1.8071670697079122E-2</v>
      </c>
      <c r="W198" s="7">
        <v>6.4790874989673836E-3</v>
      </c>
      <c r="X198" s="8">
        <v>0</v>
      </c>
      <c r="Y198" s="8">
        <v>1</v>
      </c>
      <c r="Z198" s="8">
        <v>733</v>
      </c>
      <c r="AA198" s="7">
        <v>4.451320811843585E-2</v>
      </c>
      <c r="AB198" s="7">
        <v>5.203444194062168E-3</v>
      </c>
      <c r="AC198" s="8">
        <v>0</v>
      </c>
      <c r="AD198" s="8">
        <v>1</v>
      </c>
      <c r="AE198" s="8">
        <v>3213</v>
      </c>
    </row>
    <row r="199" spans="1:32" ht="14.25" customHeight="1" x14ac:dyDescent="0.45">
      <c r="A199" s="6" t="s">
        <v>32</v>
      </c>
      <c r="B199" s="7">
        <v>0.2508434395881563</v>
      </c>
      <c r="C199" s="7">
        <v>2.6564985993478434E-2</v>
      </c>
      <c r="D199" s="8">
        <v>0</v>
      </c>
      <c r="E199" s="8">
        <v>1</v>
      </c>
      <c r="F199" s="8">
        <v>343</v>
      </c>
      <c r="G199" s="7">
        <v>0.11723648022517399</v>
      </c>
      <c r="H199" s="7">
        <v>1.3553156415989618E-2</v>
      </c>
      <c r="I199" s="8">
        <v>0</v>
      </c>
      <c r="J199" s="8">
        <v>1</v>
      </c>
      <c r="K199" s="8">
        <v>685</v>
      </c>
      <c r="L199" s="7">
        <v>0.10134866639101314</v>
      </c>
      <c r="M199" s="7">
        <v>1.4304965922128491E-2</v>
      </c>
      <c r="N199" s="8">
        <v>0</v>
      </c>
      <c r="O199" s="8">
        <v>1</v>
      </c>
      <c r="P199" s="8">
        <v>622</v>
      </c>
      <c r="Q199" s="7">
        <v>5.8577332732493929E-2</v>
      </c>
      <c r="R199" s="7">
        <v>1.0597856223613596E-2</v>
      </c>
      <c r="S199" s="8">
        <v>0</v>
      </c>
      <c r="T199" s="8">
        <v>1</v>
      </c>
      <c r="U199" s="8">
        <v>830</v>
      </c>
      <c r="V199" s="7">
        <v>3.2833700964905246E-2</v>
      </c>
      <c r="W199" s="7">
        <v>8.8742993180766557E-3</v>
      </c>
      <c r="X199" s="8">
        <v>0</v>
      </c>
      <c r="Y199" s="8">
        <v>1</v>
      </c>
      <c r="Z199" s="8">
        <v>733</v>
      </c>
      <c r="AA199" s="7">
        <v>0.10185964544597292</v>
      </c>
      <c r="AB199" s="7">
        <v>7.4120245141954984E-3</v>
      </c>
      <c r="AC199" s="8">
        <v>0</v>
      </c>
      <c r="AD199" s="8">
        <v>1</v>
      </c>
      <c r="AE199" s="8">
        <v>3213</v>
      </c>
      <c r="AF199">
        <f>(AA201/AA200)-AA199</f>
        <v>-8.541669850076139E-2</v>
      </c>
    </row>
    <row r="200" spans="1:32" ht="14.25" customHeight="1" x14ac:dyDescent="0.45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343</v>
      </c>
      <c r="G200" s="7">
        <v>6.1239228844402228E-3</v>
      </c>
      <c r="H200" s="7">
        <v>2.559788277249609E-3</v>
      </c>
      <c r="I200" s="8">
        <v>0</v>
      </c>
      <c r="J200" s="8">
        <v>1</v>
      </c>
      <c r="K200" s="8">
        <v>685</v>
      </c>
      <c r="L200" s="7">
        <v>7.5222336372921406E-3</v>
      </c>
      <c r="M200" s="7">
        <v>3.888810135536692E-3</v>
      </c>
      <c r="N200" s="8">
        <v>0</v>
      </c>
      <c r="O200" s="8">
        <v>1</v>
      </c>
      <c r="P200" s="8">
        <v>622</v>
      </c>
      <c r="Q200" s="7">
        <v>4.3787001294212568E-3</v>
      </c>
      <c r="R200" s="7">
        <v>1.9345454374379675E-3</v>
      </c>
      <c r="S200" s="8">
        <v>0</v>
      </c>
      <c r="T200" s="8">
        <v>1</v>
      </c>
      <c r="U200" s="8">
        <v>830</v>
      </c>
      <c r="V200" s="7">
        <v>7.4989268254143093E-3</v>
      </c>
      <c r="W200" s="7">
        <v>5.3346475986279715E-3</v>
      </c>
      <c r="X200" s="8">
        <v>0</v>
      </c>
      <c r="Y200" s="8">
        <v>1</v>
      </c>
      <c r="Z200" s="8">
        <v>733</v>
      </c>
      <c r="AA200" s="7">
        <v>6.0425505430857273E-3</v>
      </c>
      <c r="AB200" s="7">
        <v>1.7730974810922998E-3</v>
      </c>
      <c r="AC200" s="8">
        <v>0</v>
      </c>
      <c r="AD200" s="8">
        <v>1</v>
      </c>
      <c r="AE200" s="8">
        <v>3213</v>
      </c>
      <c r="AF200">
        <f>(AA201/AA199)-AA200</f>
        <v>-5.06711677283549E-3</v>
      </c>
    </row>
    <row r="201" spans="1:32" ht="14.25" customHeight="1" x14ac:dyDescent="0.45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343</v>
      </c>
      <c r="G201" s="7">
        <v>0</v>
      </c>
      <c r="H201" s="7">
        <v>0</v>
      </c>
      <c r="I201" s="8">
        <v>0</v>
      </c>
      <c r="J201" s="8">
        <v>0</v>
      </c>
      <c r="K201" s="8">
        <v>685</v>
      </c>
      <c r="L201" s="7">
        <v>0</v>
      </c>
      <c r="M201" s="7">
        <v>0</v>
      </c>
      <c r="N201" s="8">
        <v>0</v>
      </c>
      <c r="O201" s="8">
        <v>0</v>
      </c>
      <c r="P201" s="8">
        <v>622</v>
      </c>
      <c r="Q201" s="7">
        <v>4.8031942121601735E-4</v>
      </c>
      <c r="R201" s="7">
        <v>4.8093258250218651E-4</v>
      </c>
      <c r="S201" s="8">
        <v>0</v>
      </c>
      <c r="T201" s="8">
        <v>1</v>
      </c>
      <c r="U201" s="8">
        <v>830</v>
      </c>
      <c r="V201" s="7">
        <v>0</v>
      </c>
      <c r="W201" s="7">
        <v>0</v>
      </c>
      <c r="X201" s="8">
        <v>0</v>
      </c>
      <c r="Y201" s="8">
        <v>0</v>
      </c>
      <c r="Z201" s="8">
        <v>733</v>
      </c>
      <c r="AA201" s="7">
        <v>9.9357337993717776E-5</v>
      </c>
      <c r="AB201" s="7">
        <v>9.9393142202013282E-5</v>
      </c>
      <c r="AC201" s="8">
        <v>0</v>
      </c>
      <c r="AD201" s="8">
        <v>1</v>
      </c>
      <c r="AE201" s="8">
        <v>3213</v>
      </c>
    </row>
    <row r="202" spans="1:32" ht="14.25" customHeight="1" x14ac:dyDescent="0.45">
      <c r="A202" s="6" t="s">
        <v>32</v>
      </c>
      <c r="B202" s="7">
        <v>0.2508434395881563</v>
      </c>
      <c r="C202" s="7">
        <v>2.6564985993478434E-2</v>
      </c>
      <c r="D202" s="8">
        <v>0</v>
      </c>
      <c r="E202" s="8">
        <v>1</v>
      </c>
      <c r="F202" s="8">
        <v>343</v>
      </c>
      <c r="G202" s="7">
        <v>0.11723648022517399</v>
      </c>
      <c r="H202" s="7">
        <v>1.3553156415989618E-2</v>
      </c>
      <c r="I202" s="8">
        <v>0</v>
      </c>
      <c r="J202" s="8">
        <v>1</v>
      </c>
      <c r="K202" s="8">
        <v>685</v>
      </c>
      <c r="L202" s="7">
        <v>0.10134866639101314</v>
      </c>
      <c r="M202" s="7">
        <v>1.4304965922128491E-2</v>
      </c>
      <c r="N202" s="8">
        <v>0</v>
      </c>
      <c r="O202" s="8">
        <v>1</v>
      </c>
      <c r="P202" s="8">
        <v>622</v>
      </c>
      <c r="Q202" s="7">
        <v>5.8577332732493929E-2</v>
      </c>
      <c r="R202" s="7">
        <v>1.0597856223613596E-2</v>
      </c>
      <c r="S202" s="8">
        <v>0</v>
      </c>
      <c r="T202" s="8">
        <v>1</v>
      </c>
      <c r="U202" s="8">
        <v>830</v>
      </c>
      <c r="V202" s="7">
        <v>3.2833700964905246E-2</v>
      </c>
      <c r="W202" s="7">
        <v>8.8742993180766557E-3</v>
      </c>
      <c r="X202" s="8">
        <v>0</v>
      </c>
      <c r="Y202" s="8">
        <v>1</v>
      </c>
      <c r="Z202" s="8">
        <v>733</v>
      </c>
      <c r="AA202" s="7">
        <v>0.10185964544597292</v>
      </c>
      <c r="AB202" s="7">
        <v>7.4120245141954984E-3</v>
      </c>
      <c r="AC202" s="8">
        <v>0</v>
      </c>
      <c r="AD202" s="8">
        <v>1</v>
      </c>
      <c r="AE202" s="8">
        <v>3213</v>
      </c>
      <c r="AF202">
        <f>(AA204/AA203)-AA202</f>
        <v>1.3510932840809994E-2</v>
      </c>
    </row>
    <row r="203" spans="1:32" ht="39.5" customHeight="1" x14ac:dyDescent="0.45">
      <c r="A203" s="6" t="s">
        <v>16</v>
      </c>
      <c r="B203" s="7">
        <v>0.46175737392174987</v>
      </c>
      <c r="C203" s="7">
        <v>3.0710810789507388E-2</v>
      </c>
      <c r="D203" s="8">
        <v>0</v>
      </c>
      <c r="E203" s="8">
        <v>1</v>
      </c>
      <c r="F203" s="8">
        <v>343</v>
      </c>
      <c r="G203" s="7">
        <v>0.51171849969410388</v>
      </c>
      <c r="H203" s="7">
        <v>2.1509798906621986E-2</v>
      </c>
      <c r="I203" s="8">
        <v>0</v>
      </c>
      <c r="J203" s="8">
        <v>1</v>
      </c>
      <c r="K203" s="8">
        <v>685</v>
      </c>
      <c r="L203" s="7">
        <v>0.63828459018132044</v>
      </c>
      <c r="M203" s="7">
        <v>2.224943796975826E-2</v>
      </c>
      <c r="N203" s="8">
        <v>0</v>
      </c>
      <c r="O203" s="8">
        <v>1</v>
      </c>
      <c r="P203" s="8">
        <v>622</v>
      </c>
      <c r="Q203" s="7">
        <v>0.6594859044787692</v>
      </c>
      <c r="R203" s="7">
        <v>2.3371802530881509E-2</v>
      </c>
      <c r="S203" s="8">
        <v>0</v>
      </c>
      <c r="T203" s="8">
        <v>1</v>
      </c>
      <c r="U203" s="8">
        <v>830</v>
      </c>
      <c r="V203" s="7">
        <v>0.29098870335197347</v>
      </c>
      <c r="W203" s="7">
        <v>2.4531818658125738E-2</v>
      </c>
      <c r="X203" s="8">
        <v>0</v>
      </c>
      <c r="Y203" s="8">
        <v>1</v>
      </c>
      <c r="Z203" s="8">
        <v>733</v>
      </c>
      <c r="AA203" s="7">
        <v>0.57762752018153862</v>
      </c>
      <c r="AB203" s="7">
        <v>1.212537286467308E-2</v>
      </c>
      <c r="AC203" s="8">
        <v>0</v>
      </c>
      <c r="AD203" s="8">
        <v>1</v>
      </c>
      <c r="AE203" s="8">
        <v>3213</v>
      </c>
      <c r="AF203">
        <f>(AA204/AA202)-AA203</f>
        <v>7.6618042385743768E-2</v>
      </c>
    </row>
    <row r="204" spans="1:32" ht="14.25" customHeight="1" x14ac:dyDescent="0.45">
      <c r="A204" s="6" t="s">
        <v>96</v>
      </c>
      <c r="B204" s="7">
        <v>0.16173298244851164</v>
      </c>
      <c r="C204" s="7">
        <v>2.2262492286186847E-2</v>
      </c>
      <c r="D204" s="8">
        <v>0</v>
      </c>
      <c r="E204" s="8">
        <v>1</v>
      </c>
      <c r="F204" s="8">
        <v>343</v>
      </c>
      <c r="G204" s="7">
        <v>6.7004159724229684E-2</v>
      </c>
      <c r="H204" s="7">
        <v>1.0401460517986693E-2</v>
      </c>
      <c r="I204" s="8">
        <v>0</v>
      </c>
      <c r="J204" s="8">
        <v>1</v>
      </c>
      <c r="K204" s="8">
        <v>685</v>
      </c>
      <c r="L204" s="7">
        <v>7.3620125718293128E-2</v>
      </c>
      <c r="M204" s="7">
        <v>1.2157240934246609E-2</v>
      </c>
      <c r="N204" s="8">
        <v>0</v>
      </c>
      <c r="O204" s="8">
        <v>1</v>
      </c>
      <c r="P204" s="8">
        <v>622</v>
      </c>
      <c r="Q204" s="7">
        <v>4.246910192728575E-2</v>
      </c>
      <c r="R204" s="7">
        <v>9.6356772826981952E-3</v>
      </c>
      <c r="S204" s="8">
        <v>0</v>
      </c>
      <c r="T204" s="8">
        <v>1</v>
      </c>
      <c r="U204" s="8">
        <v>830</v>
      </c>
      <c r="V204" s="7">
        <v>6.1547839974959847E-3</v>
      </c>
      <c r="W204" s="7">
        <v>2.4443159655792644E-3</v>
      </c>
      <c r="X204" s="8">
        <v>0</v>
      </c>
      <c r="Y204" s="8">
        <v>1</v>
      </c>
      <c r="Z204" s="8">
        <v>733</v>
      </c>
      <c r="AA204" s="7">
        <v>6.6641221037704479E-2</v>
      </c>
      <c r="AB204" s="7">
        <v>6.1457775937461562E-3</v>
      </c>
      <c r="AC204" s="8">
        <v>0</v>
      </c>
      <c r="AD204" s="8">
        <v>1</v>
      </c>
      <c r="AE204" s="8">
        <v>3213</v>
      </c>
    </row>
    <row r="205" spans="1:32" ht="14.25" customHeight="1" x14ac:dyDescent="0.45">
      <c r="A205" s="6" t="s">
        <v>32</v>
      </c>
      <c r="B205" s="7">
        <v>0.2508434395881563</v>
      </c>
      <c r="C205" s="7">
        <v>2.6564985993478434E-2</v>
      </c>
      <c r="D205" s="8">
        <v>0</v>
      </c>
      <c r="E205" s="8">
        <v>1</v>
      </c>
      <c r="F205" s="8">
        <v>343</v>
      </c>
      <c r="G205" s="7">
        <v>0.11723648022517399</v>
      </c>
      <c r="H205" s="7">
        <v>1.3553156415989618E-2</v>
      </c>
      <c r="I205" s="8">
        <v>0</v>
      </c>
      <c r="J205" s="8">
        <v>1</v>
      </c>
      <c r="K205" s="8">
        <v>685</v>
      </c>
      <c r="L205" s="7">
        <v>0.10134866639101314</v>
      </c>
      <c r="M205" s="7">
        <v>1.4304965922128491E-2</v>
      </c>
      <c r="N205" s="8">
        <v>0</v>
      </c>
      <c r="O205" s="8">
        <v>1</v>
      </c>
      <c r="P205" s="8">
        <v>622</v>
      </c>
      <c r="Q205" s="7">
        <v>5.8577332732493929E-2</v>
      </c>
      <c r="R205" s="7">
        <v>1.0597856223613596E-2</v>
      </c>
      <c r="S205" s="8">
        <v>0</v>
      </c>
      <c r="T205" s="8">
        <v>1</v>
      </c>
      <c r="U205" s="8">
        <v>830</v>
      </c>
      <c r="V205" s="7">
        <v>3.2833700964905246E-2</v>
      </c>
      <c r="W205" s="7">
        <v>8.8742993180766557E-3</v>
      </c>
      <c r="X205" s="8">
        <v>0</v>
      </c>
      <c r="Y205" s="8">
        <v>1</v>
      </c>
      <c r="Z205" s="8">
        <v>733</v>
      </c>
      <c r="AA205" s="7">
        <v>0.10185964544597292</v>
      </c>
      <c r="AB205" s="7">
        <v>7.4120245141954984E-3</v>
      </c>
      <c r="AC205" s="8">
        <v>0</v>
      </c>
      <c r="AD205" s="8">
        <v>1</v>
      </c>
      <c r="AE205" s="8">
        <v>3213</v>
      </c>
      <c r="AF205">
        <f>(AA207/AA206)-AA205</f>
        <v>9.342662650948616E-3</v>
      </c>
    </row>
    <row r="206" spans="1:32" ht="39.5" customHeight="1" x14ac:dyDescent="0.45">
      <c r="A206" s="6" t="s">
        <v>18</v>
      </c>
      <c r="B206" s="7">
        <v>0.65870111528749431</v>
      </c>
      <c r="C206" s="7">
        <v>2.9720045914151373E-2</v>
      </c>
      <c r="D206" s="8">
        <v>0</v>
      </c>
      <c r="E206" s="8">
        <v>1</v>
      </c>
      <c r="F206" s="8">
        <v>343</v>
      </c>
      <c r="G206" s="7">
        <v>0.68973128721603705</v>
      </c>
      <c r="H206" s="7">
        <v>1.9757484138470113E-2</v>
      </c>
      <c r="I206" s="8">
        <v>0</v>
      </c>
      <c r="J206" s="8">
        <v>1</v>
      </c>
      <c r="K206" s="8">
        <v>685</v>
      </c>
      <c r="L206" s="7">
        <v>0.69326134184086086</v>
      </c>
      <c r="M206" s="7">
        <v>2.1633597813178515E-2</v>
      </c>
      <c r="N206" s="8">
        <v>0</v>
      </c>
      <c r="O206" s="8">
        <v>1</v>
      </c>
      <c r="P206" s="8">
        <v>622</v>
      </c>
      <c r="Q206" s="7">
        <v>0.668125365389454</v>
      </c>
      <c r="R206" s="7">
        <v>2.3701307596769659E-2</v>
      </c>
      <c r="S206" s="8">
        <v>0</v>
      </c>
      <c r="T206" s="8">
        <v>1</v>
      </c>
      <c r="U206" s="8">
        <v>830</v>
      </c>
      <c r="V206" s="7">
        <v>0.47714183749717526</v>
      </c>
      <c r="W206" s="7">
        <v>2.7405582617474847E-2</v>
      </c>
      <c r="X206" s="8">
        <v>0</v>
      </c>
      <c r="Y206" s="8">
        <v>1</v>
      </c>
      <c r="Z206" s="8">
        <v>733</v>
      </c>
      <c r="AA206" s="7">
        <v>0.67349513472272604</v>
      </c>
      <c r="AB206" s="7">
        <v>1.1615894672939582E-2</v>
      </c>
      <c r="AC206" s="8">
        <v>0</v>
      </c>
      <c r="AD206" s="8">
        <v>1</v>
      </c>
      <c r="AE206" s="8">
        <v>3213</v>
      </c>
      <c r="AF206">
        <f>(AA207/AA205)-AA206</f>
        <v>6.1773608313874018E-2</v>
      </c>
    </row>
    <row r="207" spans="1:32" ht="14.25" customHeight="1" x14ac:dyDescent="0.45">
      <c r="A207" s="6" t="s">
        <v>97</v>
      </c>
      <c r="B207" s="7">
        <v>0.17687979677103707</v>
      </c>
      <c r="C207" s="7">
        <v>2.2965807993249262E-2</v>
      </c>
      <c r="D207" s="8">
        <v>0</v>
      </c>
      <c r="E207" s="8">
        <v>1</v>
      </c>
      <c r="F207" s="8">
        <v>343</v>
      </c>
      <c r="G207" s="7">
        <v>8.3428318100865553E-2</v>
      </c>
      <c r="H207" s="7">
        <v>1.1656915140551675E-2</v>
      </c>
      <c r="I207" s="8">
        <v>0</v>
      </c>
      <c r="J207" s="8">
        <v>1</v>
      </c>
      <c r="K207" s="8">
        <v>685</v>
      </c>
      <c r="L207" s="7">
        <v>7.8849080464791901E-2</v>
      </c>
      <c r="M207" s="7">
        <v>1.2561687466256292E-2</v>
      </c>
      <c r="N207" s="8">
        <v>0</v>
      </c>
      <c r="O207" s="8">
        <v>1</v>
      </c>
      <c r="P207" s="8">
        <v>622</v>
      </c>
      <c r="Q207" s="7">
        <v>4.1809067288750924E-2</v>
      </c>
      <c r="R207" s="7">
        <v>8.3943969045633775E-3</v>
      </c>
      <c r="S207" s="8">
        <v>0</v>
      </c>
      <c r="T207" s="8">
        <v>1</v>
      </c>
      <c r="U207" s="8">
        <v>830</v>
      </c>
      <c r="V207" s="7">
        <v>1.9948767446471193E-2</v>
      </c>
      <c r="W207" s="7">
        <v>6.6772338446771723E-3</v>
      </c>
      <c r="X207" s="8">
        <v>0</v>
      </c>
      <c r="Y207" s="8">
        <v>1</v>
      </c>
      <c r="Z207" s="8">
        <v>733</v>
      </c>
      <c r="AA207" s="7">
        <v>7.4894213473214261E-2</v>
      </c>
      <c r="AB207" s="7">
        <v>6.401949362185297E-3</v>
      </c>
      <c r="AC207" s="8">
        <v>0</v>
      </c>
      <c r="AD207" s="8">
        <v>1</v>
      </c>
      <c r="AE207" s="8">
        <v>3213</v>
      </c>
    </row>
    <row r="208" spans="1:32" ht="14.25" customHeight="1" x14ac:dyDescent="0.45">
      <c r="A208" s="6" t="s">
        <v>32</v>
      </c>
      <c r="B208" s="7">
        <v>0.2508434395881563</v>
      </c>
      <c r="C208" s="7">
        <v>2.6564985993478434E-2</v>
      </c>
      <c r="D208" s="8">
        <v>0</v>
      </c>
      <c r="E208" s="8">
        <v>1</v>
      </c>
      <c r="F208" s="8">
        <v>343</v>
      </c>
      <c r="G208" s="7">
        <v>0.11723648022517399</v>
      </c>
      <c r="H208" s="7">
        <v>1.3553156415989618E-2</v>
      </c>
      <c r="I208" s="8">
        <v>0</v>
      </c>
      <c r="J208" s="8">
        <v>1</v>
      </c>
      <c r="K208" s="8">
        <v>685</v>
      </c>
      <c r="L208" s="7">
        <v>0.10134866639101314</v>
      </c>
      <c r="M208" s="7">
        <v>1.4304965922128491E-2</v>
      </c>
      <c r="N208" s="8">
        <v>0</v>
      </c>
      <c r="O208" s="8">
        <v>1</v>
      </c>
      <c r="P208" s="8">
        <v>622</v>
      </c>
      <c r="Q208" s="7">
        <v>5.8577332732493929E-2</v>
      </c>
      <c r="R208" s="7">
        <v>1.0597856223613596E-2</v>
      </c>
      <c r="S208" s="8">
        <v>0</v>
      </c>
      <c r="T208" s="8">
        <v>1</v>
      </c>
      <c r="U208" s="8">
        <v>830</v>
      </c>
      <c r="V208" s="7">
        <v>3.2833700964905246E-2</v>
      </c>
      <c r="W208" s="7">
        <v>8.8742993180766557E-3</v>
      </c>
      <c r="X208" s="8">
        <v>0</v>
      </c>
      <c r="Y208" s="8">
        <v>1</v>
      </c>
      <c r="Z208" s="8">
        <v>733</v>
      </c>
      <c r="AA208" s="7">
        <v>0.10185964544597292</v>
      </c>
      <c r="AB208" s="7">
        <v>7.4120245141954984E-3</v>
      </c>
      <c r="AC208" s="8">
        <v>0</v>
      </c>
      <c r="AD208" s="8">
        <v>1</v>
      </c>
      <c r="AE208" s="8">
        <v>3213</v>
      </c>
      <c r="AF208">
        <f>(AA210/AA209)-AA208</f>
        <v>2.0195223652381689E-2</v>
      </c>
    </row>
    <row r="209" spans="1:32" ht="39.5" customHeight="1" x14ac:dyDescent="0.45">
      <c r="A209" s="6" t="s">
        <v>20</v>
      </c>
      <c r="B209" s="7">
        <v>0.429717204212403</v>
      </c>
      <c r="C209" s="7">
        <v>3.0392503365876303E-2</v>
      </c>
      <c r="D209" s="8">
        <v>0</v>
      </c>
      <c r="E209" s="8">
        <v>1</v>
      </c>
      <c r="F209" s="8">
        <v>343</v>
      </c>
      <c r="G209" s="7">
        <v>0.48245904042650412</v>
      </c>
      <c r="H209" s="7">
        <v>2.146411101488091E-2</v>
      </c>
      <c r="I209" s="8">
        <v>0</v>
      </c>
      <c r="J209" s="8">
        <v>1</v>
      </c>
      <c r="K209" s="8">
        <v>685</v>
      </c>
      <c r="L209" s="7">
        <v>0.54779032545005502</v>
      </c>
      <c r="M209" s="7">
        <v>2.3079129928781021E-2</v>
      </c>
      <c r="N209" s="8">
        <v>0</v>
      </c>
      <c r="O209" s="8">
        <v>1</v>
      </c>
      <c r="P209" s="8">
        <v>622</v>
      </c>
      <c r="Q209" s="7">
        <v>0.50863999660499892</v>
      </c>
      <c r="R209" s="7">
        <v>2.4084097248153895E-2</v>
      </c>
      <c r="S209" s="8">
        <v>0</v>
      </c>
      <c r="T209" s="8">
        <v>1</v>
      </c>
      <c r="U209" s="8">
        <v>830</v>
      </c>
      <c r="V209" s="7">
        <v>0.21923941521723078</v>
      </c>
      <c r="W209" s="7">
        <v>2.2302742957611636E-2</v>
      </c>
      <c r="X209" s="8">
        <v>0</v>
      </c>
      <c r="Y209" s="8">
        <v>1</v>
      </c>
      <c r="Z209" s="8">
        <v>733</v>
      </c>
      <c r="AA209" s="7">
        <v>0.49658329004295232</v>
      </c>
      <c r="AB209" s="7">
        <v>1.2332775383448446E-2</v>
      </c>
      <c r="AC209" s="8">
        <v>0</v>
      </c>
      <c r="AD209" s="8">
        <v>1</v>
      </c>
      <c r="AE209" s="8">
        <v>3213</v>
      </c>
      <c r="AF209">
        <f>(AA210/AA208)-AA209</f>
        <v>9.8455188613160716E-2</v>
      </c>
    </row>
    <row r="210" spans="1:32" ht="14.25" customHeight="1" x14ac:dyDescent="0.45">
      <c r="A210" s="6" t="s">
        <v>98</v>
      </c>
      <c r="B210" s="7">
        <v>0.15278609295607634</v>
      </c>
      <c r="C210" s="7">
        <v>2.1617330857265984E-2</v>
      </c>
      <c r="D210" s="8">
        <v>0</v>
      </c>
      <c r="E210" s="8">
        <v>1</v>
      </c>
      <c r="F210" s="8">
        <v>343</v>
      </c>
      <c r="G210" s="7">
        <v>6.477999289398971E-2</v>
      </c>
      <c r="H210" s="7">
        <v>1.0190645823410924E-2</v>
      </c>
      <c r="I210" s="8">
        <v>0</v>
      </c>
      <c r="J210" s="8">
        <v>1</v>
      </c>
      <c r="K210" s="8">
        <v>685</v>
      </c>
      <c r="L210" s="7">
        <v>6.6103072003966659E-2</v>
      </c>
      <c r="M210" s="7">
        <v>1.1573285573187746E-2</v>
      </c>
      <c r="N210" s="8">
        <v>0</v>
      </c>
      <c r="O210" s="8">
        <v>1</v>
      </c>
      <c r="P210" s="8">
        <v>622</v>
      </c>
      <c r="Q210" s="7">
        <v>3.3545064133703402E-2</v>
      </c>
      <c r="R210" s="7">
        <v>7.6232131874062383E-3</v>
      </c>
      <c r="S210" s="8">
        <v>0</v>
      </c>
      <c r="T210" s="8">
        <v>1</v>
      </c>
      <c r="U210" s="8">
        <v>830</v>
      </c>
      <c r="V210" s="7">
        <v>4.8870585583397188E-3</v>
      </c>
      <c r="W210" s="7">
        <v>2.2314192359916682E-3</v>
      </c>
      <c r="X210" s="8">
        <v>0</v>
      </c>
      <c r="Y210" s="8">
        <v>1</v>
      </c>
      <c r="Z210" s="8">
        <v>733</v>
      </c>
      <c r="AA210" s="7">
        <v>6.0610408462622806E-2</v>
      </c>
      <c r="AB210" s="7">
        <v>5.8052056388047321E-3</v>
      </c>
      <c r="AC210" s="8">
        <v>0</v>
      </c>
      <c r="AD210" s="8">
        <v>1</v>
      </c>
      <c r="AE210" s="8">
        <v>3213</v>
      </c>
    </row>
    <row r="211" spans="1:32" ht="14.25" customHeight="1" x14ac:dyDescent="0.45">
      <c r="A211" s="6" t="s">
        <v>32</v>
      </c>
      <c r="B211" s="7">
        <v>0.2508434395881563</v>
      </c>
      <c r="C211" s="7">
        <v>2.6564985993478434E-2</v>
      </c>
      <c r="D211" s="8">
        <v>0</v>
      </c>
      <c r="E211" s="8">
        <v>1</v>
      </c>
      <c r="F211" s="8">
        <v>343</v>
      </c>
      <c r="G211" s="7">
        <v>0.11723648022517399</v>
      </c>
      <c r="H211" s="7">
        <v>1.3553156415989618E-2</v>
      </c>
      <c r="I211" s="8">
        <v>0</v>
      </c>
      <c r="J211" s="8">
        <v>1</v>
      </c>
      <c r="K211" s="8">
        <v>685</v>
      </c>
      <c r="L211" s="7">
        <v>0.10134866639101314</v>
      </c>
      <c r="M211" s="7">
        <v>1.4304965922128491E-2</v>
      </c>
      <c r="N211" s="8">
        <v>0</v>
      </c>
      <c r="O211" s="8">
        <v>1</v>
      </c>
      <c r="P211" s="8">
        <v>622</v>
      </c>
      <c r="Q211" s="7">
        <v>5.8577332732493929E-2</v>
      </c>
      <c r="R211" s="7">
        <v>1.0597856223613596E-2</v>
      </c>
      <c r="S211" s="8">
        <v>0</v>
      </c>
      <c r="T211" s="8">
        <v>1</v>
      </c>
      <c r="U211" s="8">
        <v>830</v>
      </c>
      <c r="V211" s="7">
        <v>3.2833700964905246E-2</v>
      </c>
      <c r="W211" s="7">
        <v>8.8742993180766557E-3</v>
      </c>
      <c r="X211" s="8">
        <v>0</v>
      </c>
      <c r="Y211" s="8">
        <v>1</v>
      </c>
      <c r="Z211" s="8">
        <v>733</v>
      </c>
      <c r="AA211" s="7">
        <v>0.10185964544597292</v>
      </c>
      <c r="AB211" s="7">
        <v>7.4120245141954984E-3</v>
      </c>
      <c r="AC211" s="8">
        <v>0</v>
      </c>
      <c r="AD211" s="8">
        <v>1</v>
      </c>
      <c r="AE211" s="8">
        <v>3213</v>
      </c>
      <c r="AF211">
        <f>(AA213/AA212)-AA211</f>
        <v>3.5897881652616204E-3</v>
      </c>
    </row>
    <row r="212" spans="1:32" ht="26.25" customHeight="1" x14ac:dyDescent="0.45">
      <c r="A212" s="6" t="s">
        <v>22</v>
      </c>
      <c r="B212" s="7">
        <v>0.46674587389419697</v>
      </c>
      <c r="C212" s="7">
        <v>3.0838428333854969E-2</v>
      </c>
      <c r="D212" s="8">
        <v>0</v>
      </c>
      <c r="E212" s="8">
        <v>1</v>
      </c>
      <c r="F212" s="8">
        <v>343</v>
      </c>
      <c r="G212" s="7">
        <v>0.49721456493371274</v>
      </c>
      <c r="H212" s="7">
        <v>2.1503868885976371E-2</v>
      </c>
      <c r="I212" s="8">
        <v>0</v>
      </c>
      <c r="J212" s="8">
        <v>1</v>
      </c>
      <c r="K212" s="8">
        <v>685</v>
      </c>
      <c r="L212" s="7">
        <v>0.49499161311096951</v>
      </c>
      <c r="M212" s="7">
        <v>2.3190131273243066E-2</v>
      </c>
      <c r="N212" s="8">
        <v>0</v>
      </c>
      <c r="O212" s="8">
        <v>1</v>
      </c>
      <c r="P212" s="8">
        <v>622</v>
      </c>
      <c r="Q212" s="7">
        <v>0.52967048191567545</v>
      </c>
      <c r="R212" s="7">
        <v>2.4042503277593212E-2</v>
      </c>
      <c r="S212" s="8">
        <v>0</v>
      </c>
      <c r="T212" s="8">
        <v>1</v>
      </c>
      <c r="U212" s="8">
        <v>830</v>
      </c>
      <c r="V212" s="7">
        <v>0.43883011512701503</v>
      </c>
      <c r="W212" s="7">
        <v>2.6915661407478465E-2</v>
      </c>
      <c r="X212" s="8">
        <v>0</v>
      </c>
      <c r="Y212" s="8">
        <v>1</v>
      </c>
      <c r="Z212" s="8">
        <v>733</v>
      </c>
      <c r="AA212" s="7">
        <v>0.49819284931542523</v>
      </c>
      <c r="AB212" s="7">
        <v>1.2331295303939749E-2</v>
      </c>
      <c r="AC212" s="8">
        <v>0</v>
      </c>
      <c r="AD212" s="8">
        <v>1</v>
      </c>
      <c r="AE212" s="8">
        <v>3213</v>
      </c>
      <c r="AF212">
        <f>(AA213/AA211)-AA212</f>
        <v>1.7557559587609906E-2</v>
      </c>
    </row>
    <row r="213" spans="1:32" ht="14.25" customHeight="1" x14ac:dyDescent="0.45">
      <c r="A213" s="6" t="s">
        <v>99</v>
      </c>
      <c r="B213" s="7">
        <v>8.8923546241024679E-2</v>
      </c>
      <c r="C213" s="7">
        <v>1.7154722618275539E-2</v>
      </c>
      <c r="D213" s="8">
        <v>0</v>
      </c>
      <c r="E213" s="8">
        <v>1</v>
      </c>
      <c r="F213" s="8">
        <v>343</v>
      </c>
      <c r="G213" s="7">
        <v>5.1181354805047041E-2</v>
      </c>
      <c r="H213" s="7">
        <v>9.3066624103631135E-3</v>
      </c>
      <c r="I213" s="8">
        <v>0</v>
      </c>
      <c r="J213" s="8">
        <v>1</v>
      </c>
      <c r="K213" s="8">
        <v>685</v>
      </c>
      <c r="L213" s="7">
        <v>6.2239460541150322E-2</v>
      </c>
      <c r="M213" s="7">
        <v>1.1394182985275668E-2</v>
      </c>
      <c r="N213" s="8">
        <v>0</v>
      </c>
      <c r="O213" s="8">
        <v>1</v>
      </c>
      <c r="P213" s="8">
        <v>622</v>
      </c>
      <c r="Q213" s="7">
        <v>3.4527003295955379E-2</v>
      </c>
      <c r="R213" s="7">
        <v>9.1882197574785583E-3</v>
      </c>
      <c r="S213" s="8">
        <v>0</v>
      </c>
      <c r="T213" s="8">
        <v>1</v>
      </c>
      <c r="U213" s="8">
        <v>830</v>
      </c>
      <c r="V213" s="7">
        <v>1.9339396136235389E-2</v>
      </c>
      <c r="W213" s="7">
        <v>6.5539874964046854E-3</v>
      </c>
      <c r="X213" s="8">
        <v>0</v>
      </c>
      <c r="Y213" s="8">
        <v>1</v>
      </c>
      <c r="Z213" s="8">
        <v>733</v>
      </c>
      <c r="AA213" s="7">
        <v>5.2534153789478712E-2</v>
      </c>
      <c r="AB213" s="7">
        <v>5.6721007558289066E-3</v>
      </c>
      <c r="AC213" s="8">
        <v>0</v>
      </c>
      <c r="AD213" s="8">
        <v>1</v>
      </c>
      <c r="AE213" s="8">
        <v>3213</v>
      </c>
    </row>
    <row r="214" spans="1:32" ht="14.25" customHeight="1" x14ac:dyDescent="0.45">
      <c r="A214" s="6" t="s">
        <v>32</v>
      </c>
      <c r="B214" s="7">
        <v>0.2508434395881563</v>
      </c>
      <c r="C214" s="7">
        <v>2.6564985993478434E-2</v>
      </c>
      <c r="D214" s="8">
        <v>0</v>
      </c>
      <c r="E214" s="8">
        <v>1</v>
      </c>
      <c r="F214" s="8">
        <v>343</v>
      </c>
      <c r="G214" s="7">
        <v>0.11723648022517399</v>
      </c>
      <c r="H214" s="7">
        <v>1.3553156415989618E-2</v>
      </c>
      <c r="I214" s="8">
        <v>0</v>
      </c>
      <c r="J214" s="8">
        <v>1</v>
      </c>
      <c r="K214" s="8">
        <v>685</v>
      </c>
      <c r="L214" s="7">
        <v>0.10134866639101314</v>
      </c>
      <c r="M214" s="7">
        <v>1.4304965922128491E-2</v>
      </c>
      <c r="N214" s="8">
        <v>0</v>
      </c>
      <c r="O214" s="8">
        <v>1</v>
      </c>
      <c r="P214" s="8">
        <v>622</v>
      </c>
      <c r="Q214" s="7">
        <v>5.8577332732493929E-2</v>
      </c>
      <c r="R214" s="7">
        <v>1.0597856223613596E-2</v>
      </c>
      <c r="S214" s="8">
        <v>0</v>
      </c>
      <c r="T214" s="8">
        <v>1</v>
      </c>
      <c r="U214" s="8">
        <v>830</v>
      </c>
      <c r="V214" s="7">
        <v>3.2833700964905246E-2</v>
      </c>
      <c r="W214" s="7">
        <v>8.8742993180766557E-3</v>
      </c>
      <c r="X214" s="8">
        <v>0</v>
      </c>
      <c r="Y214" s="8">
        <v>1</v>
      </c>
      <c r="Z214" s="8">
        <v>733</v>
      </c>
      <c r="AA214" s="7">
        <v>0.10185964544597292</v>
      </c>
      <c r="AB214" s="7">
        <v>7.4120245141954984E-3</v>
      </c>
      <c r="AC214" s="8">
        <v>0</v>
      </c>
      <c r="AD214" s="8">
        <v>1</v>
      </c>
      <c r="AE214" s="8">
        <v>3213</v>
      </c>
      <c r="AF214">
        <f>(AA216/AA215)-AA214</f>
        <v>-3.5784559501571694E-3</v>
      </c>
    </row>
    <row r="215" spans="1:32" ht="26.25" customHeight="1" x14ac:dyDescent="0.45">
      <c r="A215" s="6" t="s">
        <v>24</v>
      </c>
      <c r="B215" s="7">
        <v>0.11043143982498899</v>
      </c>
      <c r="C215" s="7">
        <v>1.9318318636183492E-2</v>
      </c>
      <c r="D215" s="8">
        <v>0</v>
      </c>
      <c r="E215" s="8">
        <v>1</v>
      </c>
      <c r="F215" s="8">
        <v>343</v>
      </c>
      <c r="G215" s="7">
        <v>0.1141877917275687</v>
      </c>
      <c r="H215" s="7">
        <v>1.372767009886945E-2</v>
      </c>
      <c r="I215" s="8">
        <v>0</v>
      </c>
      <c r="J215" s="8">
        <v>1</v>
      </c>
      <c r="K215" s="8">
        <v>685</v>
      </c>
      <c r="L215" s="7">
        <v>0.2107063624328053</v>
      </c>
      <c r="M215" s="7">
        <v>1.9196340458493756E-2</v>
      </c>
      <c r="N215" s="8">
        <v>0</v>
      </c>
      <c r="O215" s="8">
        <v>1</v>
      </c>
      <c r="P215" s="8">
        <v>622</v>
      </c>
      <c r="Q215" s="7">
        <v>0.32132005623330667</v>
      </c>
      <c r="R215" s="7">
        <v>2.2425332775680609E-2</v>
      </c>
      <c r="S215" s="8">
        <v>0</v>
      </c>
      <c r="T215" s="8">
        <v>1</v>
      </c>
      <c r="U215" s="8">
        <v>830</v>
      </c>
      <c r="V215" s="7">
        <v>0.13983861568962849</v>
      </c>
      <c r="W215" s="7">
        <v>1.8872674699234135E-2</v>
      </c>
      <c r="X215" s="8">
        <v>0</v>
      </c>
      <c r="Y215" s="8">
        <v>1</v>
      </c>
      <c r="Z215" s="8">
        <v>733</v>
      </c>
      <c r="AA215" s="7">
        <v>0.19633718423549712</v>
      </c>
      <c r="AB215" s="7">
        <v>9.9780503174346086E-3</v>
      </c>
      <c r="AC215" s="8">
        <v>0</v>
      </c>
      <c r="AD215" s="8">
        <v>1</v>
      </c>
      <c r="AE215" s="8">
        <v>3213</v>
      </c>
      <c r="AF215">
        <f>(AA216/AA214)-AA215</f>
        <v>-6.8975693179422481E-3</v>
      </c>
    </row>
    <row r="216" spans="1:32" ht="14.25" customHeight="1" x14ac:dyDescent="0.45">
      <c r="A216" s="6" t="s">
        <v>100</v>
      </c>
      <c r="B216" s="7">
        <v>2.7190393387353396E-2</v>
      </c>
      <c r="C216" s="7">
        <v>9.9035251282166784E-3</v>
      </c>
      <c r="D216" s="8">
        <v>0</v>
      </c>
      <c r="E216" s="8">
        <v>1</v>
      </c>
      <c r="F216" s="8">
        <v>343</v>
      </c>
      <c r="G216" s="7">
        <v>5.9248163231793967E-3</v>
      </c>
      <c r="H216" s="7">
        <v>3.5330933471604347E-3</v>
      </c>
      <c r="I216" s="8">
        <v>0</v>
      </c>
      <c r="J216" s="8">
        <v>1</v>
      </c>
      <c r="K216" s="8">
        <v>685</v>
      </c>
      <c r="L216" s="7">
        <v>2.8736152806136714E-2</v>
      </c>
      <c r="M216" s="7">
        <v>8.0493946712239545E-3</v>
      </c>
      <c r="N216" s="8">
        <v>0</v>
      </c>
      <c r="O216" s="8">
        <v>1</v>
      </c>
      <c r="P216" s="8">
        <v>622</v>
      </c>
      <c r="Q216" s="7">
        <v>2.2378664111376265E-2</v>
      </c>
      <c r="R216" s="7">
        <v>8.255952170936191E-3</v>
      </c>
      <c r="S216" s="8">
        <v>0</v>
      </c>
      <c r="T216" s="8">
        <v>1</v>
      </c>
      <c r="U216" s="8">
        <v>830</v>
      </c>
      <c r="V216" s="7">
        <v>1.2677254391562658E-3</v>
      </c>
      <c r="W216" s="7">
        <v>9.8987379062101814E-4</v>
      </c>
      <c r="X216" s="8">
        <v>0</v>
      </c>
      <c r="Y216" s="8">
        <v>1</v>
      </c>
      <c r="Z216" s="8">
        <v>733</v>
      </c>
      <c r="AA216" s="7">
        <v>1.9296252008923782E-2</v>
      </c>
      <c r="AB216" s="7">
        <v>3.800566614701492E-3</v>
      </c>
      <c r="AC216" s="8">
        <v>0</v>
      </c>
      <c r="AD216" s="8">
        <v>1</v>
      </c>
      <c r="AE216" s="8">
        <v>3213</v>
      </c>
    </row>
    <row r="217" spans="1:32" ht="14.25" customHeight="1" x14ac:dyDescent="0.45">
      <c r="A217" s="6" t="s">
        <v>34</v>
      </c>
      <c r="B217" s="7">
        <v>8.1787533107309865E-2</v>
      </c>
      <c r="C217" s="7">
        <v>1.7279206638313685E-2</v>
      </c>
      <c r="D217" s="8">
        <v>0</v>
      </c>
      <c r="E217" s="8">
        <v>1</v>
      </c>
      <c r="F217" s="8">
        <v>343</v>
      </c>
      <c r="G217" s="7">
        <v>7.7471492628192432E-2</v>
      </c>
      <c r="H217" s="7">
        <v>1.1471911375371565E-2</v>
      </c>
      <c r="I217" s="8">
        <v>0</v>
      </c>
      <c r="J217" s="8">
        <v>1</v>
      </c>
      <c r="K217" s="8">
        <v>685</v>
      </c>
      <c r="L217" s="7">
        <v>9.3337188203922908E-2</v>
      </c>
      <c r="M217" s="7">
        <v>1.3871048191407841E-2</v>
      </c>
      <c r="N217" s="8">
        <v>0</v>
      </c>
      <c r="O217" s="8">
        <v>1</v>
      </c>
      <c r="P217" s="8">
        <v>622</v>
      </c>
      <c r="Q217" s="7">
        <v>3.7296049679389667E-2</v>
      </c>
      <c r="R217" s="7">
        <v>9.3089825291206869E-3</v>
      </c>
      <c r="S217" s="8">
        <v>0</v>
      </c>
      <c r="T217" s="8">
        <v>1</v>
      </c>
      <c r="U217" s="8">
        <v>830</v>
      </c>
      <c r="V217" s="7">
        <v>2.513469963218028E-2</v>
      </c>
      <c r="W217" s="7">
        <v>7.9594489535297543E-3</v>
      </c>
      <c r="X217" s="8">
        <v>0</v>
      </c>
      <c r="Y217" s="8">
        <v>1</v>
      </c>
      <c r="Z217" s="8">
        <v>733</v>
      </c>
      <c r="AA217" s="7">
        <v>7.2866767578355668E-2</v>
      </c>
      <c r="AB217" s="7">
        <v>6.7889588799079637E-3</v>
      </c>
      <c r="AC217" s="8">
        <v>0</v>
      </c>
      <c r="AD217" s="8">
        <v>1</v>
      </c>
      <c r="AE217" s="8">
        <v>3213</v>
      </c>
      <c r="AF217">
        <f>(AA219/AA218)-AA217</f>
        <v>-2.3107293047095183E-2</v>
      </c>
    </row>
    <row r="218" spans="1:32" ht="14.25" customHeight="1" x14ac:dyDescent="0.45">
      <c r="A218" s="6" t="s">
        <v>36</v>
      </c>
      <c r="B218" s="7">
        <v>0.22207872184389335</v>
      </c>
      <c r="C218" s="7">
        <v>2.4775433116898182E-2</v>
      </c>
      <c r="D218" s="8">
        <v>0</v>
      </c>
      <c r="E218" s="8">
        <v>1</v>
      </c>
      <c r="F218" s="8">
        <v>343</v>
      </c>
      <c r="G218" s="7">
        <v>9.3629004050585732E-2</v>
      </c>
      <c r="H218" s="7">
        <v>1.2914309363192237E-2</v>
      </c>
      <c r="I218" s="8">
        <v>0</v>
      </c>
      <c r="J218" s="8">
        <v>1</v>
      </c>
      <c r="K218" s="8">
        <v>685</v>
      </c>
      <c r="L218" s="7">
        <v>5.0675747986819425E-2</v>
      </c>
      <c r="M218" s="7">
        <v>1.1258657548167093E-2</v>
      </c>
      <c r="N218" s="8">
        <v>0</v>
      </c>
      <c r="O218" s="8">
        <v>1</v>
      </c>
      <c r="P218" s="8">
        <v>622</v>
      </c>
      <c r="Q218" s="7">
        <v>8.8906899619095245E-2</v>
      </c>
      <c r="R218" s="7">
        <v>1.5689910940161863E-2</v>
      </c>
      <c r="S218" s="8">
        <v>0</v>
      </c>
      <c r="T218" s="8">
        <v>1</v>
      </c>
      <c r="U218" s="8">
        <v>830</v>
      </c>
      <c r="V218" s="7">
        <v>0.14223726061043815</v>
      </c>
      <c r="W218" s="7">
        <v>1.6491487573434171E-2</v>
      </c>
      <c r="X218" s="8">
        <v>0</v>
      </c>
      <c r="Y218" s="8">
        <v>1</v>
      </c>
      <c r="Z218" s="8">
        <v>733</v>
      </c>
      <c r="AA218" s="7">
        <v>8.5558452234588231E-2</v>
      </c>
      <c r="AB218" s="7">
        <v>6.8658306176085059E-3</v>
      </c>
      <c r="AC218" s="8">
        <v>0</v>
      </c>
      <c r="AD218" s="8">
        <v>1</v>
      </c>
      <c r="AE218" s="8">
        <v>3213</v>
      </c>
      <c r="AF218">
        <f>(AA219/AA217)-AA218</f>
        <v>-2.7132042413087372E-2</v>
      </c>
    </row>
    <row r="219" spans="1:32" ht="26.25" customHeight="1" x14ac:dyDescent="0.45">
      <c r="A219" s="6" t="s">
        <v>101</v>
      </c>
      <c r="B219" s="7">
        <v>2.071968680032572E-2</v>
      </c>
      <c r="C219" s="7">
        <v>8.1592884844159039E-3</v>
      </c>
      <c r="D219" s="8">
        <v>0</v>
      </c>
      <c r="E219" s="8">
        <v>1</v>
      </c>
      <c r="F219" s="8">
        <v>343</v>
      </c>
      <c r="G219" s="7">
        <v>2.6434946953762164E-3</v>
      </c>
      <c r="H219" s="7">
        <v>2.0890340478038065E-3</v>
      </c>
      <c r="I219" s="8">
        <v>0</v>
      </c>
      <c r="J219" s="8">
        <v>1</v>
      </c>
      <c r="K219" s="8">
        <v>685</v>
      </c>
      <c r="L219" s="7">
        <v>4.4551338215949145E-3</v>
      </c>
      <c r="M219" s="7">
        <v>3.1464372049688841E-3</v>
      </c>
      <c r="N219" s="8">
        <v>0</v>
      </c>
      <c r="O219" s="8">
        <v>1</v>
      </c>
      <c r="P219" s="8">
        <v>622</v>
      </c>
      <c r="Q219" s="7">
        <v>0</v>
      </c>
      <c r="R219" s="7">
        <v>0</v>
      </c>
      <c r="S219" s="8">
        <v>0</v>
      </c>
      <c r="T219" s="8">
        <v>0</v>
      </c>
      <c r="U219" s="8">
        <v>830</v>
      </c>
      <c r="V219" s="7">
        <v>1.0500780544980647E-2</v>
      </c>
      <c r="W219" s="7">
        <v>6.457482322242458E-3</v>
      </c>
      <c r="X219" s="8">
        <v>0</v>
      </c>
      <c r="Y219" s="8">
        <v>1</v>
      </c>
      <c r="Z219" s="8">
        <v>733</v>
      </c>
      <c r="AA219" s="7">
        <v>4.25734362490106E-3</v>
      </c>
      <c r="AB219" s="7">
        <v>1.4975196750499991E-3</v>
      </c>
      <c r="AC219" s="8">
        <v>0</v>
      </c>
      <c r="AD219" s="8">
        <v>1</v>
      </c>
      <c r="AE219" s="8">
        <v>3213</v>
      </c>
    </row>
    <row r="220" spans="1:32" ht="14.25" customHeight="1" x14ac:dyDescent="0.45">
      <c r="A220" s="6" t="s">
        <v>34</v>
      </c>
      <c r="B220" s="7">
        <v>8.1787533107309865E-2</v>
      </c>
      <c r="C220" s="7">
        <v>1.7279206638313685E-2</v>
      </c>
      <c r="D220" s="8">
        <v>0</v>
      </c>
      <c r="E220" s="8">
        <v>1</v>
      </c>
      <c r="F220" s="8">
        <v>343</v>
      </c>
      <c r="G220" s="7">
        <v>7.7471492628192432E-2</v>
      </c>
      <c r="H220" s="7">
        <v>1.1471911375371565E-2</v>
      </c>
      <c r="I220" s="8">
        <v>0</v>
      </c>
      <c r="J220" s="8">
        <v>1</v>
      </c>
      <c r="K220" s="8">
        <v>685</v>
      </c>
      <c r="L220" s="7">
        <v>9.3337188203922908E-2</v>
      </c>
      <c r="M220" s="7">
        <v>1.3871048191407841E-2</v>
      </c>
      <c r="N220" s="8">
        <v>0</v>
      </c>
      <c r="O220" s="8">
        <v>1</v>
      </c>
      <c r="P220" s="8">
        <v>622</v>
      </c>
      <c r="Q220" s="7">
        <v>3.7296049679389667E-2</v>
      </c>
      <c r="R220" s="7">
        <v>9.3089825291206869E-3</v>
      </c>
      <c r="S220" s="8">
        <v>0</v>
      </c>
      <c r="T220" s="8">
        <v>1</v>
      </c>
      <c r="U220" s="8">
        <v>830</v>
      </c>
      <c r="V220" s="7">
        <v>2.513469963218028E-2</v>
      </c>
      <c r="W220" s="7">
        <v>7.9594489535297543E-3</v>
      </c>
      <c r="X220" s="8">
        <v>0</v>
      </c>
      <c r="Y220" s="8">
        <v>1</v>
      </c>
      <c r="Z220" s="8">
        <v>733</v>
      </c>
      <c r="AA220" s="7">
        <v>7.2866767578355668E-2</v>
      </c>
      <c r="AB220" s="7">
        <v>6.7889588799079637E-3</v>
      </c>
      <c r="AC220" s="8">
        <v>0</v>
      </c>
      <c r="AD220" s="8">
        <v>1</v>
      </c>
      <c r="AE220" s="8">
        <v>3213</v>
      </c>
      <c r="AF220">
        <f>(AA222/AA221)-AA220</f>
        <v>1.4621358650790464E-2</v>
      </c>
    </row>
    <row r="221" spans="1:32" ht="26.25" customHeight="1" x14ac:dyDescent="0.45">
      <c r="A221" s="6" t="s">
        <v>38</v>
      </c>
      <c r="B221" s="7">
        <v>0.429717204212403</v>
      </c>
      <c r="C221" s="7">
        <v>3.0392503365876303E-2</v>
      </c>
      <c r="D221" s="8">
        <v>0</v>
      </c>
      <c r="E221" s="8">
        <v>1</v>
      </c>
      <c r="F221" s="8">
        <v>343</v>
      </c>
      <c r="G221" s="7">
        <v>0.4800939721985647</v>
      </c>
      <c r="H221" s="7">
        <v>2.1458745860172199E-2</v>
      </c>
      <c r="I221" s="8">
        <v>0</v>
      </c>
      <c r="J221" s="8">
        <v>1</v>
      </c>
      <c r="K221" s="8">
        <v>685</v>
      </c>
      <c r="L221" s="7">
        <v>0.54292486162987486</v>
      </c>
      <c r="M221" s="7">
        <v>2.3097197169809559E-2</v>
      </c>
      <c r="N221" s="8">
        <v>0</v>
      </c>
      <c r="O221" s="8">
        <v>1</v>
      </c>
      <c r="P221" s="8">
        <v>622</v>
      </c>
      <c r="Q221" s="7">
        <v>0.5061258995781831</v>
      </c>
      <c r="R221" s="7">
        <v>2.4068941722059152E-2</v>
      </c>
      <c r="S221" s="8">
        <v>0</v>
      </c>
      <c r="T221" s="8">
        <v>1</v>
      </c>
      <c r="U221" s="8">
        <v>830</v>
      </c>
      <c r="V221" s="7">
        <v>0.21923941521723078</v>
      </c>
      <c r="W221" s="7">
        <v>2.2302742957611636E-2</v>
      </c>
      <c r="X221" s="8">
        <v>0</v>
      </c>
      <c r="Y221" s="8">
        <v>1</v>
      </c>
      <c r="Z221" s="8">
        <v>733</v>
      </c>
      <c r="AA221" s="7">
        <v>0.49346013284592816</v>
      </c>
      <c r="AB221" s="7">
        <v>1.2333331111640417E-2</v>
      </c>
      <c r="AC221" s="8">
        <v>0</v>
      </c>
      <c r="AD221" s="8">
        <v>1</v>
      </c>
      <c r="AE221" s="8">
        <v>3213</v>
      </c>
      <c r="AF221">
        <f>(AA222/AA220)-AA221</f>
        <v>9.9017121549250353E-2</v>
      </c>
    </row>
    <row r="222" spans="1:32" ht="39.5" customHeight="1" x14ac:dyDescent="0.45">
      <c r="A222" s="6" t="s">
        <v>102</v>
      </c>
      <c r="B222" s="7">
        <v>4.1292633180651683E-2</v>
      </c>
      <c r="C222" s="7">
        <v>1.1658485716853234E-2</v>
      </c>
      <c r="D222" s="8">
        <v>0</v>
      </c>
      <c r="E222" s="8">
        <v>1</v>
      </c>
      <c r="F222" s="8">
        <v>343</v>
      </c>
      <c r="G222" s="7">
        <v>4.0650878785243039E-2</v>
      </c>
      <c r="H222" s="7">
        <v>8.2411403117230459E-3</v>
      </c>
      <c r="I222" s="8">
        <v>0</v>
      </c>
      <c r="J222" s="8">
        <v>1</v>
      </c>
      <c r="K222" s="8">
        <v>685</v>
      </c>
      <c r="L222" s="7">
        <v>6.0634891270580353E-2</v>
      </c>
      <c r="M222" s="7">
        <v>1.1124756867087948E-2</v>
      </c>
      <c r="N222" s="8">
        <v>0</v>
      </c>
      <c r="O222" s="8">
        <v>1</v>
      </c>
      <c r="P222" s="8">
        <v>622</v>
      </c>
      <c r="Q222" s="7">
        <v>2.4219589946662366E-2</v>
      </c>
      <c r="R222" s="7">
        <v>6.8415620086609121E-3</v>
      </c>
      <c r="S222" s="8">
        <v>0</v>
      </c>
      <c r="T222" s="8">
        <v>1</v>
      </c>
      <c r="U222" s="8">
        <v>830</v>
      </c>
      <c r="V222" s="7">
        <v>3.1282382794740001E-3</v>
      </c>
      <c r="W222" s="7">
        <v>1.9226826418022793E-3</v>
      </c>
      <c r="X222" s="8">
        <v>0</v>
      </c>
      <c r="Y222" s="8">
        <v>1</v>
      </c>
      <c r="Z222" s="8">
        <v>733</v>
      </c>
      <c r="AA222" s="7">
        <v>4.317190239147578E-2</v>
      </c>
      <c r="AB222" s="7">
        <v>5.24772295077336E-3</v>
      </c>
      <c r="AC222" s="8">
        <v>0</v>
      </c>
      <c r="AD222" s="8">
        <v>1</v>
      </c>
      <c r="AE222" s="8">
        <v>3213</v>
      </c>
    </row>
    <row r="223" spans="1:32" ht="14.25" customHeight="1" x14ac:dyDescent="0.45">
      <c r="A223" s="6" t="s">
        <v>34</v>
      </c>
      <c r="B223" s="7">
        <v>8.1787533107309865E-2</v>
      </c>
      <c r="C223" s="7">
        <v>1.7279206638313685E-2</v>
      </c>
      <c r="D223" s="8">
        <v>0</v>
      </c>
      <c r="E223" s="8">
        <v>1</v>
      </c>
      <c r="F223" s="8">
        <v>343</v>
      </c>
      <c r="G223" s="7">
        <v>7.7471492628192432E-2</v>
      </c>
      <c r="H223" s="7">
        <v>1.1471911375371565E-2</v>
      </c>
      <c r="I223" s="8">
        <v>0</v>
      </c>
      <c r="J223" s="8">
        <v>1</v>
      </c>
      <c r="K223" s="8">
        <v>685</v>
      </c>
      <c r="L223" s="7">
        <v>9.3337188203922908E-2</v>
      </c>
      <c r="M223" s="7">
        <v>1.3871048191407841E-2</v>
      </c>
      <c r="N223" s="8">
        <v>0</v>
      </c>
      <c r="O223" s="8">
        <v>1</v>
      </c>
      <c r="P223" s="8">
        <v>622</v>
      </c>
      <c r="Q223" s="7">
        <v>3.7296049679389667E-2</v>
      </c>
      <c r="R223" s="7">
        <v>9.3089825291206869E-3</v>
      </c>
      <c r="S223" s="8">
        <v>0</v>
      </c>
      <c r="T223" s="8">
        <v>1</v>
      </c>
      <c r="U223" s="8">
        <v>830</v>
      </c>
      <c r="V223" s="7">
        <v>2.513469963218028E-2</v>
      </c>
      <c r="W223" s="7">
        <v>7.9594489535297543E-3</v>
      </c>
      <c r="X223" s="8">
        <v>0</v>
      </c>
      <c r="Y223" s="8">
        <v>1</v>
      </c>
      <c r="Z223" s="8">
        <v>733</v>
      </c>
      <c r="AA223" s="7">
        <v>7.2866767578355668E-2</v>
      </c>
      <c r="AB223" s="7">
        <v>6.7889588799079637E-3</v>
      </c>
      <c r="AC223" s="8">
        <v>0</v>
      </c>
      <c r="AD223" s="8">
        <v>1</v>
      </c>
      <c r="AE223" s="8">
        <v>3213</v>
      </c>
      <c r="AF223">
        <f>(AA225/AA224)-AA223</f>
        <v>5.9094766975860274E-3</v>
      </c>
    </row>
    <row r="224" spans="1:32" ht="14.25" customHeight="1" x14ac:dyDescent="0.45">
      <c r="A224" s="6" t="s">
        <v>40</v>
      </c>
      <c r="B224" s="7">
        <v>0.11043143982498899</v>
      </c>
      <c r="C224" s="7">
        <v>1.9318318636183492E-2</v>
      </c>
      <c r="D224" s="8">
        <v>0</v>
      </c>
      <c r="E224" s="8">
        <v>1</v>
      </c>
      <c r="F224" s="8">
        <v>343</v>
      </c>
      <c r="G224" s="7">
        <v>0.11069522201123315</v>
      </c>
      <c r="H224" s="7">
        <v>1.3640876599586607E-2</v>
      </c>
      <c r="I224" s="8">
        <v>0</v>
      </c>
      <c r="J224" s="8">
        <v>1</v>
      </c>
      <c r="K224" s="8">
        <v>685</v>
      </c>
      <c r="L224" s="7">
        <v>0.20545282167499468</v>
      </c>
      <c r="M224" s="7">
        <v>1.8994482679167819E-2</v>
      </c>
      <c r="N224" s="8">
        <v>0</v>
      </c>
      <c r="O224" s="8">
        <v>1</v>
      </c>
      <c r="P224" s="8">
        <v>622</v>
      </c>
      <c r="Q224" s="7">
        <v>0.31815038623555536</v>
      </c>
      <c r="R224" s="7">
        <v>2.2407093634880186E-2</v>
      </c>
      <c r="S224" s="8">
        <v>0</v>
      </c>
      <c r="T224" s="8">
        <v>1</v>
      </c>
      <c r="U224" s="8">
        <v>830</v>
      </c>
      <c r="V224" s="7">
        <v>0.13233968886421418</v>
      </c>
      <c r="W224" s="7">
        <v>1.8303690851725167E-2</v>
      </c>
      <c r="X224" s="8">
        <v>0</v>
      </c>
      <c r="Y224" s="8">
        <v>1</v>
      </c>
      <c r="Z224" s="8">
        <v>733</v>
      </c>
      <c r="AA224" s="7">
        <v>0.19219833829689462</v>
      </c>
      <c r="AB224" s="7">
        <v>9.9022963989124652E-3</v>
      </c>
      <c r="AC224" s="8">
        <v>0</v>
      </c>
      <c r="AD224" s="8">
        <v>1</v>
      </c>
      <c r="AE224" s="8">
        <v>3213</v>
      </c>
      <c r="AF224">
        <f>(AA225/AA223)-AA224</f>
        <v>1.5587237354242556E-2</v>
      </c>
    </row>
    <row r="225" spans="1:32" ht="26.25" customHeight="1" x14ac:dyDescent="0.45">
      <c r="A225" s="6" t="s">
        <v>103</v>
      </c>
      <c r="B225" s="7">
        <v>9.6859108707532064E-3</v>
      </c>
      <c r="C225" s="7">
        <v>5.9405538249381051E-3</v>
      </c>
      <c r="D225" s="8">
        <v>0</v>
      </c>
      <c r="E225" s="8">
        <v>1</v>
      </c>
      <c r="F225" s="8">
        <v>343</v>
      </c>
      <c r="G225" s="7">
        <v>1.2362847174764782E-3</v>
      </c>
      <c r="H225" s="7">
        <v>1.2368005743988522E-3</v>
      </c>
      <c r="I225" s="8">
        <v>0</v>
      </c>
      <c r="J225" s="8">
        <v>1</v>
      </c>
      <c r="K225" s="8">
        <v>685</v>
      </c>
      <c r="L225" s="7">
        <v>2.6192855352432771E-2</v>
      </c>
      <c r="M225" s="7">
        <v>7.8286577958017328E-3</v>
      </c>
      <c r="N225" s="8">
        <v>0</v>
      </c>
      <c r="O225" s="8">
        <v>1</v>
      </c>
      <c r="P225" s="8">
        <v>622</v>
      </c>
      <c r="Q225" s="7">
        <v>1.8459847167363361E-2</v>
      </c>
      <c r="R225" s="7">
        <v>8.0168315865105488E-3</v>
      </c>
      <c r="S225" s="8">
        <v>0</v>
      </c>
      <c r="T225" s="8">
        <v>1</v>
      </c>
      <c r="U225" s="8">
        <v>830</v>
      </c>
      <c r="V225" s="7">
        <v>1.2677254391562658E-3</v>
      </c>
      <c r="W225" s="7">
        <v>9.8987379062101814E-4</v>
      </c>
      <c r="X225" s="8">
        <v>0</v>
      </c>
      <c r="Y225" s="8">
        <v>1</v>
      </c>
      <c r="Z225" s="8">
        <v>733</v>
      </c>
      <c r="AA225" s="7">
        <v>1.5140663247106251E-2</v>
      </c>
      <c r="AB225" s="7">
        <v>3.5570365776787178E-3</v>
      </c>
      <c r="AC225" s="8">
        <v>0</v>
      </c>
      <c r="AD225" s="8">
        <v>1</v>
      </c>
      <c r="AE225" s="8">
        <v>3213</v>
      </c>
    </row>
    <row r="226" spans="1:32" ht="14.25" customHeight="1" x14ac:dyDescent="0.45">
      <c r="A226" s="6" t="s">
        <v>34</v>
      </c>
      <c r="B226" s="7">
        <v>8.1787533107309865E-2</v>
      </c>
      <c r="C226" s="7">
        <v>1.7279206638313685E-2</v>
      </c>
      <c r="D226" s="8">
        <v>0</v>
      </c>
      <c r="E226" s="8">
        <v>1</v>
      </c>
      <c r="F226" s="8">
        <v>343</v>
      </c>
      <c r="G226" s="7">
        <v>7.7471492628192432E-2</v>
      </c>
      <c r="H226" s="7">
        <v>1.1471911375371565E-2</v>
      </c>
      <c r="I226" s="8">
        <v>0</v>
      </c>
      <c r="J226" s="8">
        <v>1</v>
      </c>
      <c r="K226" s="8">
        <v>685</v>
      </c>
      <c r="L226" s="7">
        <v>9.3337188203922908E-2</v>
      </c>
      <c r="M226" s="7">
        <v>1.3871048191407841E-2</v>
      </c>
      <c r="N226" s="8">
        <v>0</v>
      </c>
      <c r="O226" s="8">
        <v>1</v>
      </c>
      <c r="P226" s="8">
        <v>622</v>
      </c>
      <c r="Q226" s="7">
        <v>3.7296049679389667E-2</v>
      </c>
      <c r="R226" s="7">
        <v>9.3089825291206869E-3</v>
      </c>
      <c r="S226" s="8">
        <v>0</v>
      </c>
      <c r="T226" s="8">
        <v>1</v>
      </c>
      <c r="U226" s="8">
        <v>830</v>
      </c>
      <c r="V226" s="7">
        <v>2.513469963218028E-2</v>
      </c>
      <c r="W226" s="7">
        <v>7.9594489535297543E-3</v>
      </c>
      <c r="X226" s="8">
        <v>0</v>
      </c>
      <c r="Y226" s="8">
        <v>1</v>
      </c>
      <c r="Z226" s="8">
        <v>733</v>
      </c>
      <c r="AA226" s="7">
        <v>7.2866767578355668E-2</v>
      </c>
      <c r="AB226" s="7">
        <v>6.7889588799079637E-3</v>
      </c>
      <c r="AC226" s="8">
        <v>0</v>
      </c>
      <c r="AD226" s="8">
        <v>1</v>
      </c>
      <c r="AE226" s="8">
        <v>3213</v>
      </c>
      <c r="AF226">
        <f>(AA228/AA227)-AA226</f>
        <v>6.854546804599293E-3</v>
      </c>
    </row>
    <row r="227" spans="1:32" ht="14.25" customHeight="1" x14ac:dyDescent="0.45">
      <c r="A227" s="6" t="s">
        <v>42</v>
      </c>
      <c r="B227" s="7">
        <v>0.4041930049279841</v>
      </c>
      <c r="C227" s="7">
        <v>3.0232276444073676E-2</v>
      </c>
      <c r="D227" s="8">
        <v>0</v>
      </c>
      <c r="E227" s="8">
        <v>1</v>
      </c>
      <c r="F227" s="8">
        <v>343</v>
      </c>
      <c r="G227" s="7">
        <v>0.47166434397907836</v>
      </c>
      <c r="H227" s="7">
        <v>2.1519532355489479E-2</v>
      </c>
      <c r="I227" s="8">
        <v>0</v>
      </c>
      <c r="J227" s="8">
        <v>1</v>
      </c>
      <c r="K227" s="8">
        <v>685</v>
      </c>
      <c r="L227" s="7">
        <v>0.43338553269768243</v>
      </c>
      <c r="M227" s="7">
        <v>2.2944313900862667E-2</v>
      </c>
      <c r="N227" s="8">
        <v>0</v>
      </c>
      <c r="O227" s="8">
        <v>1</v>
      </c>
      <c r="P227" s="8">
        <v>622</v>
      </c>
      <c r="Q227" s="7">
        <v>0.37080005445994324</v>
      </c>
      <c r="R227" s="7">
        <v>2.2758196670672724E-2</v>
      </c>
      <c r="S227" s="8">
        <v>0</v>
      </c>
      <c r="T227" s="8">
        <v>1</v>
      </c>
      <c r="U227" s="8">
        <v>830</v>
      </c>
      <c r="V227" s="7">
        <v>0.40704376021255967</v>
      </c>
      <c r="W227" s="7">
        <v>2.6476273726386629E-2</v>
      </c>
      <c r="X227" s="8">
        <v>0</v>
      </c>
      <c r="Y227" s="8">
        <v>1</v>
      </c>
      <c r="Z227" s="8">
        <v>733</v>
      </c>
      <c r="AA227" s="7">
        <v>0.42838777016507279</v>
      </c>
      <c r="AB227" s="7">
        <v>1.219850561897003E-2</v>
      </c>
      <c r="AC227" s="8">
        <v>0</v>
      </c>
      <c r="AD227" s="8">
        <v>1</v>
      </c>
      <c r="AE227" s="8">
        <v>3213</v>
      </c>
      <c r="AF227">
        <f>(AA228/AA226)-AA227</f>
        <v>4.0298261041383732E-2</v>
      </c>
    </row>
    <row r="228" spans="1:32" ht="26.25" customHeight="1" x14ac:dyDescent="0.45">
      <c r="A228" s="6" t="s">
        <v>104</v>
      </c>
      <c r="B228" s="7">
        <v>3.2570941859838443E-2</v>
      </c>
      <c r="C228" s="7">
        <v>1.0623332384379807E-2</v>
      </c>
      <c r="D228" s="8">
        <v>0</v>
      </c>
      <c r="E228" s="8">
        <v>1</v>
      </c>
      <c r="F228" s="8">
        <v>343</v>
      </c>
      <c r="G228" s="7">
        <v>3.182516336203535E-2</v>
      </c>
      <c r="H228" s="7">
        <v>7.3829945842210018E-3</v>
      </c>
      <c r="I228" s="8">
        <v>0</v>
      </c>
      <c r="J228" s="8">
        <v>1</v>
      </c>
      <c r="K228" s="8">
        <v>685</v>
      </c>
      <c r="L228" s="7">
        <v>5.2533957942716716E-2</v>
      </c>
      <c r="M228" s="7">
        <v>1.0554414595866897E-2</v>
      </c>
      <c r="N228" s="8">
        <v>0</v>
      </c>
      <c r="O228" s="8">
        <v>1</v>
      </c>
      <c r="P228" s="8">
        <v>622</v>
      </c>
      <c r="Q228" s="7">
        <v>7.857788005727279E-3</v>
      </c>
      <c r="R228" s="7">
        <v>3.0676340452120963E-3</v>
      </c>
      <c r="S228" s="8">
        <v>0</v>
      </c>
      <c r="T228" s="8">
        <v>1</v>
      </c>
      <c r="U228" s="8">
        <v>830</v>
      </c>
      <c r="V228" s="7">
        <v>1.4285411390566809E-2</v>
      </c>
      <c r="W228" s="7">
        <v>6.2982849739011085E-3</v>
      </c>
      <c r="X228" s="8">
        <v>0</v>
      </c>
      <c r="Y228" s="8">
        <v>1</v>
      </c>
      <c r="Z228" s="8">
        <v>733</v>
      </c>
      <c r="AA228" s="7">
        <v>3.415163610314282E-2</v>
      </c>
      <c r="AB228" s="7">
        <v>4.7948147618584371E-3</v>
      </c>
      <c r="AC228" s="8">
        <v>0</v>
      </c>
      <c r="AD228" s="8">
        <v>1</v>
      </c>
      <c r="AE228" s="8">
        <v>3213</v>
      </c>
    </row>
    <row r="229" spans="1:32" ht="14.25" customHeight="1" x14ac:dyDescent="0.45">
      <c r="A229" s="6" t="s">
        <v>34</v>
      </c>
      <c r="B229" s="7">
        <v>8.1787533107309865E-2</v>
      </c>
      <c r="C229" s="7">
        <v>1.7279206638313685E-2</v>
      </c>
      <c r="D229" s="8">
        <v>0</v>
      </c>
      <c r="E229" s="8">
        <v>1</v>
      </c>
      <c r="F229" s="8">
        <v>343</v>
      </c>
      <c r="G229" s="7">
        <v>7.7471492628192432E-2</v>
      </c>
      <c r="H229" s="7">
        <v>1.1471911375371565E-2</v>
      </c>
      <c r="I229" s="8">
        <v>0</v>
      </c>
      <c r="J229" s="8">
        <v>1</v>
      </c>
      <c r="K229" s="8">
        <v>685</v>
      </c>
      <c r="L229" s="7">
        <v>9.3337188203922908E-2</v>
      </c>
      <c r="M229" s="7">
        <v>1.3871048191407841E-2</v>
      </c>
      <c r="N229" s="8">
        <v>0</v>
      </c>
      <c r="O229" s="8">
        <v>1</v>
      </c>
      <c r="P229" s="8">
        <v>622</v>
      </c>
      <c r="Q229" s="7">
        <v>3.7296049679389667E-2</v>
      </c>
      <c r="R229" s="7">
        <v>9.3089825291206869E-3</v>
      </c>
      <c r="S229" s="8">
        <v>0</v>
      </c>
      <c r="T229" s="8">
        <v>1</v>
      </c>
      <c r="U229" s="8">
        <v>830</v>
      </c>
      <c r="V229" s="7">
        <v>2.513469963218028E-2</v>
      </c>
      <c r="W229" s="7">
        <v>7.9594489535297543E-3</v>
      </c>
      <c r="X229" s="8">
        <v>0</v>
      </c>
      <c r="Y229" s="8">
        <v>1</v>
      </c>
      <c r="Z229" s="8">
        <v>733</v>
      </c>
      <c r="AA229" s="7">
        <v>7.2866767578355668E-2</v>
      </c>
      <c r="AB229" s="7">
        <v>6.7889588799079637E-3</v>
      </c>
      <c r="AC229" s="8">
        <v>0</v>
      </c>
      <c r="AD229" s="8">
        <v>1</v>
      </c>
      <c r="AE229" s="8">
        <v>3213</v>
      </c>
      <c r="AF229">
        <f>(AA231/AA230)-AA229</f>
        <v>-7.2866767578355668E-2</v>
      </c>
    </row>
    <row r="230" spans="1:32" ht="14.25" customHeight="1" x14ac:dyDescent="0.45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343</v>
      </c>
      <c r="G230" s="7">
        <v>6.1239228844402228E-3</v>
      </c>
      <c r="H230" s="7">
        <v>2.559788277249609E-3</v>
      </c>
      <c r="I230" s="8">
        <v>0</v>
      </c>
      <c r="J230" s="8">
        <v>1</v>
      </c>
      <c r="K230" s="8">
        <v>685</v>
      </c>
      <c r="L230" s="7">
        <v>7.5222336372921406E-3</v>
      </c>
      <c r="M230" s="7">
        <v>3.888810135536692E-3</v>
      </c>
      <c r="N230" s="8">
        <v>0</v>
      </c>
      <c r="O230" s="8">
        <v>1</v>
      </c>
      <c r="P230" s="8">
        <v>622</v>
      </c>
      <c r="Q230" s="7">
        <v>4.3787001294212568E-3</v>
      </c>
      <c r="R230" s="7">
        <v>1.9345454374379675E-3</v>
      </c>
      <c r="S230" s="8">
        <v>0</v>
      </c>
      <c r="T230" s="8">
        <v>1</v>
      </c>
      <c r="U230" s="8">
        <v>830</v>
      </c>
      <c r="V230" s="7">
        <v>7.4989268254143093E-3</v>
      </c>
      <c r="W230" s="7">
        <v>5.3346475986279715E-3</v>
      </c>
      <c r="X230" s="8">
        <v>0</v>
      </c>
      <c r="Y230" s="8">
        <v>1</v>
      </c>
      <c r="Z230" s="8">
        <v>733</v>
      </c>
      <c r="AA230" s="7">
        <v>6.0425505430857273E-3</v>
      </c>
      <c r="AB230" s="7">
        <v>1.7730974810922998E-3</v>
      </c>
      <c r="AC230" s="8">
        <v>0</v>
      </c>
      <c r="AD230" s="8">
        <v>1</v>
      </c>
      <c r="AE230" s="8">
        <v>3213</v>
      </c>
      <c r="AF230">
        <f>(AA231/AA229)-AA230</f>
        <v>-6.0425505430857273E-3</v>
      </c>
    </row>
    <row r="231" spans="1:32" ht="26.25" customHeight="1" x14ac:dyDescent="0.45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343</v>
      </c>
      <c r="G231" s="7">
        <v>0</v>
      </c>
      <c r="H231" s="7">
        <v>0</v>
      </c>
      <c r="I231" s="8">
        <v>0</v>
      </c>
      <c r="J231" s="8">
        <v>0</v>
      </c>
      <c r="K231" s="8">
        <v>685</v>
      </c>
      <c r="L231" s="7">
        <v>0</v>
      </c>
      <c r="M231" s="7">
        <v>0</v>
      </c>
      <c r="N231" s="8">
        <v>0</v>
      </c>
      <c r="O231" s="8">
        <v>0</v>
      </c>
      <c r="P231" s="8">
        <v>622</v>
      </c>
      <c r="Q231" s="7">
        <v>0</v>
      </c>
      <c r="R231" s="7">
        <v>0</v>
      </c>
      <c r="S231" s="8">
        <v>0</v>
      </c>
      <c r="T231" s="8">
        <v>0</v>
      </c>
      <c r="U231" s="8">
        <v>830</v>
      </c>
      <c r="V231" s="7">
        <v>0</v>
      </c>
      <c r="W231" s="7">
        <v>0</v>
      </c>
      <c r="X231" s="8">
        <v>0</v>
      </c>
      <c r="Y231" s="8">
        <v>0</v>
      </c>
      <c r="Z231" s="8">
        <v>733</v>
      </c>
      <c r="AA231" s="7">
        <v>0</v>
      </c>
      <c r="AB231" s="7">
        <v>0</v>
      </c>
      <c r="AC231" s="8">
        <v>0</v>
      </c>
      <c r="AD231" s="8">
        <v>0</v>
      </c>
      <c r="AE231" s="8">
        <v>3213</v>
      </c>
    </row>
    <row r="232" spans="1:32" ht="14.25" customHeight="1" x14ac:dyDescent="0.45">
      <c r="A232" s="6" t="s">
        <v>34</v>
      </c>
      <c r="B232" s="7">
        <v>8.1787533107309865E-2</v>
      </c>
      <c r="C232" s="7">
        <v>1.7279206638313685E-2</v>
      </c>
      <c r="D232" s="8">
        <v>0</v>
      </c>
      <c r="E232" s="8">
        <v>1</v>
      </c>
      <c r="F232" s="8">
        <v>343</v>
      </c>
      <c r="G232" s="7">
        <v>7.7471492628192432E-2</v>
      </c>
      <c r="H232" s="7">
        <v>1.1471911375371565E-2</v>
      </c>
      <c r="I232" s="8">
        <v>0</v>
      </c>
      <c r="J232" s="8">
        <v>1</v>
      </c>
      <c r="K232" s="8">
        <v>685</v>
      </c>
      <c r="L232" s="7">
        <v>9.3337188203922908E-2</v>
      </c>
      <c r="M232" s="7">
        <v>1.3871048191407841E-2</v>
      </c>
      <c r="N232" s="8">
        <v>0</v>
      </c>
      <c r="O232" s="8">
        <v>1</v>
      </c>
      <c r="P232" s="8">
        <v>622</v>
      </c>
      <c r="Q232" s="7">
        <v>3.7296049679389667E-2</v>
      </c>
      <c r="R232" s="7">
        <v>9.3089825291206869E-3</v>
      </c>
      <c r="S232" s="8">
        <v>0</v>
      </c>
      <c r="T232" s="8">
        <v>1</v>
      </c>
      <c r="U232" s="8">
        <v>830</v>
      </c>
      <c r="V232" s="7">
        <v>2.513469963218028E-2</v>
      </c>
      <c r="W232" s="7">
        <v>7.9594489535297543E-3</v>
      </c>
      <c r="X232" s="8">
        <v>0</v>
      </c>
      <c r="Y232" s="8">
        <v>1</v>
      </c>
      <c r="Z232" s="8">
        <v>733</v>
      </c>
      <c r="AA232" s="7">
        <v>7.2866767578355668E-2</v>
      </c>
      <c r="AB232" s="7">
        <v>6.7889588799079637E-3</v>
      </c>
      <c r="AC232" s="8">
        <v>0</v>
      </c>
      <c r="AD232" s="8">
        <v>1</v>
      </c>
      <c r="AE232" s="8">
        <v>3213</v>
      </c>
      <c r="AF232">
        <f>(AA234/AA233)-AA232</f>
        <v>8.1724923332164856E-3</v>
      </c>
    </row>
    <row r="233" spans="1:32" ht="39.5" customHeight="1" x14ac:dyDescent="0.45">
      <c r="A233" s="6" t="s">
        <v>16</v>
      </c>
      <c r="B233" s="7">
        <v>0.46175737392174987</v>
      </c>
      <c r="C233" s="7">
        <v>3.0710810789507388E-2</v>
      </c>
      <c r="D233" s="8">
        <v>0</v>
      </c>
      <c r="E233" s="8">
        <v>1</v>
      </c>
      <c r="F233" s="8">
        <v>343</v>
      </c>
      <c r="G233" s="7">
        <v>0.51171849969410388</v>
      </c>
      <c r="H233" s="7">
        <v>2.1509798906621986E-2</v>
      </c>
      <c r="I233" s="8">
        <v>0</v>
      </c>
      <c r="J233" s="8">
        <v>1</v>
      </c>
      <c r="K233" s="8">
        <v>685</v>
      </c>
      <c r="L233" s="7">
        <v>0.63828459018132044</v>
      </c>
      <c r="M233" s="7">
        <v>2.224943796975826E-2</v>
      </c>
      <c r="N233" s="8">
        <v>0</v>
      </c>
      <c r="O233" s="8">
        <v>1</v>
      </c>
      <c r="P233" s="8">
        <v>622</v>
      </c>
      <c r="Q233" s="7">
        <v>0.6594859044787692</v>
      </c>
      <c r="R233" s="7">
        <v>2.3371802530881509E-2</v>
      </c>
      <c r="S233" s="8">
        <v>0</v>
      </c>
      <c r="T233" s="8">
        <v>1</v>
      </c>
      <c r="U233" s="8">
        <v>830</v>
      </c>
      <c r="V233" s="7">
        <v>0.29098870335197347</v>
      </c>
      <c r="W233" s="7">
        <v>2.4531818658125738E-2</v>
      </c>
      <c r="X233" s="8">
        <v>0</v>
      </c>
      <c r="Y233" s="8">
        <v>1</v>
      </c>
      <c r="Z233" s="8">
        <v>733</v>
      </c>
      <c r="AA233" s="7">
        <v>0.57762752018153862</v>
      </c>
      <c r="AB233" s="7">
        <v>1.212537286467308E-2</v>
      </c>
      <c r="AC233" s="8">
        <v>0</v>
      </c>
      <c r="AD233" s="8">
        <v>1</v>
      </c>
      <c r="AE233" s="8">
        <v>3213</v>
      </c>
      <c r="AF233">
        <f>(AA234/AA232)-AA233</f>
        <v>6.4784765909400632E-2</v>
      </c>
    </row>
    <row r="234" spans="1:32" ht="26.25" customHeight="1" x14ac:dyDescent="0.45">
      <c r="A234" s="6" t="s">
        <v>106</v>
      </c>
      <c r="B234" s="7">
        <v>4.6085293846789686E-2</v>
      </c>
      <c r="C234" s="7">
        <v>1.2533258293499541E-2</v>
      </c>
      <c r="D234" s="8">
        <v>0</v>
      </c>
      <c r="E234" s="8">
        <v>1</v>
      </c>
      <c r="F234" s="8">
        <v>343</v>
      </c>
      <c r="G234" s="7">
        <v>4.0650878785243039E-2</v>
      </c>
      <c r="H234" s="7">
        <v>8.2411403117230459E-3</v>
      </c>
      <c r="I234" s="8">
        <v>0</v>
      </c>
      <c r="J234" s="8">
        <v>1</v>
      </c>
      <c r="K234" s="8">
        <v>685</v>
      </c>
      <c r="L234" s="7">
        <v>6.5608647531202879E-2</v>
      </c>
      <c r="M234" s="7">
        <v>1.1600160060409159E-2</v>
      </c>
      <c r="N234" s="8">
        <v>0</v>
      </c>
      <c r="O234" s="8">
        <v>1</v>
      </c>
      <c r="P234" s="8">
        <v>622</v>
      </c>
      <c r="Q234" s="7">
        <v>3.0668069404080376E-2</v>
      </c>
      <c r="R234" s="7">
        <v>8.9016590065154628E-3</v>
      </c>
      <c r="S234" s="8">
        <v>0</v>
      </c>
      <c r="T234" s="8">
        <v>1</v>
      </c>
      <c r="U234" s="8">
        <v>830</v>
      </c>
      <c r="V234" s="7">
        <v>4.3959637186302657E-3</v>
      </c>
      <c r="W234" s="7">
        <v>2.1645390516209632E-3</v>
      </c>
      <c r="X234" s="8">
        <v>0</v>
      </c>
      <c r="Y234" s="8">
        <v>1</v>
      </c>
      <c r="Z234" s="8">
        <v>733</v>
      </c>
      <c r="AA234" s="7">
        <v>4.6810506740068598E-2</v>
      </c>
      <c r="AB234" s="7">
        <v>5.5388022176430041E-3</v>
      </c>
      <c r="AC234" s="8">
        <v>0</v>
      </c>
      <c r="AD234" s="8">
        <v>1</v>
      </c>
      <c r="AE234" s="8">
        <v>3213</v>
      </c>
    </row>
    <row r="235" spans="1:32" ht="14.25" customHeight="1" x14ac:dyDescent="0.45">
      <c r="A235" s="6" t="s">
        <v>34</v>
      </c>
      <c r="B235" s="7">
        <v>8.1787533107309865E-2</v>
      </c>
      <c r="C235" s="7">
        <v>1.7279206638313685E-2</v>
      </c>
      <c r="D235" s="8">
        <v>0</v>
      </c>
      <c r="E235" s="8">
        <v>1</v>
      </c>
      <c r="F235" s="8">
        <v>343</v>
      </c>
      <c r="G235" s="7">
        <v>7.7471492628192432E-2</v>
      </c>
      <c r="H235" s="7">
        <v>1.1471911375371565E-2</v>
      </c>
      <c r="I235" s="8">
        <v>0</v>
      </c>
      <c r="J235" s="8">
        <v>1</v>
      </c>
      <c r="K235" s="8">
        <v>685</v>
      </c>
      <c r="L235" s="7">
        <v>9.3337188203922908E-2</v>
      </c>
      <c r="M235" s="7">
        <v>1.3871048191407841E-2</v>
      </c>
      <c r="N235" s="8">
        <v>0</v>
      </c>
      <c r="O235" s="8">
        <v>1</v>
      </c>
      <c r="P235" s="8">
        <v>622</v>
      </c>
      <c r="Q235" s="7">
        <v>3.7296049679389667E-2</v>
      </c>
      <c r="R235" s="7">
        <v>9.3089825291206869E-3</v>
      </c>
      <c r="S235" s="8">
        <v>0</v>
      </c>
      <c r="T235" s="8">
        <v>1</v>
      </c>
      <c r="U235" s="8">
        <v>830</v>
      </c>
      <c r="V235" s="7">
        <v>2.513469963218028E-2</v>
      </c>
      <c r="W235" s="7">
        <v>7.9594489535297543E-3</v>
      </c>
      <c r="X235" s="8">
        <v>0</v>
      </c>
      <c r="Y235" s="8">
        <v>1</v>
      </c>
      <c r="Z235" s="8">
        <v>733</v>
      </c>
      <c r="AA235" s="7">
        <v>7.2866767578355668E-2</v>
      </c>
      <c r="AB235" s="7">
        <v>6.7889588799079637E-3</v>
      </c>
      <c r="AC235" s="8">
        <v>0</v>
      </c>
      <c r="AD235" s="8">
        <v>1</v>
      </c>
      <c r="AE235" s="8">
        <v>3213</v>
      </c>
      <c r="AF235">
        <f>(AA237/AA236)-AA235</f>
        <v>6.6982037116300047E-3</v>
      </c>
    </row>
    <row r="236" spans="1:32" ht="39.5" customHeight="1" x14ac:dyDescent="0.45">
      <c r="A236" s="6" t="s">
        <v>18</v>
      </c>
      <c r="B236" s="7">
        <v>0.65870111528749431</v>
      </c>
      <c r="C236" s="7">
        <v>2.9720045914151373E-2</v>
      </c>
      <c r="D236" s="8">
        <v>0</v>
      </c>
      <c r="E236" s="8">
        <v>1</v>
      </c>
      <c r="F236" s="8">
        <v>343</v>
      </c>
      <c r="G236" s="7">
        <v>0.68973128721603705</v>
      </c>
      <c r="H236" s="7">
        <v>1.9757484138470113E-2</v>
      </c>
      <c r="I236" s="8">
        <v>0</v>
      </c>
      <c r="J236" s="8">
        <v>1</v>
      </c>
      <c r="K236" s="8">
        <v>685</v>
      </c>
      <c r="L236" s="7">
        <v>0.69326134184086086</v>
      </c>
      <c r="M236" s="7">
        <v>2.1633597813178515E-2</v>
      </c>
      <c r="N236" s="8">
        <v>0</v>
      </c>
      <c r="O236" s="8">
        <v>1</v>
      </c>
      <c r="P236" s="8">
        <v>622</v>
      </c>
      <c r="Q236" s="7">
        <v>0.668125365389454</v>
      </c>
      <c r="R236" s="7">
        <v>2.3701307596769659E-2</v>
      </c>
      <c r="S236" s="8">
        <v>0</v>
      </c>
      <c r="T236" s="8">
        <v>1</v>
      </c>
      <c r="U236" s="8">
        <v>830</v>
      </c>
      <c r="V236" s="7">
        <v>0.47714183749717526</v>
      </c>
      <c r="W236" s="7">
        <v>2.7405582617474847E-2</v>
      </c>
      <c r="X236" s="8">
        <v>0</v>
      </c>
      <c r="Y236" s="8">
        <v>1</v>
      </c>
      <c r="Z236" s="8">
        <v>733</v>
      </c>
      <c r="AA236" s="7">
        <v>0.67349513472272604</v>
      </c>
      <c r="AB236" s="7">
        <v>1.1615894672939582E-2</v>
      </c>
      <c r="AC236" s="8">
        <v>0</v>
      </c>
      <c r="AD236" s="8">
        <v>1</v>
      </c>
      <c r="AE236" s="8">
        <v>3213</v>
      </c>
      <c r="AF236">
        <f>(AA237/AA235)-AA236</f>
        <v>6.1910357232650481E-2</v>
      </c>
    </row>
    <row r="237" spans="1:32" ht="26.25" customHeight="1" x14ac:dyDescent="0.45">
      <c r="A237" s="6" t="s">
        <v>107</v>
      </c>
      <c r="B237" s="7">
        <v>5.3230312378925851E-2</v>
      </c>
      <c r="C237" s="7">
        <v>1.3471411038233613E-2</v>
      </c>
      <c r="D237" s="8">
        <v>0</v>
      </c>
      <c r="E237" s="8">
        <v>1</v>
      </c>
      <c r="F237" s="8">
        <v>343</v>
      </c>
      <c r="G237" s="7">
        <v>5.2544535348596662E-2</v>
      </c>
      <c r="H237" s="7">
        <v>9.4838873123106911E-3</v>
      </c>
      <c r="I237" s="8">
        <v>0</v>
      </c>
      <c r="J237" s="8">
        <v>1</v>
      </c>
      <c r="K237" s="8">
        <v>685</v>
      </c>
      <c r="L237" s="7">
        <v>7.3380899731405602E-2</v>
      </c>
      <c r="M237" s="7">
        <v>1.2162171837602381E-2</v>
      </c>
      <c r="N237" s="8">
        <v>0</v>
      </c>
      <c r="O237" s="8">
        <v>1</v>
      </c>
      <c r="P237" s="8">
        <v>622</v>
      </c>
      <c r="Q237" s="7">
        <v>2.7027598598796485E-2</v>
      </c>
      <c r="R237" s="7">
        <v>7.1334768456231502E-3</v>
      </c>
      <c r="S237" s="8">
        <v>0</v>
      </c>
      <c r="T237" s="8">
        <v>1</v>
      </c>
      <c r="U237" s="8">
        <v>830</v>
      </c>
      <c r="V237" s="7">
        <v>1.616250813995888E-2</v>
      </c>
      <c r="W237" s="7">
        <v>6.5008340261099749E-3</v>
      </c>
      <c r="X237" s="8">
        <v>0</v>
      </c>
      <c r="Y237" s="8">
        <v>1</v>
      </c>
      <c r="Z237" s="8">
        <v>733</v>
      </c>
      <c r="AA237" s="7">
        <v>5.3586621058158729E-2</v>
      </c>
      <c r="AB237" s="7">
        <v>5.7993062864172924E-3</v>
      </c>
      <c r="AC237" s="8">
        <v>0</v>
      </c>
      <c r="AD237" s="8">
        <v>1</v>
      </c>
      <c r="AE237" s="8">
        <v>3213</v>
      </c>
    </row>
    <row r="238" spans="1:32" ht="14.25" customHeight="1" x14ac:dyDescent="0.45">
      <c r="A238" s="6" t="s">
        <v>34</v>
      </c>
      <c r="B238" s="7">
        <v>8.1787533107309865E-2</v>
      </c>
      <c r="C238" s="7">
        <v>1.7279206638313685E-2</v>
      </c>
      <c r="D238" s="8">
        <v>0</v>
      </c>
      <c r="E238" s="8">
        <v>1</v>
      </c>
      <c r="F238" s="8">
        <v>343</v>
      </c>
      <c r="G238" s="7">
        <v>7.7471492628192432E-2</v>
      </c>
      <c r="H238" s="7">
        <v>1.1471911375371565E-2</v>
      </c>
      <c r="I238" s="8">
        <v>0</v>
      </c>
      <c r="J238" s="8">
        <v>1</v>
      </c>
      <c r="K238" s="8">
        <v>685</v>
      </c>
      <c r="L238" s="7">
        <v>9.3337188203922908E-2</v>
      </c>
      <c r="M238" s="7">
        <v>1.3871048191407841E-2</v>
      </c>
      <c r="N238" s="8">
        <v>0</v>
      </c>
      <c r="O238" s="8">
        <v>1</v>
      </c>
      <c r="P238" s="8">
        <v>622</v>
      </c>
      <c r="Q238" s="7">
        <v>3.7296049679389667E-2</v>
      </c>
      <c r="R238" s="7">
        <v>9.3089825291206869E-3</v>
      </c>
      <c r="S238" s="8">
        <v>0</v>
      </c>
      <c r="T238" s="8">
        <v>1</v>
      </c>
      <c r="U238" s="8">
        <v>830</v>
      </c>
      <c r="V238" s="7">
        <v>2.513469963218028E-2</v>
      </c>
      <c r="W238" s="7">
        <v>7.9594489535297543E-3</v>
      </c>
      <c r="X238" s="8">
        <v>0</v>
      </c>
      <c r="Y238" s="8">
        <v>1</v>
      </c>
      <c r="Z238" s="8">
        <v>733</v>
      </c>
      <c r="AA238" s="7">
        <v>7.2866767578355668E-2</v>
      </c>
      <c r="AB238" s="7">
        <v>6.7889588799079637E-3</v>
      </c>
      <c r="AC238" s="8">
        <v>0</v>
      </c>
      <c r="AD238" s="8">
        <v>1</v>
      </c>
      <c r="AE238" s="8">
        <v>3213</v>
      </c>
      <c r="AF238">
        <f>(AA240/AA239)-AA238</f>
        <v>1.4071120298905768E-2</v>
      </c>
    </row>
    <row r="239" spans="1:32" ht="39.5" customHeight="1" x14ac:dyDescent="0.45">
      <c r="A239" s="6" t="s">
        <v>20</v>
      </c>
      <c r="B239" s="7">
        <v>0.429717204212403</v>
      </c>
      <c r="C239" s="7">
        <v>3.0392503365876303E-2</v>
      </c>
      <c r="D239" s="8">
        <v>0</v>
      </c>
      <c r="E239" s="8">
        <v>1</v>
      </c>
      <c r="F239" s="8">
        <v>343</v>
      </c>
      <c r="G239" s="7">
        <v>0.48245904042650412</v>
      </c>
      <c r="H239" s="7">
        <v>2.146411101488091E-2</v>
      </c>
      <c r="I239" s="8">
        <v>0</v>
      </c>
      <c r="J239" s="8">
        <v>1</v>
      </c>
      <c r="K239" s="8">
        <v>685</v>
      </c>
      <c r="L239" s="7">
        <v>0.54779032545005502</v>
      </c>
      <c r="M239" s="7">
        <v>2.3079129928781021E-2</v>
      </c>
      <c r="N239" s="8">
        <v>0</v>
      </c>
      <c r="O239" s="8">
        <v>1</v>
      </c>
      <c r="P239" s="8">
        <v>622</v>
      </c>
      <c r="Q239" s="7">
        <v>0.50863999660499892</v>
      </c>
      <c r="R239" s="7">
        <v>2.4084097248153895E-2</v>
      </c>
      <c r="S239" s="8">
        <v>0</v>
      </c>
      <c r="T239" s="8">
        <v>1</v>
      </c>
      <c r="U239" s="8">
        <v>830</v>
      </c>
      <c r="V239" s="7">
        <v>0.21923941521723078</v>
      </c>
      <c r="W239" s="7">
        <v>2.2302742957611636E-2</v>
      </c>
      <c r="X239" s="8">
        <v>0</v>
      </c>
      <c r="Y239" s="8">
        <v>1</v>
      </c>
      <c r="Z239" s="8">
        <v>733</v>
      </c>
      <c r="AA239" s="7">
        <v>0.49658329004295232</v>
      </c>
      <c r="AB239" s="7">
        <v>1.2332775383448446E-2</v>
      </c>
      <c r="AC239" s="8">
        <v>0</v>
      </c>
      <c r="AD239" s="8">
        <v>1</v>
      </c>
      <c r="AE239" s="8">
        <v>3213</v>
      </c>
      <c r="AF239">
        <f>(AA240/AA238)-AA239</f>
        <v>9.5893964352226191E-2</v>
      </c>
    </row>
    <row r="240" spans="1:32" ht="26.25" customHeight="1" x14ac:dyDescent="0.45">
      <c r="A240" s="6" t="s">
        <v>108</v>
      </c>
      <c r="B240" s="7">
        <v>4.1292633180651683E-2</v>
      </c>
      <c r="C240" s="7">
        <v>1.1658485716853234E-2</v>
      </c>
      <c r="D240" s="8">
        <v>0</v>
      </c>
      <c r="E240" s="8">
        <v>1</v>
      </c>
      <c r="F240" s="8">
        <v>343</v>
      </c>
      <c r="G240" s="7">
        <v>4.0650878785243039E-2</v>
      </c>
      <c r="H240" s="7">
        <v>8.2411403117230459E-3</v>
      </c>
      <c r="I240" s="8">
        <v>0</v>
      </c>
      <c r="J240" s="8">
        <v>1</v>
      </c>
      <c r="K240" s="8">
        <v>685</v>
      </c>
      <c r="L240" s="7">
        <v>6.0634891270580353E-2</v>
      </c>
      <c r="M240" s="7">
        <v>1.1124756867087948E-2</v>
      </c>
      <c r="N240" s="8">
        <v>0</v>
      </c>
      <c r="O240" s="8">
        <v>1</v>
      </c>
      <c r="P240" s="8">
        <v>622</v>
      </c>
      <c r="Q240" s="7">
        <v>2.4219589946662366E-2</v>
      </c>
      <c r="R240" s="7">
        <v>6.8415620086609121E-3</v>
      </c>
      <c r="S240" s="8">
        <v>0</v>
      </c>
      <c r="T240" s="8">
        <v>1</v>
      </c>
      <c r="U240" s="8">
        <v>830</v>
      </c>
      <c r="V240" s="7">
        <v>3.1282382794740001E-3</v>
      </c>
      <c r="W240" s="7">
        <v>1.9226826418022793E-3</v>
      </c>
      <c r="X240" s="8">
        <v>0</v>
      </c>
      <c r="Y240" s="8">
        <v>1</v>
      </c>
      <c r="Z240" s="8">
        <v>733</v>
      </c>
      <c r="AA240" s="7">
        <v>4.317190239147578E-2</v>
      </c>
      <c r="AB240" s="7">
        <v>5.24772295077336E-3</v>
      </c>
      <c r="AC240" s="8">
        <v>0</v>
      </c>
      <c r="AD240" s="8">
        <v>1</v>
      </c>
      <c r="AE240" s="8">
        <v>3213</v>
      </c>
    </row>
    <row r="241" spans="1:32" ht="14.25" customHeight="1" x14ac:dyDescent="0.45">
      <c r="A241" s="6" t="s">
        <v>34</v>
      </c>
      <c r="B241" s="7">
        <v>8.1787533107309865E-2</v>
      </c>
      <c r="C241" s="7">
        <v>1.7279206638313685E-2</v>
      </c>
      <c r="D241" s="8">
        <v>0</v>
      </c>
      <c r="E241" s="8">
        <v>1</v>
      </c>
      <c r="F241" s="8">
        <v>343</v>
      </c>
      <c r="G241" s="7">
        <v>7.7471492628192432E-2</v>
      </c>
      <c r="H241" s="7">
        <v>1.1471911375371565E-2</v>
      </c>
      <c r="I241" s="8">
        <v>0</v>
      </c>
      <c r="J241" s="8">
        <v>1</v>
      </c>
      <c r="K241" s="8">
        <v>685</v>
      </c>
      <c r="L241" s="7">
        <v>9.3337188203922908E-2</v>
      </c>
      <c r="M241" s="7">
        <v>1.3871048191407841E-2</v>
      </c>
      <c r="N241" s="8">
        <v>0</v>
      </c>
      <c r="O241" s="8">
        <v>1</v>
      </c>
      <c r="P241" s="8">
        <v>622</v>
      </c>
      <c r="Q241" s="7">
        <v>3.7296049679389667E-2</v>
      </c>
      <c r="R241" s="7">
        <v>9.3089825291206869E-3</v>
      </c>
      <c r="S241" s="8">
        <v>0</v>
      </c>
      <c r="T241" s="8">
        <v>1</v>
      </c>
      <c r="U241" s="8">
        <v>830</v>
      </c>
      <c r="V241" s="7">
        <v>2.513469963218028E-2</v>
      </c>
      <c r="W241" s="7">
        <v>7.9594489535297543E-3</v>
      </c>
      <c r="X241" s="8">
        <v>0</v>
      </c>
      <c r="Y241" s="8">
        <v>1</v>
      </c>
      <c r="Z241" s="8">
        <v>733</v>
      </c>
      <c r="AA241" s="7">
        <v>7.2866767578355668E-2</v>
      </c>
      <c r="AB241" s="7">
        <v>6.7889588799079637E-3</v>
      </c>
      <c r="AC241" s="8">
        <v>0</v>
      </c>
      <c r="AD241" s="8">
        <v>1</v>
      </c>
      <c r="AE241" s="8">
        <v>3213</v>
      </c>
      <c r="AF241">
        <f>(AA243/AA242)-AA241</f>
        <v>7.203900108541772E-3</v>
      </c>
    </row>
    <row r="242" spans="1:32" ht="26.25" customHeight="1" x14ac:dyDescent="0.45">
      <c r="A242" s="6" t="s">
        <v>22</v>
      </c>
      <c r="B242" s="7">
        <v>0.46674587389419697</v>
      </c>
      <c r="C242" s="7">
        <v>3.0838428333854969E-2</v>
      </c>
      <c r="D242" s="8">
        <v>0</v>
      </c>
      <c r="E242" s="8">
        <v>1</v>
      </c>
      <c r="F242" s="8">
        <v>343</v>
      </c>
      <c r="G242" s="7">
        <v>0.49721456493371274</v>
      </c>
      <c r="H242" s="7">
        <v>2.1503868885976371E-2</v>
      </c>
      <c r="I242" s="8">
        <v>0</v>
      </c>
      <c r="J242" s="8">
        <v>1</v>
      </c>
      <c r="K242" s="8">
        <v>685</v>
      </c>
      <c r="L242" s="7">
        <v>0.49499161311096951</v>
      </c>
      <c r="M242" s="7">
        <v>2.3190131273243066E-2</v>
      </c>
      <c r="N242" s="8">
        <v>0</v>
      </c>
      <c r="O242" s="8">
        <v>1</v>
      </c>
      <c r="P242" s="8">
        <v>622</v>
      </c>
      <c r="Q242" s="7">
        <v>0.52967048191567545</v>
      </c>
      <c r="R242" s="7">
        <v>2.4042503277593212E-2</v>
      </c>
      <c r="S242" s="8">
        <v>0</v>
      </c>
      <c r="T242" s="8">
        <v>1</v>
      </c>
      <c r="U242" s="8">
        <v>830</v>
      </c>
      <c r="V242" s="7">
        <v>0.43883011512701503</v>
      </c>
      <c r="W242" s="7">
        <v>2.6915661407478465E-2</v>
      </c>
      <c r="X242" s="8">
        <v>0</v>
      </c>
      <c r="Y242" s="8">
        <v>1</v>
      </c>
      <c r="Z242" s="8">
        <v>733</v>
      </c>
      <c r="AA242" s="7">
        <v>0.49819284931542523</v>
      </c>
      <c r="AB242" s="7">
        <v>1.2331295303939749E-2</v>
      </c>
      <c r="AC242" s="8">
        <v>0</v>
      </c>
      <c r="AD242" s="8">
        <v>1</v>
      </c>
      <c r="AE242" s="8">
        <v>3213</v>
      </c>
      <c r="AF242">
        <f>(AA243/AA241)-AA242</f>
        <v>4.9253337845662604E-2</v>
      </c>
    </row>
    <row r="243" spans="1:32" ht="26.25" customHeight="1" x14ac:dyDescent="0.45">
      <c r="A243" s="6" t="s">
        <v>109</v>
      </c>
      <c r="B243" s="7">
        <v>3.2570941859838443E-2</v>
      </c>
      <c r="C243" s="7">
        <v>1.0623332384379807E-2</v>
      </c>
      <c r="D243" s="8">
        <v>0</v>
      </c>
      <c r="E243" s="8">
        <v>1</v>
      </c>
      <c r="F243" s="8">
        <v>343</v>
      </c>
      <c r="G243" s="7">
        <v>3.3061448079511828E-2</v>
      </c>
      <c r="H243" s="7">
        <v>7.4797965147338037E-3</v>
      </c>
      <c r="I243" s="8">
        <v>0</v>
      </c>
      <c r="J243" s="8">
        <v>1</v>
      </c>
      <c r="K243" s="8">
        <v>685</v>
      </c>
      <c r="L243" s="7">
        <v>5.7507714203339243E-2</v>
      </c>
      <c r="M243" s="7">
        <v>1.1061902306423906E-2</v>
      </c>
      <c r="N243" s="8">
        <v>0</v>
      </c>
      <c r="O243" s="8">
        <v>1</v>
      </c>
      <c r="P243" s="8">
        <v>622</v>
      </c>
      <c r="Q243" s="7">
        <v>2.405202584343314E-2</v>
      </c>
      <c r="R243" s="7">
        <v>8.4521951980712044E-3</v>
      </c>
      <c r="S243" s="8">
        <v>0</v>
      </c>
      <c r="T243" s="8">
        <v>1</v>
      </c>
      <c r="U243" s="8">
        <v>830</v>
      </c>
      <c r="V243" s="7">
        <v>1.5553136829723075E-2</v>
      </c>
      <c r="W243" s="7">
        <v>6.3740606618842774E-3</v>
      </c>
      <c r="X243" s="8">
        <v>0</v>
      </c>
      <c r="Y243" s="8">
        <v>1</v>
      </c>
      <c r="Z243" s="8">
        <v>733</v>
      </c>
      <c r="AA243" s="7">
        <v>3.9890634081523983E-2</v>
      </c>
      <c r="AB243" s="7">
        <v>5.2343078621119457E-3</v>
      </c>
      <c r="AC243" s="8">
        <v>0</v>
      </c>
      <c r="AD243" s="8">
        <v>1</v>
      </c>
      <c r="AE243" s="8">
        <v>3213</v>
      </c>
    </row>
    <row r="244" spans="1:32" ht="14.25" customHeight="1" x14ac:dyDescent="0.45">
      <c r="A244" s="6" t="s">
        <v>34</v>
      </c>
      <c r="B244" s="7">
        <v>8.1787533107309865E-2</v>
      </c>
      <c r="C244" s="7">
        <v>1.7279206638313685E-2</v>
      </c>
      <c r="D244" s="8">
        <v>0</v>
      </c>
      <c r="E244" s="8">
        <v>1</v>
      </c>
      <c r="F244" s="8">
        <v>343</v>
      </c>
      <c r="G244" s="7">
        <v>7.7471492628192432E-2</v>
      </c>
      <c r="H244" s="7">
        <v>1.1471911375371565E-2</v>
      </c>
      <c r="I244" s="8">
        <v>0</v>
      </c>
      <c r="J244" s="8">
        <v>1</v>
      </c>
      <c r="K244" s="8">
        <v>685</v>
      </c>
      <c r="L244" s="7">
        <v>9.3337188203922908E-2</v>
      </c>
      <c r="M244" s="7">
        <v>1.3871048191407841E-2</v>
      </c>
      <c r="N244" s="8">
        <v>0</v>
      </c>
      <c r="O244" s="8">
        <v>1</v>
      </c>
      <c r="P244" s="8">
        <v>622</v>
      </c>
      <c r="Q244" s="7">
        <v>3.7296049679389667E-2</v>
      </c>
      <c r="R244" s="7">
        <v>9.3089825291206869E-3</v>
      </c>
      <c r="S244" s="8">
        <v>0</v>
      </c>
      <c r="T244" s="8">
        <v>1</v>
      </c>
      <c r="U244" s="8">
        <v>830</v>
      </c>
      <c r="V244" s="7">
        <v>2.513469963218028E-2</v>
      </c>
      <c r="W244" s="7">
        <v>7.9594489535297543E-3</v>
      </c>
      <c r="X244" s="8">
        <v>0</v>
      </c>
      <c r="Y244" s="8">
        <v>1</v>
      </c>
      <c r="Z244" s="8">
        <v>733</v>
      </c>
      <c r="AA244" s="7">
        <v>7.2866767578355668E-2</v>
      </c>
      <c r="AB244" s="7">
        <v>6.7889588799079637E-3</v>
      </c>
      <c r="AC244" s="8">
        <v>0</v>
      </c>
      <c r="AD244" s="8">
        <v>1</v>
      </c>
      <c r="AE244" s="8">
        <v>3213</v>
      </c>
      <c r="AF244">
        <f>(AA246/AA245)-AA244</f>
        <v>4.2488501588618804E-3</v>
      </c>
    </row>
    <row r="245" spans="1:32" ht="26.25" customHeight="1" x14ac:dyDescent="0.45">
      <c r="A245" s="6" t="s">
        <v>24</v>
      </c>
      <c r="B245" s="7">
        <v>0.11043143982498899</v>
      </c>
      <c r="C245" s="7">
        <v>1.9318318636183492E-2</v>
      </c>
      <c r="D245" s="8">
        <v>0</v>
      </c>
      <c r="E245" s="8">
        <v>1</v>
      </c>
      <c r="F245" s="8">
        <v>343</v>
      </c>
      <c r="G245" s="7">
        <v>0.1141877917275687</v>
      </c>
      <c r="H245" s="7">
        <v>1.372767009886945E-2</v>
      </c>
      <c r="I245" s="8">
        <v>0</v>
      </c>
      <c r="J245" s="8">
        <v>1</v>
      </c>
      <c r="K245" s="8">
        <v>685</v>
      </c>
      <c r="L245" s="7">
        <v>0.2107063624328053</v>
      </c>
      <c r="M245" s="7">
        <v>1.9196340458493756E-2</v>
      </c>
      <c r="N245" s="8">
        <v>0</v>
      </c>
      <c r="O245" s="8">
        <v>1</v>
      </c>
      <c r="P245" s="8">
        <v>622</v>
      </c>
      <c r="Q245" s="7">
        <v>0.32132005623330667</v>
      </c>
      <c r="R245" s="7">
        <v>2.2425332775680609E-2</v>
      </c>
      <c r="S245" s="8">
        <v>0</v>
      </c>
      <c r="T245" s="8">
        <v>1</v>
      </c>
      <c r="U245" s="8">
        <v>830</v>
      </c>
      <c r="V245" s="7">
        <v>0.13983861568962849</v>
      </c>
      <c r="W245" s="7">
        <v>1.8872674699234135E-2</v>
      </c>
      <c r="X245" s="8">
        <v>0</v>
      </c>
      <c r="Y245" s="8">
        <v>1</v>
      </c>
      <c r="Z245" s="8">
        <v>733</v>
      </c>
      <c r="AA245" s="7">
        <v>0.19633718423549712</v>
      </c>
      <c r="AB245" s="7">
        <v>9.9780503174346086E-3</v>
      </c>
      <c r="AC245" s="8">
        <v>0</v>
      </c>
      <c r="AD245" s="8">
        <v>1</v>
      </c>
      <c r="AE245" s="8">
        <v>3213</v>
      </c>
      <c r="AF245">
        <f>(AA246/AA244)-AA245</f>
        <v>1.1448391415640052E-2</v>
      </c>
    </row>
    <row r="246" spans="1:32" ht="26.25" customHeight="1" x14ac:dyDescent="0.45">
      <c r="A246" s="6" t="s">
        <v>110</v>
      </c>
      <c r="B246" s="7">
        <v>9.6859108707532064E-3</v>
      </c>
      <c r="C246" s="7">
        <v>5.9405538249381051E-3</v>
      </c>
      <c r="D246" s="8">
        <v>0</v>
      </c>
      <c r="E246" s="8">
        <v>1</v>
      </c>
      <c r="F246" s="8">
        <v>343</v>
      </c>
      <c r="G246" s="7">
        <v>1.2362847174764782E-3</v>
      </c>
      <c r="H246" s="7">
        <v>1.2368005743988522E-3</v>
      </c>
      <c r="I246" s="8">
        <v>0</v>
      </c>
      <c r="J246" s="8">
        <v>1</v>
      </c>
      <c r="K246" s="8">
        <v>685</v>
      </c>
      <c r="L246" s="7">
        <v>2.6192855352432771E-2</v>
      </c>
      <c r="M246" s="7">
        <v>7.8286577958017328E-3</v>
      </c>
      <c r="N246" s="8">
        <v>0</v>
      </c>
      <c r="O246" s="8">
        <v>1</v>
      </c>
      <c r="P246" s="8">
        <v>622</v>
      </c>
      <c r="Q246" s="7">
        <v>1.8459847167363361E-2</v>
      </c>
      <c r="R246" s="7">
        <v>8.0168315865105488E-3</v>
      </c>
      <c r="S246" s="8">
        <v>0</v>
      </c>
      <c r="T246" s="8">
        <v>1</v>
      </c>
      <c r="U246" s="8">
        <v>830</v>
      </c>
      <c r="V246" s="7">
        <v>1.2677254391562658E-3</v>
      </c>
      <c r="W246" s="7">
        <v>9.8987379062101814E-4</v>
      </c>
      <c r="X246" s="8">
        <v>0</v>
      </c>
      <c r="Y246" s="8">
        <v>1</v>
      </c>
      <c r="Z246" s="8">
        <v>733</v>
      </c>
      <c r="AA246" s="7">
        <v>1.5140663247106251E-2</v>
      </c>
      <c r="AB246" s="7">
        <v>3.5570365776787178E-3</v>
      </c>
      <c r="AC246" s="8">
        <v>0</v>
      </c>
      <c r="AD246" s="8">
        <v>1</v>
      </c>
      <c r="AE246" s="8">
        <v>3213</v>
      </c>
    </row>
    <row r="247" spans="1:32" ht="14.25" customHeight="1" x14ac:dyDescent="0.45">
      <c r="A247" s="6" t="s">
        <v>36</v>
      </c>
      <c r="B247" s="7">
        <v>0.22207872184389335</v>
      </c>
      <c r="C247" s="7">
        <v>2.4775433116898182E-2</v>
      </c>
      <c r="D247" s="8">
        <v>0</v>
      </c>
      <c r="E247" s="8">
        <v>1</v>
      </c>
      <c r="F247" s="8">
        <v>343</v>
      </c>
      <c r="G247" s="7">
        <v>9.3629004050585732E-2</v>
      </c>
      <c r="H247" s="7">
        <v>1.2914309363192237E-2</v>
      </c>
      <c r="I247" s="8">
        <v>0</v>
      </c>
      <c r="J247" s="8">
        <v>1</v>
      </c>
      <c r="K247" s="8">
        <v>685</v>
      </c>
      <c r="L247" s="7">
        <v>5.0675747986819425E-2</v>
      </c>
      <c r="M247" s="7">
        <v>1.1258657548167093E-2</v>
      </c>
      <c r="N247" s="8">
        <v>0</v>
      </c>
      <c r="O247" s="8">
        <v>1</v>
      </c>
      <c r="P247" s="8">
        <v>622</v>
      </c>
      <c r="Q247" s="7">
        <v>8.8906899619095245E-2</v>
      </c>
      <c r="R247" s="7">
        <v>1.5689910940161863E-2</v>
      </c>
      <c r="S247" s="8">
        <v>0</v>
      </c>
      <c r="T247" s="8">
        <v>1</v>
      </c>
      <c r="U247" s="8">
        <v>830</v>
      </c>
      <c r="V247" s="7">
        <v>0.14223726061043815</v>
      </c>
      <c r="W247" s="7">
        <v>1.6491487573434171E-2</v>
      </c>
      <c r="X247" s="8">
        <v>0</v>
      </c>
      <c r="Y247" s="8">
        <v>1</v>
      </c>
      <c r="Z247" s="8">
        <v>733</v>
      </c>
      <c r="AA247" s="7">
        <v>8.5558452234588231E-2</v>
      </c>
      <c r="AB247" s="7">
        <v>6.8658306176085059E-3</v>
      </c>
      <c r="AC247" s="8">
        <v>0</v>
      </c>
      <c r="AD247" s="8">
        <v>1</v>
      </c>
      <c r="AE247" s="8">
        <v>3213</v>
      </c>
      <c r="AF247">
        <f>(AA249/AA248)-AA247</f>
        <v>1.4489445872429119E-2</v>
      </c>
    </row>
    <row r="248" spans="1:32" ht="26.25" customHeight="1" x14ac:dyDescent="0.45">
      <c r="A248" s="6" t="s">
        <v>38</v>
      </c>
      <c r="B248" s="7">
        <v>0.429717204212403</v>
      </c>
      <c r="C248" s="7">
        <v>3.0392503365876303E-2</v>
      </c>
      <c r="D248" s="8">
        <v>0</v>
      </c>
      <c r="E248" s="8">
        <v>1</v>
      </c>
      <c r="F248" s="8">
        <v>343</v>
      </c>
      <c r="G248" s="7">
        <v>0.4800939721985647</v>
      </c>
      <c r="H248" s="7">
        <v>2.1458745860172199E-2</v>
      </c>
      <c r="I248" s="8">
        <v>0</v>
      </c>
      <c r="J248" s="8">
        <v>1</v>
      </c>
      <c r="K248" s="8">
        <v>685</v>
      </c>
      <c r="L248" s="7">
        <v>0.54292486162987486</v>
      </c>
      <c r="M248" s="7">
        <v>2.3097197169809559E-2</v>
      </c>
      <c r="N248" s="8">
        <v>0</v>
      </c>
      <c r="O248" s="8">
        <v>1</v>
      </c>
      <c r="P248" s="8">
        <v>622</v>
      </c>
      <c r="Q248" s="7">
        <v>0.5061258995781831</v>
      </c>
      <c r="R248" s="7">
        <v>2.4068941722059152E-2</v>
      </c>
      <c r="S248" s="8">
        <v>0</v>
      </c>
      <c r="T248" s="8">
        <v>1</v>
      </c>
      <c r="U248" s="8">
        <v>830</v>
      </c>
      <c r="V248" s="7">
        <v>0.21923941521723078</v>
      </c>
      <c r="W248" s="7">
        <v>2.2302742957611636E-2</v>
      </c>
      <c r="X248" s="8">
        <v>0</v>
      </c>
      <c r="Y248" s="8">
        <v>1</v>
      </c>
      <c r="Z248" s="8">
        <v>733</v>
      </c>
      <c r="AA248" s="7">
        <v>0.49346013284592816</v>
      </c>
      <c r="AB248" s="7">
        <v>1.2333331111640417E-2</v>
      </c>
      <c r="AC248" s="8">
        <v>0</v>
      </c>
      <c r="AD248" s="8">
        <v>1</v>
      </c>
      <c r="AE248" s="8">
        <v>3213</v>
      </c>
      <c r="AF248">
        <f>(AA249/AA247)-AA248</f>
        <v>8.3568177057114723E-2</v>
      </c>
    </row>
    <row r="249" spans="1:32" ht="26.25" customHeight="1" x14ac:dyDescent="0.45">
      <c r="A249" s="6" t="s">
        <v>111</v>
      </c>
      <c r="B249" s="7">
        <v>0.12478197808624</v>
      </c>
      <c r="C249" s="7">
        <v>1.9662617653952601E-2</v>
      </c>
      <c r="D249" s="8">
        <v>0</v>
      </c>
      <c r="E249" s="8">
        <v>1</v>
      </c>
      <c r="F249" s="8">
        <v>343</v>
      </c>
      <c r="G249" s="7">
        <v>5.8220632919670105E-2</v>
      </c>
      <c r="H249" s="7">
        <v>1.0483930788885458E-2</v>
      </c>
      <c r="I249" s="8">
        <v>0</v>
      </c>
      <c r="J249" s="8">
        <v>1</v>
      </c>
      <c r="K249" s="8">
        <v>685</v>
      </c>
      <c r="L249" s="7">
        <v>3.7570776855068384E-2</v>
      </c>
      <c r="M249" s="7">
        <v>9.8299929635558628E-3</v>
      </c>
      <c r="N249" s="8">
        <v>0</v>
      </c>
      <c r="O249" s="8">
        <v>1</v>
      </c>
      <c r="P249" s="8">
        <v>622</v>
      </c>
      <c r="Q249" s="7">
        <v>4.8542055266158741E-2</v>
      </c>
      <c r="R249" s="7">
        <v>1.1129764274147266E-2</v>
      </c>
      <c r="S249" s="8">
        <v>0</v>
      </c>
      <c r="T249" s="8">
        <v>1</v>
      </c>
      <c r="U249" s="8">
        <v>830</v>
      </c>
      <c r="V249" s="7">
        <v>1.2420597207415672E-2</v>
      </c>
      <c r="W249" s="7">
        <v>3.1676104332046644E-3</v>
      </c>
      <c r="X249" s="8">
        <v>0</v>
      </c>
      <c r="Y249" s="8">
        <v>1</v>
      </c>
      <c r="Z249" s="8">
        <v>733</v>
      </c>
      <c r="AA249" s="7">
        <v>4.9369649090844667E-2</v>
      </c>
      <c r="AB249" s="7">
        <v>5.5481879876969004E-3</v>
      </c>
      <c r="AC249" s="8">
        <v>0</v>
      </c>
      <c r="AD249" s="8">
        <v>1</v>
      </c>
      <c r="AE249" s="8">
        <v>3213</v>
      </c>
    </row>
    <row r="250" spans="1:32" ht="14.25" customHeight="1" x14ac:dyDescent="0.45">
      <c r="A250" s="6" t="s">
        <v>36</v>
      </c>
      <c r="B250" s="7">
        <v>0.22207872184389335</v>
      </c>
      <c r="C250" s="7">
        <v>2.4775433116898182E-2</v>
      </c>
      <c r="D250" s="8">
        <v>0</v>
      </c>
      <c r="E250" s="8">
        <v>1</v>
      </c>
      <c r="F250" s="8">
        <v>343</v>
      </c>
      <c r="G250" s="7">
        <v>9.3629004050585732E-2</v>
      </c>
      <c r="H250" s="7">
        <v>1.2914309363192237E-2</v>
      </c>
      <c r="I250" s="8">
        <v>0</v>
      </c>
      <c r="J250" s="8">
        <v>1</v>
      </c>
      <c r="K250" s="8">
        <v>685</v>
      </c>
      <c r="L250" s="7">
        <v>5.0675747986819425E-2</v>
      </c>
      <c r="M250" s="7">
        <v>1.1258657548167093E-2</v>
      </c>
      <c r="N250" s="8">
        <v>0</v>
      </c>
      <c r="O250" s="8">
        <v>1</v>
      </c>
      <c r="P250" s="8">
        <v>622</v>
      </c>
      <c r="Q250" s="7">
        <v>8.8906899619095245E-2</v>
      </c>
      <c r="R250" s="7">
        <v>1.5689910940161863E-2</v>
      </c>
      <c r="S250" s="8">
        <v>0</v>
      </c>
      <c r="T250" s="8">
        <v>1</v>
      </c>
      <c r="U250" s="8">
        <v>830</v>
      </c>
      <c r="V250" s="7">
        <v>0.14223726061043815</v>
      </c>
      <c r="W250" s="7">
        <v>1.6491487573434171E-2</v>
      </c>
      <c r="X250" s="8">
        <v>0</v>
      </c>
      <c r="Y250" s="8">
        <v>1</v>
      </c>
      <c r="Z250" s="8">
        <v>733</v>
      </c>
      <c r="AA250" s="7">
        <v>8.5558452234588231E-2</v>
      </c>
      <c r="AB250" s="7">
        <v>6.8658306176085059E-3</v>
      </c>
      <c r="AC250" s="8">
        <v>0</v>
      </c>
      <c r="AD250" s="8">
        <v>1</v>
      </c>
      <c r="AE250" s="8">
        <v>3213</v>
      </c>
      <c r="AF250">
        <f>(AA252/AA251)-AA250</f>
        <v>-1.6346021505318414E-2</v>
      </c>
    </row>
    <row r="251" spans="1:32" ht="14.25" customHeight="1" x14ac:dyDescent="0.45">
      <c r="A251" s="6" t="s">
        <v>40</v>
      </c>
      <c r="B251" s="7">
        <v>0.11043143982498899</v>
      </c>
      <c r="C251" s="7">
        <v>1.9318318636183492E-2</v>
      </c>
      <c r="D251" s="8">
        <v>0</v>
      </c>
      <c r="E251" s="8">
        <v>1</v>
      </c>
      <c r="F251" s="8">
        <v>343</v>
      </c>
      <c r="G251" s="7">
        <v>0.11069522201123315</v>
      </c>
      <c r="H251" s="7">
        <v>1.3640876599586607E-2</v>
      </c>
      <c r="I251" s="8">
        <v>0</v>
      </c>
      <c r="J251" s="8">
        <v>1</v>
      </c>
      <c r="K251" s="8">
        <v>685</v>
      </c>
      <c r="L251" s="7">
        <v>0.20545282167499468</v>
      </c>
      <c r="M251" s="7">
        <v>1.8994482679167819E-2</v>
      </c>
      <c r="N251" s="8">
        <v>0</v>
      </c>
      <c r="O251" s="8">
        <v>1</v>
      </c>
      <c r="P251" s="8">
        <v>622</v>
      </c>
      <c r="Q251" s="7">
        <v>0.31815038623555536</v>
      </c>
      <c r="R251" s="7">
        <v>2.2407093634880186E-2</v>
      </c>
      <c r="S251" s="8">
        <v>0</v>
      </c>
      <c r="T251" s="8">
        <v>1</v>
      </c>
      <c r="U251" s="8">
        <v>830</v>
      </c>
      <c r="V251" s="7">
        <v>0.13233968886421418</v>
      </c>
      <c r="W251" s="7">
        <v>1.8303690851725167E-2</v>
      </c>
      <c r="X251" s="8">
        <v>0</v>
      </c>
      <c r="Y251" s="8">
        <v>1</v>
      </c>
      <c r="Z251" s="8">
        <v>733</v>
      </c>
      <c r="AA251" s="7">
        <v>0.19219833829689462</v>
      </c>
      <c r="AB251" s="7">
        <v>9.9022963989124652E-3</v>
      </c>
      <c r="AC251" s="8">
        <v>0</v>
      </c>
      <c r="AD251" s="8">
        <v>1</v>
      </c>
      <c r="AE251" s="8">
        <v>3213</v>
      </c>
      <c r="AF251">
        <f>(AA252/AA250)-AA251</f>
        <v>-3.6719670459599951E-2</v>
      </c>
    </row>
    <row r="252" spans="1:32" ht="26.25" customHeight="1" x14ac:dyDescent="0.45">
      <c r="A252" s="6" t="s">
        <v>112</v>
      </c>
      <c r="B252" s="7">
        <v>4.7355862075031001E-2</v>
      </c>
      <c r="C252" s="7">
        <v>1.3284033818102049E-2</v>
      </c>
      <c r="D252" s="8">
        <v>0</v>
      </c>
      <c r="E252" s="8">
        <v>1</v>
      </c>
      <c r="F252" s="8">
        <v>343</v>
      </c>
      <c r="G252" s="7">
        <v>7.628033234199489E-3</v>
      </c>
      <c r="H252" s="7">
        <v>3.8267143476035993E-3</v>
      </c>
      <c r="I252" s="8">
        <v>0</v>
      </c>
      <c r="J252" s="8">
        <v>1</v>
      </c>
      <c r="K252" s="8">
        <v>685</v>
      </c>
      <c r="L252" s="7">
        <v>5.211364781422095E-3</v>
      </c>
      <c r="M252" s="7">
        <v>3.2353662514472956E-3</v>
      </c>
      <c r="N252" s="8">
        <v>0</v>
      </c>
      <c r="O252" s="8">
        <v>1</v>
      </c>
      <c r="P252" s="8">
        <v>622</v>
      </c>
      <c r="Q252" s="7">
        <v>2.9194572302258172E-2</v>
      </c>
      <c r="R252" s="7">
        <v>9.8094951826651726E-3</v>
      </c>
      <c r="S252" s="8">
        <v>0</v>
      </c>
      <c r="T252" s="8">
        <v>1</v>
      </c>
      <c r="U252" s="8">
        <v>830</v>
      </c>
      <c r="V252" s="7">
        <v>6.1235798867572142E-3</v>
      </c>
      <c r="W252" s="7">
        <v>4.544609240696309E-3</v>
      </c>
      <c r="X252" s="8">
        <v>0</v>
      </c>
      <c r="Y252" s="8">
        <v>1</v>
      </c>
      <c r="Z252" s="8">
        <v>733</v>
      </c>
      <c r="AA252" s="7">
        <v>1.3302514175654584E-2</v>
      </c>
      <c r="AB252" s="7">
        <v>2.7736956555839583E-3</v>
      </c>
      <c r="AC252" s="8">
        <v>0</v>
      </c>
      <c r="AD252" s="8">
        <v>1</v>
      </c>
      <c r="AE252" s="8">
        <v>3213</v>
      </c>
    </row>
    <row r="253" spans="1:32" ht="14.25" customHeight="1" x14ac:dyDescent="0.45">
      <c r="A253" s="6" t="s">
        <v>36</v>
      </c>
      <c r="B253" s="7">
        <v>0.22207872184389335</v>
      </c>
      <c r="C253" s="7">
        <v>2.4775433116898182E-2</v>
      </c>
      <c r="D253" s="8">
        <v>0</v>
      </c>
      <c r="E253" s="8">
        <v>1</v>
      </c>
      <c r="F253" s="8">
        <v>343</v>
      </c>
      <c r="G253" s="7">
        <v>9.3629004050585732E-2</v>
      </c>
      <c r="H253" s="7">
        <v>1.2914309363192237E-2</v>
      </c>
      <c r="I253" s="8">
        <v>0</v>
      </c>
      <c r="J253" s="8">
        <v>1</v>
      </c>
      <c r="K253" s="8">
        <v>685</v>
      </c>
      <c r="L253" s="7">
        <v>5.0675747986819425E-2</v>
      </c>
      <c r="M253" s="7">
        <v>1.1258657548167093E-2</v>
      </c>
      <c r="N253" s="8">
        <v>0</v>
      </c>
      <c r="O253" s="8">
        <v>1</v>
      </c>
      <c r="P253" s="8">
        <v>622</v>
      </c>
      <c r="Q253" s="7">
        <v>8.8906899619095245E-2</v>
      </c>
      <c r="R253" s="7">
        <v>1.5689910940161863E-2</v>
      </c>
      <c r="S253" s="8">
        <v>0</v>
      </c>
      <c r="T253" s="8">
        <v>1</v>
      </c>
      <c r="U253" s="8">
        <v>830</v>
      </c>
      <c r="V253" s="7">
        <v>0.14223726061043815</v>
      </c>
      <c r="W253" s="7">
        <v>1.6491487573434171E-2</v>
      </c>
      <c r="X253" s="8">
        <v>0</v>
      </c>
      <c r="Y253" s="8">
        <v>1</v>
      </c>
      <c r="Z253" s="8">
        <v>733</v>
      </c>
      <c r="AA253" s="7">
        <v>8.5558452234588231E-2</v>
      </c>
      <c r="AB253" s="7">
        <v>6.8658306176085059E-3</v>
      </c>
      <c r="AC253" s="8">
        <v>0</v>
      </c>
      <c r="AD253" s="8">
        <v>1</v>
      </c>
      <c r="AE253" s="8">
        <v>3213</v>
      </c>
      <c r="AF253">
        <f>(AA255/AA254)-AA253</f>
        <v>-7.6076611642849346E-3</v>
      </c>
    </row>
    <row r="254" spans="1:32" ht="14.25" customHeight="1" x14ac:dyDescent="0.45">
      <c r="A254" s="6" t="s">
        <v>42</v>
      </c>
      <c r="B254" s="7">
        <v>0.4041930049279841</v>
      </c>
      <c r="C254" s="7">
        <v>3.0232276444073676E-2</v>
      </c>
      <c r="D254" s="8">
        <v>0</v>
      </c>
      <c r="E254" s="8">
        <v>1</v>
      </c>
      <c r="F254" s="8">
        <v>343</v>
      </c>
      <c r="G254" s="7">
        <v>0.47166434397907836</v>
      </c>
      <c r="H254" s="7">
        <v>2.1519532355489479E-2</v>
      </c>
      <c r="I254" s="8">
        <v>0</v>
      </c>
      <c r="J254" s="8">
        <v>1</v>
      </c>
      <c r="K254" s="8">
        <v>685</v>
      </c>
      <c r="L254" s="7">
        <v>0.43338553269768243</v>
      </c>
      <c r="M254" s="7">
        <v>2.2944313900862667E-2</v>
      </c>
      <c r="N254" s="8">
        <v>0</v>
      </c>
      <c r="O254" s="8">
        <v>1</v>
      </c>
      <c r="P254" s="8">
        <v>622</v>
      </c>
      <c r="Q254" s="7">
        <v>0.37080005445994324</v>
      </c>
      <c r="R254" s="7">
        <v>2.2758196670672724E-2</v>
      </c>
      <c r="S254" s="8">
        <v>0</v>
      </c>
      <c r="T254" s="8">
        <v>1</v>
      </c>
      <c r="U254" s="8">
        <v>830</v>
      </c>
      <c r="V254" s="7">
        <v>0.40704376021255967</v>
      </c>
      <c r="W254" s="7">
        <v>2.6476273726386629E-2</v>
      </c>
      <c r="X254" s="8">
        <v>0</v>
      </c>
      <c r="Y254" s="8">
        <v>1</v>
      </c>
      <c r="Z254" s="8">
        <v>733</v>
      </c>
      <c r="AA254" s="7">
        <v>0.42838777016507279</v>
      </c>
      <c r="AB254" s="7">
        <v>1.219850561897003E-2</v>
      </c>
      <c r="AC254" s="8">
        <v>0</v>
      </c>
      <c r="AD254" s="8">
        <v>1</v>
      </c>
      <c r="AE254" s="8">
        <v>3213</v>
      </c>
      <c r="AF254">
        <f>(AA255/AA253)-AA254</f>
        <v>-3.8091257113951615E-2</v>
      </c>
    </row>
    <row r="255" spans="1:32" ht="26.25" customHeight="1" x14ac:dyDescent="0.45">
      <c r="A255" s="6" t="s">
        <v>113</v>
      </c>
      <c r="B255" s="7">
        <v>7.9985254575340559E-2</v>
      </c>
      <c r="C255" s="7">
        <v>1.6036585042589157E-2</v>
      </c>
      <c r="D255" s="8">
        <v>0</v>
      </c>
      <c r="E255" s="8">
        <v>1</v>
      </c>
      <c r="F255" s="8">
        <v>343</v>
      </c>
      <c r="G255" s="7">
        <v>4.447016307162812E-2</v>
      </c>
      <c r="H255" s="7">
        <v>9.3541260767039652E-3</v>
      </c>
      <c r="I255" s="8">
        <v>0</v>
      </c>
      <c r="J255" s="8">
        <v>1</v>
      </c>
      <c r="K255" s="8">
        <v>685</v>
      </c>
      <c r="L255" s="7">
        <v>1.8387736928587761E-2</v>
      </c>
      <c r="M255" s="7">
        <v>6.1207225637324577E-3</v>
      </c>
      <c r="N255" s="8">
        <v>0</v>
      </c>
      <c r="O255" s="8">
        <v>1</v>
      </c>
      <c r="P255" s="8">
        <v>622</v>
      </c>
      <c r="Q255" s="7">
        <v>2.8447325797885219E-2</v>
      </c>
      <c r="R255" s="7">
        <v>9.7074766513233421E-3</v>
      </c>
      <c r="S255" s="8">
        <v>0</v>
      </c>
      <c r="T255" s="8">
        <v>1</v>
      </c>
      <c r="U255" s="8">
        <v>830</v>
      </c>
      <c r="V255" s="7">
        <v>5.4412629632769223E-2</v>
      </c>
      <c r="W255" s="7">
        <v>9.9433617985902473E-3</v>
      </c>
      <c r="X255" s="8">
        <v>0</v>
      </c>
      <c r="Y255" s="8">
        <v>1</v>
      </c>
      <c r="Z255" s="8">
        <v>733</v>
      </c>
      <c r="AA255" s="7">
        <v>3.3393165569210695E-2</v>
      </c>
      <c r="AB255" s="7">
        <v>4.2819148846994851E-3</v>
      </c>
      <c r="AC255" s="8">
        <v>0</v>
      </c>
      <c r="AD255" s="8">
        <v>1</v>
      </c>
      <c r="AE255" s="8">
        <v>3213</v>
      </c>
    </row>
    <row r="256" spans="1:32" ht="14.25" customHeight="1" x14ac:dyDescent="0.45">
      <c r="A256" s="6" t="s">
        <v>36</v>
      </c>
      <c r="B256" s="7">
        <v>0.22207872184389335</v>
      </c>
      <c r="C256" s="7">
        <v>2.4775433116898182E-2</v>
      </c>
      <c r="D256" s="8">
        <v>0</v>
      </c>
      <c r="E256" s="8">
        <v>1</v>
      </c>
      <c r="F256" s="8">
        <v>343</v>
      </c>
      <c r="G256" s="7">
        <v>9.3629004050585732E-2</v>
      </c>
      <c r="H256" s="7">
        <v>1.2914309363192237E-2</v>
      </c>
      <c r="I256" s="8">
        <v>0</v>
      </c>
      <c r="J256" s="8">
        <v>1</v>
      </c>
      <c r="K256" s="8">
        <v>685</v>
      </c>
      <c r="L256" s="7">
        <v>5.0675747986819425E-2</v>
      </c>
      <c r="M256" s="7">
        <v>1.1258657548167093E-2</v>
      </c>
      <c r="N256" s="8">
        <v>0</v>
      </c>
      <c r="O256" s="8">
        <v>1</v>
      </c>
      <c r="P256" s="8">
        <v>622</v>
      </c>
      <c r="Q256" s="7">
        <v>8.8906899619095245E-2</v>
      </c>
      <c r="R256" s="7">
        <v>1.5689910940161863E-2</v>
      </c>
      <c r="S256" s="8">
        <v>0</v>
      </c>
      <c r="T256" s="8">
        <v>1</v>
      </c>
      <c r="U256" s="8">
        <v>830</v>
      </c>
      <c r="V256" s="7">
        <v>0.14223726061043815</v>
      </c>
      <c r="W256" s="7">
        <v>1.6491487573434171E-2</v>
      </c>
      <c r="X256" s="8">
        <v>0</v>
      </c>
      <c r="Y256" s="8">
        <v>1</v>
      </c>
      <c r="Z256" s="8">
        <v>733</v>
      </c>
      <c r="AA256" s="7">
        <v>8.5558452234588231E-2</v>
      </c>
      <c r="AB256" s="7">
        <v>6.8658306176085059E-3</v>
      </c>
      <c r="AC256" s="8">
        <v>0</v>
      </c>
      <c r="AD256" s="8">
        <v>1</v>
      </c>
      <c r="AE256" s="8">
        <v>3213</v>
      </c>
      <c r="AF256">
        <f>(AA258/AA257)-AA256</f>
        <v>-4.4169290289229036E-2</v>
      </c>
    </row>
    <row r="257" spans="1:32" ht="14.25" customHeight="1" x14ac:dyDescent="0.45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343</v>
      </c>
      <c r="G257" s="7">
        <v>6.1239228844402228E-3</v>
      </c>
      <c r="H257" s="7">
        <v>2.559788277249609E-3</v>
      </c>
      <c r="I257" s="8">
        <v>0</v>
      </c>
      <c r="J257" s="8">
        <v>1</v>
      </c>
      <c r="K257" s="8">
        <v>685</v>
      </c>
      <c r="L257" s="7">
        <v>7.5222336372921406E-3</v>
      </c>
      <c r="M257" s="7">
        <v>3.888810135536692E-3</v>
      </c>
      <c r="N257" s="8">
        <v>0</v>
      </c>
      <c r="O257" s="8">
        <v>1</v>
      </c>
      <c r="P257" s="8">
        <v>622</v>
      </c>
      <c r="Q257" s="7">
        <v>4.3787001294212568E-3</v>
      </c>
      <c r="R257" s="7">
        <v>1.9345454374379675E-3</v>
      </c>
      <c r="S257" s="8">
        <v>0</v>
      </c>
      <c r="T257" s="8">
        <v>1</v>
      </c>
      <c r="U257" s="8">
        <v>830</v>
      </c>
      <c r="V257" s="7">
        <v>7.4989268254143093E-3</v>
      </c>
      <c r="W257" s="7">
        <v>5.3346475986279715E-3</v>
      </c>
      <c r="X257" s="8">
        <v>0</v>
      </c>
      <c r="Y257" s="8">
        <v>1</v>
      </c>
      <c r="Z257" s="8">
        <v>733</v>
      </c>
      <c r="AA257" s="7">
        <v>6.0425505430857273E-3</v>
      </c>
      <c r="AB257" s="7">
        <v>1.7730974810922998E-3</v>
      </c>
      <c r="AC257" s="8">
        <v>0</v>
      </c>
      <c r="AD257" s="8">
        <v>1</v>
      </c>
      <c r="AE257" s="8">
        <v>3213</v>
      </c>
      <c r="AF257">
        <f>(AA258/AA256)-AA257</f>
        <v>-3.1194483076097054E-3</v>
      </c>
    </row>
    <row r="258" spans="1:32" ht="14.25" customHeight="1" x14ac:dyDescent="0.45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343</v>
      </c>
      <c r="G258" s="7">
        <v>0</v>
      </c>
      <c r="H258" s="7">
        <v>0</v>
      </c>
      <c r="I258" s="8">
        <v>0</v>
      </c>
      <c r="J258" s="8">
        <v>0</v>
      </c>
      <c r="K258" s="8">
        <v>685</v>
      </c>
      <c r="L258" s="7">
        <v>0</v>
      </c>
      <c r="M258" s="7">
        <v>0</v>
      </c>
      <c r="N258" s="8">
        <v>0</v>
      </c>
      <c r="O258" s="8">
        <v>0</v>
      </c>
      <c r="P258" s="8">
        <v>622</v>
      </c>
      <c r="Q258" s="7">
        <v>1.2090301316699398E-3</v>
      </c>
      <c r="R258" s="7">
        <v>1.2096922509310089E-3</v>
      </c>
      <c r="S258" s="8">
        <v>0</v>
      </c>
      <c r="T258" s="8">
        <v>1</v>
      </c>
      <c r="U258" s="8">
        <v>830</v>
      </c>
      <c r="V258" s="7">
        <v>0</v>
      </c>
      <c r="W258" s="7">
        <v>0</v>
      </c>
      <c r="X258" s="8">
        <v>0</v>
      </c>
      <c r="Y258" s="8">
        <v>0</v>
      </c>
      <c r="Z258" s="8">
        <v>733</v>
      </c>
      <c r="AA258" s="7">
        <v>2.500961029907933E-4</v>
      </c>
      <c r="AB258" s="7">
        <v>2.5014852694331472E-4</v>
      </c>
      <c r="AC258" s="8">
        <v>0</v>
      </c>
      <c r="AD258" s="8">
        <v>1</v>
      </c>
      <c r="AE258" s="8">
        <v>3213</v>
      </c>
    </row>
    <row r="259" spans="1:32" ht="14.25" customHeight="1" x14ac:dyDescent="0.45">
      <c r="A259" s="6" t="s">
        <v>36</v>
      </c>
      <c r="B259" s="7">
        <v>0.22207872184389335</v>
      </c>
      <c r="C259" s="7">
        <v>2.4775433116898182E-2</v>
      </c>
      <c r="D259" s="8">
        <v>0</v>
      </c>
      <c r="E259" s="8">
        <v>1</v>
      </c>
      <c r="F259" s="8">
        <v>343</v>
      </c>
      <c r="G259" s="7">
        <v>9.3629004050585732E-2</v>
      </c>
      <c r="H259" s="7">
        <v>1.2914309363192237E-2</v>
      </c>
      <c r="I259" s="8">
        <v>0</v>
      </c>
      <c r="J259" s="8">
        <v>1</v>
      </c>
      <c r="K259" s="8">
        <v>685</v>
      </c>
      <c r="L259" s="7">
        <v>5.0675747986819425E-2</v>
      </c>
      <c r="M259" s="7">
        <v>1.1258657548167093E-2</v>
      </c>
      <c r="N259" s="8">
        <v>0</v>
      </c>
      <c r="O259" s="8">
        <v>1</v>
      </c>
      <c r="P259" s="8">
        <v>622</v>
      </c>
      <c r="Q259" s="7">
        <v>8.8906899619095245E-2</v>
      </c>
      <c r="R259" s="7">
        <v>1.5689910940161863E-2</v>
      </c>
      <c r="S259" s="8">
        <v>0</v>
      </c>
      <c r="T259" s="8">
        <v>1</v>
      </c>
      <c r="U259" s="8">
        <v>830</v>
      </c>
      <c r="V259" s="7">
        <v>0.14223726061043815</v>
      </c>
      <c r="W259" s="7">
        <v>1.6491487573434171E-2</v>
      </c>
      <c r="X259" s="8">
        <v>0</v>
      </c>
      <c r="Y259" s="8">
        <v>1</v>
      </c>
      <c r="Z259" s="8">
        <v>733</v>
      </c>
      <c r="AA259" s="7">
        <v>8.5558452234588231E-2</v>
      </c>
      <c r="AB259" s="7">
        <v>6.8658306176085059E-3</v>
      </c>
      <c r="AC259" s="8">
        <v>0</v>
      </c>
      <c r="AD259" s="8">
        <v>1</v>
      </c>
      <c r="AE259" s="8">
        <v>3213</v>
      </c>
      <c r="AF259">
        <f>(AA261/AA260)-AA259</f>
        <v>4.1501761649492264E-3</v>
      </c>
    </row>
    <row r="260" spans="1:32" ht="39.5" customHeight="1" x14ac:dyDescent="0.45">
      <c r="A260" s="6" t="s">
        <v>16</v>
      </c>
      <c r="B260" s="7">
        <v>0.46175737392174987</v>
      </c>
      <c r="C260" s="7">
        <v>3.0710810789507388E-2</v>
      </c>
      <c r="D260" s="8">
        <v>0</v>
      </c>
      <c r="E260" s="8">
        <v>1</v>
      </c>
      <c r="F260" s="8">
        <v>343</v>
      </c>
      <c r="G260" s="7">
        <v>0.51171849969410388</v>
      </c>
      <c r="H260" s="7">
        <v>2.1509798906621986E-2</v>
      </c>
      <c r="I260" s="8">
        <v>0</v>
      </c>
      <c r="J260" s="8">
        <v>1</v>
      </c>
      <c r="K260" s="8">
        <v>685</v>
      </c>
      <c r="L260" s="7">
        <v>0.63828459018132044</v>
      </c>
      <c r="M260" s="7">
        <v>2.224943796975826E-2</v>
      </c>
      <c r="N260" s="8">
        <v>0</v>
      </c>
      <c r="O260" s="8">
        <v>1</v>
      </c>
      <c r="P260" s="8">
        <v>622</v>
      </c>
      <c r="Q260" s="7">
        <v>0.6594859044787692</v>
      </c>
      <c r="R260" s="7">
        <v>2.3371802530881509E-2</v>
      </c>
      <c r="S260" s="8">
        <v>0</v>
      </c>
      <c r="T260" s="8">
        <v>1</v>
      </c>
      <c r="U260" s="8">
        <v>830</v>
      </c>
      <c r="V260" s="7">
        <v>0.29098870335197347</v>
      </c>
      <c r="W260" s="7">
        <v>2.4531818658125738E-2</v>
      </c>
      <c r="X260" s="8">
        <v>0</v>
      </c>
      <c r="Y260" s="8">
        <v>1</v>
      </c>
      <c r="Z260" s="8">
        <v>733</v>
      </c>
      <c r="AA260" s="7">
        <v>0.57762752018153862</v>
      </c>
      <c r="AB260" s="7">
        <v>1.212537286467308E-2</v>
      </c>
      <c r="AC260" s="8">
        <v>0</v>
      </c>
      <c r="AD260" s="8">
        <v>1</v>
      </c>
      <c r="AE260" s="8">
        <v>3213</v>
      </c>
      <c r="AF260">
        <f>(AA261/AA259)-AA260</f>
        <v>2.8018926287998291E-2</v>
      </c>
    </row>
    <row r="261" spans="1:32" ht="14.25" customHeight="1" x14ac:dyDescent="0.45">
      <c r="A261" s="6" t="s">
        <v>115</v>
      </c>
      <c r="B261" s="7">
        <v>0.13352614697161208</v>
      </c>
      <c r="C261" s="7">
        <v>2.0393090994367282E-2</v>
      </c>
      <c r="D261" s="8">
        <v>0</v>
      </c>
      <c r="E261" s="8">
        <v>1</v>
      </c>
      <c r="F261" s="8">
        <v>343</v>
      </c>
      <c r="G261" s="7">
        <v>5.8732491998227734E-2</v>
      </c>
      <c r="H261" s="7">
        <v>1.0494520532439667E-2</v>
      </c>
      <c r="I261" s="8">
        <v>0</v>
      </c>
      <c r="J261" s="8">
        <v>1</v>
      </c>
      <c r="K261" s="8">
        <v>685</v>
      </c>
      <c r="L261" s="7">
        <v>3.8327007814895564E-2</v>
      </c>
      <c r="M261" s="7">
        <v>9.8553614742822905E-3</v>
      </c>
      <c r="N261" s="8">
        <v>0</v>
      </c>
      <c r="O261" s="8">
        <v>1</v>
      </c>
      <c r="P261" s="8">
        <v>622</v>
      </c>
      <c r="Q261" s="7">
        <v>5.4241162717491499E-2</v>
      </c>
      <c r="R261" s="7">
        <v>1.2109994289150459E-2</v>
      </c>
      <c r="S261" s="8">
        <v>0</v>
      </c>
      <c r="T261" s="8">
        <v>1</v>
      </c>
      <c r="U261" s="8">
        <v>830</v>
      </c>
      <c r="V261" s="7">
        <v>1.8544177094172887E-2</v>
      </c>
      <c r="W261" s="7">
        <v>5.5239094083903957E-3</v>
      </c>
      <c r="X261" s="8">
        <v>0</v>
      </c>
      <c r="Y261" s="8">
        <v>1</v>
      </c>
      <c r="Z261" s="8">
        <v>733</v>
      </c>
      <c r="AA261" s="7">
        <v>5.1818172561311972E-2</v>
      </c>
      <c r="AB261" s="7">
        <v>5.6588601428818721E-3</v>
      </c>
      <c r="AC261" s="8">
        <v>0</v>
      </c>
      <c r="AD261" s="8">
        <v>1</v>
      </c>
      <c r="AE261" s="8">
        <v>3213</v>
      </c>
    </row>
    <row r="262" spans="1:32" ht="14.25" customHeight="1" x14ac:dyDescent="0.45">
      <c r="A262" s="6" t="s">
        <v>36</v>
      </c>
      <c r="B262" s="7">
        <v>0.22207872184389335</v>
      </c>
      <c r="C262" s="7">
        <v>2.4775433116898182E-2</v>
      </c>
      <c r="D262" s="8">
        <v>0</v>
      </c>
      <c r="E262" s="8">
        <v>1</v>
      </c>
      <c r="F262" s="8">
        <v>343</v>
      </c>
      <c r="G262" s="7">
        <v>9.3629004050585732E-2</v>
      </c>
      <c r="H262" s="7">
        <v>1.2914309363192237E-2</v>
      </c>
      <c r="I262" s="8">
        <v>0</v>
      </c>
      <c r="J262" s="8">
        <v>1</v>
      </c>
      <c r="K262" s="8">
        <v>685</v>
      </c>
      <c r="L262" s="7">
        <v>5.0675747986819425E-2</v>
      </c>
      <c r="M262" s="7">
        <v>1.1258657548167093E-2</v>
      </c>
      <c r="N262" s="8">
        <v>0</v>
      </c>
      <c r="O262" s="8">
        <v>1</v>
      </c>
      <c r="P262" s="8">
        <v>622</v>
      </c>
      <c r="Q262" s="7">
        <v>8.8906899619095245E-2</v>
      </c>
      <c r="R262" s="7">
        <v>1.5689910940161863E-2</v>
      </c>
      <c r="S262" s="8">
        <v>0</v>
      </c>
      <c r="T262" s="8">
        <v>1</v>
      </c>
      <c r="U262" s="8">
        <v>830</v>
      </c>
      <c r="V262" s="7">
        <v>0.14223726061043815</v>
      </c>
      <c r="W262" s="7">
        <v>1.6491487573434171E-2</v>
      </c>
      <c r="X262" s="8">
        <v>0</v>
      </c>
      <c r="Y262" s="8">
        <v>1</v>
      </c>
      <c r="Z262" s="8">
        <v>733</v>
      </c>
      <c r="AA262" s="7">
        <v>8.5558452234588231E-2</v>
      </c>
      <c r="AB262" s="7">
        <v>6.8658306176085059E-3</v>
      </c>
      <c r="AC262" s="8">
        <v>0</v>
      </c>
      <c r="AD262" s="8">
        <v>1</v>
      </c>
      <c r="AE262" s="8">
        <v>3213</v>
      </c>
      <c r="AF262">
        <f>(AA264/AA263)-AA262</f>
        <v>2.2782091574665014E-3</v>
      </c>
    </row>
    <row r="263" spans="1:32" ht="39.5" customHeight="1" x14ac:dyDescent="0.45">
      <c r="A263" s="6" t="s">
        <v>18</v>
      </c>
      <c r="B263" s="7">
        <v>0.65870111528749431</v>
      </c>
      <c r="C263" s="7">
        <v>2.9720045914151373E-2</v>
      </c>
      <c r="D263" s="8">
        <v>0</v>
      </c>
      <c r="E263" s="8">
        <v>1</v>
      </c>
      <c r="F263" s="8">
        <v>343</v>
      </c>
      <c r="G263" s="7">
        <v>0.68973128721603705</v>
      </c>
      <c r="H263" s="7">
        <v>1.9757484138470113E-2</v>
      </c>
      <c r="I263" s="8">
        <v>0</v>
      </c>
      <c r="J263" s="8">
        <v>1</v>
      </c>
      <c r="K263" s="8">
        <v>685</v>
      </c>
      <c r="L263" s="7">
        <v>0.69326134184086086</v>
      </c>
      <c r="M263" s="7">
        <v>2.1633597813178515E-2</v>
      </c>
      <c r="N263" s="8">
        <v>0</v>
      </c>
      <c r="O263" s="8">
        <v>1</v>
      </c>
      <c r="P263" s="8">
        <v>622</v>
      </c>
      <c r="Q263" s="7">
        <v>0.668125365389454</v>
      </c>
      <c r="R263" s="7">
        <v>2.3701307596769659E-2</v>
      </c>
      <c r="S263" s="8">
        <v>0</v>
      </c>
      <c r="T263" s="8">
        <v>1</v>
      </c>
      <c r="U263" s="8">
        <v>830</v>
      </c>
      <c r="V263" s="7">
        <v>0.47714183749717526</v>
      </c>
      <c r="W263" s="7">
        <v>2.7405582617474847E-2</v>
      </c>
      <c r="X263" s="8">
        <v>0</v>
      </c>
      <c r="Y263" s="8">
        <v>1</v>
      </c>
      <c r="Z263" s="8">
        <v>733</v>
      </c>
      <c r="AA263" s="7">
        <v>0.67349513472272604</v>
      </c>
      <c r="AB263" s="7">
        <v>1.1615894672939582E-2</v>
      </c>
      <c r="AC263" s="8">
        <v>0</v>
      </c>
      <c r="AD263" s="8">
        <v>1</v>
      </c>
      <c r="AE263" s="8">
        <v>3213</v>
      </c>
      <c r="AF263">
        <f>(AA264/AA262)-AA263</f>
        <v>1.7933503275953E-2</v>
      </c>
    </row>
    <row r="264" spans="1:32" ht="14.25" customHeight="1" x14ac:dyDescent="0.45">
      <c r="A264" s="6" t="s">
        <v>116</v>
      </c>
      <c r="B264" s="7">
        <v>0.16011874138965082</v>
      </c>
      <c r="C264" s="7">
        <v>2.1677889336815602E-2</v>
      </c>
      <c r="D264" s="8">
        <v>0</v>
      </c>
      <c r="E264" s="8">
        <v>1</v>
      </c>
      <c r="F264" s="8">
        <v>343</v>
      </c>
      <c r="G264" s="7">
        <v>6.9575161627971213E-2</v>
      </c>
      <c r="H264" s="7">
        <v>1.126180752480818E-2</v>
      </c>
      <c r="I264" s="8">
        <v>0</v>
      </c>
      <c r="J264" s="8">
        <v>1</v>
      </c>
      <c r="K264" s="8">
        <v>685</v>
      </c>
      <c r="L264" s="7">
        <v>3.9637030800737223E-2</v>
      </c>
      <c r="M264" s="7">
        <v>9.9329760110897693E-3</v>
      </c>
      <c r="N264" s="8">
        <v>0</v>
      </c>
      <c r="O264" s="8">
        <v>1</v>
      </c>
      <c r="P264" s="8">
        <v>622</v>
      </c>
      <c r="Q264" s="7">
        <v>5.4756200762226627E-2</v>
      </c>
      <c r="R264" s="7">
        <v>1.2144063101887596E-2</v>
      </c>
      <c r="S264" s="8">
        <v>0</v>
      </c>
      <c r="T264" s="8">
        <v>1</v>
      </c>
      <c r="U264" s="8">
        <v>830</v>
      </c>
      <c r="V264" s="7">
        <v>5.7501058321952993E-2</v>
      </c>
      <c r="W264" s="7">
        <v>1.0020179640705014E-2</v>
      </c>
      <c r="X264" s="8">
        <v>0</v>
      </c>
      <c r="Y264" s="8">
        <v>1</v>
      </c>
      <c r="Z264" s="8">
        <v>733</v>
      </c>
      <c r="AA264" s="7">
        <v>5.9157564097836374E-2</v>
      </c>
      <c r="AB264" s="7">
        <v>5.8387730536502615E-3</v>
      </c>
      <c r="AC264" s="8">
        <v>0</v>
      </c>
      <c r="AD264" s="8">
        <v>1</v>
      </c>
      <c r="AE264" s="8">
        <v>3213</v>
      </c>
    </row>
    <row r="265" spans="1:32" ht="14.25" customHeight="1" x14ac:dyDescent="0.45">
      <c r="A265" s="6" t="s">
        <v>36</v>
      </c>
      <c r="B265" s="7">
        <v>0.22207872184389335</v>
      </c>
      <c r="C265" s="7">
        <v>2.4775433116898182E-2</v>
      </c>
      <c r="D265" s="8">
        <v>0</v>
      </c>
      <c r="E265" s="8">
        <v>1</v>
      </c>
      <c r="F265" s="8">
        <v>343</v>
      </c>
      <c r="G265" s="7">
        <v>9.3629004050585732E-2</v>
      </c>
      <c r="H265" s="7">
        <v>1.2914309363192237E-2</v>
      </c>
      <c r="I265" s="8">
        <v>0</v>
      </c>
      <c r="J265" s="8">
        <v>1</v>
      </c>
      <c r="K265" s="8">
        <v>685</v>
      </c>
      <c r="L265" s="7">
        <v>5.0675747986819425E-2</v>
      </c>
      <c r="M265" s="7">
        <v>1.1258657548167093E-2</v>
      </c>
      <c r="N265" s="8">
        <v>0</v>
      </c>
      <c r="O265" s="8">
        <v>1</v>
      </c>
      <c r="P265" s="8">
        <v>622</v>
      </c>
      <c r="Q265" s="7">
        <v>8.8906899619095245E-2</v>
      </c>
      <c r="R265" s="7">
        <v>1.5689910940161863E-2</v>
      </c>
      <c r="S265" s="8">
        <v>0</v>
      </c>
      <c r="T265" s="8">
        <v>1</v>
      </c>
      <c r="U265" s="8">
        <v>830</v>
      </c>
      <c r="V265" s="7">
        <v>0.14223726061043815</v>
      </c>
      <c r="W265" s="7">
        <v>1.6491487573434171E-2</v>
      </c>
      <c r="X265" s="8">
        <v>0</v>
      </c>
      <c r="Y265" s="8">
        <v>1</v>
      </c>
      <c r="Z265" s="8">
        <v>733</v>
      </c>
      <c r="AA265" s="7">
        <v>8.5558452234588231E-2</v>
      </c>
      <c r="AB265" s="7">
        <v>6.8658306176085059E-3</v>
      </c>
      <c r="AC265" s="8">
        <v>0</v>
      </c>
      <c r="AD265" s="8">
        <v>1</v>
      </c>
      <c r="AE265" s="8">
        <v>3213</v>
      </c>
      <c r="AF265">
        <f>(AA267/AA266)-AA265</f>
        <v>1.3860215450694546E-2</v>
      </c>
    </row>
    <row r="266" spans="1:32" ht="39.5" customHeight="1" x14ac:dyDescent="0.45">
      <c r="A266" s="6" t="s">
        <v>20</v>
      </c>
      <c r="B266" s="7">
        <v>0.429717204212403</v>
      </c>
      <c r="C266" s="7">
        <v>3.0392503365876303E-2</v>
      </c>
      <c r="D266" s="8">
        <v>0</v>
      </c>
      <c r="E266" s="8">
        <v>1</v>
      </c>
      <c r="F266" s="8">
        <v>343</v>
      </c>
      <c r="G266" s="7">
        <v>0.48245904042650412</v>
      </c>
      <c r="H266" s="7">
        <v>2.146411101488091E-2</v>
      </c>
      <c r="I266" s="8">
        <v>0</v>
      </c>
      <c r="J266" s="8">
        <v>1</v>
      </c>
      <c r="K266" s="8">
        <v>685</v>
      </c>
      <c r="L266" s="7">
        <v>0.54779032545005502</v>
      </c>
      <c r="M266" s="7">
        <v>2.3079129928781021E-2</v>
      </c>
      <c r="N266" s="8">
        <v>0</v>
      </c>
      <c r="O266" s="8">
        <v>1</v>
      </c>
      <c r="P266" s="8">
        <v>622</v>
      </c>
      <c r="Q266" s="7">
        <v>0.50863999660499892</v>
      </c>
      <c r="R266" s="7">
        <v>2.4084097248153895E-2</v>
      </c>
      <c r="S266" s="8">
        <v>0</v>
      </c>
      <c r="T266" s="8">
        <v>1</v>
      </c>
      <c r="U266" s="8">
        <v>830</v>
      </c>
      <c r="V266" s="7">
        <v>0.21923941521723078</v>
      </c>
      <c r="W266" s="7">
        <v>2.2302742957611636E-2</v>
      </c>
      <c r="X266" s="8">
        <v>0</v>
      </c>
      <c r="Y266" s="8">
        <v>1</v>
      </c>
      <c r="Z266" s="8">
        <v>733</v>
      </c>
      <c r="AA266" s="7">
        <v>0.49658329004295232</v>
      </c>
      <c r="AB266" s="7">
        <v>1.2332775383448446E-2</v>
      </c>
      <c r="AC266" s="8">
        <v>0</v>
      </c>
      <c r="AD266" s="8">
        <v>1</v>
      </c>
      <c r="AE266" s="8">
        <v>3213</v>
      </c>
      <c r="AF266">
        <f>(AA267/AA265)-AA266</f>
        <v>8.0445019860090561E-2</v>
      </c>
    </row>
    <row r="267" spans="1:32" ht="14.25" customHeight="1" x14ac:dyDescent="0.45">
      <c r="A267" s="6" t="s">
        <v>117</v>
      </c>
      <c r="B267" s="7">
        <v>0.12478197808624</v>
      </c>
      <c r="C267" s="7">
        <v>1.9662617653952601E-2</v>
      </c>
      <c r="D267" s="8">
        <v>0</v>
      </c>
      <c r="E267" s="8">
        <v>1</v>
      </c>
      <c r="F267" s="8">
        <v>343</v>
      </c>
      <c r="G267" s="7">
        <v>5.8220632919670105E-2</v>
      </c>
      <c r="H267" s="7">
        <v>1.0483930788885458E-2</v>
      </c>
      <c r="I267" s="8">
        <v>0</v>
      </c>
      <c r="J267" s="8">
        <v>1</v>
      </c>
      <c r="K267" s="8">
        <v>685</v>
      </c>
      <c r="L267" s="7">
        <v>3.7570776855068384E-2</v>
      </c>
      <c r="M267" s="7">
        <v>9.8299929635558628E-3</v>
      </c>
      <c r="N267" s="8">
        <v>0</v>
      </c>
      <c r="O267" s="8">
        <v>1</v>
      </c>
      <c r="P267" s="8">
        <v>622</v>
      </c>
      <c r="Q267" s="7">
        <v>4.8542055266158741E-2</v>
      </c>
      <c r="R267" s="7">
        <v>1.1129764274147266E-2</v>
      </c>
      <c r="S267" s="8">
        <v>0</v>
      </c>
      <c r="T267" s="8">
        <v>1</v>
      </c>
      <c r="U267" s="8">
        <v>830</v>
      </c>
      <c r="V267" s="7">
        <v>1.2420597207415672E-2</v>
      </c>
      <c r="W267" s="7">
        <v>3.1676104332046644E-3</v>
      </c>
      <c r="X267" s="8">
        <v>0</v>
      </c>
      <c r="Y267" s="8">
        <v>1</v>
      </c>
      <c r="Z267" s="8">
        <v>733</v>
      </c>
      <c r="AA267" s="7">
        <v>4.9369649090844667E-2</v>
      </c>
      <c r="AB267" s="7">
        <v>5.5481879876969004E-3</v>
      </c>
      <c r="AC267" s="8">
        <v>0</v>
      </c>
      <c r="AD267" s="8">
        <v>1</v>
      </c>
      <c r="AE267" s="8">
        <v>3213</v>
      </c>
    </row>
    <row r="268" spans="1:32" ht="14.25" customHeight="1" x14ac:dyDescent="0.45">
      <c r="A268" s="6" t="s">
        <v>36</v>
      </c>
      <c r="B268" s="7">
        <v>0.22207872184389335</v>
      </c>
      <c r="C268" s="7">
        <v>2.4775433116898182E-2</v>
      </c>
      <c r="D268" s="8">
        <v>0</v>
      </c>
      <c r="E268" s="8">
        <v>1</v>
      </c>
      <c r="F268" s="8">
        <v>343</v>
      </c>
      <c r="G268" s="7">
        <v>9.3629004050585732E-2</v>
      </c>
      <c r="H268" s="7">
        <v>1.2914309363192237E-2</v>
      </c>
      <c r="I268" s="8">
        <v>0</v>
      </c>
      <c r="J268" s="8">
        <v>1</v>
      </c>
      <c r="K268" s="8">
        <v>685</v>
      </c>
      <c r="L268" s="7">
        <v>5.0675747986819425E-2</v>
      </c>
      <c r="M268" s="7">
        <v>1.1258657548167093E-2</v>
      </c>
      <c r="N268" s="8">
        <v>0</v>
      </c>
      <c r="O268" s="8">
        <v>1</v>
      </c>
      <c r="P268" s="8">
        <v>622</v>
      </c>
      <c r="Q268" s="7">
        <v>8.8906899619095245E-2</v>
      </c>
      <c r="R268" s="7">
        <v>1.5689910940161863E-2</v>
      </c>
      <c r="S268" s="8">
        <v>0</v>
      </c>
      <c r="T268" s="8">
        <v>1</v>
      </c>
      <c r="U268" s="8">
        <v>830</v>
      </c>
      <c r="V268" s="7">
        <v>0.14223726061043815</v>
      </c>
      <c r="W268" s="7">
        <v>1.6491487573434171E-2</v>
      </c>
      <c r="X268" s="8">
        <v>0</v>
      </c>
      <c r="Y268" s="8">
        <v>1</v>
      </c>
      <c r="Z268" s="8">
        <v>733</v>
      </c>
      <c r="AA268" s="7">
        <v>8.5558452234588231E-2</v>
      </c>
      <c r="AB268" s="7">
        <v>6.8658306176085059E-3</v>
      </c>
      <c r="AC268" s="8">
        <v>0</v>
      </c>
      <c r="AD268" s="8">
        <v>1</v>
      </c>
      <c r="AE268" s="8">
        <v>3213</v>
      </c>
      <c r="AF268">
        <f>(AA270/AA269)-AA268</f>
        <v>-1.1377306818469504E-2</v>
      </c>
    </row>
    <row r="269" spans="1:32" ht="26.25" customHeight="1" x14ac:dyDescent="0.45">
      <c r="A269" s="6" t="s">
        <v>22</v>
      </c>
      <c r="B269" s="7">
        <v>0.46674587389419697</v>
      </c>
      <c r="C269" s="7">
        <v>3.0838428333854969E-2</v>
      </c>
      <c r="D269" s="8">
        <v>0</v>
      </c>
      <c r="E269" s="8">
        <v>1</v>
      </c>
      <c r="F269" s="8">
        <v>343</v>
      </c>
      <c r="G269" s="7">
        <v>0.49721456493371274</v>
      </c>
      <c r="H269" s="7">
        <v>2.1503868885976371E-2</v>
      </c>
      <c r="I269" s="8">
        <v>0</v>
      </c>
      <c r="J269" s="8">
        <v>1</v>
      </c>
      <c r="K269" s="8">
        <v>685</v>
      </c>
      <c r="L269" s="7">
        <v>0.49499161311096951</v>
      </c>
      <c r="M269" s="7">
        <v>2.3190131273243066E-2</v>
      </c>
      <c r="N269" s="8">
        <v>0</v>
      </c>
      <c r="O269" s="8">
        <v>1</v>
      </c>
      <c r="P269" s="8">
        <v>622</v>
      </c>
      <c r="Q269" s="7">
        <v>0.52967048191567545</v>
      </c>
      <c r="R269" s="7">
        <v>2.4042503277593212E-2</v>
      </c>
      <c r="S269" s="8">
        <v>0</v>
      </c>
      <c r="T269" s="8">
        <v>1</v>
      </c>
      <c r="U269" s="8">
        <v>830</v>
      </c>
      <c r="V269" s="7">
        <v>0.43883011512701503</v>
      </c>
      <c r="W269" s="7">
        <v>2.6915661407478465E-2</v>
      </c>
      <c r="X269" s="8">
        <v>0</v>
      </c>
      <c r="Y269" s="8">
        <v>1</v>
      </c>
      <c r="Z269" s="8">
        <v>733</v>
      </c>
      <c r="AA269" s="7">
        <v>0.49819284931542523</v>
      </c>
      <c r="AB269" s="7">
        <v>1.2331295303939749E-2</v>
      </c>
      <c r="AC269" s="8">
        <v>0</v>
      </c>
      <c r="AD269" s="8">
        <v>1</v>
      </c>
      <c r="AE269" s="8">
        <v>3213</v>
      </c>
      <c r="AF269">
        <f>(AA270/AA268)-AA269</f>
        <v>-6.6248193526083132E-2</v>
      </c>
    </row>
    <row r="270" spans="1:32" ht="14.25" customHeight="1" x14ac:dyDescent="0.45">
      <c r="A270" s="6" t="s">
        <v>118</v>
      </c>
      <c r="B270" s="7">
        <v>0.10387425388739112</v>
      </c>
      <c r="C270" s="7">
        <v>1.8442233710871545E-2</v>
      </c>
      <c r="D270" s="8">
        <v>0</v>
      </c>
      <c r="E270" s="8">
        <v>1</v>
      </c>
      <c r="F270" s="8">
        <v>343</v>
      </c>
      <c r="G270" s="7">
        <v>4.6978272433300446E-2</v>
      </c>
      <c r="H270" s="7">
        <v>9.5559256133870528E-3</v>
      </c>
      <c r="I270" s="8">
        <v>0</v>
      </c>
      <c r="J270" s="8">
        <v>1</v>
      </c>
      <c r="K270" s="8">
        <v>685</v>
      </c>
      <c r="L270" s="7">
        <v>1.8387736928587761E-2</v>
      </c>
      <c r="M270" s="7">
        <v>6.1207225637324577E-3</v>
      </c>
      <c r="N270" s="8">
        <v>0</v>
      </c>
      <c r="O270" s="8">
        <v>1</v>
      </c>
      <c r="P270" s="8">
        <v>622</v>
      </c>
      <c r="Q270" s="7">
        <v>3.564720336047205E-2</v>
      </c>
      <c r="R270" s="7">
        <v>1.0318757118492746E-2</v>
      </c>
      <c r="S270" s="8">
        <v>0</v>
      </c>
      <c r="T270" s="8">
        <v>1</v>
      </c>
      <c r="U270" s="8">
        <v>830</v>
      </c>
      <c r="V270" s="7">
        <v>5.4412629632769223E-2</v>
      </c>
      <c r="W270" s="7">
        <v>9.9433617985902473E-3</v>
      </c>
      <c r="X270" s="8">
        <v>0</v>
      </c>
      <c r="Y270" s="8">
        <v>1</v>
      </c>
      <c r="Z270" s="8">
        <v>733</v>
      </c>
      <c r="AA270" s="7">
        <v>3.6956516200338081E-2</v>
      </c>
      <c r="AB270" s="7">
        <v>4.4171636031024603E-3</v>
      </c>
      <c r="AC270" s="8">
        <v>0</v>
      </c>
      <c r="AD270" s="8">
        <v>1</v>
      </c>
      <c r="AE270" s="8">
        <v>3213</v>
      </c>
    </row>
    <row r="271" spans="1:32" ht="14.25" customHeight="1" x14ac:dyDescent="0.45">
      <c r="A271" s="6" t="s">
        <v>36</v>
      </c>
      <c r="B271" s="7">
        <v>0.22207872184389335</v>
      </c>
      <c r="C271" s="7">
        <v>2.4775433116898182E-2</v>
      </c>
      <c r="D271" s="8">
        <v>0</v>
      </c>
      <c r="E271" s="8">
        <v>1</v>
      </c>
      <c r="F271" s="8">
        <v>343</v>
      </c>
      <c r="G271" s="7">
        <v>9.3629004050585732E-2</v>
      </c>
      <c r="H271" s="7">
        <v>1.2914309363192237E-2</v>
      </c>
      <c r="I271" s="8">
        <v>0</v>
      </c>
      <c r="J271" s="8">
        <v>1</v>
      </c>
      <c r="K271" s="8">
        <v>685</v>
      </c>
      <c r="L271" s="7">
        <v>5.0675747986819425E-2</v>
      </c>
      <c r="M271" s="7">
        <v>1.1258657548167093E-2</v>
      </c>
      <c r="N271" s="8">
        <v>0</v>
      </c>
      <c r="O271" s="8">
        <v>1</v>
      </c>
      <c r="P271" s="8">
        <v>622</v>
      </c>
      <c r="Q271" s="7">
        <v>8.8906899619095245E-2</v>
      </c>
      <c r="R271" s="7">
        <v>1.5689910940161863E-2</v>
      </c>
      <c r="S271" s="8">
        <v>0</v>
      </c>
      <c r="T271" s="8">
        <v>1</v>
      </c>
      <c r="U271" s="8">
        <v>830</v>
      </c>
      <c r="V271" s="7">
        <v>0.14223726061043815</v>
      </c>
      <c r="W271" s="7">
        <v>1.6491487573434171E-2</v>
      </c>
      <c r="X271" s="8">
        <v>0</v>
      </c>
      <c r="Y271" s="8">
        <v>1</v>
      </c>
      <c r="Z271" s="8">
        <v>733</v>
      </c>
      <c r="AA271" s="7">
        <v>8.5558452234588231E-2</v>
      </c>
      <c r="AB271" s="7">
        <v>6.8658306176085059E-3</v>
      </c>
      <c r="AC271" s="8">
        <v>0</v>
      </c>
      <c r="AD271" s="8">
        <v>1</v>
      </c>
      <c r="AE271" s="8">
        <v>3213</v>
      </c>
      <c r="AF271">
        <f>(AA273/AA272)-AA271</f>
        <v>-1.7805040024607408E-2</v>
      </c>
    </row>
    <row r="272" spans="1:32" ht="26.25" customHeight="1" x14ac:dyDescent="0.45">
      <c r="A272" s="6" t="s">
        <v>24</v>
      </c>
      <c r="B272" s="7">
        <v>0.11043143982498899</v>
      </c>
      <c r="C272" s="7">
        <v>1.9318318636183492E-2</v>
      </c>
      <c r="D272" s="8">
        <v>0</v>
      </c>
      <c r="E272" s="8">
        <v>1</v>
      </c>
      <c r="F272" s="8">
        <v>343</v>
      </c>
      <c r="G272" s="7">
        <v>0.1141877917275687</v>
      </c>
      <c r="H272" s="7">
        <v>1.372767009886945E-2</v>
      </c>
      <c r="I272" s="8">
        <v>0</v>
      </c>
      <c r="J272" s="8">
        <v>1</v>
      </c>
      <c r="K272" s="8">
        <v>685</v>
      </c>
      <c r="L272" s="7">
        <v>0.2107063624328053</v>
      </c>
      <c r="M272" s="7">
        <v>1.9196340458493756E-2</v>
      </c>
      <c r="N272" s="8">
        <v>0</v>
      </c>
      <c r="O272" s="8">
        <v>1</v>
      </c>
      <c r="P272" s="8">
        <v>622</v>
      </c>
      <c r="Q272" s="7">
        <v>0.32132005623330667</v>
      </c>
      <c r="R272" s="7">
        <v>2.2425332775680609E-2</v>
      </c>
      <c r="S272" s="8">
        <v>0</v>
      </c>
      <c r="T272" s="8">
        <v>1</v>
      </c>
      <c r="U272" s="8">
        <v>830</v>
      </c>
      <c r="V272" s="7">
        <v>0.13983861568962849</v>
      </c>
      <c r="W272" s="7">
        <v>1.8872674699234135E-2</v>
      </c>
      <c r="X272" s="8">
        <v>0</v>
      </c>
      <c r="Y272" s="8">
        <v>1</v>
      </c>
      <c r="Z272" s="8">
        <v>733</v>
      </c>
      <c r="AA272" s="7">
        <v>0.19633718423549712</v>
      </c>
      <c r="AB272" s="7">
        <v>9.9780503174346086E-3</v>
      </c>
      <c r="AC272" s="8">
        <v>0</v>
      </c>
      <c r="AD272" s="8">
        <v>1</v>
      </c>
      <c r="AE272" s="8">
        <v>3213</v>
      </c>
      <c r="AF272">
        <f>(AA273/AA271)-AA272</f>
        <v>-4.0858516398202455E-2</v>
      </c>
    </row>
    <row r="273" spans="1:32" ht="14.25" customHeight="1" x14ac:dyDescent="0.45">
      <c r="A273" s="6" t="s">
        <v>119</v>
      </c>
      <c r="B273" s="7">
        <v>4.7355862075031001E-2</v>
      </c>
      <c r="C273" s="7">
        <v>1.3284033818102049E-2</v>
      </c>
      <c r="D273" s="8">
        <v>0</v>
      </c>
      <c r="E273" s="8">
        <v>1</v>
      </c>
      <c r="F273" s="8">
        <v>343</v>
      </c>
      <c r="G273" s="7">
        <v>7.628033234199489E-3</v>
      </c>
      <c r="H273" s="7">
        <v>3.8267143476035993E-3</v>
      </c>
      <c r="I273" s="8">
        <v>0</v>
      </c>
      <c r="J273" s="8">
        <v>1</v>
      </c>
      <c r="K273" s="8">
        <v>685</v>
      </c>
      <c r="L273" s="7">
        <v>5.211364781422095E-3</v>
      </c>
      <c r="M273" s="7">
        <v>3.2353662514472956E-3</v>
      </c>
      <c r="N273" s="8">
        <v>0</v>
      </c>
      <c r="O273" s="8">
        <v>1</v>
      </c>
      <c r="P273" s="8">
        <v>622</v>
      </c>
      <c r="Q273" s="7">
        <v>2.9194572302258172E-2</v>
      </c>
      <c r="R273" s="7">
        <v>9.8094951826651726E-3</v>
      </c>
      <c r="S273" s="8">
        <v>0</v>
      </c>
      <c r="T273" s="8">
        <v>1</v>
      </c>
      <c r="U273" s="8">
        <v>830</v>
      </c>
      <c r="V273" s="7">
        <v>6.1235798867572142E-3</v>
      </c>
      <c r="W273" s="7">
        <v>4.544609240696309E-3</v>
      </c>
      <c r="X273" s="8">
        <v>0</v>
      </c>
      <c r="Y273" s="8">
        <v>1</v>
      </c>
      <c r="Z273" s="8">
        <v>733</v>
      </c>
      <c r="AA273" s="7">
        <v>1.3302514175654584E-2</v>
      </c>
      <c r="AB273" s="7">
        <v>2.7736956555839583E-3</v>
      </c>
      <c r="AC273" s="8">
        <v>0</v>
      </c>
      <c r="AD273" s="8">
        <v>1</v>
      </c>
      <c r="AE273" s="8">
        <v>3213</v>
      </c>
    </row>
    <row r="274" spans="1:32" ht="26.25" customHeight="1" x14ac:dyDescent="0.45">
      <c r="A274" s="6" t="s">
        <v>38</v>
      </c>
      <c r="B274" s="7">
        <v>0.429717204212403</v>
      </c>
      <c r="C274" s="7">
        <v>3.0392503365876303E-2</v>
      </c>
      <c r="D274" s="8">
        <v>0</v>
      </c>
      <c r="E274" s="8">
        <v>1</v>
      </c>
      <c r="F274" s="8">
        <v>343</v>
      </c>
      <c r="G274" s="7">
        <v>0.4800939721985647</v>
      </c>
      <c r="H274" s="7">
        <v>2.1458745860172199E-2</v>
      </c>
      <c r="I274" s="8">
        <v>0</v>
      </c>
      <c r="J274" s="8">
        <v>1</v>
      </c>
      <c r="K274" s="8">
        <v>685</v>
      </c>
      <c r="L274" s="7">
        <v>0.54292486162987486</v>
      </c>
      <c r="M274" s="7">
        <v>2.3097197169809559E-2</v>
      </c>
      <c r="N274" s="8">
        <v>0</v>
      </c>
      <c r="O274" s="8">
        <v>1</v>
      </c>
      <c r="P274" s="8">
        <v>622</v>
      </c>
      <c r="Q274" s="7">
        <v>0.5061258995781831</v>
      </c>
      <c r="R274" s="7">
        <v>2.4068941722059152E-2</v>
      </c>
      <c r="S274" s="8">
        <v>0</v>
      </c>
      <c r="T274" s="8">
        <v>1</v>
      </c>
      <c r="U274" s="8">
        <v>830</v>
      </c>
      <c r="V274" s="7">
        <v>0.21923941521723078</v>
      </c>
      <c r="W274" s="7">
        <v>2.2302742957611636E-2</v>
      </c>
      <c r="X274" s="8">
        <v>0</v>
      </c>
      <c r="Y274" s="8">
        <v>1</v>
      </c>
      <c r="Z274" s="8">
        <v>733</v>
      </c>
      <c r="AA274" s="7">
        <v>0.49346013284592816</v>
      </c>
      <c r="AB274" s="7">
        <v>1.2333331111640417E-2</v>
      </c>
      <c r="AC274" s="8">
        <v>0</v>
      </c>
      <c r="AD274" s="8">
        <v>1</v>
      </c>
      <c r="AE274" s="8">
        <v>3213</v>
      </c>
      <c r="AF274">
        <f>(AA276/AA275)-AA274</f>
        <v>6.8620434127577457E-2</v>
      </c>
    </row>
    <row r="275" spans="1:32" ht="14.25" customHeight="1" x14ac:dyDescent="0.45">
      <c r="A275" s="6" t="s">
        <v>40</v>
      </c>
      <c r="B275" s="7">
        <v>0.11043143982498899</v>
      </c>
      <c r="C275" s="7">
        <v>1.9318318636183492E-2</v>
      </c>
      <c r="D275" s="8">
        <v>0</v>
      </c>
      <c r="E275" s="8">
        <v>1</v>
      </c>
      <c r="F275" s="8">
        <v>343</v>
      </c>
      <c r="G275" s="7">
        <v>0.11069522201123315</v>
      </c>
      <c r="H275" s="7">
        <v>1.3640876599586607E-2</v>
      </c>
      <c r="I275" s="8">
        <v>0</v>
      </c>
      <c r="J275" s="8">
        <v>1</v>
      </c>
      <c r="K275" s="8">
        <v>685</v>
      </c>
      <c r="L275" s="7">
        <v>0.20545282167499468</v>
      </c>
      <c r="M275" s="7">
        <v>1.8994482679167819E-2</v>
      </c>
      <c r="N275" s="8">
        <v>0</v>
      </c>
      <c r="O275" s="8">
        <v>1</v>
      </c>
      <c r="P275" s="8">
        <v>622</v>
      </c>
      <c r="Q275" s="7">
        <v>0.31815038623555536</v>
      </c>
      <c r="R275" s="7">
        <v>2.2407093634880186E-2</v>
      </c>
      <c r="S275" s="8">
        <v>0</v>
      </c>
      <c r="T275" s="8">
        <v>1</v>
      </c>
      <c r="U275" s="8">
        <v>830</v>
      </c>
      <c r="V275" s="7">
        <v>0.13233968886421418</v>
      </c>
      <c r="W275" s="7">
        <v>1.8303690851725167E-2</v>
      </c>
      <c r="X275" s="8">
        <v>0</v>
      </c>
      <c r="Y275" s="8">
        <v>1</v>
      </c>
      <c r="Z275" s="8">
        <v>733</v>
      </c>
      <c r="AA275" s="7">
        <v>0.19219833829689462</v>
      </c>
      <c r="AB275" s="7">
        <v>9.9022963989124652E-3</v>
      </c>
      <c r="AC275" s="8">
        <v>0</v>
      </c>
      <c r="AD275" s="8">
        <v>1</v>
      </c>
      <c r="AE275" s="8">
        <v>3213</v>
      </c>
      <c r="AF275">
        <f>(AA276/AA274)-AA275</f>
        <v>2.6727049531780095E-2</v>
      </c>
    </row>
    <row r="276" spans="1:32" ht="39.5" customHeight="1" x14ac:dyDescent="0.45">
      <c r="A276" s="6" t="s">
        <v>120</v>
      </c>
      <c r="B276" s="7">
        <v>7.8391270115642078E-2</v>
      </c>
      <c r="C276" s="7">
        <v>1.6478992878250543E-2</v>
      </c>
      <c r="D276" s="8">
        <v>0</v>
      </c>
      <c r="E276" s="8">
        <v>1</v>
      </c>
      <c r="F276" s="8">
        <v>343</v>
      </c>
      <c r="G276" s="7">
        <v>7.9070694515693929E-2</v>
      </c>
      <c r="H276" s="7">
        <v>1.1948307126528855E-2</v>
      </c>
      <c r="I276" s="8">
        <v>0</v>
      </c>
      <c r="J276" s="8">
        <v>1</v>
      </c>
      <c r="K276" s="8">
        <v>685</v>
      </c>
      <c r="L276" s="7">
        <v>0.1100930931235491</v>
      </c>
      <c r="M276" s="7">
        <v>1.496660395030177E-2</v>
      </c>
      <c r="N276" s="8">
        <v>0</v>
      </c>
      <c r="O276" s="8">
        <v>1</v>
      </c>
      <c r="P276" s="8">
        <v>622</v>
      </c>
      <c r="Q276" s="7">
        <v>0.16479038133496934</v>
      </c>
      <c r="R276" s="7">
        <v>1.6652969643880525E-2</v>
      </c>
      <c r="S276" s="8">
        <v>0</v>
      </c>
      <c r="T276" s="8">
        <v>1</v>
      </c>
      <c r="U276" s="8">
        <v>830</v>
      </c>
      <c r="V276" s="7">
        <v>6.0590400729471486E-2</v>
      </c>
      <c r="W276" s="7">
        <v>1.3191419419759407E-2</v>
      </c>
      <c r="X276" s="8">
        <v>0</v>
      </c>
      <c r="Y276" s="8">
        <v>1</v>
      </c>
      <c r="Z276" s="8">
        <v>733</v>
      </c>
      <c r="AA276" s="7">
        <v>0.10803095096128416</v>
      </c>
      <c r="AB276" s="7">
        <v>7.7530659026588886E-3</v>
      </c>
      <c r="AC276" s="8">
        <v>0</v>
      </c>
      <c r="AD276" s="8">
        <v>1</v>
      </c>
      <c r="AE276" s="8">
        <v>3213</v>
      </c>
    </row>
    <row r="277" spans="1:32" ht="26.25" customHeight="1" x14ac:dyDescent="0.45">
      <c r="A277" s="6" t="s">
        <v>38</v>
      </c>
      <c r="B277" s="7">
        <v>0.429717204212403</v>
      </c>
      <c r="C277" s="7">
        <v>3.0392503365876303E-2</v>
      </c>
      <c r="D277" s="8">
        <v>0</v>
      </c>
      <c r="E277" s="8">
        <v>1</v>
      </c>
      <c r="F277" s="8">
        <v>343</v>
      </c>
      <c r="G277" s="7">
        <v>0.4800939721985647</v>
      </c>
      <c r="H277" s="7">
        <v>2.1458745860172199E-2</v>
      </c>
      <c r="I277" s="8">
        <v>0</v>
      </c>
      <c r="J277" s="8">
        <v>1</v>
      </c>
      <c r="K277" s="8">
        <v>685</v>
      </c>
      <c r="L277" s="7">
        <v>0.54292486162987486</v>
      </c>
      <c r="M277" s="7">
        <v>2.3097197169809559E-2</v>
      </c>
      <c r="N277" s="8">
        <v>0</v>
      </c>
      <c r="O277" s="8">
        <v>1</v>
      </c>
      <c r="P277" s="8">
        <v>622</v>
      </c>
      <c r="Q277" s="7">
        <v>0.5061258995781831</v>
      </c>
      <c r="R277" s="7">
        <v>2.4068941722059152E-2</v>
      </c>
      <c r="S277" s="8">
        <v>0</v>
      </c>
      <c r="T277" s="8">
        <v>1</v>
      </c>
      <c r="U277" s="8">
        <v>830</v>
      </c>
      <c r="V277" s="7">
        <v>0.21923941521723078</v>
      </c>
      <c r="W277" s="7">
        <v>2.2302742957611636E-2</v>
      </c>
      <c r="X277" s="8">
        <v>0</v>
      </c>
      <c r="Y277" s="8">
        <v>1</v>
      </c>
      <c r="Z277" s="8">
        <v>733</v>
      </c>
      <c r="AA277" s="7">
        <v>0.49346013284592816</v>
      </c>
      <c r="AB277" s="7">
        <v>1.2333331111640417E-2</v>
      </c>
      <c r="AC277" s="8">
        <v>0</v>
      </c>
      <c r="AD277" s="8">
        <v>1</v>
      </c>
      <c r="AE277" s="8">
        <v>3213</v>
      </c>
      <c r="AF277">
        <f>(AA279/AA278)-AA277</f>
        <v>8.6278098692698646E-2</v>
      </c>
    </row>
    <row r="278" spans="1:32" ht="14.25" customHeight="1" x14ac:dyDescent="0.45">
      <c r="A278" s="6" t="s">
        <v>42</v>
      </c>
      <c r="B278" s="7">
        <v>0.4041930049279841</v>
      </c>
      <c r="C278" s="7">
        <v>3.0232276444073676E-2</v>
      </c>
      <c r="D278" s="8">
        <v>0</v>
      </c>
      <c r="E278" s="8">
        <v>1</v>
      </c>
      <c r="F278" s="8">
        <v>343</v>
      </c>
      <c r="G278" s="7">
        <v>0.47166434397907836</v>
      </c>
      <c r="H278" s="7">
        <v>2.1519532355489479E-2</v>
      </c>
      <c r="I278" s="8">
        <v>0</v>
      </c>
      <c r="J278" s="8">
        <v>1</v>
      </c>
      <c r="K278" s="8">
        <v>685</v>
      </c>
      <c r="L278" s="7">
        <v>0.43338553269768243</v>
      </c>
      <c r="M278" s="7">
        <v>2.2944313900862667E-2</v>
      </c>
      <c r="N278" s="8">
        <v>0</v>
      </c>
      <c r="O278" s="8">
        <v>1</v>
      </c>
      <c r="P278" s="8">
        <v>622</v>
      </c>
      <c r="Q278" s="7">
        <v>0.37080005445994324</v>
      </c>
      <c r="R278" s="7">
        <v>2.2758196670672724E-2</v>
      </c>
      <c r="S278" s="8">
        <v>0</v>
      </c>
      <c r="T278" s="8">
        <v>1</v>
      </c>
      <c r="U278" s="8">
        <v>830</v>
      </c>
      <c r="V278" s="7">
        <v>0.40704376021255967</v>
      </c>
      <c r="W278" s="7">
        <v>2.6476273726386629E-2</v>
      </c>
      <c r="X278" s="8">
        <v>0</v>
      </c>
      <c r="Y278" s="8">
        <v>1</v>
      </c>
      <c r="Z278" s="8">
        <v>733</v>
      </c>
      <c r="AA278" s="7">
        <v>0.42838777016507279</v>
      </c>
      <c r="AB278" s="7">
        <v>1.219850561897003E-2</v>
      </c>
      <c r="AC278" s="8">
        <v>0</v>
      </c>
      <c r="AD278" s="8">
        <v>1</v>
      </c>
      <c r="AE278" s="8">
        <v>3213</v>
      </c>
      <c r="AF278">
        <f>(AA279/AA277)-AA278</f>
        <v>7.4900645164352797E-2</v>
      </c>
    </row>
    <row r="279" spans="1:32" ht="39.5" customHeight="1" x14ac:dyDescent="0.45">
      <c r="A279" s="6" t="s">
        <v>121</v>
      </c>
      <c r="B279" s="7">
        <v>0.17520909385289282</v>
      </c>
      <c r="C279" s="7">
        <v>2.2769322500617081E-2</v>
      </c>
      <c r="D279" s="8">
        <v>0</v>
      </c>
      <c r="E279" s="8">
        <v>1</v>
      </c>
      <c r="F279" s="8">
        <v>343</v>
      </c>
      <c r="G279" s="7">
        <v>0.26202702896160601</v>
      </c>
      <c r="H279" s="7">
        <v>1.8933448501773083E-2</v>
      </c>
      <c r="I279" s="8">
        <v>0</v>
      </c>
      <c r="J279" s="8">
        <v>1</v>
      </c>
      <c r="K279" s="8">
        <v>685</v>
      </c>
      <c r="L279" s="7">
        <v>0.28304905248669637</v>
      </c>
      <c r="M279" s="7">
        <v>2.1090749711016529E-2</v>
      </c>
      <c r="N279" s="8">
        <v>0</v>
      </c>
      <c r="O279" s="8">
        <v>1</v>
      </c>
      <c r="P279" s="8">
        <v>622</v>
      </c>
      <c r="Q279" s="7">
        <v>0.20880058864867235</v>
      </c>
      <c r="R279" s="7">
        <v>1.8248937064203358E-2</v>
      </c>
      <c r="S279" s="8">
        <v>0</v>
      </c>
      <c r="T279" s="8">
        <v>1</v>
      </c>
      <c r="U279" s="8">
        <v>830</v>
      </c>
      <c r="V279" s="7">
        <v>0.14914133793261519</v>
      </c>
      <c r="W279" s="7">
        <v>1.8894187332607351E-2</v>
      </c>
      <c r="X279" s="8">
        <v>0</v>
      </c>
      <c r="Y279" s="8">
        <v>1</v>
      </c>
      <c r="Z279" s="8">
        <v>733</v>
      </c>
      <c r="AA279" s="7">
        <v>0.24835276828827499</v>
      </c>
      <c r="AB279" s="7">
        <v>1.0826116404124056E-2</v>
      </c>
      <c r="AC279" s="8">
        <v>0</v>
      </c>
      <c r="AD279" s="8">
        <v>1</v>
      </c>
      <c r="AE279" s="8">
        <v>3213</v>
      </c>
    </row>
    <row r="280" spans="1:32" ht="26.25" customHeight="1" x14ac:dyDescent="0.45">
      <c r="A280" s="6" t="s">
        <v>38</v>
      </c>
      <c r="B280" s="7">
        <v>0.429717204212403</v>
      </c>
      <c r="C280" s="7">
        <v>3.0392503365876303E-2</v>
      </c>
      <c r="D280" s="8">
        <v>0</v>
      </c>
      <c r="E280" s="8">
        <v>1</v>
      </c>
      <c r="F280" s="8">
        <v>343</v>
      </c>
      <c r="G280" s="7">
        <v>0.4800939721985647</v>
      </c>
      <c r="H280" s="7">
        <v>2.1458745860172199E-2</v>
      </c>
      <c r="I280" s="8">
        <v>0</v>
      </c>
      <c r="J280" s="8">
        <v>1</v>
      </c>
      <c r="K280" s="8">
        <v>685</v>
      </c>
      <c r="L280" s="7">
        <v>0.54292486162987486</v>
      </c>
      <c r="M280" s="7">
        <v>2.3097197169809559E-2</v>
      </c>
      <c r="N280" s="8">
        <v>0</v>
      </c>
      <c r="O280" s="8">
        <v>1</v>
      </c>
      <c r="P280" s="8">
        <v>622</v>
      </c>
      <c r="Q280" s="7">
        <v>0.5061258995781831</v>
      </c>
      <c r="R280" s="7">
        <v>2.4068941722059152E-2</v>
      </c>
      <c r="S280" s="8">
        <v>0</v>
      </c>
      <c r="T280" s="8">
        <v>1</v>
      </c>
      <c r="U280" s="8">
        <v>830</v>
      </c>
      <c r="V280" s="7">
        <v>0.21923941521723078</v>
      </c>
      <c r="W280" s="7">
        <v>2.2302742957611636E-2</v>
      </c>
      <c r="X280" s="8">
        <v>0</v>
      </c>
      <c r="Y280" s="8">
        <v>1</v>
      </c>
      <c r="Z280" s="8">
        <v>733</v>
      </c>
      <c r="AA280" s="7">
        <v>0.49346013284592816</v>
      </c>
      <c r="AB280" s="7">
        <v>1.2333331111640417E-2</v>
      </c>
      <c r="AC280" s="8">
        <v>0</v>
      </c>
      <c r="AD280" s="8">
        <v>1</v>
      </c>
      <c r="AE280" s="8">
        <v>3213</v>
      </c>
      <c r="AF280">
        <f>(AA282/AA281)-AA280</f>
        <v>-1.032088142466786E-2</v>
      </c>
    </row>
    <row r="281" spans="1:32" ht="14.25" customHeight="1" x14ac:dyDescent="0.45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343</v>
      </c>
      <c r="G281" s="7">
        <v>6.1239228844402228E-3</v>
      </c>
      <c r="H281" s="7">
        <v>2.559788277249609E-3</v>
      </c>
      <c r="I281" s="8">
        <v>0</v>
      </c>
      <c r="J281" s="8">
        <v>1</v>
      </c>
      <c r="K281" s="8">
        <v>685</v>
      </c>
      <c r="L281" s="7">
        <v>7.5222336372921406E-3</v>
      </c>
      <c r="M281" s="7">
        <v>3.888810135536692E-3</v>
      </c>
      <c r="N281" s="8">
        <v>0</v>
      </c>
      <c r="O281" s="8">
        <v>1</v>
      </c>
      <c r="P281" s="8">
        <v>622</v>
      </c>
      <c r="Q281" s="7">
        <v>4.3787001294212568E-3</v>
      </c>
      <c r="R281" s="7">
        <v>1.9345454374379675E-3</v>
      </c>
      <c r="S281" s="8">
        <v>0</v>
      </c>
      <c r="T281" s="8">
        <v>1</v>
      </c>
      <c r="U281" s="8">
        <v>830</v>
      </c>
      <c r="V281" s="7">
        <v>7.4989268254143093E-3</v>
      </c>
      <c r="W281" s="7">
        <v>5.3346475986279715E-3</v>
      </c>
      <c r="X281" s="8">
        <v>0</v>
      </c>
      <c r="Y281" s="8">
        <v>1</v>
      </c>
      <c r="Z281" s="8">
        <v>733</v>
      </c>
      <c r="AA281" s="7">
        <v>6.0425505430857273E-3</v>
      </c>
      <c r="AB281" s="7">
        <v>1.7730974810922998E-3</v>
      </c>
      <c r="AC281" s="8">
        <v>0</v>
      </c>
      <c r="AD281" s="8">
        <v>1</v>
      </c>
      <c r="AE281" s="8">
        <v>3213</v>
      </c>
      <c r="AF281">
        <f>(AA282/AA280)-AA281</f>
        <v>-1.2638193747907533E-4</v>
      </c>
    </row>
    <row r="282" spans="1:32" ht="26.25" customHeight="1" x14ac:dyDescent="0.45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343</v>
      </c>
      <c r="G282" s="7">
        <v>3.7588546565008284E-3</v>
      </c>
      <c r="H282" s="7">
        <v>1.9304023604835327E-3</v>
      </c>
      <c r="I282" s="8">
        <v>0</v>
      </c>
      <c r="J282" s="8">
        <v>1</v>
      </c>
      <c r="K282" s="8">
        <v>685</v>
      </c>
      <c r="L282" s="7">
        <v>2.6567698171119898E-3</v>
      </c>
      <c r="M282" s="7">
        <v>2.5955672404639044E-3</v>
      </c>
      <c r="N282" s="8">
        <v>0</v>
      </c>
      <c r="O282" s="8">
        <v>1</v>
      </c>
      <c r="P282" s="8">
        <v>622</v>
      </c>
      <c r="Q282" s="7">
        <v>1.8646031026054374E-3</v>
      </c>
      <c r="R282" s="7">
        <v>1.3140972223531242E-3</v>
      </c>
      <c r="S282" s="8">
        <v>0</v>
      </c>
      <c r="T282" s="8">
        <v>1</v>
      </c>
      <c r="U282" s="8">
        <v>830</v>
      </c>
      <c r="V282" s="7">
        <v>7.4989268254143093E-3</v>
      </c>
      <c r="W282" s="7">
        <v>5.3346475986279715E-3</v>
      </c>
      <c r="X282" s="8">
        <v>0</v>
      </c>
      <c r="Y282" s="8">
        <v>1</v>
      </c>
      <c r="Z282" s="8">
        <v>733</v>
      </c>
      <c r="AA282" s="7">
        <v>2.919393346061568E-3</v>
      </c>
      <c r="AB282" s="7">
        <v>1.2307569926841816E-3</v>
      </c>
      <c r="AC282" s="8">
        <v>0</v>
      </c>
      <c r="AD282" s="8">
        <v>1</v>
      </c>
      <c r="AE282" s="8">
        <v>3213</v>
      </c>
    </row>
    <row r="283" spans="1:32" ht="14.25" customHeight="1" x14ac:dyDescent="0.45">
      <c r="A283" s="6" t="s">
        <v>40</v>
      </c>
      <c r="B283" s="7">
        <v>0.11043143982498899</v>
      </c>
      <c r="C283" s="7">
        <v>1.9318318636183492E-2</v>
      </c>
      <c r="D283" s="8">
        <v>0</v>
      </c>
      <c r="E283" s="8">
        <v>1</v>
      </c>
      <c r="F283" s="8">
        <v>343</v>
      </c>
      <c r="G283" s="7">
        <v>0.11069522201123315</v>
      </c>
      <c r="H283" s="7">
        <v>1.3640876599586607E-2</v>
      </c>
      <c r="I283" s="8">
        <v>0</v>
      </c>
      <c r="J283" s="8">
        <v>1</v>
      </c>
      <c r="K283" s="8">
        <v>685</v>
      </c>
      <c r="L283" s="7">
        <v>0.20545282167499468</v>
      </c>
      <c r="M283" s="7">
        <v>1.8994482679167819E-2</v>
      </c>
      <c r="N283" s="8">
        <v>0</v>
      </c>
      <c r="O283" s="8">
        <v>1</v>
      </c>
      <c r="P283" s="8">
        <v>622</v>
      </c>
      <c r="Q283" s="7">
        <v>0.31815038623555536</v>
      </c>
      <c r="R283" s="7">
        <v>2.2407093634880186E-2</v>
      </c>
      <c r="S283" s="8">
        <v>0</v>
      </c>
      <c r="T283" s="8">
        <v>1</v>
      </c>
      <c r="U283" s="8">
        <v>830</v>
      </c>
      <c r="V283" s="7">
        <v>0.13233968886421418</v>
      </c>
      <c r="W283" s="7">
        <v>1.8303690851725167E-2</v>
      </c>
      <c r="X283" s="8">
        <v>0</v>
      </c>
      <c r="Y283" s="8">
        <v>1</v>
      </c>
      <c r="Z283" s="8">
        <v>733</v>
      </c>
      <c r="AA283" s="7">
        <v>0.19219833829689462</v>
      </c>
      <c r="AB283" s="7">
        <v>9.9022963989124652E-3</v>
      </c>
      <c r="AC283" s="8">
        <v>0</v>
      </c>
      <c r="AD283" s="8">
        <v>1</v>
      </c>
      <c r="AE283" s="8">
        <v>3213</v>
      </c>
      <c r="AF283">
        <f>(AA285/AA284)-AA283</f>
        <v>9.3508368734867259E-2</v>
      </c>
    </row>
    <row r="284" spans="1:32" ht="14.25" customHeight="1" x14ac:dyDescent="0.45">
      <c r="A284" s="6" t="s">
        <v>42</v>
      </c>
      <c r="B284" s="7">
        <v>0.4041930049279841</v>
      </c>
      <c r="C284" s="7">
        <v>3.0232276444073676E-2</v>
      </c>
      <c r="D284" s="8">
        <v>0</v>
      </c>
      <c r="E284" s="8">
        <v>1</v>
      </c>
      <c r="F284" s="8">
        <v>343</v>
      </c>
      <c r="G284" s="7">
        <v>0.47166434397907836</v>
      </c>
      <c r="H284" s="7">
        <v>2.1519532355489479E-2</v>
      </c>
      <c r="I284" s="8">
        <v>0</v>
      </c>
      <c r="J284" s="8">
        <v>1</v>
      </c>
      <c r="K284" s="8">
        <v>685</v>
      </c>
      <c r="L284" s="7">
        <v>0.43338553269768243</v>
      </c>
      <c r="M284" s="7">
        <v>2.2944313900862667E-2</v>
      </c>
      <c r="N284" s="8">
        <v>0</v>
      </c>
      <c r="O284" s="8">
        <v>1</v>
      </c>
      <c r="P284" s="8">
        <v>622</v>
      </c>
      <c r="Q284" s="7">
        <v>0.37080005445994324</v>
      </c>
      <c r="R284" s="7">
        <v>2.2758196670672724E-2</v>
      </c>
      <c r="S284" s="8">
        <v>0</v>
      </c>
      <c r="T284" s="8">
        <v>1</v>
      </c>
      <c r="U284" s="8">
        <v>830</v>
      </c>
      <c r="V284" s="7">
        <v>0.40704376021255967</v>
      </c>
      <c r="W284" s="7">
        <v>2.6476273726386629E-2</v>
      </c>
      <c r="X284" s="8">
        <v>0</v>
      </c>
      <c r="Y284" s="8">
        <v>1</v>
      </c>
      <c r="Z284" s="8">
        <v>733</v>
      </c>
      <c r="AA284" s="7">
        <v>0.42838777016507279</v>
      </c>
      <c r="AB284" s="7">
        <v>1.219850561897003E-2</v>
      </c>
      <c r="AC284" s="8">
        <v>0</v>
      </c>
      <c r="AD284" s="8">
        <v>1</v>
      </c>
      <c r="AE284" s="8">
        <v>3213</v>
      </c>
      <c r="AF284">
        <f>(AA285/AA283)-AA284</f>
        <v>0.20841929190992603</v>
      </c>
    </row>
    <row r="285" spans="1:32" ht="26.25" customHeight="1" x14ac:dyDescent="0.45">
      <c r="A285" s="6" t="s">
        <v>123</v>
      </c>
      <c r="B285" s="7">
        <v>4.787857085877608E-2</v>
      </c>
      <c r="C285" s="7">
        <v>1.2100340850822346E-2</v>
      </c>
      <c r="D285" s="8">
        <v>0</v>
      </c>
      <c r="E285" s="8">
        <v>1</v>
      </c>
      <c r="F285" s="8">
        <v>343</v>
      </c>
      <c r="G285" s="7">
        <v>8.5145001056598751E-2</v>
      </c>
      <c r="H285" s="7">
        <v>1.2330497063287801E-2</v>
      </c>
      <c r="I285" s="8">
        <v>0</v>
      </c>
      <c r="J285" s="8">
        <v>1</v>
      </c>
      <c r="K285" s="8">
        <v>685</v>
      </c>
      <c r="L285" s="7">
        <v>0.14384674126170757</v>
      </c>
      <c r="M285" s="7">
        <v>1.6874708619479116E-2</v>
      </c>
      <c r="N285" s="8">
        <v>0</v>
      </c>
      <c r="O285" s="8">
        <v>1</v>
      </c>
      <c r="P285" s="8">
        <v>622</v>
      </c>
      <c r="Q285" s="7">
        <v>0.15927995877982315</v>
      </c>
      <c r="R285" s="7">
        <v>1.6859002682712107E-2</v>
      </c>
      <c r="S285" s="8">
        <v>0</v>
      </c>
      <c r="T285" s="8">
        <v>1</v>
      </c>
      <c r="U285" s="8">
        <v>830</v>
      </c>
      <c r="V285" s="7">
        <v>0.10055333394975885</v>
      </c>
      <c r="W285" s="7">
        <v>1.6699766612464681E-2</v>
      </c>
      <c r="X285" s="8">
        <v>0</v>
      </c>
      <c r="Y285" s="8">
        <v>1</v>
      </c>
      <c r="Z285" s="8">
        <v>733</v>
      </c>
      <c r="AA285" s="7">
        <v>0.12239325914654219</v>
      </c>
      <c r="AB285" s="7">
        <v>8.4258586085061045E-3</v>
      </c>
      <c r="AC285" s="8">
        <v>0</v>
      </c>
      <c r="AD285" s="8">
        <v>1</v>
      </c>
      <c r="AE285" s="8">
        <v>3213</v>
      </c>
    </row>
    <row r="286" spans="1:32" ht="14.25" customHeight="1" x14ac:dyDescent="0.45">
      <c r="A286" s="6" t="s">
        <v>40</v>
      </c>
      <c r="B286" s="7">
        <v>0.11043143982498899</v>
      </c>
      <c r="C286" s="7">
        <v>1.9318318636183492E-2</v>
      </c>
      <c r="D286" s="8">
        <v>0</v>
      </c>
      <c r="E286" s="8">
        <v>1</v>
      </c>
      <c r="F286" s="8">
        <v>343</v>
      </c>
      <c r="G286" s="7">
        <v>0.11069522201123315</v>
      </c>
      <c r="H286" s="7">
        <v>1.3640876599586607E-2</v>
      </c>
      <c r="I286" s="8">
        <v>0</v>
      </c>
      <c r="J286" s="8">
        <v>1</v>
      </c>
      <c r="K286" s="8">
        <v>685</v>
      </c>
      <c r="L286" s="7">
        <v>0.20545282167499468</v>
      </c>
      <c r="M286" s="7">
        <v>1.8994482679167819E-2</v>
      </c>
      <c r="N286" s="8">
        <v>0</v>
      </c>
      <c r="O286" s="8">
        <v>1</v>
      </c>
      <c r="P286" s="8">
        <v>622</v>
      </c>
      <c r="Q286" s="7">
        <v>0.31815038623555536</v>
      </c>
      <c r="R286" s="7">
        <v>2.2407093634880186E-2</v>
      </c>
      <c r="S286" s="8">
        <v>0</v>
      </c>
      <c r="T286" s="8">
        <v>1</v>
      </c>
      <c r="U286" s="8">
        <v>830</v>
      </c>
      <c r="V286" s="7">
        <v>0.13233968886421418</v>
      </c>
      <c r="W286" s="7">
        <v>1.8303690851725167E-2</v>
      </c>
      <c r="X286" s="8">
        <v>0</v>
      </c>
      <c r="Y286" s="8">
        <v>1</v>
      </c>
      <c r="Z286" s="8">
        <v>733</v>
      </c>
      <c r="AA286" s="7">
        <v>0.19219833829689462</v>
      </c>
      <c r="AB286" s="7">
        <v>9.9022963989124652E-3</v>
      </c>
      <c r="AC286" s="8">
        <v>0</v>
      </c>
      <c r="AD286" s="8">
        <v>1</v>
      </c>
      <c r="AE286" s="8">
        <v>3213</v>
      </c>
      <c r="AF286">
        <f>(AA288/AA287)-AA286</f>
        <v>0.12285150545849674</v>
      </c>
    </row>
    <row r="287" spans="1:32" ht="14.25" customHeight="1" x14ac:dyDescent="0.45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343</v>
      </c>
      <c r="G287" s="7">
        <v>6.1239228844402228E-3</v>
      </c>
      <c r="H287" s="7">
        <v>2.559788277249609E-3</v>
      </c>
      <c r="I287" s="8">
        <v>0</v>
      </c>
      <c r="J287" s="8">
        <v>1</v>
      </c>
      <c r="K287" s="8">
        <v>685</v>
      </c>
      <c r="L287" s="7">
        <v>7.5222336372921406E-3</v>
      </c>
      <c r="M287" s="7">
        <v>3.888810135536692E-3</v>
      </c>
      <c r="N287" s="8">
        <v>0</v>
      </c>
      <c r="O287" s="8">
        <v>1</v>
      </c>
      <c r="P287" s="8">
        <v>622</v>
      </c>
      <c r="Q287" s="7">
        <v>4.3787001294212568E-3</v>
      </c>
      <c r="R287" s="7">
        <v>1.9345454374379675E-3</v>
      </c>
      <c r="S287" s="8">
        <v>0</v>
      </c>
      <c r="T287" s="8">
        <v>1</v>
      </c>
      <c r="U287" s="8">
        <v>830</v>
      </c>
      <c r="V287" s="7">
        <v>7.4989268254143093E-3</v>
      </c>
      <c r="W287" s="7">
        <v>5.3346475986279715E-3</v>
      </c>
      <c r="X287" s="8">
        <v>0</v>
      </c>
      <c r="Y287" s="8">
        <v>1</v>
      </c>
      <c r="Z287" s="8">
        <v>733</v>
      </c>
      <c r="AA287" s="7">
        <v>6.0425505430857273E-3</v>
      </c>
      <c r="AB287" s="7">
        <v>1.7730974810922998E-3</v>
      </c>
      <c r="AC287" s="8">
        <v>0</v>
      </c>
      <c r="AD287" s="8">
        <v>1</v>
      </c>
      <c r="AE287" s="8">
        <v>3213</v>
      </c>
      <c r="AF287">
        <f>(AA288/AA286)-AA287</f>
        <v>3.862345728923155E-3</v>
      </c>
    </row>
    <row r="288" spans="1:32" ht="26.25" customHeight="1" x14ac:dyDescent="0.45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343</v>
      </c>
      <c r="G288" s="7">
        <v>2.6313531681046781E-3</v>
      </c>
      <c r="H288" s="7">
        <v>1.8605473314556292E-3</v>
      </c>
      <c r="I288" s="8">
        <v>0</v>
      </c>
      <c r="J288" s="8">
        <v>1</v>
      </c>
      <c r="K288" s="8">
        <v>685</v>
      </c>
      <c r="L288" s="7">
        <v>2.2686928794815415E-3</v>
      </c>
      <c r="M288" s="7">
        <v>1.3121356542374284E-3</v>
      </c>
      <c r="N288" s="8">
        <v>0</v>
      </c>
      <c r="O288" s="8">
        <v>1</v>
      </c>
      <c r="P288" s="8">
        <v>622</v>
      </c>
      <c r="Q288" s="7">
        <v>1.2090301316699398E-3</v>
      </c>
      <c r="R288" s="7">
        <v>1.2096922509310089E-3</v>
      </c>
      <c r="S288" s="8">
        <v>0</v>
      </c>
      <c r="T288" s="8">
        <v>1</v>
      </c>
      <c r="U288" s="8">
        <v>830</v>
      </c>
      <c r="V288" s="7">
        <v>0</v>
      </c>
      <c r="W288" s="7">
        <v>0</v>
      </c>
      <c r="X288" s="8">
        <v>0</v>
      </c>
      <c r="Y288" s="8">
        <v>0</v>
      </c>
      <c r="Z288" s="8">
        <v>733</v>
      </c>
      <c r="AA288" s="7">
        <v>1.9037046044832135E-3</v>
      </c>
      <c r="AB288" s="7">
        <v>7.855639151633111E-4</v>
      </c>
      <c r="AC288" s="8">
        <v>0</v>
      </c>
      <c r="AD288" s="8">
        <v>1</v>
      </c>
      <c r="AE288" s="8">
        <v>3213</v>
      </c>
    </row>
    <row r="289" spans="1:31" ht="26.75" customHeight="1" thickBot="1" x14ac:dyDescent="0.5">
      <c r="A289" s="9" t="s">
        <v>125</v>
      </c>
      <c r="B289" s="10">
        <v>343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685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622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830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733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3213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4.75" customHeight="1" thickTop="1" x14ac:dyDescent="0.45">
      <c r="A290" s="12" t="s">
        <v>127</v>
      </c>
    </row>
    <row r="291" spans="1:31" ht="14.25" customHeight="1" x14ac:dyDescent="0.45">
      <c r="A291" s="12" t="s">
        <v>128</v>
      </c>
    </row>
    <row r="292" spans="1:31" ht="14.25" customHeight="1" x14ac:dyDescent="0.45">
      <c r="A292" s="12" t="s">
        <v>129</v>
      </c>
    </row>
    <row r="293" spans="1:31" ht="14.25" customHeight="1" x14ac:dyDescent="0.45">
      <c r="A293" s="12" t="s">
        <v>22</v>
      </c>
    </row>
    <row r="294" spans="1:31" ht="14.25" customHeight="1" x14ac:dyDescent="0.45">
      <c r="A294" s="12" t="s">
        <v>130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3_ea_ess3</vt:lpstr>
      <vt:lpstr>Table 4_hh_ess3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2020-07-03T11:40:46Z</dcterms:created>
  <dcterms:modified xsi:type="dcterms:W3CDTF">2020-07-03T11:40:46Z</dcterms:modified>
</cp:coreProperties>
</file>