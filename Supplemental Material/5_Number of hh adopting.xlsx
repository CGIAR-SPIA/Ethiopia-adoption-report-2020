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a\Dropbox (Personal)\SPIA\2_Country work\2_Ethiopia\ESS\4_table\Final tables\"/>
    </mc:Choice>
  </mc:AlternateContent>
  <xr:revisionPtr revIDLastSave="0" documentId="13_ncr:1_{454A6127-BDCF-40C9-97C5-56CD0140D7B5}" xr6:coauthVersionLast="45" xr6:coauthVersionMax="45" xr10:uidLastSave="{00000000-0000-0000-0000-000000000000}"/>
  <bookViews>
    <workbookView xWindow="-52" yWindow="45" windowWidth="19425" windowHeight="8348" activeTab="1" xr2:uid="{ABB3B2B5-6399-498F-9587-2993600F158C}"/>
  </bookViews>
  <sheets>
    <sheet name="Population frame" sheetId="1" r:id="rId1"/>
    <sheet name="ESS4_rural" sheetId="2" r:id="rId2"/>
    <sheet name="Sheet1" sheetId="5" r:id="rId3"/>
    <sheet name="ESS3_rur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90" i="2" l="1"/>
  <c r="AE86" i="2"/>
  <c r="AB86" i="2"/>
  <c r="M86" i="2"/>
  <c r="J86" i="2"/>
  <c r="G86" i="2"/>
  <c r="D86" i="2"/>
  <c r="Y88" i="2"/>
  <c r="V88" i="2"/>
  <c r="S88" i="2"/>
  <c r="P88" i="2"/>
  <c r="M87" i="2"/>
  <c r="J87" i="2"/>
  <c r="G87" i="2"/>
  <c r="AD87" i="2"/>
  <c r="AE87" i="2" s="1"/>
  <c r="AA87" i="2"/>
  <c r="AB87" i="2" s="1"/>
  <c r="L87" i="2"/>
  <c r="I87" i="2"/>
  <c r="F87" i="2"/>
  <c r="C87" i="2"/>
  <c r="D87" i="2" s="1"/>
  <c r="AE85" i="2"/>
  <c r="AB85" i="2"/>
  <c r="M85" i="2"/>
  <c r="J85" i="2"/>
  <c r="G85" i="2"/>
  <c r="D85" i="2"/>
  <c r="B92" i="2" s="1"/>
  <c r="AE10" i="5"/>
  <c r="AF10" i="5" s="1"/>
  <c r="AB10" i="5"/>
  <c r="M10" i="5"/>
  <c r="J10" i="5"/>
  <c r="G10" i="5"/>
  <c r="D10" i="5"/>
  <c r="AF85" i="2" l="1"/>
  <c r="Y6" i="5"/>
  <c r="V6" i="5"/>
  <c r="S6" i="5"/>
  <c r="P6" i="5"/>
  <c r="AE5" i="5"/>
  <c r="AD5" i="5"/>
  <c r="AB5" i="5"/>
  <c r="AA5" i="5"/>
  <c r="X5" i="5"/>
  <c r="Y5" i="5" s="1"/>
  <c r="Y7" i="5" s="1"/>
  <c r="V5" i="5"/>
  <c r="V7" i="5" s="1"/>
  <c r="U5" i="5"/>
  <c r="S5" i="5"/>
  <c r="S7" i="5" s="1"/>
  <c r="R5" i="5"/>
  <c r="P5" i="5"/>
  <c r="P7" i="5" s="1"/>
  <c r="O5" i="5"/>
  <c r="L5" i="5"/>
  <c r="M5" i="5" s="1"/>
  <c r="J5" i="5"/>
  <c r="I5" i="5"/>
  <c r="G5" i="5"/>
  <c r="F5" i="5"/>
  <c r="D5" i="5"/>
  <c r="C5" i="5"/>
  <c r="AE3" i="5"/>
  <c r="AE7" i="5" s="1"/>
  <c r="AB3" i="5"/>
  <c r="M3" i="5"/>
  <c r="M7" i="5" s="1"/>
  <c r="J3" i="5"/>
  <c r="J7" i="5" s="1"/>
  <c r="G3" i="5"/>
  <c r="G7" i="5" s="1"/>
  <c r="D3" i="5"/>
  <c r="AE2" i="5"/>
  <c r="AB2" i="5"/>
  <c r="M2" i="5"/>
  <c r="J2" i="5"/>
  <c r="G2" i="5"/>
  <c r="D2" i="5"/>
  <c r="B38" i="1"/>
  <c r="AF5" i="5" l="1"/>
  <c r="D7" i="5"/>
  <c r="AF2" i="5"/>
  <c r="AB7" i="5"/>
  <c r="AF3" i="5"/>
  <c r="AE80" i="2" l="1"/>
  <c r="AE79" i="2"/>
  <c r="AB80" i="2"/>
  <c r="AB79" i="2"/>
  <c r="M80" i="2"/>
  <c r="M79" i="2"/>
  <c r="J80" i="2"/>
  <c r="J79" i="2"/>
  <c r="G80" i="2"/>
  <c r="G79" i="2"/>
  <c r="D80" i="2"/>
  <c r="D79" i="2"/>
  <c r="AE76" i="2"/>
  <c r="AE77" i="2"/>
  <c r="AE75" i="2"/>
  <c r="AB76" i="2"/>
  <c r="AB77" i="2"/>
  <c r="AB75" i="2"/>
  <c r="M76" i="2"/>
  <c r="M77" i="2"/>
  <c r="M75" i="2"/>
  <c r="J76" i="2"/>
  <c r="J77" i="2"/>
  <c r="J75" i="2"/>
  <c r="G76" i="2"/>
  <c r="G77" i="2"/>
  <c r="G75" i="2"/>
  <c r="D76" i="2"/>
  <c r="D77" i="2"/>
  <c r="D75" i="2"/>
  <c r="AF75" i="2" l="1"/>
  <c r="AF80" i="2"/>
  <c r="AF79" i="2"/>
  <c r="AF77" i="2"/>
  <c r="AF76" i="2"/>
  <c r="G47" i="4" l="1"/>
  <c r="E47" i="4"/>
  <c r="E42" i="4"/>
  <c r="C42" i="4"/>
  <c r="K47" i="4"/>
  <c r="I47" i="4"/>
  <c r="K45" i="4"/>
  <c r="I45" i="4"/>
  <c r="G45" i="4"/>
  <c r="E45" i="4"/>
  <c r="C47" i="4"/>
  <c r="C45" i="4"/>
  <c r="J42" i="4" l="1"/>
  <c r="K42" i="4" s="1"/>
  <c r="H42" i="4"/>
  <c r="I42" i="4" s="1"/>
  <c r="F42" i="4"/>
  <c r="G42" i="4" s="1"/>
  <c r="D42" i="4"/>
  <c r="B42" i="4"/>
  <c r="K4" i="4"/>
  <c r="K5" i="4"/>
  <c r="K6" i="4"/>
  <c r="K7" i="4"/>
  <c r="K8" i="4"/>
  <c r="K9" i="4"/>
  <c r="K10" i="4"/>
  <c r="K11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30" i="4"/>
  <c r="K31" i="4"/>
  <c r="K32" i="4"/>
  <c r="K33" i="4"/>
  <c r="K34" i="4"/>
  <c r="K35" i="4"/>
  <c r="K36" i="4"/>
  <c r="K37" i="4"/>
  <c r="K38" i="4"/>
  <c r="K39" i="4"/>
  <c r="K40" i="4"/>
  <c r="K3" i="4"/>
  <c r="I4" i="4"/>
  <c r="I5" i="4"/>
  <c r="I6" i="4"/>
  <c r="I7" i="4"/>
  <c r="I8" i="4"/>
  <c r="I9" i="4"/>
  <c r="I10" i="4"/>
  <c r="I11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30" i="4"/>
  <c r="I31" i="4"/>
  <c r="I32" i="4"/>
  <c r="I33" i="4"/>
  <c r="I34" i="4"/>
  <c r="I35" i="4"/>
  <c r="I36" i="4"/>
  <c r="I37" i="4"/>
  <c r="I38" i="4"/>
  <c r="I39" i="4"/>
  <c r="I40" i="4"/>
  <c r="I3" i="4"/>
  <c r="G4" i="4"/>
  <c r="G5" i="4"/>
  <c r="G6" i="4"/>
  <c r="G7" i="4"/>
  <c r="G8" i="4"/>
  <c r="G9" i="4"/>
  <c r="G10" i="4"/>
  <c r="G11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30" i="4"/>
  <c r="G31" i="4"/>
  <c r="G32" i="4"/>
  <c r="G33" i="4"/>
  <c r="G34" i="4"/>
  <c r="G35" i="4"/>
  <c r="G36" i="4"/>
  <c r="G37" i="4"/>
  <c r="G38" i="4"/>
  <c r="G39" i="4"/>
  <c r="G40" i="4"/>
  <c r="G3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30" i="4"/>
  <c r="E31" i="4"/>
  <c r="E32" i="4"/>
  <c r="E33" i="4"/>
  <c r="E34" i="4"/>
  <c r="E35" i="4"/>
  <c r="E36" i="4"/>
  <c r="E37" i="4"/>
  <c r="E38" i="4"/>
  <c r="E39" i="4"/>
  <c r="E40" i="4"/>
  <c r="E4" i="4"/>
  <c r="E5" i="4"/>
  <c r="E6" i="4"/>
  <c r="E7" i="4"/>
  <c r="E8" i="4"/>
  <c r="E9" i="4"/>
  <c r="E10" i="4"/>
  <c r="E11" i="4"/>
  <c r="E3" i="4"/>
  <c r="C4" i="4"/>
  <c r="C5" i="4"/>
  <c r="C6" i="4"/>
  <c r="C7" i="4"/>
  <c r="C8" i="4"/>
  <c r="C9" i="4"/>
  <c r="C10" i="4"/>
  <c r="C11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30" i="4"/>
  <c r="C31" i="4"/>
  <c r="C32" i="4"/>
  <c r="C33" i="4"/>
  <c r="C34" i="4"/>
  <c r="C35" i="4"/>
  <c r="C36" i="4"/>
  <c r="C37" i="4"/>
  <c r="C38" i="4"/>
  <c r="C39" i="4"/>
  <c r="C40" i="4"/>
  <c r="C3" i="4"/>
  <c r="F38" i="1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E32" i="2"/>
  <c r="AE33" i="2"/>
  <c r="AE34" i="2"/>
  <c r="AE35" i="2"/>
  <c r="AE36" i="2"/>
  <c r="AE37" i="2"/>
  <c r="AE38" i="2"/>
  <c r="AE39" i="2"/>
  <c r="AE40" i="2"/>
  <c r="AE41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9" i="2"/>
  <c r="AE60" i="2"/>
  <c r="AE61" i="2"/>
  <c r="AE62" i="2"/>
  <c r="AE63" i="2"/>
  <c r="AE64" i="2"/>
  <c r="AE65" i="2"/>
  <c r="AE66" i="2"/>
  <c r="AE67" i="2"/>
  <c r="AE68" i="2"/>
  <c r="AE69" i="2"/>
  <c r="AE31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9" i="2"/>
  <c r="AB60" i="2"/>
  <c r="AB61" i="2"/>
  <c r="AB62" i="2"/>
  <c r="AB63" i="2"/>
  <c r="AB64" i="2"/>
  <c r="AB65" i="2"/>
  <c r="AB66" i="2"/>
  <c r="AB67" i="2"/>
  <c r="AB68" i="2"/>
  <c r="AB69" i="2"/>
  <c r="AB2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9" i="2"/>
  <c r="Y60" i="2"/>
  <c r="Y61" i="2"/>
  <c r="Y62" i="2"/>
  <c r="Y63" i="2"/>
  <c r="Y64" i="2"/>
  <c r="Y65" i="2"/>
  <c r="Y66" i="2"/>
  <c r="Y67" i="2"/>
  <c r="Y68" i="2"/>
  <c r="Y69" i="2"/>
  <c r="Y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9" i="2"/>
  <c r="V60" i="2"/>
  <c r="V61" i="2"/>
  <c r="V62" i="2"/>
  <c r="V63" i="2"/>
  <c r="V64" i="2"/>
  <c r="V65" i="2"/>
  <c r="V66" i="2"/>
  <c r="V67" i="2"/>
  <c r="V68" i="2"/>
  <c r="V69" i="2"/>
  <c r="V3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3" i="2"/>
  <c r="S44" i="2"/>
  <c r="S46" i="2"/>
  <c r="S47" i="2"/>
  <c r="S48" i="2"/>
  <c r="S49" i="2"/>
  <c r="S50" i="2"/>
  <c r="S51" i="2"/>
  <c r="S52" i="2"/>
  <c r="S53" i="2"/>
  <c r="S54" i="2"/>
  <c r="S55" i="2"/>
  <c r="S56" i="2"/>
  <c r="S57" i="2"/>
  <c r="S59" i="2"/>
  <c r="S60" i="2"/>
  <c r="S61" i="2"/>
  <c r="S62" i="2"/>
  <c r="S63" i="2"/>
  <c r="S64" i="2"/>
  <c r="S65" i="2"/>
  <c r="S66" i="2"/>
  <c r="S67" i="2"/>
  <c r="S68" i="2"/>
  <c r="S69" i="2"/>
  <c r="S45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9" i="2"/>
  <c r="P60" i="2"/>
  <c r="P61" i="2"/>
  <c r="P62" i="2"/>
  <c r="P63" i="2"/>
  <c r="P64" i="2"/>
  <c r="P65" i="2"/>
  <c r="P66" i="2"/>
  <c r="P67" i="2"/>
  <c r="P68" i="2"/>
  <c r="P69" i="2"/>
  <c r="P3" i="2"/>
  <c r="M42" i="2"/>
  <c r="M71" i="2"/>
  <c r="L4" i="2"/>
  <c r="M4" i="2" s="1"/>
  <c r="L5" i="2"/>
  <c r="M5" i="2" s="1"/>
  <c r="L6" i="2"/>
  <c r="M6" i="2" s="1"/>
  <c r="L7" i="2"/>
  <c r="M7" i="2" s="1"/>
  <c r="L8" i="2"/>
  <c r="M8" i="2" s="1"/>
  <c r="L9" i="2"/>
  <c r="M9" i="2" s="1"/>
  <c r="L10" i="2"/>
  <c r="M10" i="2" s="1"/>
  <c r="L11" i="2"/>
  <c r="M11" i="2"/>
  <c r="L12" i="2"/>
  <c r="M12" i="2" s="1"/>
  <c r="L13" i="2"/>
  <c r="M13" i="2" s="1"/>
  <c r="L14" i="2"/>
  <c r="M14" i="2" s="1"/>
  <c r="L15" i="2"/>
  <c r="M15" i="2" s="1"/>
  <c r="L16" i="2"/>
  <c r="M16" i="2" s="1"/>
  <c r="L17" i="2"/>
  <c r="M17" i="2" s="1"/>
  <c r="L18" i="2"/>
  <c r="M18" i="2" s="1"/>
  <c r="L19" i="2"/>
  <c r="M19" i="2" s="1"/>
  <c r="L20" i="2"/>
  <c r="M20" i="2" s="1"/>
  <c r="L21" i="2"/>
  <c r="M21" i="2" s="1"/>
  <c r="L22" i="2"/>
  <c r="M22" i="2" s="1"/>
  <c r="L23" i="2"/>
  <c r="M23" i="2" s="1"/>
  <c r="L24" i="2"/>
  <c r="M24" i="2" s="1"/>
  <c r="L25" i="2"/>
  <c r="M25" i="2" s="1"/>
  <c r="L26" i="2"/>
  <c r="M26" i="2" s="1"/>
  <c r="L27" i="2"/>
  <c r="M27" i="2" s="1"/>
  <c r="L28" i="2"/>
  <c r="M28" i="2" s="1"/>
  <c r="L29" i="2"/>
  <c r="M29" i="2" s="1"/>
  <c r="L30" i="2"/>
  <c r="M30" i="2" s="1"/>
  <c r="L31" i="2"/>
  <c r="M31" i="2" s="1"/>
  <c r="L32" i="2"/>
  <c r="M32" i="2" s="1"/>
  <c r="L33" i="2"/>
  <c r="M33" i="2" s="1"/>
  <c r="L34" i="2"/>
  <c r="M34" i="2" s="1"/>
  <c r="L35" i="2"/>
  <c r="M35" i="2" s="1"/>
  <c r="L36" i="2"/>
  <c r="M36" i="2" s="1"/>
  <c r="L37" i="2"/>
  <c r="M37" i="2" s="1"/>
  <c r="L38" i="2"/>
  <c r="M38" i="2" s="1"/>
  <c r="L39" i="2"/>
  <c r="M39" i="2" s="1"/>
  <c r="L40" i="2"/>
  <c r="M40" i="2" s="1"/>
  <c r="L41" i="2"/>
  <c r="M41" i="2" s="1"/>
  <c r="L43" i="2"/>
  <c r="M43" i="2" s="1"/>
  <c r="L44" i="2"/>
  <c r="M44" i="2" s="1"/>
  <c r="L45" i="2"/>
  <c r="M45" i="2" s="1"/>
  <c r="L46" i="2"/>
  <c r="M46" i="2" s="1"/>
  <c r="L47" i="2"/>
  <c r="M47" i="2" s="1"/>
  <c r="L48" i="2"/>
  <c r="M48" i="2" s="1"/>
  <c r="L49" i="2"/>
  <c r="M49" i="2" s="1"/>
  <c r="L50" i="2"/>
  <c r="M50" i="2" s="1"/>
  <c r="L51" i="2"/>
  <c r="M51" i="2" s="1"/>
  <c r="L52" i="2"/>
  <c r="M52" i="2" s="1"/>
  <c r="L53" i="2"/>
  <c r="M53" i="2" s="1"/>
  <c r="L54" i="2"/>
  <c r="M54" i="2" s="1"/>
  <c r="L55" i="2"/>
  <c r="M55" i="2" s="1"/>
  <c r="L56" i="2"/>
  <c r="M56" i="2" s="1"/>
  <c r="L57" i="2"/>
  <c r="M57" i="2" s="1"/>
  <c r="L59" i="2"/>
  <c r="M59" i="2" s="1"/>
  <c r="L60" i="2"/>
  <c r="M60" i="2" s="1"/>
  <c r="L61" i="2"/>
  <c r="M61" i="2" s="1"/>
  <c r="L62" i="2"/>
  <c r="M62" i="2" s="1"/>
  <c r="L63" i="2"/>
  <c r="M63" i="2" s="1"/>
  <c r="L64" i="2"/>
  <c r="M64" i="2" s="1"/>
  <c r="L65" i="2"/>
  <c r="M65" i="2" s="1"/>
  <c r="L66" i="2"/>
  <c r="M66" i="2" s="1"/>
  <c r="L67" i="2"/>
  <c r="M67" i="2" s="1"/>
  <c r="L68" i="2"/>
  <c r="M68" i="2" s="1"/>
  <c r="L69" i="2"/>
  <c r="M69" i="2" s="1"/>
  <c r="L3" i="2"/>
  <c r="M3" i="2" s="1"/>
  <c r="J71" i="2"/>
  <c r="I43" i="2"/>
  <c r="J43" i="2" s="1"/>
  <c r="I44" i="2"/>
  <c r="J44" i="2" s="1"/>
  <c r="I45" i="2"/>
  <c r="J45" i="2" s="1"/>
  <c r="I46" i="2"/>
  <c r="J46" i="2" s="1"/>
  <c r="I47" i="2"/>
  <c r="J47" i="2" s="1"/>
  <c r="I48" i="2"/>
  <c r="J48" i="2" s="1"/>
  <c r="I49" i="2"/>
  <c r="J49" i="2" s="1"/>
  <c r="I50" i="2"/>
  <c r="J50" i="2" s="1"/>
  <c r="I51" i="2"/>
  <c r="J51" i="2" s="1"/>
  <c r="I52" i="2"/>
  <c r="J52" i="2" s="1"/>
  <c r="I53" i="2"/>
  <c r="J53" i="2" s="1"/>
  <c r="I54" i="2"/>
  <c r="J54" i="2" s="1"/>
  <c r="I55" i="2"/>
  <c r="J55" i="2" s="1"/>
  <c r="I56" i="2"/>
  <c r="J56" i="2" s="1"/>
  <c r="I57" i="2"/>
  <c r="J57" i="2" s="1"/>
  <c r="I59" i="2"/>
  <c r="J59" i="2" s="1"/>
  <c r="I60" i="2"/>
  <c r="J60" i="2" s="1"/>
  <c r="I61" i="2"/>
  <c r="J61" i="2" s="1"/>
  <c r="I62" i="2"/>
  <c r="J62" i="2" s="1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4" i="2"/>
  <c r="J4" i="2" s="1"/>
  <c r="I5" i="2"/>
  <c r="J5" i="2" s="1"/>
  <c r="I6" i="2"/>
  <c r="J6" i="2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22" i="2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33" i="2"/>
  <c r="J33" i="2" s="1"/>
  <c r="I34" i="2"/>
  <c r="J34" i="2" s="1"/>
  <c r="I35" i="2"/>
  <c r="J35" i="2" s="1"/>
  <c r="I36" i="2"/>
  <c r="J36" i="2" s="1"/>
  <c r="I37" i="2"/>
  <c r="J37" i="2" s="1"/>
  <c r="I38" i="2"/>
  <c r="J38" i="2" s="1"/>
  <c r="I39" i="2"/>
  <c r="J39" i="2" s="1"/>
  <c r="I40" i="2"/>
  <c r="J40" i="2" s="1"/>
  <c r="I41" i="2"/>
  <c r="J41" i="2" s="1"/>
  <c r="I3" i="2"/>
  <c r="J3" i="2" s="1"/>
  <c r="F4" i="2"/>
  <c r="G4" i="2" s="1"/>
  <c r="F5" i="2"/>
  <c r="G5" i="2" s="1"/>
  <c r="F6" i="2"/>
  <c r="G6" i="2" s="1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24" i="2"/>
  <c r="G24" i="2" s="1"/>
  <c r="F25" i="2"/>
  <c r="G25" i="2" s="1"/>
  <c r="F26" i="2"/>
  <c r="G26" i="2" s="1"/>
  <c r="F27" i="2"/>
  <c r="G27" i="2" s="1"/>
  <c r="F28" i="2"/>
  <c r="G28" i="2" s="1"/>
  <c r="F29" i="2"/>
  <c r="G29" i="2" s="1"/>
  <c r="F30" i="2"/>
  <c r="G30" i="2" s="1"/>
  <c r="F31" i="2"/>
  <c r="G31" i="2" s="1"/>
  <c r="F32" i="2"/>
  <c r="G32" i="2" s="1"/>
  <c r="F33" i="2"/>
  <c r="G33" i="2" s="1"/>
  <c r="F34" i="2"/>
  <c r="G34" i="2" s="1"/>
  <c r="F35" i="2"/>
  <c r="G35" i="2" s="1"/>
  <c r="F36" i="2"/>
  <c r="G36" i="2" s="1"/>
  <c r="F37" i="2"/>
  <c r="G37" i="2" s="1"/>
  <c r="F38" i="2"/>
  <c r="G38" i="2" s="1"/>
  <c r="F39" i="2"/>
  <c r="G39" i="2" s="1"/>
  <c r="F40" i="2"/>
  <c r="G40" i="2" s="1"/>
  <c r="F41" i="2"/>
  <c r="G41" i="2" s="1"/>
  <c r="F43" i="2"/>
  <c r="G43" i="2" s="1"/>
  <c r="F44" i="2"/>
  <c r="G44" i="2" s="1"/>
  <c r="F45" i="2"/>
  <c r="G45" i="2" s="1"/>
  <c r="F46" i="2"/>
  <c r="G46" i="2" s="1"/>
  <c r="F47" i="2"/>
  <c r="G47" i="2" s="1"/>
  <c r="F48" i="2"/>
  <c r="G48" i="2" s="1"/>
  <c r="F49" i="2"/>
  <c r="G49" i="2" s="1"/>
  <c r="F50" i="2"/>
  <c r="G50" i="2" s="1"/>
  <c r="F51" i="2"/>
  <c r="G51" i="2" s="1"/>
  <c r="F52" i="2"/>
  <c r="G52" i="2" s="1"/>
  <c r="F53" i="2"/>
  <c r="G53" i="2" s="1"/>
  <c r="F54" i="2"/>
  <c r="G54" i="2" s="1"/>
  <c r="F55" i="2"/>
  <c r="G55" i="2" s="1"/>
  <c r="F56" i="2"/>
  <c r="G56" i="2" s="1"/>
  <c r="F57" i="2"/>
  <c r="G57" i="2" s="1"/>
  <c r="F59" i="2"/>
  <c r="G59" i="2" s="1"/>
  <c r="F60" i="2"/>
  <c r="G60" i="2" s="1"/>
  <c r="F61" i="2"/>
  <c r="G61" i="2" s="1"/>
  <c r="F62" i="2"/>
  <c r="G62" i="2" s="1"/>
  <c r="F63" i="2"/>
  <c r="G63" i="2" s="1"/>
  <c r="F64" i="2"/>
  <c r="G64" i="2" s="1"/>
  <c r="F65" i="2"/>
  <c r="G65" i="2" s="1"/>
  <c r="F66" i="2"/>
  <c r="G66" i="2" s="1"/>
  <c r="F67" i="2"/>
  <c r="G67" i="2" s="1"/>
  <c r="F68" i="2"/>
  <c r="G68" i="2" s="1"/>
  <c r="F69" i="2"/>
  <c r="G69" i="2" s="1"/>
  <c r="G71" i="2"/>
  <c r="F3" i="2"/>
  <c r="G3" i="2" s="1"/>
  <c r="D71" i="2"/>
  <c r="C43" i="2"/>
  <c r="D43" i="2" s="1"/>
  <c r="C44" i="2"/>
  <c r="D44" i="2" s="1"/>
  <c r="C45" i="2"/>
  <c r="D45" i="2" s="1"/>
  <c r="C46" i="2"/>
  <c r="D46" i="2" s="1"/>
  <c r="C47" i="2"/>
  <c r="D47" i="2" s="1"/>
  <c r="C48" i="2"/>
  <c r="D48" i="2" s="1"/>
  <c r="C49" i="2"/>
  <c r="D49" i="2" s="1"/>
  <c r="C50" i="2"/>
  <c r="D50" i="2" s="1"/>
  <c r="C51" i="2"/>
  <c r="D51" i="2" s="1"/>
  <c r="C52" i="2"/>
  <c r="D52" i="2" s="1"/>
  <c r="C53" i="2"/>
  <c r="D53" i="2" s="1"/>
  <c r="C54" i="2"/>
  <c r="D54" i="2" s="1"/>
  <c r="C55" i="2"/>
  <c r="D55" i="2" s="1"/>
  <c r="C56" i="2"/>
  <c r="D56" i="2" s="1"/>
  <c r="C57" i="2"/>
  <c r="D57" i="2" s="1"/>
  <c r="C59" i="2"/>
  <c r="D59" i="2" s="1"/>
  <c r="C60" i="2"/>
  <c r="D60" i="2" s="1"/>
  <c r="C61" i="2"/>
  <c r="D61" i="2" s="1"/>
  <c r="C62" i="2"/>
  <c r="D62" i="2" s="1"/>
  <c r="C63" i="2"/>
  <c r="D63" i="2" s="1"/>
  <c r="C64" i="2"/>
  <c r="D64" i="2" s="1"/>
  <c r="C65" i="2"/>
  <c r="D65" i="2" s="1"/>
  <c r="C66" i="2"/>
  <c r="D66" i="2" s="1"/>
  <c r="C67" i="2"/>
  <c r="D67" i="2" s="1"/>
  <c r="C68" i="2"/>
  <c r="D68" i="2" s="1"/>
  <c r="C69" i="2"/>
  <c r="D69" i="2" s="1"/>
  <c r="C4" i="2"/>
  <c r="D4" i="2" s="1"/>
  <c r="C5" i="2"/>
  <c r="D5" i="2" s="1"/>
  <c r="C6" i="2"/>
  <c r="D6" i="2" s="1"/>
  <c r="C7" i="2"/>
  <c r="D7" i="2" s="1"/>
  <c r="C8" i="2"/>
  <c r="D8" i="2" s="1"/>
  <c r="C9" i="2"/>
  <c r="D9" i="2" s="1"/>
  <c r="C10" i="2"/>
  <c r="D10" i="2" s="1"/>
  <c r="C11" i="2"/>
  <c r="D11" i="2" s="1"/>
  <c r="C12" i="2"/>
  <c r="D12" i="2" s="1"/>
  <c r="C13" i="2"/>
  <c r="D13" i="2" s="1"/>
  <c r="C14" i="2"/>
  <c r="D14" i="2" s="1"/>
  <c r="C15" i="2"/>
  <c r="D15" i="2" s="1"/>
  <c r="C16" i="2"/>
  <c r="D16" i="2" s="1"/>
  <c r="C17" i="2"/>
  <c r="D17" i="2" s="1"/>
  <c r="C18" i="2"/>
  <c r="D18" i="2" s="1"/>
  <c r="C19" i="2"/>
  <c r="D19" i="2" s="1"/>
  <c r="C20" i="2"/>
  <c r="D20" i="2" s="1"/>
  <c r="C21" i="2"/>
  <c r="D21" i="2" s="1"/>
  <c r="C22" i="2"/>
  <c r="D22" i="2" s="1"/>
  <c r="C23" i="2"/>
  <c r="D23" i="2" s="1"/>
  <c r="C24" i="2"/>
  <c r="D24" i="2" s="1"/>
  <c r="C25" i="2"/>
  <c r="D25" i="2" s="1"/>
  <c r="C26" i="2"/>
  <c r="D26" i="2" s="1"/>
  <c r="C27" i="2"/>
  <c r="D27" i="2" s="1"/>
  <c r="C28" i="2"/>
  <c r="D28" i="2" s="1"/>
  <c r="C29" i="2"/>
  <c r="D29" i="2" s="1"/>
  <c r="C30" i="2"/>
  <c r="D30" i="2" s="1"/>
  <c r="C31" i="2"/>
  <c r="D31" i="2" s="1"/>
  <c r="C32" i="2"/>
  <c r="D32" i="2" s="1"/>
  <c r="C33" i="2"/>
  <c r="D33" i="2" s="1"/>
  <c r="C34" i="2"/>
  <c r="D34" i="2" s="1"/>
  <c r="C35" i="2"/>
  <c r="D35" i="2" s="1"/>
  <c r="C36" i="2"/>
  <c r="D36" i="2" s="1"/>
  <c r="C37" i="2"/>
  <c r="D37" i="2" s="1"/>
  <c r="C38" i="2"/>
  <c r="D38" i="2" s="1"/>
  <c r="C39" i="2"/>
  <c r="D39" i="2" s="1"/>
  <c r="C40" i="2"/>
  <c r="D40" i="2" s="1"/>
  <c r="C41" i="2"/>
  <c r="D41" i="2" s="1"/>
  <c r="C3" i="2"/>
  <c r="D3" i="2" s="1"/>
  <c r="AF61" i="2" l="1"/>
</calcChain>
</file>

<file path=xl/sharedStrings.xml><?xml version="1.0" encoding="utf-8"?>
<sst xmlns="http://schemas.openxmlformats.org/spreadsheetml/2006/main" count="437" uniqueCount="155">
  <si>
    <t>saq14</t>
  </si>
  <si>
    <t>saq01</t>
  </si>
  <si>
    <t>pw_w4</t>
  </si>
  <si>
    <t>RURAL</t>
  </si>
  <si>
    <t>TIGRAY</t>
  </si>
  <si>
    <t>URBAN</t>
  </si>
  <si>
    <t>AFAR</t>
  </si>
  <si>
    <t>AMHARA</t>
  </si>
  <si>
    <t>OROMIA</t>
  </si>
  <si>
    <t>SOMALI</t>
  </si>
  <si>
    <t>BENISHANGUL GUMUZ</t>
  </si>
  <si>
    <t>SNNP</t>
  </si>
  <si>
    <t>GAMBELA</t>
  </si>
  <si>
    <t>HARAR</t>
  </si>
  <si>
    <t>ADDIS ABABA</t>
  </si>
  <si>
    <t>DIRE DAWA</t>
  </si>
  <si>
    <t xml:space="preserve">TIGRAY RURAL </t>
  </si>
  <si>
    <t>AFAR RURAL</t>
  </si>
  <si>
    <t>AMHARA RURAL</t>
  </si>
  <si>
    <t>OROMIA RURAL</t>
  </si>
  <si>
    <t xml:space="preserve">SOMALI RURAL </t>
  </si>
  <si>
    <t xml:space="preserve">BENISHANGUL GUMUZ RURAL </t>
  </si>
  <si>
    <t>SNNP RURAL</t>
  </si>
  <si>
    <t>GAMBELA RURAL</t>
  </si>
  <si>
    <t>HARAR RURAL</t>
  </si>
  <si>
    <t>DIRE DAWA RURAL</t>
  </si>
  <si>
    <t>Tigray</t>
  </si>
  <si>
    <t>Sweet potato OFSP variety</t>
  </si>
  <si>
    <t>Sweet potato Awassa83 variety</t>
  </si>
  <si>
    <t>Avocado tree</t>
  </si>
  <si>
    <t>Papaya tree</t>
  </si>
  <si>
    <t>Mango tree</t>
  </si>
  <si>
    <t>Field peas</t>
  </si>
  <si>
    <t>Sweetpotato</t>
  </si>
  <si>
    <t>Improved   BARLEY-SR</t>
  </si>
  <si>
    <t>Improved   MAIZE-SR</t>
  </si>
  <si>
    <t>Improved   MILLET-SR</t>
  </si>
  <si>
    <t>Improved   OATS-SR</t>
  </si>
  <si>
    <t>Improved   RICE-SR</t>
  </si>
  <si>
    <t>Improved   SORGHUM-SR</t>
  </si>
  <si>
    <t>Improved   TEFF-SR</t>
  </si>
  <si>
    <t>Improved   WHEAT-SR</t>
  </si>
  <si>
    <t>Improved   Mung Bean/ MASHO-SR</t>
  </si>
  <si>
    <t>Improved   CASSAVA-SR</t>
  </si>
  <si>
    <t>Improved   CHICK PEAS-SR</t>
  </si>
  <si>
    <t>Improved   HARICOT BEANS-SR</t>
  </si>
  <si>
    <t>Improved   HORSE BEANS-SR</t>
  </si>
  <si>
    <t>Improved   LENTILS-SR</t>
  </si>
  <si>
    <t>Improved   FIELD PEAS-SR</t>
  </si>
  <si>
    <t>Improved   SOYA BEANS-SR</t>
  </si>
  <si>
    <t>Improved   RED KIDENY BEANS-SR</t>
  </si>
  <si>
    <t>Improved   LINESEED-SR</t>
  </si>
  <si>
    <t>Improved   GROUND NUTS-SR</t>
  </si>
  <si>
    <t>Improved   NUEG-SR</t>
  </si>
  <si>
    <t>Improved   RAPE SEED-SR</t>
  </si>
  <si>
    <t>Improved   SESAME-SR</t>
  </si>
  <si>
    <t>Improved   BANANAS-SR</t>
  </si>
  <si>
    <t>Improved   PINAPPLES-SR</t>
  </si>
  <si>
    <t>Improved   POTATOES-SR</t>
  </si>
  <si>
    <t>Improved   SWEET POTATO-SR</t>
  </si>
  <si>
    <t>Improved   CHAT-SR</t>
  </si>
  <si>
    <t>Improved   COFFEE-SR</t>
  </si>
  <si>
    <t>Improved (SR) vegetables and herbs</t>
  </si>
  <si>
    <t>Improved (SR) fruit trees</t>
  </si>
  <si>
    <t>Improved (SR) other roots</t>
  </si>
  <si>
    <t>Improved (SR) cash crop</t>
  </si>
  <si>
    <t>Amhara</t>
  </si>
  <si>
    <t>Oromia</t>
  </si>
  <si>
    <t>River dispersion</t>
  </si>
  <si>
    <t>Treadle pump used for irrigation</t>
  </si>
  <si>
    <t>Motor pump used for irrigation</t>
  </si>
  <si>
    <t>Crop rotation with a legume</t>
  </si>
  <si>
    <t>Crop residue cover - farmer alicitation</t>
  </si>
  <si>
    <t>Crop residue cover - visual aid</t>
  </si>
  <si>
    <t>Minimum tillage</t>
  </si>
  <si>
    <t>Zero tillage</t>
  </si>
  <si>
    <t>Conservation Agriculture - using Minimum tillage</t>
  </si>
  <si>
    <t>Conservation Agriculture - using Zero tillage</t>
  </si>
  <si>
    <t>Soil Water Conservation practices</t>
  </si>
  <si>
    <t>Terracing</t>
  </si>
  <si>
    <t>Water catchments</t>
  </si>
  <si>
    <t>Afforestation</t>
  </si>
  <si>
    <t>Plough along the contour</t>
  </si>
  <si>
    <t>At least 1 crossbred animal in hh</t>
  </si>
  <si>
    <t>Crossbred LARGE RUMINANTS</t>
  </si>
  <si>
    <t>Crossbred SMALL RUMINANTS</t>
  </si>
  <si>
    <t>Crossbred POULTRY</t>
  </si>
  <si>
    <t>AI on any livestock type</t>
  </si>
  <si>
    <t>Feed and Forage: Elephant Grass</t>
  </si>
  <si>
    <t>Feed and Forage: Gaya</t>
  </si>
  <si>
    <t>Feed and Forage: Sasbaniya</t>
  </si>
  <si>
    <t>Feed and Forage: Alfalfa</t>
  </si>
  <si>
    <t>Feed and Forage: Industry by-products</t>
  </si>
  <si>
    <t>Elephant grass, gaya, sasbaniya, alfalfa</t>
  </si>
  <si>
    <t>Percentage of hh with at least 1 member benefitting from PSNP</t>
  </si>
  <si>
    <t>Nb of households</t>
  </si>
  <si>
    <t>Percentage</t>
  </si>
  <si>
    <t>Mean</t>
  </si>
  <si>
    <t>Afar</t>
  </si>
  <si>
    <t>Somali</t>
  </si>
  <si>
    <t>Benshangul Gumuz</t>
  </si>
  <si>
    <t xml:space="preserve">Gambela </t>
  </si>
  <si>
    <t>Harar</t>
  </si>
  <si>
    <t>Dire Dawa</t>
  </si>
  <si>
    <t>pw_w3</t>
  </si>
  <si>
    <t>Somalie</t>
  </si>
  <si>
    <t>Benshagul Gumuz</t>
  </si>
  <si>
    <t>Gambelia</t>
  </si>
  <si>
    <t>Harari</t>
  </si>
  <si>
    <t>Addis Ababa</t>
  </si>
  <si>
    <t>Diredwa</t>
  </si>
  <si>
    <t>Rural</t>
  </si>
  <si>
    <t>Other regions</t>
  </si>
  <si>
    <t>Desi chickpea type</t>
  </si>
  <si>
    <t>Kabuli chickpea type</t>
  </si>
  <si>
    <t>Crop residue cover -farmer elicitation</t>
  </si>
  <si>
    <t>Crop residue cover -visual aid</t>
  </si>
  <si>
    <t>Broad Bed Maker</t>
  </si>
  <si>
    <t>Crossbred large ruminants</t>
  </si>
  <si>
    <t>Crossbred small ruminants</t>
  </si>
  <si>
    <t>Crossbred poultry</t>
  </si>
  <si>
    <t>PSNP</t>
  </si>
  <si>
    <t>ESS3</t>
  </si>
  <si>
    <t>ESS4</t>
  </si>
  <si>
    <t>All</t>
  </si>
  <si>
    <t xml:space="preserve">CG-derived germplasm </t>
  </si>
  <si>
    <t>Maize</t>
  </si>
  <si>
    <t xml:space="preserve">Barley </t>
  </si>
  <si>
    <t>Sorghum</t>
  </si>
  <si>
    <t>DTMV</t>
  </si>
  <si>
    <t>QPM</t>
  </si>
  <si>
    <t>Lower Bound (DNA fingerprinting sample)</t>
  </si>
  <si>
    <t>Upper Bound (DNA fingerprinting sample)</t>
  </si>
  <si>
    <t>Lower Bound</t>
  </si>
  <si>
    <t>Upper Bound</t>
  </si>
  <si>
    <t xml:space="preserve">Note: </t>
  </si>
  <si>
    <t>Lower bound includes: Desi and Kabuli chickpea, OFSP and Awassa83</t>
  </si>
  <si>
    <t>Upper bound: all the rest of the innovations</t>
  </si>
  <si>
    <t>Crop growing hh</t>
  </si>
  <si>
    <t>% Adopters</t>
  </si>
  <si>
    <t>Absolute number</t>
  </si>
  <si>
    <t>Non-crop growing hh</t>
  </si>
  <si>
    <t>-</t>
  </si>
  <si>
    <t>Upper bound in all the other regions</t>
  </si>
  <si>
    <t>Upper Bound in DNA regions - other innovations</t>
  </si>
  <si>
    <t>Upper Bound total by region</t>
  </si>
  <si>
    <t>Term 2</t>
  </si>
  <si>
    <t>Term 3</t>
  </si>
  <si>
    <t>Term 1</t>
  </si>
  <si>
    <t>Lower bound (Maize)</t>
  </si>
  <si>
    <t>Adoption</t>
  </si>
  <si>
    <t>Perc. HH</t>
  </si>
  <si>
    <t>Lower bound (Maize) | term 1</t>
  </si>
  <si>
    <t>Upper bound</t>
  </si>
  <si>
    <t xml:space="preserve">Lower Bound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</si>
</sst>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&quot;&quot;;\-#,##0&quot;&quot;"/>
    <numFmt numFmtId="165" formatCode="#,##0.000&quot;&quot;;\-#,##0.000&quot;&quot;"/>
    <numFmt numFmtId="166" formatCode="#,##0.000000000000000_);\(#,##0.000000000000000\)"/>
    <numFmt numFmtId="167" formatCode="#,##0.000_);\(#,##0.000\)"/>
  </numFmts>
  <fonts count="1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sz val="9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sz val="10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99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2" fillId="0" borderId="0" xfId="0" applyFont="1"/>
    <xf numFmtId="164" fontId="3" fillId="0" borderId="0" xfId="0" applyNumberFormat="1" applyFont="1" applyAlignment="1">
      <alignment horizontal="left" vertical="center" wrapText="1"/>
    </xf>
    <xf numFmtId="165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5" fontId="3" fillId="0" borderId="1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/>
    </xf>
    <xf numFmtId="165" fontId="7" fillId="0" borderId="7" xfId="0" applyNumberFormat="1" applyFont="1" applyBorder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4" fontId="7" fillId="0" borderId="0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3" xfId="0" applyBorder="1"/>
    <xf numFmtId="0" fontId="0" fillId="2" borderId="13" xfId="0" applyFill="1" applyBorder="1"/>
    <xf numFmtId="164" fontId="10" fillId="0" borderId="0" xfId="0" applyNumberFormat="1" applyFont="1" applyAlignment="1">
      <alignment horizontal="left" vertical="center" wrapText="1"/>
    </xf>
    <xf numFmtId="165" fontId="10" fillId="0" borderId="0" xfId="0" applyNumberFormat="1" applyFont="1" applyBorder="1" applyAlignment="1">
      <alignment horizontal="center"/>
    </xf>
    <xf numFmtId="0" fontId="0" fillId="0" borderId="0" xfId="0" applyBorder="1"/>
    <xf numFmtId="165" fontId="10" fillId="0" borderId="12" xfId="0" applyNumberFormat="1" applyFont="1" applyBorder="1" applyAlignment="1">
      <alignment horizontal="center"/>
    </xf>
    <xf numFmtId="0" fontId="0" fillId="0" borderId="12" xfId="0" applyBorder="1"/>
    <xf numFmtId="164" fontId="8" fillId="0" borderId="7" xfId="0" applyNumberFormat="1" applyFont="1" applyBorder="1" applyAlignment="1">
      <alignment horizontal="center"/>
    </xf>
    <xf numFmtId="164" fontId="0" fillId="0" borderId="0" xfId="0" applyNumberFormat="1"/>
    <xf numFmtId="0" fontId="0" fillId="3" borderId="0" xfId="0" applyFill="1"/>
    <xf numFmtId="9" fontId="12" fillId="3" borderId="0" xfId="1" applyFont="1" applyFill="1" applyAlignment="1">
      <alignment horizontal="center"/>
    </xf>
    <xf numFmtId="164" fontId="8" fillId="3" borderId="7" xfId="0" applyNumberFormat="1" applyFont="1" applyFill="1" applyBorder="1" applyAlignment="1">
      <alignment horizontal="center"/>
    </xf>
    <xf numFmtId="9" fontId="0" fillId="3" borderId="0" xfId="1" applyFont="1" applyFill="1"/>
    <xf numFmtId="164" fontId="4" fillId="0" borderId="0" xfId="0" applyNumberFormat="1" applyFont="1" applyAlignment="1">
      <alignment horizontal="center" vertical="center"/>
    </xf>
    <xf numFmtId="0" fontId="2" fillId="0" borderId="5" xfId="0" applyFont="1" applyFill="1" applyBorder="1"/>
    <xf numFmtId="0" fontId="6" fillId="0" borderId="5" xfId="0" applyFont="1" applyFill="1" applyBorder="1" applyAlignment="1">
      <alignment horizontal="center" vertical="center"/>
    </xf>
    <xf numFmtId="0" fontId="0" fillId="0" borderId="0" xfId="0" applyFill="1"/>
    <xf numFmtId="0" fontId="2" fillId="0" borderId="0" xfId="0" applyFont="1" applyFill="1"/>
    <xf numFmtId="10" fontId="12" fillId="0" borderId="0" xfId="1" applyNumberFormat="1" applyFont="1" applyFill="1" applyAlignment="1">
      <alignment horizontal="center"/>
    </xf>
    <xf numFmtId="165" fontId="12" fillId="0" borderId="0" xfId="0" applyNumberFormat="1" applyFont="1" applyFill="1" applyAlignment="1">
      <alignment horizontal="center"/>
    </xf>
    <xf numFmtId="164" fontId="7" fillId="0" borderId="7" xfId="0" applyNumberFormat="1" applyFont="1" applyFill="1" applyBorder="1" applyAlignment="1">
      <alignment horizontal="center" vertical="center"/>
    </xf>
    <xf numFmtId="164" fontId="0" fillId="0" borderId="0" xfId="0" applyNumberFormat="1" applyFill="1"/>
    <xf numFmtId="0" fontId="0" fillId="0" borderId="7" xfId="0" applyFill="1" applyBorder="1"/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9" fontId="12" fillId="0" borderId="0" xfId="1" applyFont="1" applyFill="1" applyAlignment="1">
      <alignment horizontal="center"/>
    </xf>
    <xf numFmtId="0" fontId="2" fillId="0" borderId="15" xfId="0" applyFont="1" applyFill="1" applyBorder="1"/>
    <xf numFmtId="9" fontId="12" fillId="0" borderId="15" xfId="1" applyFont="1" applyFill="1" applyBorder="1" applyAlignment="1">
      <alignment horizontal="center"/>
    </xf>
    <xf numFmtId="165" fontId="12" fillId="0" borderId="15" xfId="0" applyNumberFormat="1" applyFont="1" applyFill="1" applyBorder="1" applyAlignment="1">
      <alignment horizontal="center"/>
    </xf>
    <xf numFmtId="164" fontId="7" fillId="0" borderId="14" xfId="0" applyNumberFormat="1" applyFont="1" applyFill="1" applyBorder="1" applyAlignment="1">
      <alignment horizontal="center" vertical="center"/>
    </xf>
    <xf numFmtId="0" fontId="0" fillId="0" borderId="15" xfId="0" applyFill="1" applyBorder="1"/>
    <xf numFmtId="164" fontId="7" fillId="0" borderId="8" xfId="0" applyNumberFormat="1" applyFont="1" applyFill="1" applyBorder="1" applyAlignment="1">
      <alignment horizontal="center" vertical="center"/>
    </xf>
    <xf numFmtId="0" fontId="0" fillId="0" borderId="8" xfId="0" applyFill="1" applyBorder="1"/>
    <xf numFmtId="165" fontId="10" fillId="0" borderId="0" xfId="0" applyNumberFormat="1" applyFont="1" applyFill="1" applyAlignment="1">
      <alignment horizontal="center"/>
    </xf>
    <xf numFmtId="166" fontId="4" fillId="0" borderId="0" xfId="0" applyNumberFormat="1" applyFont="1" applyFill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9" fontId="10" fillId="0" borderId="0" xfId="1" applyFont="1" applyFill="1" applyAlignment="1">
      <alignment horizontal="center"/>
    </xf>
    <xf numFmtId="9" fontId="4" fillId="0" borderId="0" xfId="1" applyFont="1" applyFill="1" applyAlignment="1">
      <alignment horizontal="center" vertical="center"/>
    </xf>
    <xf numFmtId="9" fontId="12" fillId="0" borderId="5" xfId="1" applyFont="1" applyFill="1" applyBorder="1" applyAlignment="1">
      <alignment horizontal="center"/>
    </xf>
    <xf numFmtId="0" fontId="0" fillId="0" borderId="0" xfId="0" applyFill="1" applyBorder="1"/>
    <xf numFmtId="9" fontId="0" fillId="0" borderId="0" xfId="1" applyFont="1" applyFill="1"/>
    <xf numFmtId="0" fontId="4" fillId="0" borderId="16" xfId="0" applyFont="1" applyFill="1" applyBorder="1" applyAlignment="1">
      <alignment horizontal="center" vertical="center"/>
    </xf>
    <xf numFmtId="164" fontId="4" fillId="0" borderId="16" xfId="0" applyNumberFormat="1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0" fillId="0" borderId="16" xfId="0" applyFill="1" applyBorder="1"/>
    <xf numFmtId="9" fontId="10" fillId="4" borderId="0" xfId="1" applyFont="1" applyFill="1" applyAlignment="1">
      <alignment horizontal="center"/>
    </xf>
    <xf numFmtId="9" fontId="4" fillId="4" borderId="0" xfId="1" applyFont="1" applyFill="1" applyAlignment="1">
      <alignment horizontal="center" vertical="center"/>
    </xf>
    <xf numFmtId="164" fontId="7" fillId="4" borderId="7" xfId="0" applyNumberFormat="1" applyFont="1" applyFill="1" applyBorder="1" applyAlignment="1">
      <alignment horizontal="center" vertical="center"/>
    </xf>
    <xf numFmtId="9" fontId="10" fillId="5" borderId="0" xfId="1" applyFont="1" applyFill="1" applyAlignment="1">
      <alignment horizontal="center"/>
    </xf>
    <xf numFmtId="9" fontId="4" fillId="5" borderId="0" xfId="1" applyFont="1" applyFill="1" applyAlignment="1">
      <alignment horizontal="center" vertical="center"/>
    </xf>
    <xf numFmtId="164" fontId="7" fillId="5" borderId="7" xfId="0" applyNumberFormat="1" applyFont="1" applyFill="1" applyBorder="1" applyAlignment="1">
      <alignment horizontal="center" vertical="center"/>
    </xf>
    <xf numFmtId="165" fontId="10" fillId="5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64" fontId="8" fillId="0" borderId="10" xfId="0" applyNumberFormat="1" applyFont="1" applyBorder="1" applyAlignment="1">
      <alignment horizontal="center"/>
    </xf>
    <xf numFmtId="164" fontId="8" fillId="0" borderId="5" xfId="0" applyNumberFormat="1" applyFont="1" applyBorder="1" applyAlignment="1">
      <alignment horizontal="center"/>
    </xf>
    <xf numFmtId="164" fontId="8" fillId="0" borderId="8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67" fontId="0" fillId="0" borderId="0" xfId="0" applyNumberFormat="1"/>
    <xf numFmtId="9" fontId="0" fillId="0" borderId="0" xfId="1" applyFont="1"/>
    <xf numFmtId="9" fontId="12" fillId="0" borderId="0" xfId="1" applyFont="1" applyFill="1" applyAlignment="1">
      <alignment horizontal="center" vertical="center"/>
    </xf>
    <xf numFmtId="9" fontId="0" fillId="0" borderId="0" xfId="1" applyFont="1" applyAlignment="1">
      <alignment vertical="center"/>
    </xf>
    <xf numFmtId="9" fontId="12" fillId="0" borderId="0" xfId="1" applyFont="1" applyAlignment="1">
      <alignment horizontal="center"/>
    </xf>
    <xf numFmtId="0" fontId="0" fillId="6" borderId="0" xfId="0" applyFill="1"/>
    <xf numFmtId="9" fontId="12" fillId="6" borderId="0" xfId="1" applyFont="1" applyFill="1" applyAlignment="1">
      <alignment horizontal="center"/>
    </xf>
    <xf numFmtId="165" fontId="12" fillId="6" borderId="0" xfId="0" applyNumberFormat="1" applyFont="1" applyFill="1" applyAlignment="1">
      <alignment horizontal="center"/>
    </xf>
    <xf numFmtId="9" fontId="0" fillId="6" borderId="0" xfId="1" applyFont="1" applyFill="1"/>
    <xf numFmtId="0" fontId="0" fillId="6" borderId="7" xfId="0" applyFill="1" applyBorder="1"/>
    <xf numFmtId="167" fontId="0" fillId="6" borderId="0" xfId="0" applyNumberFormat="1" applyFill="1"/>
    <xf numFmtId="164" fontId="7" fillId="6" borderId="7" xfId="0" applyNumberFormat="1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65" fontId="10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23944-34B3-415D-8A3C-E71019A19E74}">
  <dimension ref="A1:I38"/>
  <sheetViews>
    <sheetView topLeftCell="A19" workbookViewId="0">
      <selection activeCell="B38" sqref="B38"/>
    </sheetView>
  </sheetViews>
  <sheetFormatPr defaultRowHeight="14.25" x14ac:dyDescent="0.45"/>
  <cols>
    <col min="1" max="1" width="25.53125" bestFit="1" customWidth="1"/>
    <col min="4" max="4" width="22.1328125" customWidth="1"/>
    <col min="5" max="5" width="20.86328125" bestFit="1" customWidth="1"/>
    <col min="6" max="6" width="15.6640625" bestFit="1" customWidth="1"/>
    <col min="7" max="7" width="8.73046875" bestFit="1" customWidth="1"/>
  </cols>
  <sheetData>
    <row r="1" spans="1:5" ht="14.65" thickBot="1" x14ac:dyDescent="0.5">
      <c r="A1" s="1" t="s">
        <v>0</v>
      </c>
      <c r="B1" s="2" t="s">
        <v>1</v>
      </c>
      <c r="C1" s="2" t="s">
        <v>2</v>
      </c>
    </row>
    <row r="2" spans="1:5" ht="14.65" thickBot="1" x14ac:dyDescent="0.5">
      <c r="A2" s="3" t="s">
        <v>3</v>
      </c>
      <c r="B2" s="4" t="s">
        <v>4</v>
      </c>
      <c r="C2" s="5">
        <v>895069.9</v>
      </c>
    </row>
    <row r="3" spans="1:5" ht="14.65" thickBot="1" x14ac:dyDescent="0.5">
      <c r="A3" s="3" t="s">
        <v>5</v>
      </c>
      <c r="B3" s="4" t="s">
        <v>4</v>
      </c>
      <c r="C3" s="5">
        <v>475317.2</v>
      </c>
    </row>
    <row r="4" spans="1:5" ht="14.65" thickBot="1" x14ac:dyDescent="0.5">
      <c r="A4" s="3" t="s">
        <v>3</v>
      </c>
      <c r="B4" s="4" t="s">
        <v>6</v>
      </c>
      <c r="C4" s="5">
        <v>119646.5</v>
      </c>
      <c r="E4" s="22"/>
    </row>
    <row r="5" spans="1:5" ht="14.65" thickBot="1" x14ac:dyDescent="0.5">
      <c r="A5" s="3" t="s">
        <v>5</v>
      </c>
      <c r="B5" s="4" t="s">
        <v>6</v>
      </c>
      <c r="C5" s="5">
        <v>68430.720000000001</v>
      </c>
    </row>
    <row r="6" spans="1:5" ht="14.65" thickBot="1" x14ac:dyDescent="0.5">
      <c r="A6" s="3" t="s">
        <v>3</v>
      </c>
      <c r="B6" s="4" t="s">
        <v>7</v>
      </c>
      <c r="C6" s="5">
        <v>3601905</v>
      </c>
    </row>
    <row r="7" spans="1:5" ht="14.65" thickBot="1" x14ac:dyDescent="0.5">
      <c r="A7" s="3" t="s">
        <v>5</v>
      </c>
      <c r="B7" s="4" t="s">
        <v>7</v>
      </c>
      <c r="C7" s="5">
        <v>1447288</v>
      </c>
    </row>
    <row r="8" spans="1:5" ht="14.65" thickBot="1" x14ac:dyDescent="0.5">
      <c r="A8" s="3" t="s">
        <v>3</v>
      </c>
      <c r="B8" s="4" t="s">
        <v>8</v>
      </c>
      <c r="C8" s="5">
        <v>5179729</v>
      </c>
    </row>
    <row r="9" spans="1:5" ht="14.65" thickBot="1" x14ac:dyDescent="0.5">
      <c r="A9" s="3" t="s">
        <v>5</v>
      </c>
      <c r="B9" s="4" t="s">
        <v>8</v>
      </c>
      <c r="C9" s="5">
        <v>2082420</v>
      </c>
    </row>
    <row r="10" spans="1:5" ht="14.65" thickBot="1" x14ac:dyDescent="0.5">
      <c r="A10" s="3" t="s">
        <v>3</v>
      </c>
      <c r="B10" s="4" t="s">
        <v>9</v>
      </c>
      <c r="C10" s="5">
        <v>636652.5</v>
      </c>
    </row>
    <row r="11" spans="1:5" ht="14.65" thickBot="1" x14ac:dyDescent="0.5">
      <c r="A11" s="3" t="s">
        <v>5</v>
      </c>
      <c r="B11" s="4" t="s">
        <v>9</v>
      </c>
      <c r="C11" s="5">
        <v>243110.2</v>
      </c>
    </row>
    <row r="12" spans="1:5" ht="14.65" thickBot="1" x14ac:dyDescent="0.5">
      <c r="A12" s="3" t="s">
        <v>3</v>
      </c>
      <c r="B12" s="4" t="s">
        <v>10</v>
      </c>
      <c r="C12" s="5">
        <v>133286</v>
      </c>
    </row>
    <row r="13" spans="1:5" ht="14.65" thickBot="1" x14ac:dyDescent="0.5">
      <c r="A13" s="3" t="s">
        <v>5</v>
      </c>
      <c r="B13" s="4" t="s">
        <v>10</v>
      </c>
      <c r="C13" s="5">
        <v>70373.22</v>
      </c>
    </row>
    <row r="14" spans="1:5" ht="14.65" thickBot="1" x14ac:dyDescent="0.5">
      <c r="A14" s="3" t="s">
        <v>3</v>
      </c>
      <c r="B14" s="4" t="s">
        <v>11</v>
      </c>
      <c r="C14" s="5">
        <v>2883768</v>
      </c>
    </row>
    <row r="15" spans="1:5" ht="14.65" thickBot="1" x14ac:dyDescent="0.5">
      <c r="A15" s="3" t="s">
        <v>5</v>
      </c>
      <c r="B15" s="4" t="s">
        <v>11</v>
      </c>
      <c r="C15" s="5">
        <v>977502.7</v>
      </c>
    </row>
    <row r="16" spans="1:5" ht="14.65" thickBot="1" x14ac:dyDescent="0.5">
      <c r="A16" s="3" t="s">
        <v>3</v>
      </c>
      <c r="B16" s="4" t="s">
        <v>12</v>
      </c>
      <c r="C16" s="5">
        <v>44190.8</v>
      </c>
    </row>
    <row r="17" spans="1:9" ht="14.65" thickBot="1" x14ac:dyDescent="0.5">
      <c r="A17" s="3" t="s">
        <v>5</v>
      </c>
      <c r="B17" s="4" t="s">
        <v>12</v>
      </c>
      <c r="C17" s="5">
        <v>41206.49</v>
      </c>
    </row>
    <row r="18" spans="1:9" ht="14.65" thickBot="1" x14ac:dyDescent="0.5">
      <c r="A18" s="3" t="s">
        <v>3</v>
      </c>
      <c r="B18" s="4" t="s">
        <v>13</v>
      </c>
      <c r="C18" s="5">
        <v>27358.6</v>
      </c>
    </row>
    <row r="19" spans="1:9" ht="14.65" thickBot="1" x14ac:dyDescent="0.5">
      <c r="A19" s="3" t="s">
        <v>5</v>
      </c>
      <c r="B19" s="4" t="s">
        <v>13</v>
      </c>
      <c r="C19" s="5">
        <v>36346.730000000003</v>
      </c>
    </row>
    <row r="20" spans="1:9" ht="14.65" thickBot="1" x14ac:dyDescent="0.5">
      <c r="A20" s="3" t="s">
        <v>5</v>
      </c>
      <c r="B20" s="4" t="s">
        <v>14</v>
      </c>
      <c r="C20" s="5">
        <v>1000493</v>
      </c>
    </row>
    <row r="21" spans="1:9" ht="14.65" thickBot="1" x14ac:dyDescent="0.5">
      <c r="A21" s="3" t="s">
        <v>3</v>
      </c>
      <c r="B21" s="4" t="s">
        <v>15</v>
      </c>
      <c r="C21" s="5">
        <v>31211.51</v>
      </c>
    </row>
    <row r="22" spans="1:9" ht="14.65" thickBot="1" x14ac:dyDescent="0.5">
      <c r="A22" s="3" t="s">
        <v>5</v>
      </c>
      <c r="B22" s="4" t="s">
        <v>15</v>
      </c>
      <c r="C22" s="5">
        <v>72107.05</v>
      </c>
    </row>
    <row r="25" spans="1:9" x14ac:dyDescent="0.45">
      <c r="A25" s="78" t="s">
        <v>123</v>
      </c>
      <c r="B25" s="78"/>
      <c r="E25" s="76" t="s">
        <v>122</v>
      </c>
      <c r="F25" s="77"/>
      <c r="H25" s="76" t="s">
        <v>122</v>
      </c>
      <c r="I25" s="77"/>
    </row>
    <row r="26" spans="1:9" x14ac:dyDescent="0.45">
      <c r="A26" s="78" t="s">
        <v>3</v>
      </c>
      <c r="B26" s="78"/>
      <c r="E26" s="76" t="s">
        <v>111</v>
      </c>
      <c r="F26" s="77"/>
      <c r="H26" s="76" t="s">
        <v>124</v>
      </c>
      <c r="I26" s="77"/>
    </row>
    <row r="27" spans="1:9" ht="14.65" thickBot="1" x14ac:dyDescent="0.5">
      <c r="A27" s="3" t="s">
        <v>1</v>
      </c>
      <c r="B27" s="4" t="s">
        <v>2</v>
      </c>
      <c r="E27" s="23" t="s">
        <v>1</v>
      </c>
      <c r="F27" s="23" t="s">
        <v>104</v>
      </c>
      <c r="H27" t="s">
        <v>1</v>
      </c>
      <c r="I27" t="s">
        <v>104</v>
      </c>
    </row>
    <row r="28" spans="1:9" ht="14.65" thickBot="1" x14ac:dyDescent="0.5">
      <c r="A28" s="3" t="s">
        <v>16</v>
      </c>
      <c r="B28" s="5">
        <v>895069.9</v>
      </c>
      <c r="E28" s="23" t="s">
        <v>26</v>
      </c>
      <c r="F28" s="23">
        <v>819105.1</v>
      </c>
      <c r="H28" t="s">
        <v>26</v>
      </c>
      <c r="I28">
        <v>417421.4</v>
      </c>
    </row>
    <row r="29" spans="1:9" ht="14.65" thickBot="1" x14ac:dyDescent="0.5">
      <c r="A29" s="3" t="s">
        <v>17</v>
      </c>
      <c r="B29" s="5">
        <v>119646.5</v>
      </c>
      <c r="E29" s="24" t="s">
        <v>98</v>
      </c>
      <c r="F29" s="23">
        <v>114269.8</v>
      </c>
      <c r="H29" t="s">
        <v>98</v>
      </c>
      <c r="I29">
        <v>88922.29</v>
      </c>
    </row>
    <row r="30" spans="1:9" ht="14.65" thickBot="1" x14ac:dyDescent="0.5">
      <c r="A30" s="3" t="s">
        <v>18</v>
      </c>
      <c r="B30" s="5">
        <v>3601905</v>
      </c>
      <c r="E30" s="23" t="s">
        <v>66</v>
      </c>
      <c r="F30" s="23">
        <v>4214204</v>
      </c>
      <c r="H30" t="s">
        <v>66</v>
      </c>
      <c r="I30">
        <v>1302109</v>
      </c>
    </row>
    <row r="31" spans="1:9" ht="14.65" thickBot="1" x14ac:dyDescent="0.5">
      <c r="A31" s="3" t="s">
        <v>19</v>
      </c>
      <c r="B31" s="5">
        <v>5179729</v>
      </c>
      <c r="E31" s="23" t="s">
        <v>67</v>
      </c>
      <c r="F31" s="23">
        <v>5778682</v>
      </c>
      <c r="H31" t="s">
        <v>67</v>
      </c>
      <c r="I31">
        <v>1529435</v>
      </c>
    </row>
    <row r="32" spans="1:9" ht="14.65" thickBot="1" x14ac:dyDescent="0.5">
      <c r="A32" s="3" t="s">
        <v>20</v>
      </c>
      <c r="B32" s="5">
        <v>636652.5</v>
      </c>
      <c r="E32" s="24" t="s">
        <v>105</v>
      </c>
      <c r="F32" s="23">
        <v>373592.7</v>
      </c>
      <c r="H32" t="s">
        <v>105</v>
      </c>
      <c r="I32">
        <v>91088.85</v>
      </c>
    </row>
    <row r="33" spans="1:9" ht="14.65" thickBot="1" x14ac:dyDescent="0.5">
      <c r="A33" s="3" t="s">
        <v>21</v>
      </c>
      <c r="B33" s="5">
        <v>133286</v>
      </c>
      <c r="E33" s="24" t="s">
        <v>106</v>
      </c>
      <c r="F33" s="23">
        <v>199104.7</v>
      </c>
      <c r="H33" t="s">
        <v>106</v>
      </c>
      <c r="I33">
        <v>49615.38</v>
      </c>
    </row>
    <row r="34" spans="1:9" ht="14.65" thickBot="1" x14ac:dyDescent="0.5">
      <c r="A34" s="3" t="s">
        <v>22</v>
      </c>
      <c r="B34" s="5">
        <v>2883768</v>
      </c>
      <c r="E34" s="23" t="s">
        <v>11</v>
      </c>
      <c r="F34" s="23">
        <v>2999787</v>
      </c>
      <c r="H34" t="s">
        <v>11</v>
      </c>
      <c r="I34">
        <v>812148.3</v>
      </c>
    </row>
    <row r="35" spans="1:9" ht="14.65" thickBot="1" x14ac:dyDescent="0.5">
      <c r="A35" s="3" t="s">
        <v>23</v>
      </c>
      <c r="B35" s="5">
        <v>44190.8</v>
      </c>
      <c r="E35" s="24" t="s">
        <v>107</v>
      </c>
      <c r="F35" s="23">
        <v>58821.17</v>
      </c>
      <c r="H35" t="s">
        <v>107</v>
      </c>
      <c r="I35">
        <v>37639.51</v>
      </c>
    </row>
    <row r="36" spans="1:9" ht="14.65" thickBot="1" x14ac:dyDescent="0.5">
      <c r="A36" s="3" t="s">
        <v>24</v>
      </c>
      <c r="B36" s="5">
        <v>27358.6</v>
      </c>
      <c r="E36" s="24" t="s">
        <v>108</v>
      </c>
      <c r="F36" s="23">
        <v>20128.73</v>
      </c>
      <c r="H36" t="s">
        <v>108</v>
      </c>
      <c r="I36">
        <v>39194.839999999997</v>
      </c>
    </row>
    <row r="37" spans="1:9" ht="14.65" thickBot="1" x14ac:dyDescent="0.5">
      <c r="A37" s="3" t="s">
        <v>25</v>
      </c>
      <c r="B37" s="5">
        <v>31211.51</v>
      </c>
      <c r="E37" s="24" t="s">
        <v>110</v>
      </c>
      <c r="F37" s="23">
        <v>36358.300000000003</v>
      </c>
      <c r="H37" t="s">
        <v>109</v>
      </c>
      <c r="I37">
        <v>936066.6</v>
      </c>
    </row>
    <row r="38" spans="1:9" x14ac:dyDescent="0.45">
      <c r="B38">
        <f>SUM(B28:B37)</f>
        <v>13552817.810000001</v>
      </c>
      <c r="E38" s="24" t="s">
        <v>112</v>
      </c>
      <c r="F38" s="24">
        <f>+SUM(F29,F32,F33,F35,F36,F37)</f>
        <v>802275.4</v>
      </c>
      <c r="H38" t="s">
        <v>110</v>
      </c>
      <c r="I38">
        <v>97382.58</v>
      </c>
    </row>
  </sheetData>
  <mergeCells count="6">
    <mergeCell ref="E25:F25"/>
    <mergeCell ref="A25:B25"/>
    <mergeCell ref="A26:B26"/>
    <mergeCell ref="E26:F26"/>
    <mergeCell ref="H25:I25"/>
    <mergeCell ref="H26:I26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96DD7-8795-4011-B0BD-66EA3AFEB157}">
  <dimension ref="A1:AF92"/>
  <sheetViews>
    <sheetView tabSelected="1" zoomScale="71" workbookViewId="0">
      <pane xSplit="1" ySplit="2" topLeftCell="B69" activePane="bottomRight" state="frozen"/>
      <selection pane="topRight" activeCell="B1" sqref="B1"/>
      <selection pane="bottomLeft" activeCell="A3" sqref="A3"/>
      <selection pane="bottomRight" activeCell="B90" sqref="B90"/>
    </sheetView>
  </sheetViews>
  <sheetFormatPr defaultRowHeight="14.25" x14ac:dyDescent="0.45"/>
  <cols>
    <col min="1" max="1" width="28.265625" style="6" bestFit="1" customWidth="1"/>
    <col min="2" max="2" width="21" style="9" customWidth="1"/>
    <col min="3" max="3" width="18.9296875" style="9" bestFit="1" customWidth="1"/>
    <col min="4" max="4" width="14.33203125" style="9" bestFit="1" customWidth="1"/>
    <col min="5" max="5" width="8.9296875" style="9" bestFit="1" customWidth="1"/>
    <col min="6" max="6" width="18.9296875" style="9" bestFit="1" customWidth="1"/>
    <col min="7" max="7" width="12.33203125" style="9" bestFit="1" customWidth="1"/>
    <col min="8" max="8" width="8.9296875" style="9" bestFit="1" customWidth="1"/>
    <col min="9" max="9" width="18.9296875" style="9" bestFit="1" customWidth="1"/>
    <col min="10" max="10" width="12.33203125" style="9" bestFit="1" customWidth="1"/>
    <col min="11" max="11" width="8.9296875" style="9" bestFit="1" customWidth="1"/>
    <col min="12" max="12" width="18.9296875" style="10" bestFit="1" customWidth="1"/>
    <col min="13" max="13" width="12.33203125" style="10" bestFit="1" customWidth="1"/>
    <col min="14" max="14" width="8.9296875" bestFit="1" customWidth="1"/>
    <col min="15" max="15" width="18.9296875" bestFit="1" customWidth="1"/>
    <col min="16" max="16" width="11.796875" bestFit="1" customWidth="1"/>
    <col min="18" max="18" width="18.9296875" bestFit="1" customWidth="1"/>
    <col min="19" max="19" width="9.3984375" bestFit="1" customWidth="1"/>
    <col min="21" max="21" width="18.9296875" bestFit="1" customWidth="1"/>
    <col min="24" max="24" width="18.9296875" bestFit="1" customWidth="1"/>
    <col min="27" max="27" width="18.9296875" bestFit="1" customWidth="1"/>
    <col min="30" max="30" width="18.9296875" bestFit="1" customWidth="1"/>
    <col min="32" max="32" width="9.6640625" bestFit="1" customWidth="1"/>
  </cols>
  <sheetData>
    <row r="1" spans="1:31" x14ac:dyDescent="0.45">
      <c r="B1" s="82" t="s">
        <v>26</v>
      </c>
      <c r="C1" s="82"/>
      <c r="D1" s="83"/>
      <c r="E1" s="84" t="s">
        <v>66</v>
      </c>
      <c r="F1" s="82"/>
      <c r="G1" s="83"/>
      <c r="H1" s="84" t="s">
        <v>67</v>
      </c>
      <c r="I1" s="82"/>
      <c r="J1" s="83"/>
      <c r="K1" s="82" t="s">
        <v>11</v>
      </c>
      <c r="L1" s="82"/>
      <c r="M1" s="83"/>
      <c r="N1" s="79" t="s">
        <v>98</v>
      </c>
      <c r="O1" s="80"/>
      <c r="P1" s="81"/>
      <c r="Q1" s="80" t="s">
        <v>99</v>
      </c>
      <c r="R1" s="80"/>
      <c r="S1" s="81"/>
      <c r="T1" s="79" t="s">
        <v>100</v>
      </c>
      <c r="U1" s="80"/>
      <c r="V1" s="81"/>
      <c r="W1" s="79" t="s">
        <v>101</v>
      </c>
      <c r="X1" s="80"/>
      <c r="Y1" s="81"/>
      <c r="Z1" s="79" t="s">
        <v>102</v>
      </c>
      <c r="AA1" s="80"/>
      <c r="AB1" s="81"/>
      <c r="AC1" s="79" t="s">
        <v>103</v>
      </c>
      <c r="AD1" s="80"/>
      <c r="AE1" s="81"/>
    </row>
    <row r="2" spans="1:31" x14ac:dyDescent="0.45">
      <c r="B2" s="11" t="s">
        <v>96</v>
      </c>
      <c r="C2" s="11" t="s">
        <v>97</v>
      </c>
      <c r="D2" s="12" t="s">
        <v>95</v>
      </c>
      <c r="E2" s="15" t="s">
        <v>96</v>
      </c>
      <c r="F2" s="11" t="s">
        <v>97</v>
      </c>
      <c r="G2" s="12" t="s">
        <v>95</v>
      </c>
      <c r="H2" s="15" t="s">
        <v>96</v>
      </c>
      <c r="I2" s="11" t="s">
        <v>97</v>
      </c>
      <c r="J2" s="12" t="s">
        <v>95</v>
      </c>
      <c r="K2" s="11" t="s">
        <v>96</v>
      </c>
      <c r="L2" s="11" t="s">
        <v>97</v>
      </c>
      <c r="M2" s="12" t="s">
        <v>95</v>
      </c>
      <c r="N2" s="15" t="s">
        <v>96</v>
      </c>
      <c r="O2" s="11"/>
      <c r="P2" s="12" t="s">
        <v>95</v>
      </c>
      <c r="Q2" s="11" t="s">
        <v>96</v>
      </c>
      <c r="R2" s="11"/>
      <c r="S2" s="12" t="s">
        <v>95</v>
      </c>
      <c r="T2" s="15" t="s">
        <v>96</v>
      </c>
      <c r="U2" s="11"/>
      <c r="V2" s="12" t="s">
        <v>95</v>
      </c>
      <c r="W2" s="15" t="s">
        <v>96</v>
      </c>
      <c r="X2" s="11"/>
      <c r="Y2" s="12" t="s">
        <v>95</v>
      </c>
      <c r="Z2" s="15" t="s">
        <v>96</v>
      </c>
      <c r="AA2" s="11"/>
      <c r="AB2" s="12" t="s">
        <v>95</v>
      </c>
      <c r="AC2" s="15" t="s">
        <v>96</v>
      </c>
      <c r="AD2" s="11"/>
      <c r="AE2" s="12" t="s">
        <v>95</v>
      </c>
    </row>
    <row r="3" spans="1:31" x14ac:dyDescent="0.45">
      <c r="A3" s="7" t="s">
        <v>27</v>
      </c>
      <c r="B3" s="13">
        <v>0</v>
      </c>
      <c r="C3" s="13">
        <f>B3/100</f>
        <v>0</v>
      </c>
      <c r="D3" s="18">
        <f>C3*'Population frame'!$B$28</f>
        <v>0</v>
      </c>
      <c r="E3" s="16">
        <v>0</v>
      </c>
      <c r="F3" s="13">
        <f>E3/100</f>
        <v>0</v>
      </c>
      <c r="G3" s="18">
        <f>F3*'Population frame'!$B$30</f>
        <v>0</v>
      </c>
      <c r="H3" s="16">
        <v>1.1943947515971536</v>
      </c>
      <c r="I3" s="13">
        <f>+H3/100</f>
        <v>1.1943947515971536E-2</v>
      </c>
      <c r="J3" s="18">
        <f>I3*'Population frame'!$B$31</f>
        <v>61866.411322955726</v>
      </c>
      <c r="K3" s="13">
        <v>2.1793828224118537</v>
      </c>
      <c r="L3" s="13">
        <f>K3/100</f>
        <v>2.1793828224118537E-2</v>
      </c>
      <c r="M3" s="18">
        <f>L3*'Population frame'!$B$34</f>
        <v>62848.344430209865</v>
      </c>
      <c r="N3" s="16">
        <v>0</v>
      </c>
      <c r="O3" s="13"/>
      <c r="P3" s="18">
        <f>(N3*'Population frame'!$B$29)/100</f>
        <v>0</v>
      </c>
      <c r="Q3" s="13">
        <v>0</v>
      </c>
      <c r="R3" s="13"/>
      <c r="S3" s="18">
        <f>(Q3*'Population frame'!$B$32)/100</f>
        <v>0</v>
      </c>
      <c r="T3" s="16">
        <v>5.751770613135287</v>
      </c>
      <c r="U3" s="13"/>
      <c r="V3" s="18">
        <f>(T3*'Population frame'!$B$33)/100</f>
        <v>7666.3049794234985</v>
      </c>
      <c r="W3" s="16">
        <v>0</v>
      </c>
      <c r="X3" s="13"/>
      <c r="Y3" s="18">
        <f>(W3*'Population frame'!$B$35)/100</f>
        <v>0</v>
      </c>
      <c r="Z3" s="16">
        <v>1.3510509689231718</v>
      </c>
      <c r="AA3" s="13"/>
      <c r="AB3" s="18">
        <f>(Z3*'Population frame'!$B$36)/100</f>
        <v>369.62863038381488</v>
      </c>
      <c r="AC3" s="16">
        <v>1.158688177664045</v>
      </c>
      <c r="AD3" s="13"/>
      <c r="AE3" s="18">
        <f>(AC3*'Population frame'!$B$37)/100</f>
        <v>361.64407644043115</v>
      </c>
    </row>
    <row r="4" spans="1:31" x14ac:dyDescent="0.45">
      <c r="A4" s="7" t="s">
        <v>28</v>
      </c>
      <c r="B4" s="13">
        <v>0</v>
      </c>
      <c r="C4" s="13">
        <f t="shared" ref="C4:C67" si="0">B4/100</f>
        <v>0</v>
      </c>
      <c r="D4" s="18">
        <f>C4*'Population frame'!$B$28</f>
        <v>0</v>
      </c>
      <c r="E4" s="16">
        <v>0</v>
      </c>
      <c r="F4" s="13">
        <f t="shared" ref="F4:F67" si="1">E4/100</f>
        <v>0</v>
      </c>
      <c r="G4" s="18">
        <f>F4*'Population frame'!$B$30</f>
        <v>0</v>
      </c>
      <c r="H4" s="16">
        <v>1.2649715877978804</v>
      </c>
      <c r="I4" s="13">
        <f t="shared" ref="I4:I67" si="2">+H4/100</f>
        <v>1.2649715877978805E-2</v>
      </c>
      <c r="J4" s="18">
        <f>I4*'Population frame'!$B$31</f>
        <v>65522.100174927276</v>
      </c>
      <c r="K4" s="13">
        <v>12.730842608825672</v>
      </c>
      <c r="L4" s="13">
        <f t="shared" ref="L4:L67" si="3">K4/100</f>
        <v>0.12730842608825671</v>
      </c>
      <c r="M4" s="18">
        <f>L4*'Population frame'!$B$34</f>
        <v>367127.96528367989</v>
      </c>
      <c r="N4" s="16">
        <v>0</v>
      </c>
      <c r="O4" s="13"/>
      <c r="P4" s="18">
        <f>(N4*'Population frame'!$B$29)/100</f>
        <v>0</v>
      </c>
      <c r="Q4" s="13">
        <v>0</v>
      </c>
      <c r="R4" s="13"/>
      <c r="S4" s="18">
        <f>(Q4*'Population frame'!$B$32)/100</f>
        <v>0</v>
      </c>
      <c r="T4" s="16">
        <v>1.6039459460797125</v>
      </c>
      <c r="U4" s="13"/>
      <c r="V4" s="18">
        <f>(T4*'Population frame'!$B$33)/100</f>
        <v>2137.8353936918056</v>
      </c>
      <c r="W4" s="16">
        <v>0.47833113961490958</v>
      </c>
      <c r="X4" s="13"/>
      <c r="Y4" s="18">
        <f>(W4*'Population frame'!$B$35)/100</f>
        <v>211.37835724494548</v>
      </c>
      <c r="Z4" s="16">
        <v>0.46448248165100425</v>
      </c>
      <c r="AA4" s="13"/>
      <c r="AB4" s="18">
        <f>(Z4*'Population frame'!$B$36)/100</f>
        <v>127.07590422497164</v>
      </c>
      <c r="AC4" s="16">
        <v>4.2375151499937047</v>
      </c>
      <c r="AD4" s="13"/>
      <c r="AE4" s="18">
        <f>(AC4*'Population frame'!$B$37)/100</f>
        <v>1322.5924647918</v>
      </c>
    </row>
    <row r="5" spans="1:31" x14ac:dyDescent="0.45">
      <c r="A5" s="7" t="s">
        <v>29</v>
      </c>
      <c r="B5" s="13">
        <v>0.51481485297057428</v>
      </c>
      <c r="C5" s="13">
        <f t="shared" si="0"/>
        <v>5.1481485297057428E-3</v>
      </c>
      <c r="D5" s="18">
        <f>C5*'Population frame'!$B$28</f>
        <v>4607.952789668866</v>
      </c>
      <c r="E5" s="16">
        <v>0</v>
      </c>
      <c r="F5" s="13">
        <f t="shared" si="1"/>
        <v>0</v>
      </c>
      <c r="G5" s="18">
        <f>F5*'Population frame'!$B$30</f>
        <v>0</v>
      </c>
      <c r="H5" s="16">
        <v>9.9028287168692195</v>
      </c>
      <c r="I5" s="13">
        <f t="shared" si="2"/>
        <v>9.9028287168692192E-2</v>
      </c>
      <c r="J5" s="18">
        <f>I5*'Population frame'!$B$31</f>
        <v>512939.69086800283</v>
      </c>
      <c r="K5" s="13">
        <v>27.420260131439452</v>
      </c>
      <c r="L5" s="13">
        <f t="shared" si="3"/>
        <v>0.2742026013143945</v>
      </c>
      <c r="M5" s="18">
        <f>L5*'Population frame'!$B$34</f>
        <v>790736.68718720879</v>
      </c>
      <c r="N5" s="16">
        <v>0</v>
      </c>
      <c r="O5" s="13"/>
      <c r="P5" s="18">
        <f>(N5*'Population frame'!$B$29)/100</f>
        <v>0</v>
      </c>
      <c r="Q5" s="13">
        <v>0</v>
      </c>
      <c r="R5" s="13"/>
      <c r="S5" s="18">
        <f>(Q5*'Population frame'!$B$32)/100</f>
        <v>0</v>
      </c>
      <c r="T5" s="16">
        <v>5.3022662160176308</v>
      </c>
      <c r="U5" s="13"/>
      <c r="V5" s="18">
        <f>(T5*'Population frame'!$B$33)/100</f>
        <v>7067.1785486812596</v>
      </c>
      <c r="W5" s="16">
        <v>16.26617975153329</v>
      </c>
      <c r="X5" s="13"/>
      <c r="Y5" s="18">
        <f>(W5*'Population frame'!$B$35)/100</f>
        <v>7188.1549616405737</v>
      </c>
      <c r="Z5" s="16">
        <v>1.2907405578692217</v>
      </c>
      <c r="AA5" s="13"/>
      <c r="AB5" s="18">
        <f>(Z5*'Population frame'!$B$36)/100</f>
        <v>353.12854626520885</v>
      </c>
      <c r="AC5" s="16">
        <v>0</v>
      </c>
      <c r="AD5" s="13"/>
      <c r="AE5" s="18">
        <f>(AC5*'Population frame'!$B$37)/100</f>
        <v>0</v>
      </c>
    </row>
    <row r="6" spans="1:31" x14ac:dyDescent="0.45">
      <c r="A6" s="7" t="s">
        <v>30</v>
      </c>
      <c r="B6" s="13">
        <v>0.61033151896916715</v>
      </c>
      <c r="C6" s="13">
        <f t="shared" si="0"/>
        <v>6.1033151896916719E-3</v>
      </c>
      <c r="D6" s="18">
        <f>C6*'Population frame'!$B$28</f>
        <v>5462.893716505806</v>
      </c>
      <c r="E6" s="16">
        <v>1.8844188335520589</v>
      </c>
      <c r="F6" s="13">
        <f t="shared" si="1"/>
        <v>1.8844188335520588E-2</v>
      </c>
      <c r="G6" s="18">
        <f>F6*'Population frame'!$B$30</f>
        <v>67874.976186653279</v>
      </c>
      <c r="H6" s="16">
        <v>3.3034054047874974</v>
      </c>
      <c r="I6" s="13">
        <f t="shared" si="2"/>
        <v>3.3034054047874975E-2</v>
      </c>
      <c r="J6" s="18">
        <f>I6*'Population frame'!$B$31</f>
        <v>171107.4477393454</v>
      </c>
      <c r="K6" s="13">
        <v>8.9469805259267243</v>
      </c>
      <c r="L6" s="13">
        <f t="shared" si="3"/>
        <v>8.9469805259267246E-2</v>
      </c>
      <c r="M6" s="18">
        <f>L6*'Population frame'!$B$34</f>
        <v>258010.16137290659</v>
      </c>
      <c r="N6" s="16">
        <v>0</v>
      </c>
      <c r="O6" s="13"/>
      <c r="P6" s="18">
        <f>(N6*'Population frame'!$B$29)/100</f>
        <v>0</v>
      </c>
      <c r="Q6" s="13">
        <v>0</v>
      </c>
      <c r="R6" s="13"/>
      <c r="S6" s="18">
        <f>(Q6*'Population frame'!$B$32)/100</f>
        <v>0</v>
      </c>
      <c r="T6" s="16">
        <v>17.886414850711532</v>
      </c>
      <c r="U6" s="13"/>
      <c r="V6" s="18">
        <f>(T6*'Population frame'!$B$33)/100</f>
        <v>23840.086897919373</v>
      </c>
      <c r="W6" s="16">
        <v>15.593225821330959</v>
      </c>
      <c r="X6" s="13"/>
      <c r="Y6" s="18">
        <f>(W6*'Population frame'!$B$35)/100</f>
        <v>6890.7712362527218</v>
      </c>
      <c r="Z6" s="16">
        <v>8.8314811016061157</v>
      </c>
      <c r="AA6" s="13"/>
      <c r="AB6" s="18">
        <f>(Z6*'Population frame'!$B$36)/100</f>
        <v>2416.1695886640105</v>
      </c>
      <c r="AC6" s="16">
        <v>9.1583032738555854</v>
      </c>
      <c r="AD6" s="13"/>
      <c r="AE6" s="18">
        <f>(AC6*'Population frame'!$B$37)/100</f>
        <v>2858.444742149763</v>
      </c>
    </row>
    <row r="7" spans="1:31" x14ac:dyDescent="0.45">
      <c r="A7" s="7" t="s">
        <v>31</v>
      </c>
      <c r="B7" s="13">
        <v>1.7270400298819641</v>
      </c>
      <c r="C7" s="13">
        <f t="shared" si="0"/>
        <v>1.7270400298819641E-2</v>
      </c>
      <c r="D7" s="18">
        <f>C7*'Population frame'!$B$28</f>
        <v>15458.215468424467</v>
      </c>
      <c r="E7" s="16">
        <v>5.3297708525747973</v>
      </c>
      <c r="F7" s="13">
        <f t="shared" si="1"/>
        <v>5.3297708525747972E-2</v>
      </c>
      <c r="G7" s="18">
        <f>F7*'Population frame'!$B$30</f>
        <v>191973.28282743425</v>
      </c>
      <c r="H7" s="16">
        <v>8.9140398365981017</v>
      </c>
      <c r="I7" s="13">
        <f t="shared" si="2"/>
        <v>8.9140398365981019E-2</v>
      </c>
      <c r="J7" s="18">
        <f>I7*'Population frame'!$B$31</f>
        <v>461723.10648782452</v>
      </c>
      <c r="K7" s="13">
        <v>16.663041556713868</v>
      </c>
      <c r="L7" s="13">
        <f t="shared" si="3"/>
        <v>0.16663041556713867</v>
      </c>
      <c r="M7" s="18">
        <f>L7*'Population frame'!$B$34</f>
        <v>480523.46023921634</v>
      </c>
      <c r="N7" s="16">
        <v>0</v>
      </c>
      <c r="O7" s="13"/>
      <c r="P7" s="18">
        <f>(N7*'Population frame'!$B$29)/100</f>
        <v>0</v>
      </c>
      <c r="Q7" s="13">
        <v>0</v>
      </c>
      <c r="R7" s="13"/>
      <c r="S7" s="18">
        <f>(Q7*'Population frame'!$B$32)/100</f>
        <v>0</v>
      </c>
      <c r="T7" s="16">
        <v>51.285201087757201</v>
      </c>
      <c r="U7" s="13"/>
      <c r="V7" s="18">
        <f>(T7*'Population frame'!$B$33)/100</f>
        <v>68355.993121828069</v>
      </c>
      <c r="W7" s="16">
        <v>18.500047180444529</v>
      </c>
      <c r="X7" s="13"/>
      <c r="Y7" s="18">
        <f>(W7*'Population frame'!$B$35)/100</f>
        <v>8175.3188494158812</v>
      </c>
      <c r="Z7" s="16">
        <v>37.312637369827229</v>
      </c>
      <c r="AA7" s="13"/>
      <c r="AB7" s="18">
        <f>(Z7*'Population frame'!$B$36)/100</f>
        <v>10208.215207461551</v>
      </c>
      <c r="AC7" s="16">
        <v>3.192996625809593</v>
      </c>
      <c r="AD7" s="13"/>
      <c r="AE7" s="18">
        <f>(AC7*'Population frame'!$B$37)/100</f>
        <v>996.58246116422367</v>
      </c>
    </row>
    <row r="8" spans="1:31" x14ac:dyDescent="0.45">
      <c r="A8" s="7" t="s">
        <v>32</v>
      </c>
      <c r="B8" s="13">
        <v>5.105977420194364</v>
      </c>
      <c r="C8" s="13">
        <f t="shared" si="0"/>
        <v>5.1059774201943638E-2</v>
      </c>
      <c r="D8" s="18">
        <f>C8*'Population frame'!$B$28</f>
        <v>45702.066988956271</v>
      </c>
      <c r="E8" s="16">
        <v>14.65448379771812</v>
      </c>
      <c r="F8" s="13">
        <f t="shared" si="1"/>
        <v>0.14654483797718121</v>
      </c>
      <c r="G8" s="18">
        <f>F8*'Population frame'!$B$30</f>
        <v>527840.58463419892</v>
      </c>
      <c r="H8" s="16">
        <v>6.1595950870311373</v>
      </c>
      <c r="I8" s="13">
        <f t="shared" si="2"/>
        <v>6.1595950870311375E-2</v>
      </c>
      <c r="J8" s="18">
        <f>I8*'Population frame'!$B$31</f>
        <v>319050.33300552709</v>
      </c>
      <c r="K8" s="13">
        <v>8.0165211565050569</v>
      </c>
      <c r="L8" s="13">
        <f t="shared" si="3"/>
        <v>8.0165211565050576E-2</v>
      </c>
      <c r="M8" s="18">
        <f>L8*'Population frame'!$B$34</f>
        <v>231177.87182452276</v>
      </c>
      <c r="N8" s="16">
        <v>0</v>
      </c>
      <c r="O8" s="13"/>
      <c r="P8" s="18">
        <f>(N8*'Population frame'!$B$29)/100</f>
        <v>0</v>
      </c>
      <c r="Q8" s="13">
        <v>0</v>
      </c>
      <c r="R8" s="13"/>
      <c r="S8" s="18">
        <f>(Q8*'Population frame'!$B$32)/100</f>
        <v>0</v>
      </c>
      <c r="T8" s="16">
        <v>2.6104213188804475</v>
      </c>
      <c r="U8" s="13"/>
      <c r="V8" s="18">
        <f>(T8*'Population frame'!$B$33)/100</f>
        <v>3479.3261590829934</v>
      </c>
      <c r="W8" s="16">
        <v>0</v>
      </c>
      <c r="X8" s="13"/>
      <c r="Y8" s="18">
        <f>(W8*'Population frame'!$B$35)/100</f>
        <v>0</v>
      </c>
      <c r="Z8" s="16">
        <v>0.46448248165100425</v>
      </c>
      <c r="AA8" s="13"/>
      <c r="AB8" s="18">
        <f>(Z8*'Population frame'!$B$36)/100</f>
        <v>127.07590422497164</v>
      </c>
      <c r="AC8" s="16">
        <v>0</v>
      </c>
      <c r="AD8" s="13"/>
      <c r="AE8" s="18">
        <f>(AC8*'Population frame'!$B$37)/100</f>
        <v>0</v>
      </c>
    </row>
    <row r="9" spans="1:31" x14ac:dyDescent="0.45">
      <c r="A9" s="7" t="s">
        <v>33</v>
      </c>
      <c r="B9" s="13">
        <v>0</v>
      </c>
      <c r="C9" s="13">
        <f t="shared" si="0"/>
        <v>0</v>
      </c>
      <c r="D9" s="18">
        <f>C9*'Population frame'!$B$28</f>
        <v>0</v>
      </c>
      <c r="E9" s="16">
        <v>0.23178064858562641</v>
      </c>
      <c r="F9" s="13">
        <f t="shared" si="1"/>
        <v>2.317806485856264E-3</v>
      </c>
      <c r="G9" s="18">
        <f>F9*'Population frame'!$B$30</f>
        <v>8348.518770438106</v>
      </c>
      <c r="H9" s="16">
        <v>6.4206088025903574</v>
      </c>
      <c r="I9" s="13">
        <f t="shared" si="2"/>
        <v>6.4206088025903579E-2</v>
      </c>
      <c r="J9" s="18">
        <f>I9*'Population frame'!$B$31</f>
        <v>332570.13612432551</v>
      </c>
      <c r="K9" s="13">
        <v>16.41913397613737</v>
      </c>
      <c r="L9" s="13">
        <f t="shared" si="3"/>
        <v>0.16419133976137371</v>
      </c>
      <c r="M9" s="18">
        <f>L9*'Population frame'!$B$34</f>
        <v>473489.73148097715</v>
      </c>
      <c r="N9" s="16">
        <v>0</v>
      </c>
      <c r="O9" s="13"/>
      <c r="P9" s="18">
        <f>(N9*'Population frame'!$B$29)/100</f>
        <v>0</v>
      </c>
      <c r="Q9" s="13">
        <v>0</v>
      </c>
      <c r="R9" s="13"/>
      <c r="S9" s="18">
        <f>(Q9*'Population frame'!$B$32)/100</f>
        <v>0</v>
      </c>
      <c r="T9" s="16">
        <v>14.104531113051195</v>
      </c>
      <c r="U9" s="13"/>
      <c r="V9" s="18">
        <f>(T9*'Population frame'!$B$33)/100</f>
        <v>18799.365339341413</v>
      </c>
      <c r="W9" s="16">
        <v>5.9024864641083372</v>
      </c>
      <c r="X9" s="13"/>
      <c r="Y9" s="18">
        <f>(W9*'Population frame'!$B$35)/100</f>
        <v>2608.3559883811872</v>
      </c>
      <c r="Z9" s="16">
        <v>4.8200268902732581</v>
      </c>
      <c r="AA9" s="13"/>
      <c r="AB9" s="18">
        <f>(Z9*'Population frame'!$B$36)/100</f>
        <v>1318.6918768022995</v>
      </c>
      <c r="AC9" s="16">
        <v>10.660038821661679</v>
      </c>
      <c r="AD9" s="13"/>
      <c r="AE9" s="18">
        <f>(AC9*'Population frame'!$B$37)/100</f>
        <v>3327.1590828268172</v>
      </c>
    </row>
    <row r="10" spans="1:31" hidden="1" x14ac:dyDescent="0.45">
      <c r="A10" s="7" t="s">
        <v>34</v>
      </c>
      <c r="B10" s="13">
        <v>6.2474473671530761</v>
      </c>
      <c r="C10" s="13">
        <f t="shared" si="0"/>
        <v>6.2474473671530764E-2</v>
      </c>
      <c r="D10" s="18">
        <f>C10*'Population frame'!$B$28</f>
        <v>55919.020901729673</v>
      </c>
      <c r="E10" s="16">
        <v>0</v>
      </c>
      <c r="F10" s="13">
        <f t="shared" si="1"/>
        <v>0</v>
      </c>
      <c r="G10" s="18">
        <f>F10*'Population frame'!$B$30</f>
        <v>0</v>
      </c>
      <c r="H10" s="16">
        <v>7.5724920614503306</v>
      </c>
      <c r="I10" s="13">
        <f t="shared" si="2"/>
        <v>7.572492061450331E-2</v>
      </c>
      <c r="J10" s="18">
        <f>I10*'Population frame'!$B$31</f>
        <v>392234.56732964062</v>
      </c>
      <c r="K10" s="13">
        <v>8.3105873402963475</v>
      </c>
      <c r="L10" s="13">
        <f t="shared" si="3"/>
        <v>8.3105873402963479E-2</v>
      </c>
      <c r="M10" s="18">
        <f>L10*'Population frame'!$B$34</f>
        <v>239658.05833151718</v>
      </c>
      <c r="N10" s="16">
        <v>0</v>
      </c>
      <c r="O10" s="13"/>
      <c r="P10" s="18">
        <f>(N10*'Population frame'!$B$29)/100</f>
        <v>0</v>
      </c>
      <c r="Q10" s="13">
        <v>0</v>
      </c>
      <c r="R10" s="13"/>
      <c r="S10" s="18">
        <f>(Q10*'Population frame'!$B$32)/100</f>
        <v>0</v>
      </c>
      <c r="T10" s="16">
        <v>0</v>
      </c>
      <c r="U10" s="13"/>
      <c r="V10" s="18">
        <f>(T10*'Population frame'!$B$33)/100</f>
        <v>0</v>
      </c>
      <c r="W10" s="16">
        <v>0</v>
      </c>
      <c r="X10" s="13"/>
      <c r="Y10" s="18">
        <f>(W10*'Population frame'!$B$35)/100</f>
        <v>0</v>
      </c>
      <c r="Z10" s="16">
        <v>0</v>
      </c>
      <c r="AA10" s="13"/>
      <c r="AB10" s="18">
        <f>(Z10*'Population frame'!$B$36)/100</f>
        <v>0</v>
      </c>
      <c r="AC10" s="16">
        <v>0</v>
      </c>
      <c r="AD10" s="13"/>
      <c r="AE10" s="18">
        <f>(AC10*'Population frame'!$B$37)/100</f>
        <v>0</v>
      </c>
    </row>
    <row r="11" spans="1:31" hidden="1" x14ac:dyDescent="0.45">
      <c r="A11" s="7" t="s">
        <v>35</v>
      </c>
      <c r="B11" s="13">
        <v>15.792874216342017</v>
      </c>
      <c r="C11" s="13">
        <f t="shared" si="0"/>
        <v>0.15792874216342018</v>
      </c>
      <c r="D11" s="18">
        <f>C11*'Population frame'!$B$28</f>
        <v>141357.26345533828</v>
      </c>
      <c r="E11" s="16">
        <v>34.022527753462896</v>
      </c>
      <c r="F11" s="13">
        <f t="shared" si="1"/>
        <v>0.34022527753462894</v>
      </c>
      <c r="G11" s="18">
        <f>F11*'Population frame'!$B$30</f>
        <v>1225459.1282783677</v>
      </c>
      <c r="H11" s="16">
        <v>56.849054936650532</v>
      </c>
      <c r="I11" s="13">
        <f t="shared" si="2"/>
        <v>0.56849054936650534</v>
      </c>
      <c r="J11" s="18">
        <f>I11*'Population frame'!$B$31</f>
        <v>2944626.9847796191</v>
      </c>
      <c r="K11" s="13">
        <v>40.880169884202409</v>
      </c>
      <c r="L11" s="13">
        <f t="shared" si="3"/>
        <v>0.40880169884202411</v>
      </c>
      <c r="M11" s="18">
        <f>L11*'Population frame'!$B$34</f>
        <v>1178889.2574662662</v>
      </c>
      <c r="N11" s="16">
        <v>50.454973183478664</v>
      </c>
      <c r="O11" s="13"/>
      <c r="P11" s="18">
        <f>(N11*'Population frame'!$B$29)/100</f>
        <v>60367.609489970804</v>
      </c>
      <c r="Q11" s="13">
        <v>0</v>
      </c>
      <c r="R11" s="13"/>
      <c r="S11" s="18">
        <f>(Q11*'Population frame'!$B$32)/100</f>
        <v>0</v>
      </c>
      <c r="T11" s="16">
        <v>18.142097835931008</v>
      </c>
      <c r="U11" s="13"/>
      <c r="V11" s="18">
        <f>(T11*'Population frame'!$B$33)/100</f>
        <v>24180.876521599002</v>
      </c>
      <c r="W11" s="16">
        <v>0</v>
      </c>
      <c r="X11" s="13"/>
      <c r="Y11" s="18">
        <f>(W11*'Population frame'!$B$35)/100</f>
        <v>0</v>
      </c>
      <c r="Z11" s="16">
        <v>35.043457422045883</v>
      </c>
      <c r="AA11" s="13"/>
      <c r="AB11" s="18">
        <f>(Z11*'Population frame'!$B$36)/100</f>
        <v>9587.3993422678432</v>
      </c>
      <c r="AC11" s="16">
        <v>3.2123565658310587</v>
      </c>
      <c r="AD11" s="13"/>
      <c r="AE11" s="18">
        <f>(AC11*'Population frame'!$B$37)/100</f>
        <v>1002.6249907800174</v>
      </c>
    </row>
    <row r="12" spans="1:31" hidden="1" x14ac:dyDescent="0.45">
      <c r="A12" s="7" t="s">
        <v>36</v>
      </c>
      <c r="B12" s="13">
        <v>1.3589209500954273</v>
      </c>
      <c r="C12" s="13">
        <f t="shared" si="0"/>
        <v>1.3589209500954274E-2</v>
      </c>
      <c r="D12" s="18">
        <f>C12*'Population frame'!$B$28</f>
        <v>12163.292389098193</v>
      </c>
      <c r="E12" s="16">
        <v>0</v>
      </c>
      <c r="F12" s="13">
        <f t="shared" si="1"/>
        <v>0</v>
      </c>
      <c r="G12" s="18">
        <f>F12*'Population frame'!$B$30</f>
        <v>0</v>
      </c>
      <c r="H12" s="16">
        <v>0</v>
      </c>
      <c r="I12" s="13">
        <f t="shared" si="2"/>
        <v>0</v>
      </c>
      <c r="J12" s="18">
        <f>I12*'Population frame'!$B$31</f>
        <v>0</v>
      </c>
      <c r="K12" s="13">
        <v>11.967490596263161</v>
      </c>
      <c r="L12" s="13">
        <f t="shared" si="3"/>
        <v>0.11967490596263161</v>
      </c>
      <c r="M12" s="18">
        <f>L12*'Population frame'!$B$34</f>
        <v>345114.66421804624</v>
      </c>
      <c r="N12" s="16">
        <v>0</v>
      </c>
      <c r="O12" s="13"/>
      <c r="P12" s="18">
        <f>(N12*'Population frame'!$B$29)/100</f>
        <v>0</v>
      </c>
      <c r="Q12" s="13">
        <v>0</v>
      </c>
      <c r="R12" s="13"/>
      <c r="S12" s="18">
        <f>(Q12*'Population frame'!$B$32)/100</f>
        <v>0</v>
      </c>
      <c r="T12" s="16">
        <v>2.3448779907544806</v>
      </c>
      <c r="U12" s="13"/>
      <c r="V12" s="18">
        <f>(T12*'Population frame'!$B$33)/100</f>
        <v>3125.3940787570168</v>
      </c>
      <c r="W12" s="16">
        <v>0</v>
      </c>
      <c r="X12" s="13"/>
      <c r="Y12" s="18">
        <f>(W12*'Population frame'!$B$35)/100</f>
        <v>0</v>
      </c>
      <c r="Z12" s="16">
        <v>0</v>
      </c>
      <c r="AA12" s="13"/>
      <c r="AB12" s="18">
        <f>(Z12*'Population frame'!$B$36)/100</f>
        <v>0</v>
      </c>
      <c r="AC12" s="16">
        <v>0</v>
      </c>
      <c r="AD12" s="13"/>
      <c r="AE12" s="18">
        <f>(AC12*'Population frame'!$B$37)/100</f>
        <v>0</v>
      </c>
    </row>
    <row r="13" spans="1:31" hidden="1" x14ac:dyDescent="0.45">
      <c r="A13" s="7" t="s">
        <v>37</v>
      </c>
      <c r="B13" s="13">
        <v>0</v>
      </c>
      <c r="C13" s="13">
        <f t="shared" si="0"/>
        <v>0</v>
      </c>
      <c r="D13" s="18">
        <f>C13*'Population frame'!$B$28</f>
        <v>0</v>
      </c>
      <c r="E13" s="16">
        <v>0</v>
      </c>
      <c r="F13" s="13">
        <f t="shared" si="1"/>
        <v>0</v>
      </c>
      <c r="G13" s="18">
        <f>F13*'Population frame'!$B$30</f>
        <v>0</v>
      </c>
      <c r="H13" s="16">
        <v>0</v>
      </c>
      <c r="I13" s="13">
        <f t="shared" si="2"/>
        <v>0</v>
      </c>
      <c r="J13" s="18">
        <f>I13*'Population frame'!$B$31</f>
        <v>0</v>
      </c>
      <c r="K13" s="13">
        <v>0</v>
      </c>
      <c r="L13" s="13">
        <f t="shared" si="3"/>
        <v>0</v>
      </c>
      <c r="M13" s="18">
        <f>L13*'Population frame'!$B$34</f>
        <v>0</v>
      </c>
      <c r="N13" s="16">
        <v>0</v>
      </c>
      <c r="O13" s="13"/>
      <c r="P13" s="18">
        <f>(N13*'Population frame'!$B$29)/100</f>
        <v>0</v>
      </c>
      <c r="Q13" s="13">
        <v>0</v>
      </c>
      <c r="R13" s="13"/>
      <c r="S13" s="18">
        <f>(Q13*'Population frame'!$B$32)/100</f>
        <v>0</v>
      </c>
      <c r="T13" s="16">
        <v>0</v>
      </c>
      <c r="U13" s="13"/>
      <c r="V13" s="18">
        <f>(T13*'Population frame'!$B$33)/100</f>
        <v>0</v>
      </c>
      <c r="W13" s="16">
        <v>0</v>
      </c>
      <c r="X13" s="13"/>
      <c r="Y13" s="18">
        <f>(W13*'Population frame'!$B$35)/100</f>
        <v>0</v>
      </c>
      <c r="Z13" s="16">
        <v>0</v>
      </c>
      <c r="AA13" s="13"/>
      <c r="AB13" s="18">
        <f>(Z13*'Population frame'!$B$36)/100</f>
        <v>0</v>
      </c>
      <c r="AC13" s="16">
        <v>0</v>
      </c>
      <c r="AD13" s="13"/>
      <c r="AE13" s="18">
        <f>(AC13*'Population frame'!$B$37)/100</f>
        <v>0</v>
      </c>
    </row>
    <row r="14" spans="1:31" hidden="1" x14ac:dyDescent="0.45">
      <c r="A14" s="7" t="s">
        <v>38</v>
      </c>
      <c r="B14" s="13">
        <v>0</v>
      </c>
      <c r="C14" s="13">
        <f t="shared" si="0"/>
        <v>0</v>
      </c>
      <c r="D14" s="18">
        <f>C14*'Population frame'!$B$28</f>
        <v>0</v>
      </c>
      <c r="E14" s="16">
        <v>7.0882684013500388</v>
      </c>
      <c r="F14" s="13">
        <f t="shared" si="1"/>
        <v>7.0882684013500383E-2</v>
      </c>
      <c r="G14" s="18">
        <f>F14*'Population frame'!$B$30</f>
        <v>255312.69396164711</v>
      </c>
      <c r="H14" s="16">
        <v>0</v>
      </c>
      <c r="I14" s="13">
        <f t="shared" si="2"/>
        <v>0</v>
      </c>
      <c r="J14" s="18">
        <f>I14*'Population frame'!$B$31</f>
        <v>0</v>
      </c>
      <c r="K14" s="13">
        <v>0</v>
      </c>
      <c r="L14" s="13">
        <f t="shared" si="3"/>
        <v>0</v>
      </c>
      <c r="M14" s="18">
        <f>L14*'Population frame'!$B$34</f>
        <v>0</v>
      </c>
      <c r="N14" s="16">
        <v>0</v>
      </c>
      <c r="O14" s="13"/>
      <c r="P14" s="18">
        <f>(N14*'Population frame'!$B$29)/100</f>
        <v>0</v>
      </c>
      <c r="Q14" s="13">
        <v>0</v>
      </c>
      <c r="R14" s="13"/>
      <c r="S14" s="18">
        <f>(Q14*'Population frame'!$B$32)/100</f>
        <v>0</v>
      </c>
      <c r="T14" s="16">
        <v>0</v>
      </c>
      <c r="U14" s="13"/>
      <c r="V14" s="18">
        <f>(T14*'Population frame'!$B$33)/100</f>
        <v>0</v>
      </c>
      <c r="W14" s="16">
        <v>0</v>
      </c>
      <c r="X14" s="13"/>
      <c r="Y14" s="18">
        <f>(W14*'Population frame'!$B$35)/100</f>
        <v>0</v>
      </c>
      <c r="Z14" s="16">
        <v>0</v>
      </c>
      <c r="AA14" s="13"/>
      <c r="AB14" s="18">
        <f>(Z14*'Population frame'!$B$36)/100</f>
        <v>0</v>
      </c>
      <c r="AC14" s="16">
        <v>0</v>
      </c>
      <c r="AD14" s="13"/>
      <c r="AE14" s="18">
        <f>(AC14*'Population frame'!$B$37)/100</f>
        <v>0</v>
      </c>
    </row>
    <row r="15" spans="1:31" hidden="1" x14ac:dyDescent="0.45">
      <c r="A15" s="7" t="s">
        <v>39</v>
      </c>
      <c r="B15" s="13">
        <v>6.0015290716180356</v>
      </c>
      <c r="C15" s="13">
        <f t="shared" si="0"/>
        <v>6.0015290716180357E-2</v>
      </c>
      <c r="D15" s="18">
        <f>C15*'Population frame'!$B$28</f>
        <v>53717.880259802485</v>
      </c>
      <c r="E15" s="16">
        <v>0</v>
      </c>
      <c r="F15" s="13">
        <f t="shared" si="1"/>
        <v>0</v>
      </c>
      <c r="G15" s="18">
        <f>F15*'Population frame'!$B$30</f>
        <v>0</v>
      </c>
      <c r="H15" s="16">
        <v>0</v>
      </c>
      <c r="I15" s="13">
        <f t="shared" si="2"/>
        <v>0</v>
      </c>
      <c r="J15" s="18">
        <f>I15*'Population frame'!$B$31</f>
        <v>0</v>
      </c>
      <c r="K15" s="13">
        <v>0</v>
      </c>
      <c r="L15" s="13">
        <f t="shared" si="3"/>
        <v>0</v>
      </c>
      <c r="M15" s="18">
        <f>L15*'Population frame'!$B$34</f>
        <v>0</v>
      </c>
      <c r="N15" s="16">
        <v>0</v>
      </c>
      <c r="O15" s="13"/>
      <c r="P15" s="18">
        <f>(N15*'Population frame'!$B$29)/100</f>
        <v>0</v>
      </c>
      <c r="Q15" s="13">
        <v>0</v>
      </c>
      <c r="R15" s="13"/>
      <c r="S15" s="18">
        <f>(Q15*'Population frame'!$B$32)/100</f>
        <v>0</v>
      </c>
      <c r="T15" s="16">
        <v>3.2512634962628679</v>
      </c>
      <c r="U15" s="13"/>
      <c r="V15" s="18">
        <f>(T15*'Population frame'!$B$33)/100</f>
        <v>4333.4790636289263</v>
      </c>
      <c r="W15" s="16">
        <v>0</v>
      </c>
      <c r="X15" s="13"/>
      <c r="Y15" s="18">
        <f>(W15*'Population frame'!$B$35)/100</f>
        <v>0</v>
      </c>
      <c r="Z15" s="16">
        <v>0.99913749249718087</v>
      </c>
      <c r="AA15" s="13"/>
      <c r="AB15" s="18">
        <f>(Z15*'Population frame'!$B$36)/100</f>
        <v>273.35003002233373</v>
      </c>
      <c r="AC15" s="16">
        <v>1.8281388540265009</v>
      </c>
      <c r="AD15" s="13"/>
      <c r="AE15" s="18">
        <f>(AC15*'Population frame'!$B$37)/100</f>
        <v>570.58974123836674</v>
      </c>
    </row>
    <row r="16" spans="1:31" hidden="1" x14ac:dyDescent="0.45">
      <c r="A16" s="7" t="s">
        <v>40</v>
      </c>
      <c r="B16" s="13">
        <v>17.412799047457504</v>
      </c>
      <c r="C16" s="13">
        <f t="shared" si="0"/>
        <v>0.17412799047457506</v>
      </c>
      <c r="D16" s="18">
        <f>C16*'Population frame'!$B$28</f>
        <v>155856.72302127886</v>
      </c>
      <c r="E16" s="16">
        <v>13.794228874230795</v>
      </c>
      <c r="F16" s="13">
        <f t="shared" si="1"/>
        <v>0.13794228874230796</v>
      </c>
      <c r="G16" s="18">
        <f>F16*'Population frame'!$B$30</f>
        <v>496855.01953236276</v>
      </c>
      <c r="H16" s="16">
        <v>7.2891402692624032</v>
      </c>
      <c r="I16" s="13">
        <f t="shared" si="2"/>
        <v>7.2891402692624035E-2</v>
      </c>
      <c r="J16" s="18">
        <f>I16*'Population frame'!$B$31</f>
        <v>377557.71237766283</v>
      </c>
      <c r="K16" s="13">
        <v>11.913535096344068</v>
      </c>
      <c r="L16" s="13">
        <f t="shared" si="3"/>
        <v>0.11913535096344069</v>
      </c>
      <c r="M16" s="18">
        <f>L16*'Population frame'!$B$34</f>
        <v>343558.71277713944</v>
      </c>
      <c r="N16" s="16">
        <v>0</v>
      </c>
      <c r="O16" s="13"/>
      <c r="P16" s="18">
        <f>(N16*'Population frame'!$B$29)/100</f>
        <v>0</v>
      </c>
      <c r="Q16" s="13">
        <v>0</v>
      </c>
      <c r="R16" s="13"/>
      <c r="S16" s="18">
        <f>(Q16*'Population frame'!$B$32)/100</f>
        <v>0</v>
      </c>
      <c r="T16" s="16">
        <v>1.8031900883079595</v>
      </c>
      <c r="U16" s="13"/>
      <c r="V16" s="18">
        <f>(T16*'Population frame'!$B$33)/100</f>
        <v>2403.3999411021468</v>
      </c>
      <c r="W16" s="16">
        <v>0</v>
      </c>
      <c r="X16" s="13"/>
      <c r="Y16" s="18">
        <f>(W16*'Population frame'!$B$35)/100</f>
        <v>0</v>
      </c>
      <c r="Z16" s="16">
        <v>0</v>
      </c>
      <c r="AA16" s="13"/>
      <c r="AB16" s="18">
        <f>(Z16*'Population frame'!$B$36)/100</f>
        <v>0</v>
      </c>
      <c r="AC16" s="16">
        <v>0</v>
      </c>
      <c r="AD16" s="13"/>
      <c r="AE16" s="18">
        <f>(AC16*'Population frame'!$B$37)/100</f>
        <v>0</v>
      </c>
    </row>
    <row r="17" spans="1:31" hidden="1" x14ac:dyDescent="0.45">
      <c r="A17" s="7" t="s">
        <v>41</v>
      </c>
      <c r="B17" s="13">
        <v>35.430848372242401</v>
      </c>
      <c r="C17" s="13">
        <f t="shared" si="0"/>
        <v>0.35430848372242402</v>
      </c>
      <c r="D17" s="18">
        <f>C17*'Population frame'!$B$28</f>
        <v>317130.85909458168</v>
      </c>
      <c r="E17" s="16">
        <v>28.574847632277681</v>
      </c>
      <c r="F17" s="13">
        <f t="shared" si="1"/>
        <v>0.28574847632277683</v>
      </c>
      <c r="G17" s="18">
        <f>F17*'Population frame'!$B$30</f>
        <v>1029238.8656093915</v>
      </c>
      <c r="H17" s="16">
        <v>37.032290053844491</v>
      </c>
      <c r="I17" s="13">
        <f t="shared" si="2"/>
        <v>0.37032290053844491</v>
      </c>
      <c r="J17" s="18">
        <f>I17*'Population frame'!$B$31</f>
        <v>1918172.2672830988</v>
      </c>
      <c r="K17" s="13">
        <v>16.860636475522014</v>
      </c>
      <c r="L17" s="13">
        <f t="shared" si="3"/>
        <v>0.16860636475522014</v>
      </c>
      <c r="M17" s="18">
        <f>L17*'Population frame'!$B$34</f>
        <v>486221.63927743171</v>
      </c>
      <c r="N17" s="16">
        <v>0</v>
      </c>
      <c r="O17" s="13"/>
      <c r="P17" s="18">
        <f>(N17*'Population frame'!$B$29)/100</f>
        <v>0</v>
      </c>
      <c r="Q17" s="13">
        <v>0</v>
      </c>
      <c r="R17" s="13"/>
      <c r="S17" s="18">
        <f>(Q17*'Population frame'!$B$32)/100</f>
        <v>0</v>
      </c>
      <c r="T17" s="16">
        <v>0</v>
      </c>
      <c r="U17" s="13"/>
      <c r="V17" s="18">
        <f>(T17*'Population frame'!$B$33)/100</f>
        <v>0</v>
      </c>
      <c r="W17" s="16">
        <v>0</v>
      </c>
      <c r="X17" s="13"/>
      <c r="Y17" s="18">
        <f>(W17*'Population frame'!$B$35)/100</f>
        <v>0</v>
      </c>
      <c r="Z17" s="16">
        <v>64.220805678927789</v>
      </c>
      <c r="AA17" s="13"/>
      <c r="AB17" s="18">
        <f>(Z17*'Population frame'!$B$36)/100</f>
        <v>17569.913342475138</v>
      </c>
      <c r="AC17" s="16">
        <v>0</v>
      </c>
      <c r="AD17" s="13"/>
      <c r="AE17" s="18">
        <f>(AC17*'Population frame'!$B$37)/100</f>
        <v>0</v>
      </c>
    </row>
    <row r="18" spans="1:31" hidden="1" x14ac:dyDescent="0.45">
      <c r="A18" s="7" t="s">
        <v>42</v>
      </c>
      <c r="B18" s="13">
        <v>0</v>
      </c>
      <c r="C18" s="13">
        <f t="shared" si="0"/>
        <v>0</v>
      </c>
      <c r="D18" s="18">
        <f>C18*'Population frame'!$B$28</f>
        <v>0</v>
      </c>
      <c r="E18" s="16">
        <v>0</v>
      </c>
      <c r="F18" s="13">
        <f t="shared" si="1"/>
        <v>0</v>
      </c>
      <c r="G18" s="18">
        <f>F18*'Population frame'!$B$30</f>
        <v>0</v>
      </c>
      <c r="H18" s="16">
        <v>0</v>
      </c>
      <c r="I18" s="13">
        <f t="shared" si="2"/>
        <v>0</v>
      </c>
      <c r="J18" s="18">
        <f>I18*'Population frame'!$B$31</f>
        <v>0</v>
      </c>
      <c r="K18" s="13">
        <v>0</v>
      </c>
      <c r="L18" s="13">
        <f t="shared" si="3"/>
        <v>0</v>
      </c>
      <c r="M18" s="18">
        <f>L18*'Population frame'!$B$34</f>
        <v>0</v>
      </c>
      <c r="N18" s="16">
        <v>0</v>
      </c>
      <c r="O18" s="13"/>
      <c r="P18" s="18">
        <f>(N18*'Population frame'!$B$29)/100</f>
        <v>0</v>
      </c>
      <c r="Q18" s="13">
        <v>0</v>
      </c>
      <c r="R18" s="13"/>
      <c r="S18" s="18">
        <f>(Q18*'Population frame'!$B$32)/100</f>
        <v>0</v>
      </c>
      <c r="T18" s="16">
        <v>0</v>
      </c>
      <c r="U18" s="13"/>
      <c r="V18" s="18">
        <f>(T18*'Population frame'!$B$33)/100</f>
        <v>0</v>
      </c>
      <c r="W18" s="16">
        <v>0</v>
      </c>
      <c r="X18" s="13"/>
      <c r="Y18" s="18">
        <f>(W18*'Population frame'!$B$35)/100</f>
        <v>0</v>
      </c>
      <c r="Z18" s="16">
        <v>0</v>
      </c>
      <c r="AA18" s="13"/>
      <c r="AB18" s="18">
        <f>(Z18*'Population frame'!$B$36)/100</f>
        <v>0</v>
      </c>
      <c r="AC18" s="16">
        <v>0</v>
      </c>
      <c r="AD18" s="13"/>
      <c r="AE18" s="18">
        <f>(AC18*'Population frame'!$B$37)/100</f>
        <v>0</v>
      </c>
    </row>
    <row r="19" spans="1:31" hidden="1" x14ac:dyDescent="0.45">
      <c r="A19" s="7" t="s">
        <v>43</v>
      </c>
      <c r="B19" s="13">
        <v>0</v>
      </c>
      <c r="C19" s="13">
        <f t="shared" si="0"/>
        <v>0</v>
      </c>
      <c r="D19" s="18">
        <f>C19*'Population frame'!$B$28</f>
        <v>0</v>
      </c>
      <c r="E19" s="16">
        <v>0</v>
      </c>
      <c r="F19" s="13">
        <f t="shared" si="1"/>
        <v>0</v>
      </c>
      <c r="G19" s="18">
        <f>F19*'Population frame'!$B$30</f>
        <v>0</v>
      </c>
      <c r="H19" s="16">
        <v>0</v>
      </c>
      <c r="I19" s="13">
        <f t="shared" si="2"/>
        <v>0</v>
      </c>
      <c r="J19" s="18">
        <f>I19*'Population frame'!$B$31</f>
        <v>0</v>
      </c>
      <c r="K19" s="13">
        <v>0</v>
      </c>
      <c r="L19" s="13">
        <f t="shared" si="3"/>
        <v>0</v>
      </c>
      <c r="M19" s="18">
        <f>L19*'Population frame'!$B$34</f>
        <v>0</v>
      </c>
      <c r="N19" s="16">
        <v>0</v>
      </c>
      <c r="O19" s="13"/>
      <c r="P19" s="18">
        <f>(N19*'Population frame'!$B$29)/100</f>
        <v>0</v>
      </c>
      <c r="Q19" s="13">
        <v>0</v>
      </c>
      <c r="R19" s="13"/>
      <c r="S19" s="18">
        <f>(Q19*'Population frame'!$B$32)/100</f>
        <v>0</v>
      </c>
      <c r="T19" s="16">
        <v>0</v>
      </c>
      <c r="U19" s="13"/>
      <c r="V19" s="18">
        <f>(T19*'Population frame'!$B$33)/100</f>
        <v>0</v>
      </c>
      <c r="W19" s="16">
        <v>0</v>
      </c>
      <c r="X19" s="13"/>
      <c r="Y19" s="18">
        <f>(W19*'Population frame'!$B$35)/100</f>
        <v>0</v>
      </c>
      <c r="Z19" s="16">
        <v>0</v>
      </c>
      <c r="AA19" s="13"/>
      <c r="AB19" s="18">
        <f>(Z19*'Population frame'!$B$36)/100</f>
        <v>0</v>
      </c>
      <c r="AC19" s="16">
        <v>0</v>
      </c>
      <c r="AD19" s="13"/>
      <c r="AE19" s="18">
        <f>(AC19*'Population frame'!$B$37)/100</f>
        <v>0</v>
      </c>
    </row>
    <row r="20" spans="1:31" hidden="1" x14ac:dyDescent="0.45">
      <c r="A20" s="7" t="s">
        <v>44</v>
      </c>
      <c r="B20" s="13">
        <v>0</v>
      </c>
      <c r="C20" s="13">
        <f t="shared" si="0"/>
        <v>0</v>
      </c>
      <c r="D20" s="18">
        <f>C20*'Population frame'!$B$28</f>
        <v>0</v>
      </c>
      <c r="E20" s="16">
        <v>0</v>
      </c>
      <c r="F20" s="13">
        <f t="shared" si="1"/>
        <v>0</v>
      </c>
      <c r="G20" s="18">
        <f>F20*'Population frame'!$B$30</f>
        <v>0</v>
      </c>
      <c r="H20" s="16">
        <v>0</v>
      </c>
      <c r="I20" s="13">
        <f t="shared" si="2"/>
        <v>0</v>
      </c>
      <c r="J20" s="18">
        <f>I20*'Population frame'!$B$31</f>
        <v>0</v>
      </c>
      <c r="K20" s="13">
        <v>0</v>
      </c>
      <c r="L20" s="13">
        <f t="shared" si="3"/>
        <v>0</v>
      </c>
      <c r="M20" s="18">
        <f>L20*'Population frame'!$B$34</f>
        <v>0</v>
      </c>
      <c r="N20" s="16">
        <v>0</v>
      </c>
      <c r="O20" s="13"/>
      <c r="P20" s="18">
        <f>(N20*'Population frame'!$B$29)/100</f>
        <v>0</v>
      </c>
      <c r="Q20" s="13">
        <v>0</v>
      </c>
      <c r="R20" s="13"/>
      <c r="S20" s="18">
        <f>(Q20*'Population frame'!$B$32)/100</f>
        <v>0</v>
      </c>
      <c r="T20" s="16">
        <v>0</v>
      </c>
      <c r="U20" s="13"/>
      <c r="V20" s="18">
        <f>(T20*'Population frame'!$B$33)/100</f>
        <v>0</v>
      </c>
      <c r="W20" s="16">
        <v>0</v>
      </c>
      <c r="X20" s="13"/>
      <c r="Y20" s="18">
        <f>(W20*'Population frame'!$B$35)/100</f>
        <v>0</v>
      </c>
      <c r="Z20" s="16">
        <v>0</v>
      </c>
      <c r="AA20" s="13"/>
      <c r="AB20" s="18">
        <f>(Z20*'Population frame'!$B$36)/100</f>
        <v>0</v>
      </c>
      <c r="AC20" s="16">
        <v>0</v>
      </c>
      <c r="AD20" s="13"/>
      <c r="AE20" s="18">
        <f>(AC20*'Population frame'!$B$37)/100</f>
        <v>0</v>
      </c>
    </row>
    <row r="21" spans="1:31" hidden="1" x14ac:dyDescent="0.45">
      <c r="A21" s="7" t="s">
        <v>45</v>
      </c>
      <c r="B21" s="13">
        <v>0</v>
      </c>
      <c r="C21" s="13">
        <f t="shared" si="0"/>
        <v>0</v>
      </c>
      <c r="D21" s="18">
        <f>C21*'Population frame'!$B$28</f>
        <v>0</v>
      </c>
      <c r="E21" s="16">
        <v>9.9083422027446595</v>
      </c>
      <c r="F21" s="13">
        <f t="shared" si="1"/>
        <v>9.9083422027446591E-2</v>
      </c>
      <c r="G21" s="18">
        <f>F21*'Population frame'!$B$30</f>
        <v>356889.07321777003</v>
      </c>
      <c r="H21" s="16">
        <v>0</v>
      </c>
      <c r="I21" s="13">
        <f t="shared" si="2"/>
        <v>0</v>
      </c>
      <c r="J21" s="18">
        <f>I21*'Population frame'!$B$31</f>
        <v>0</v>
      </c>
      <c r="K21" s="13">
        <v>0</v>
      </c>
      <c r="L21" s="13">
        <f t="shared" si="3"/>
        <v>0</v>
      </c>
      <c r="M21" s="18">
        <f>L21*'Population frame'!$B$34</f>
        <v>0</v>
      </c>
      <c r="N21" s="16">
        <v>0</v>
      </c>
      <c r="O21" s="13"/>
      <c r="P21" s="18">
        <f>(N21*'Population frame'!$B$29)/100</f>
        <v>0</v>
      </c>
      <c r="Q21" s="13">
        <v>0</v>
      </c>
      <c r="R21" s="13"/>
      <c r="S21" s="18">
        <f>(Q21*'Population frame'!$B$32)/100</f>
        <v>0</v>
      </c>
      <c r="T21" s="16">
        <v>0</v>
      </c>
      <c r="U21" s="13"/>
      <c r="V21" s="18">
        <f>(T21*'Population frame'!$B$33)/100</f>
        <v>0</v>
      </c>
      <c r="W21" s="16">
        <v>0</v>
      </c>
      <c r="X21" s="13"/>
      <c r="Y21" s="18">
        <f>(W21*'Population frame'!$B$35)/100</f>
        <v>0</v>
      </c>
      <c r="Z21" s="16">
        <v>0</v>
      </c>
      <c r="AA21" s="13"/>
      <c r="AB21" s="18">
        <f>(Z21*'Population frame'!$B$36)/100</f>
        <v>0</v>
      </c>
      <c r="AC21" s="16">
        <v>0</v>
      </c>
      <c r="AD21" s="13"/>
      <c r="AE21" s="18">
        <f>(AC21*'Population frame'!$B$37)/100</f>
        <v>0</v>
      </c>
    </row>
    <row r="22" spans="1:31" hidden="1" x14ac:dyDescent="0.45">
      <c r="A22" s="7" t="s">
        <v>46</v>
      </c>
      <c r="B22" s="13">
        <v>2.2306269146050091</v>
      </c>
      <c r="C22" s="13">
        <f t="shared" si="0"/>
        <v>2.2306269146050092E-2</v>
      </c>
      <c r="D22" s="18">
        <f>C22*'Population frame'!$B$28</f>
        <v>19965.670093928144</v>
      </c>
      <c r="E22" s="16">
        <v>2.6093882028008042</v>
      </c>
      <c r="F22" s="13">
        <f t="shared" si="1"/>
        <v>2.6093882028008043E-2</v>
      </c>
      <c r="G22" s="18">
        <f>F22*'Population frame'!$B$30</f>
        <v>93987.684146092302</v>
      </c>
      <c r="H22" s="16">
        <v>4.2664436405224864</v>
      </c>
      <c r="I22" s="13">
        <f t="shared" si="2"/>
        <v>4.2664436405224861E-2</v>
      </c>
      <c r="J22" s="18">
        <f>I22*'Population frame'!$B$31</f>
        <v>220990.21851679895</v>
      </c>
      <c r="K22" s="13">
        <v>0</v>
      </c>
      <c r="L22" s="13">
        <f t="shared" si="3"/>
        <v>0</v>
      </c>
      <c r="M22" s="18">
        <f>L22*'Population frame'!$B$34</f>
        <v>0</v>
      </c>
      <c r="N22" s="16">
        <v>0</v>
      </c>
      <c r="O22" s="13"/>
      <c r="P22" s="18">
        <f>(N22*'Population frame'!$B$29)/100</f>
        <v>0</v>
      </c>
      <c r="Q22" s="13">
        <v>0</v>
      </c>
      <c r="R22" s="13"/>
      <c r="S22" s="18">
        <f>(Q22*'Population frame'!$B$32)/100</f>
        <v>0</v>
      </c>
      <c r="T22" s="16">
        <v>0</v>
      </c>
      <c r="U22" s="13"/>
      <c r="V22" s="18">
        <f>(T22*'Population frame'!$B$33)/100</f>
        <v>0</v>
      </c>
      <c r="W22" s="16">
        <v>0</v>
      </c>
      <c r="X22" s="13"/>
      <c r="Y22" s="18">
        <f>(W22*'Population frame'!$B$35)/100</f>
        <v>0</v>
      </c>
      <c r="Z22" s="16">
        <v>0</v>
      </c>
      <c r="AA22" s="13"/>
      <c r="AB22" s="18">
        <f>(Z22*'Population frame'!$B$36)/100</f>
        <v>0</v>
      </c>
      <c r="AC22" s="16">
        <v>0</v>
      </c>
      <c r="AD22" s="13"/>
      <c r="AE22" s="18">
        <f>(AC22*'Population frame'!$B$37)/100</f>
        <v>0</v>
      </c>
    </row>
    <row r="23" spans="1:31" hidden="1" x14ac:dyDescent="0.45">
      <c r="A23" s="7" t="s">
        <v>47</v>
      </c>
      <c r="B23" s="13">
        <v>0</v>
      </c>
      <c r="C23" s="13">
        <f t="shared" si="0"/>
        <v>0</v>
      </c>
      <c r="D23" s="18">
        <f>C23*'Population frame'!$B$28</f>
        <v>0</v>
      </c>
      <c r="E23" s="16">
        <v>0</v>
      </c>
      <c r="F23" s="13">
        <f t="shared" si="1"/>
        <v>0</v>
      </c>
      <c r="G23" s="18">
        <f>F23*'Population frame'!$B$30</f>
        <v>0</v>
      </c>
      <c r="H23" s="16">
        <v>0</v>
      </c>
      <c r="I23" s="13">
        <f t="shared" si="2"/>
        <v>0</v>
      </c>
      <c r="J23" s="18">
        <f>I23*'Population frame'!$B$31</f>
        <v>0</v>
      </c>
      <c r="K23" s="13">
        <v>0</v>
      </c>
      <c r="L23" s="13">
        <f t="shared" si="3"/>
        <v>0</v>
      </c>
      <c r="M23" s="18">
        <f>L23*'Population frame'!$B$34</f>
        <v>0</v>
      </c>
      <c r="N23" s="16">
        <v>0</v>
      </c>
      <c r="O23" s="13"/>
      <c r="P23" s="18">
        <f>(N23*'Population frame'!$B$29)/100</f>
        <v>0</v>
      </c>
      <c r="Q23" s="13">
        <v>0</v>
      </c>
      <c r="R23" s="13"/>
      <c r="S23" s="18">
        <f>(Q23*'Population frame'!$B$32)/100</f>
        <v>0</v>
      </c>
      <c r="T23" s="16">
        <v>0</v>
      </c>
      <c r="U23" s="13"/>
      <c r="V23" s="18">
        <f>(T23*'Population frame'!$B$33)/100</f>
        <v>0</v>
      </c>
      <c r="W23" s="16">
        <v>0</v>
      </c>
      <c r="X23" s="13"/>
      <c r="Y23" s="18">
        <f>(W23*'Population frame'!$B$35)/100</f>
        <v>0</v>
      </c>
      <c r="Z23" s="16">
        <v>0</v>
      </c>
      <c r="AA23" s="13"/>
      <c r="AB23" s="18">
        <f>(Z23*'Population frame'!$B$36)/100</f>
        <v>0</v>
      </c>
      <c r="AC23" s="16">
        <v>0</v>
      </c>
      <c r="AD23" s="13"/>
      <c r="AE23" s="18">
        <f>(AC23*'Population frame'!$B$37)/100</f>
        <v>0</v>
      </c>
    </row>
    <row r="24" spans="1:31" hidden="1" x14ac:dyDescent="0.45">
      <c r="A24" s="7" t="s">
        <v>48</v>
      </c>
      <c r="B24" s="13">
        <v>0</v>
      </c>
      <c r="C24" s="13">
        <f t="shared" si="0"/>
        <v>0</v>
      </c>
      <c r="D24" s="18">
        <f>C24*'Population frame'!$B$28</f>
        <v>0</v>
      </c>
      <c r="E24" s="16">
        <v>0</v>
      </c>
      <c r="F24" s="13">
        <f t="shared" si="1"/>
        <v>0</v>
      </c>
      <c r="G24" s="18">
        <f>F24*'Population frame'!$B$30</f>
        <v>0</v>
      </c>
      <c r="H24" s="16">
        <v>0</v>
      </c>
      <c r="I24" s="13">
        <f t="shared" si="2"/>
        <v>0</v>
      </c>
      <c r="J24" s="18">
        <f>I24*'Population frame'!$B$31</f>
        <v>0</v>
      </c>
      <c r="K24" s="13">
        <v>0</v>
      </c>
      <c r="L24" s="13">
        <f t="shared" si="3"/>
        <v>0</v>
      </c>
      <c r="M24" s="18">
        <f>L24*'Population frame'!$B$34</f>
        <v>0</v>
      </c>
      <c r="N24" s="16">
        <v>0</v>
      </c>
      <c r="O24" s="13"/>
      <c r="P24" s="18">
        <f>(N24*'Population frame'!$B$29)/100</f>
        <v>0</v>
      </c>
      <c r="Q24" s="13">
        <v>0</v>
      </c>
      <c r="R24" s="13"/>
      <c r="S24" s="18">
        <f>(Q24*'Population frame'!$B$32)/100</f>
        <v>0</v>
      </c>
      <c r="T24" s="16">
        <v>0</v>
      </c>
      <c r="U24" s="13"/>
      <c r="V24" s="18">
        <f>(T24*'Population frame'!$B$33)/100</f>
        <v>0</v>
      </c>
      <c r="W24" s="16">
        <v>0</v>
      </c>
      <c r="X24" s="13"/>
      <c r="Y24" s="18">
        <f>(W24*'Population frame'!$B$35)/100</f>
        <v>0</v>
      </c>
      <c r="Z24" s="16">
        <v>0</v>
      </c>
      <c r="AA24" s="13"/>
      <c r="AB24" s="18">
        <f>(Z24*'Population frame'!$B$36)/100</f>
        <v>0</v>
      </c>
      <c r="AC24" s="16">
        <v>0</v>
      </c>
      <c r="AD24" s="13"/>
      <c r="AE24" s="18">
        <f>(AC24*'Population frame'!$B$37)/100</f>
        <v>0</v>
      </c>
    </row>
    <row r="25" spans="1:31" hidden="1" x14ac:dyDescent="0.45">
      <c r="A25" s="7" t="s">
        <v>49</v>
      </c>
      <c r="B25" s="13">
        <v>0</v>
      </c>
      <c r="C25" s="13">
        <f t="shared" si="0"/>
        <v>0</v>
      </c>
      <c r="D25" s="18">
        <f>C25*'Population frame'!$B$28</f>
        <v>0</v>
      </c>
      <c r="E25" s="16">
        <v>0</v>
      </c>
      <c r="F25" s="13">
        <f t="shared" si="1"/>
        <v>0</v>
      </c>
      <c r="G25" s="18">
        <f>F25*'Population frame'!$B$30</f>
        <v>0</v>
      </c>
      <c r="H25" s="16">
        <v>0</v>
      </c>
      <c r="I25" s="13">
        <f t="shared" si="2"/>
        <v>0</v>
      </c>
      <c r="J25" s="18">
        <f>I25*'Population frame'!$B$31</f>
        <v>0</v>
      </c>
      <c r="K25" s="13">
        <v>0</v>
      </c>
      <c r="L25" s="13">
        <f t="shared" si="3"/>
        <v>0</v>
      </c>
      <c r="M25" s="18">
        <f>L25*'Population frame'!$B$34</f>
        <v>0</v>
      </c>
      <c r="N25" s="16">
        <v>0</v>
      </c>
      <c r="O25" s="13"/>
      <c r="P25" s="18">
        <f>(N25*'Population frame'!$B$29)/100</f>
        <v>0</v>
      </c>
      <c r="Q25" s="13">
        <v>0</v>
      </c>
      <c r="R25" s="13"/>
      <c r="S25" s="18">
        <f>(Q25*'Population frame'!$B$32)/100</f>
        <v>0</v>
      </c>
      <c r="T25" s="16">
        <v>2.1669971424627854</v>
      </c>
      <c r="U25" s="13"/>
      <c r="V25" s="18">
        <f>(T25*'Population frame'!$B$33)/100</f>
        <v>2888.3038113029484</v>
      </c>
      <c r="W25" s="16">
        <v>0</v>
      </c>
      <c r="X25" s="13"/>
      <c r="Y25" s="18">
        <f>(W25*'Population frame'!$B$35)/100</f>
        <v>0</v>
      </c>
      <c r="Z25" s="16">
        <v>0</v>
      </c>
      <c r="AA25" s="13"/>
      <c r="AB25" s="18">
        <f>(Z25*'Population frame'!$B$36)/100</f>
        <v>0</v>
      </c>
      <c r="AC25" s="16">
        <v>0</v>
      </c>
      <c r="AD25" s="13"/>
      <c r="AE25" s="18">
        <f>(AC25*'Population frame'!$B$37)/100</f>
        <v>0</v>
      </c>
    </row>
    <row r="26" spans="1:31" hidden="1" x14ac:dyDescent="0.45">
      <c r="A26" s="7" t="s">
        <v>50</v>
      </c>
      <c r="B26" s="13">
        <v>0</v>
      </c>
      <c r="C26" s="13">
        <f t="shared" si="0"/>
        <v>0</v>
      </c>
      <c r="D26" s="18">
        <f>C26*'Population frame'!$B$28</f>
        <v>0</v>
      </c>
      <c r="E26" s="16">
        <v>0</v>
      </c>
      <c r="F26" s="13">
        <f t="shared" si="1"/>
        <v>0</v>
      </c>
      <c r="G26" s="18">
        <f>F26*'Population frame'!$B$30</f>
        <v>0</v>
      </c>
      <c r="H26" s="16">
        <v>0</v>
      </c>
      <c r="I26" s="13">
        <f t="shared" si="2"/>
        <v>0</v>
      </c>
      <c r="J26" s="18">
        <f>I26*'Population frame'!$B$31</f>
        <v>0</v>
      </c>
      <c r="K26" s="13">
        <v>6.5417408777008923</v>
      </c>
      <c r="L26" s="13">
        <f t="shared" si="3"/>
        <v>6.5417408777008926E-2</v>
      </c>
      <c r="M26" s="18">
        <f>L26*'Population frame'!$B$34</f>
        <v>188648.63007405747</v>
      </c>
      <c r="N26" s="16">
        <v>0</v>
      </c>
      <c r="O26" s="13"/>
      <c r="P26" s="18">
        <f>(N26*'Population frame'!$B$29)/100</f>
        <v>0</v>
      </c>
      <c r="Q26" s="13">
        <v>0</v>
      </c>
      <c r="R26" s="13"/>
      <c r="S26" s="18">
        <f>(Q26*'Population frame'!$B$32)/100</f>
        <v>0</v>
      </c>
      <c r="T26" s="16">
        <v>0</v>
      </c>
      <c r="U26" s="13"/>
      <c r="V26" s="18">
        <f>(T26*'Population frame'!$B$33)/100</f>
        <v>0</v>
      </c>
      <c r="W26" s="16">
        <v>0</v>
      </c>
      <c r="X26" s="13"/>
      <c r="Y26" s="18">
        <f>(W26*'Population frame'!$B$35)/100</f>
        <v>0</v>
      </c>
      <c r="Z26" s="16">
        <v>0</v>
      </c>
      <c r="AA26" s="13"/>
      <c r="AB26" s="18">
        <f>(Z26*'Population frame'!$B$36)/100</f>
        <v>0</v>
      </c>
      <c r="AC26" s="16">
        <v>0</v>
      </c>
      <c r="AD26" s="13"/>
      <c r="AE26" s="18">
        <f>(AC26*'Population frame'!$B$37)/100</f>
        <v>0</v>
      </c>
    </row>
    <row r="27" spans="1:31" hidden="1" x14ac:dyDescent="0.45">
      <c r="A27" s="7" t="s">
        <v>51</v>
      </c>
      <c r="B27" s="13">
        <v>0</v>
      </c>
      <c r="C27" s="13">
        <f t="shared" si="0"/>
        <v>0</v>
      </c>
      <c r="D27" s="18">
        <f>C27*'Population frame'!$B$28</f>
        <v>0</v>
      </c>
      <c r="E27" s="16">
        <v>0</v>
      </c>
      <c r="F27" s="13">
        <f t="shared" si="1"/>
        <v>0</v>
      </c>
      <c r="G27" s="18">
        <f>F27*'Population frame'!$B$30</f>
        <v>0</v>
      </c>
      <c r="H27" s="16">
        <v>8.7660657223837148</v>
      </c>
      <c r="I27" s="13">
        <f t="shared" si="2"/>
        <v>8.7660657223837146E-2</v>
      </c>
      <c r="J27" s="18">
        <f>I27*'Population frame'!$B$31</f>
        <v>454058.44838136877</v>
      </c>
      <c r="K27" s="13">
        <v>0</v>
      </c>
      <c r="L27" s="13">
        <f t="shared" si="3"/>
        <v>0</v>
      </c>
      <c r="M27" s="18">
        <f>L27*'Population frame'!$B$34</f>
        <v>0</v>
      </c>
      <c r="N27" s="16">
        <v>0</v>
      </c>
      <c r="O27" s="13"/>
      <c r="P27" s="18">
        <f>(N27*'Population frame'!$B$29)/100</f>
        <v>0</v>
      </c>
      <c r="Q27" s="13">
        <v>0</v>
      </c>
      <c r="R27" s="13"/>
      <c r="S27" s="18">
        <f>(Q27*'Population frame'!$B$32)/100</f>
        <v>0</v>
      </c>
      <c r="T27" s="16">
        <v>0</v>
      </c>
      <c r="U27" s="13"/>
      <c r="V27" s="18">
        <f>(T27*'Population frame'!$B$33)/100</f>
        <v>0</v>
      </c>
      <c r="W27" s="16">
        <v>0</v>
      </c>
      <c r="X27" s="13"/>
      <c r="Y27" s="18">
        <f>(W27*'Population frame'!$B$35)/100</f>
        <v>0</v>
      </c>
      <c r="Z27" s="16">
        <v>0</v>
      </c>
      <c r="AA27" s="13"/>
      <c r="AB27" s="18">
        <f>(Z27*'Population frame'!$B$36)/100</f>
        <v>0</v>
      </c>
      <c r="AC27" s="16">
        <v>0</v>
      </c>
      <c r="AD27" s="13"/>
      <c r="AE27" s="18">
        <f>(AC27*'Population frame'!$B$37)/100</f>
        <v>0</v>
      </c>
    </row>
    <row r="28" spans="1:31" hidden="1" x14ac:dyDescent="0.45">
      <c r="A28" s="7" t="s">
        <v>52</v>
      </c>
      <c r="B28" s="13">
        <v>0</v>
      </c>
      <c r="C28" s="13">
        <f t="shared" si="0"/>
        <v>0</v>
      </c>
      <c r="D28" s="18">
        <f>C28*'Population frame'!$B$28</f>
        <v>0</v>
      </c>
      <c r="E28" s="16">
        <v>0</v>
      </c>
      <c r="F28" s="13">
        <f t="shared" si="1"/>
        <v>0</v>
      </c>
      <c r="G28" s="18">
        <f>F28*'Population frame'!$B$30</f>
        <v>0</v>
      </c>
      <c r="H28" s="16">
        <v>0</v>
      </c>
      <c r="I28" s="13">
        <f t="shared" si="2"/>
        <v>0</v>
      </c>
      <c r="J28" s="18">
        <f>I28*'Population frame'!$B$31</f>
        <v>0</v>
      </c>
      <c r="K28" s="13">
        <v>0</v>
      </c>
      <c r="L28" s="13">
        <f t="shared" si="3"/>
        <v>0</v>
      </c>
      <c r="M28" s="18">
        <f>L28*'Population frame'!$B$34</f>
        <v>0</v>
      </c>
      <c r="N28" s="16">
        <v>0</v>
      </c>
      <c r="O28" s="13"/>
      <c r="P28" s="18">
        <f>(N28*'Population frame'!$B$29)/100</f>
        <v>0</v>
      </c>
      <c r="Q28" s="13">
        <v>0</v>
      </c>
      <c r="R28" s="13"/>
      <c r="S28" s="18">
        <f>(Q28*'Population frame'!$B$32)/100</f>
        <v>0</v>
      </c>
      <c r="T28" s="16">
        <v>4.6295366064514916</v>
      </c>
      <c r="U28" s="13"/>
      <c r="V28" s="18">
        <f>(T28*'Population frame'!$B$33)/100</f>
        <v>6170.5241612749351</v>
      </c>
      <c r="W28" s="16">
        <v>0</v>
      </c>
      <c r="X28" s="13"/>
      <c r="Y28" s="18">
        <f>(W28*'Population frame'!$B$35)/100</f>
        <v>0</v>
      </c>
      <c r="Z28" s="16">
        <v>0</v>
      </c>
      <c r="AA28" s="13"/>
      <c r="AB28" s="18">
        <f>(Z28*'Population frame'!$B$36)/100</f>
        <v>0</v>
      </c>
      <c r="AC28" s="16">
        <v>0</v>
      </c>
      <c r="AD28" s="13"/>
      <c r="AE28" s="18">
        <f>(AC28*'Population frame'!$B$37)/100</f>
        <v>0</v>
      </c>
    </row>
    <row r="29" spans="1:31" hidden="1" x14ac:dyDescent="0.45">
      <c r="A29" s="7" t="s">
        <v>53</v>
      </c>
      <c r="B29" s="13">
        <v>0</v>
      </c>
      <c r="C29" s="13">
        <f t="shared" si="0"/>
        <v>0</v>
      </c>
      <c r="D29" s="18">
        <f>C29*'Population frame'!$B$28</f>
        <v>0</v>
      </c>
      <c r="E29" s="16">
        <v>0</v>
      </c>
      <c r="F29" s="13">
        <f t="shared" si="1"/>
        <v>0</v>
      </c>
      <c r="G29" s="18">
        <f>F29*'Population frame'!$B$30</f>
        <v>0</v>
      </c>
      <c r="H29" s="16">
        <v>0</v>
      </c>
      <c r="I29" s="13">
        <f t="shared" si="2"/>
        <v>0</v>
      </c>
      <c r="J29" s="18">
        <f>I29*'Population frame'!$B$31</f>
        <v>0</v>
      </c>
      <c r="K29" s="13">
        <v>0</v>
      </c>
      <c r="L29" s="13">
        <f t="shared" si="3"/>
        <v>0</v>
      </c>
      <c r="M29" s="18">
        <f>L29*'Population frame'!$B$34</f>
        <v>0</v>
      </c>
      <c r="N29" s="16">
        <v>0</v>
      </c>
      <c r="O29" s="13"/>
      <c r="P29" s="18">
        <f>(N29*'Population frame'!$B$29)/100</f>
        <v>0</v>
      </c>
      <c r="Q29" s="13">
        <v>0</v>
      </c>
      <c r="R29" s="13"/>
      <c r="S29" s="18">
        <f>(Q29*'Population frame'!$B$32)/100</f>
        <v>0</v>
      </c>
      <c r="T29" s="16">
        <v>0</v>
      </c>
      <c r="U29" s="13"/>
      <c r="V29" s="18">
        <f>(T29*'Population frame'!$B$33)/100</f>
        <v>0</v>
      </c>
      <c r="W29" s="16">
        <v>0</v>
      </c>
      <c r="X29" s="13"/>
      <c r="Y29" s="18">
        <f>(W29*'Population frame'!$B$35)/100</f>
        <v>0</v>
      </c>
      <c r="Z29" s="16">
        <v>0</v>
      </c>
      <c r="AA29" s="13"/>
      <c r="AB29" s="18">
        <f>(Z29*'Population frame'!$B$36)/100</f>
        <v>0</v>
      </c>
      <c r="AC29" s="16">
        <v>0</v>
      </c>
      <c r="AD29" s="13"/>
      <c r="AE29" s="18">
        <f>(AC29*'Population frame'!$B$37)/100</f>
        <v>0</v>
      </c>
    </row>
    <row r="30" spans="1:31" hidden="1" x14ac:dyDescent="0.45">
      <c r="A30" s="7" t="s">
        <v>54</v>
      </c>
      <c r="B30" s="13">
        <v>0</v>
      </c>
      <c r="C30" s="13">
        <f t="shared" si="0"/>
        <v>0</v>
      </c>
      <c r="D30" s="18">
        <f>C30*'Population frame'!$B$28</f>
        <v>0</v>
      </c>
      <c r="E30" s="16">
        <v>0</v>
      </c>
      <c r="F30" s="13">
        <f t="shared" si="1"/>
        <v>0</v>
      </c>
      <c r="G30" s="18">
        <f>F30*'Population frame'!$B$30</f>
        <v>0</v>
      </c>
      <c r="H30" s="16">
        <v>0</v>
      </c>
      <c r="I30" s="13">
        <f t="shared" si="2"/>
        <v>0</v>
      </c>
      <c r="J30" s="18">
        <f>I30*'Population frame'!$B$31</f>
        <v>0</v>
      </c>
      <c r="K30" s="13">
        <v>0</v>
      </c>
      <c r="L30" s="13">
        <f t="shared" si="3"/>
        <v>0</v>
      </c>
      <c r="M30" s="18">
        <f>L30*'Population frame'!$B$34</f>
        <v>0</v>
      </c>
      <c r="N30" s="16">
        <v>0</v>
      </c>
      <c r="O30" s="13"/>
      <c r="P30" s="18">
        <f>(N30*'Population frame'!$B$29)/100</f>
        <v>0</v>
      </c>
      <c r="Q30" s="13">
        <v>0</v>
      </c>
      <c r="R30" s="13"/>
      <c r="S30" s="18">
        <f>(Q30*'Population frame'!$B$32)/100</f>
        <v>0</v>
      </c>
      <c r="T30" s="16">
        <v>0</v>
      </c>
      <c r="U30" s="13"/>
      <c r="V30" s="18">
        <f>(T30*'Population frame'!$B$33)/100</f>
        <v>0</v>
      </c>
      <c r="W30" s="16">
        <v>0</v>
      </c>
      <c r="X30" s="13"/>
      <c r="Y30" s="18">
        <f>(W30*'Population frame'!$B$35)/100</f>
        <v>0</v>
      </c>
      <c r="Z30" s="16">
        <v>0</v>
      </c>
      <c r="AA30" s="13"/>
      <c r="AB30" s="18">
        <f>(Z30*'Population frame'!$B$36)/100</f>
        <v>0</v>
      </c>
      <c r="AC30" s="16">
        <v>0</v>
      </c>
      <c r="AD30" s="13"/>
      <c r="AE30" s="18">
        <f>(AC30*'Population frame'!$B$37)/100</f>
        <v>0</v>
      </c>
    </row>
    <row r="31" spans="1:31" hidden="1" x14ac:dyDescent="0.45">
      <c r="A31" s="7" t="s">
        <v>55</v>
      </c>
      <c r="B31" s="13">
        <v>3.8837163681643587</v>
      </c>
      <c r="C31" s="13">
        <f t="shared" si="0"/>
        <v>3.883716368164359E-2</v>
      </c>
      <c r="D31" s="18">
        <f>C31*'Population frame'!$B$28</f>
        <v>34761.976212812362</v>
      </c>
      <c r="E31" s="16">
        <v>0</v>
      </c>
      <c r="F31" s="13">
        <f t="shared" si="1"/>
        <v>0</v>
      </c>
      <c r="G31" s="18">
        <f>F31*'Population frame'!$B$30</f>
        <v>0</v>
      </c>
      <c r="H31" s="16">
        <v>0</v>
      </c>
      <c r="I31" s="13">
        <f t="shared" si="2"/>
        <v>0</v>
      </c>
      <c r="J31" s="18">
        <f>I31*'Population frame'!$B$31</f>
        <v>0</v>
      </c>
      <c r="K31" s="13">
        <v>0</v>
      </c>
      <c r="L31" s="13">
        <f t="shared" si="3"/>
        <v>0</v>
      </c>
      <c r="M31" s="18">
        <f>L31*'Population frame'!$B$34</f>
        <v>0</v>
      </c>
      <c r="N31" s="16">
        <v>0</v>
      </c>
      <c r="O31" s="13"/>
      <c r="P31" s="18">
        <f>(N31*'Population frame'!$B$29)/100</f>
        <v>0</v>
      </c>
      <c r="Q31" s="13">
        <v>0</v>
      </c>
      <c r="R31" s="13"/>
      <c r="S31" s="18">
        <f>(Q31*'Population frame'!$B$32)/100</f>
        <v>0</v>
      </c>
      <c r="T31" s="16">
        <v>0</v>
      </c>
      <c r="U31" s="13"/>
      <c r="V31" s="18">
        <f>(T31*'Population frame'!$B$33)/100</f>
        <v>0</v>
      </c>
      <c r="W31" s="16">
        <v>0</v>
      </c>
      <c r="X31" s="13"/>
      <c r="Y31" s="18">
        <f>(W31*'Population frame'!$B$35)/100</f>
        <v>0</v>
      </c>
      <c r="Z31" s="16">
        <v>0</v>
      </c>
      <c r="AA31" s="13"/>
      <c r="AB31" s="18">
        <f>(Z31*'Population frame'!$B$36)/100</f>
        <v>0</v>
      </c>
      <c r="AC31" s="16">
        <v>0</v>
      </c>
      <c r="AD31" s="13"/>
      <c r="AE31" s="18">
        <f>(AC31*'Population frame'!$B$37)/100</f>
        <v>0</v>
      </c>
    </row>
    <row r="32" spans="1:31" hidden="1" x14ac:dyDescent="0.45">
      <c r="A32" s="7" t="s">
        <v>56</v>
      </c>
      <c r="B32" s="13">
        <v>0</v>
      </c>
      <c r="C32" s="13">
        <f t="shared" si="0"/>
        <v>0</v>
      </c>
      <c r="D32" s="18">
        <f>C32*'Population frame'!$B$28</f>
        <v>0</v>
      </c>
      <c r="E32" s="16">
        <v>4.3417080340783567</v>
      </c>
      <c r="F32" s="13">
        <f t="shared" si="1"/>
        <v>4.3417080340783565E-2</v>
      </c>
      <c r="G32" s="18">
        <f>F32*'Population frame'!$B$30</f>
        <v>156384.19876487003</v>
      </c>
      <c r="H32" s="16">
        <v>5.102662772488932</v>
      </c>
      <c r="I32" s="13">
        <f t="shared" si="2"/>
        <v>5.102662772488932E-2</v>
      </c>
      <c r="J32" s="18">
        <f>I32*'Population frame'!$B$31</f>
        <v>264304.10339881323</v>
      </c>
      <c r="K32" s="13">
        <v>1.3122836157039142</v>
      </c>
      <c r="L32" s="13">
        <f t="shared" si="3"/>
        <v>1.3122836157039141E-2</v>
      </c>
      <c r="M32" s="18">
        <f>L32*'Population frame'!$B$34</f>
        <v>37843.214978912452</v>
      </c>
      <c r="N32" s="16">
        <v>0</v>
      </c>
      <c r="O32" s="13"/>
      <c r="P32" s="18">
        <f>(N32*'Population frame'!$B$29)/100</f>
        <v>0</v>
      </c>
      <c r="Q32" s="13">
        <v>0</v>
      </c>
      <c r="R32" s="13"/>
      <c r="S32" s="18">
        <f>(Q32*'Population frame'!$B$32)/100</f>
        <v>0</v>
      </c>
      <c r="T32" s="16">
        <v>0</v>
      </c>
      <c r="U32" s="13"/>
      <c r="V32" s="18">
        <f>(T32*'Population frame'!$B$33)/100</f>
        <v>0</v>
      </c>
      <c r="W32" s="16">
        <v>0</v>
      </c>
      <c r="X32" s="13"/>
      <c r="Y32" s="18">
        <f>(W32*'Population frame'!$B$35)/100</f>
        <v>0</v>
      </c>
      <c r="Z32" s="16">
        <v>0</v>
      </c>
      <c r="AA32" s="13"/>
      <c r="AB32" s="18">
        <f>(Z32*'Population frame'!$B$36)/100</f>
        <v>0</v>
      </c>
      <c r="AC32" s="16">
        <v>0</v>
      </c>
      <c r="AD32" s="13"/>
      <c r="AE32" s="18">
        <f>(AC32*'Population frame'!$B$37)/100</f>
        <v>0</v>
      </c>
    </row>
    <row r="33" spans="1:31" hidden="1" x14ac:dyDescent="0.45">
      <c r="A33" s="7" t="s">
        <v>57</v>
      </c>
      <c r="B33" s="13">
        <v>0</v>
      </c>
      <c r="C33" s="13">
        <f t="shared" si="0"/>
        <v>0</v>
      </c>
      <c r="D33" s="18">
        <f>C33*'Population frame'!$B$28</f>
        <v>0</v>
      </c>
      <c r="E33" s="16">
        <v>0</v>
      </c>
      <c r="F33" s="13">
        <f t="shared" si="1"/>
        <v>0</v>
      </c>
      <c r="G33" s="18">
        <f>F33*'Population frame'!$B$30</f>
        <v>0</v>
      </c>
      <c r="H33" s="16">
        <v>0</v>
      </c>
      <c r="I33" s="13">
        <f t="shared" si="2"/>
        <v>0</v>
      </c>
      <c r="J33" s="18">
        <f>I33*'Population frame'!$B$31</f>
        <v>0</v>
      </c>
      <c r="K33" s="13">
        <v>0</v>
      </c>
      <c r="L33" s="13">
        <f t="shared" si="3"/>
        <v>0</v>
      </c>
      <c r="M33" s="18">
        <f>L33*'Population frame'!$B$34</f>
        <v>0</v>
      </c>
      <c r="N33" s="16">
        <v>0</v>
      </c>
      <c r="O33" s="13"/>
      <c r="P33" s="18">
        <f>(N33*'Population frame'!$B$29)/100</f>
        <v>0</v>
      </c>
      <c r="Q33" s="13">
        <v>0</v>
      </c>
      <c r="R33" s="13"/>
      <c r="S33" s="18">
        <f>(Q33*'Population frame'!$B$32)/100</f>
        <v>0</v>
      </c>
      <c r="T33" s="16">
        <v>0</v>
      </c>
      <c r="U33" s="13"/>
      <c r="V33" s="18">
        <f>(T33*'Population frame'!$B$33)/100</f>
        <v>0</v>
      </c>
      <c r="W33" s="16">
        <v>0</v>
      </c>
      <c r="X33" s="13"/>
      <c r="Y33" s="18">
        <f>(W33*'Population frame'!$B$35)/100</f>
        <v>0</v>
      </c>
      <c r="Z33" s="16">
        <v>0</v>
      </c>
      <c r="AA33" s="13"/>
      <c r="AB33" s="18">
        <f>(Z33*'Population frame'!$B$36)/100</f>
        <v>0</v>
      </c>
      <c r="AC33" s="16">
        <v>0</v>
      </c>
      <c r="AD33" s="13"/>
      <c r="AE33" s="18">
        <f>(AC33*'Population frame'!$B$37)/100</f>
        <v>0</v>
      </c>
    </row>
    <row r="34" spans="1:31" hidden="1" x14ac:dyDescent="0.45">
      <c r="A34" s="7" t="s">
        <v>58</v>
      </c>
      <c r="B34" s="13">
        <v>0</v>
      </c>
      <c r="C34" s="13">
        <f t="shared" si="0"/>
        <v>0</v>
      </c>
      <c r="D34" s="18">
        <f>C34*'Population frame'!$B$28</f>
        <v>0</v>
      </c>
      <c r="E34" s="16">
        <v>24.564816353293313</v>
      </c>
      <c r="F34" s="13">
        <f t="shared" si="1"/>
        <v>0.24564816353293314</v>
      </c>
      <c r="G34" s="18">
        <f>F34*'Population frame'!$B$30</f>
        <v>884801.34847008961</v>
      </c>
      <c r="H34" s="16">
        <v>0</v>
      </c>
      <c r="I34" s="13">
        <f t="shared" si="2"/>
        <v>0</v>
      </c>
      <c r="J34" s="18">
        <f>I34*'Population frame'!$B$31</f>
        <v>0</v>
      </c>
      <c r="K34" s="13">
        <v>3.3259655862553945</v>
      </c>
      <c r="L34" s="13">
        <f t="shared" si="3"/>
        <v>3.3259655862553944E-2</v>
      </c>
      <c r="M34" s="18">
        <f>L34*'Population frame'!$B$34</f>
        <v>95913.131267445468</v>
      </c>
      <c r="N34" s="16">
        <v>0</v>
      </c>
      <c r="O34" s="13"/>
      <c r="P34" s="18">
        <f>(N34*'Population frame'!$B$29)/100</f>
        <v>0</v>
      </c>
      <c r="Q34" s="13">
        <v>0</v>
      </c>
      <c r="R34" s="13"/>
      <c r="S34" s="18">
        <f>(Q34*'Population frame'!$B$32)/100</f>
        <v>0</v>
      </c>
      <c r="T34" s="16">
        <v>0</v>
      </c>
      <c r="U34" s="13"/>
      <c r="V34" s="18">
        <f>(T34*'Population frame'!$B$33)/100</f>
        <v>0</v>
      </c>
      <c r="W34" s="16">
        <v>0</v>
      </c>
      <c r="X34" s="13"/>
      <c r="Y34" s="18">
        <f>(W34*'Population frame'!$B$35)/100</f>
        <v>0</v>
      </c>
      <c r="Z34" s="16">
        <v>0</v>
      </c>
      <c r="AA34" s="13"/>
      <c r="AB34" s="18">
        <f>(Z34*'Population frame'!$B$36)/100</f>
        <v>0</v>
      </c>
      <c r="AC34" s="16">
        <v>0</v>
      </c>
      <c r="AD34" s="13"/>
      <c r="AE34" s="18">
        <f>(AC34*'Population frame'!$B$37)/100</f>
        <v>0</v>
      </c>
    </row>
    <row r="35" spans="1:31" hidden="1" x14ac:dyDescent="0.45">
      <c r="A35" s="7" t="s">
        <v>59</v>
      </c>
      <c r="B35" s="13">
        <v>0</v>
      </c>
      <c r="C35" s="13">
        <f t="shared" si="0"/>
        <v>0</v>
      </c>
      <c r="D35" s="18">
        <f>C35*'Population frame'!$B$28</f>
        <v>0</v>
      </c>
      <c r="E35" s="16">
        <v>0</v>
      </c>
      <c r="F35" s="13">
        <f t="shared" si="1"/>
        <v>0</v>
      </c>
      <c r="G35" s="18">
        <f>F35*'Population frame'!$B$30</f>
        <v>0</v>
      </c>
      <c r="H35" s="16">
        <v>3.895367578907333</v>
      </c>
      <c r="I35" s="13">
        <f t="shared" si="2"/>
        <v>3.8953675789073328E-2</v>
      </c>
      <c r="J35" s="18">
        <f>I35*'Population frame'!$B$31</f>
        <v>201769.484141261</v>
      </c>
      <c r="K35" s="13">
        <v>0</v>
      </c>
      <c r="L35" s="13">
        <f t="shared" si="3"/>
        <v>0</v>
      </c>
      <c r="M35" s="18">
        <f>L35*'Population frame'!$B$34</f>
        <v>0</v>
      </c>
      <c r="N35" s="16">
        <v>0</v>
      </c>
      <c r="O35" s="13"/>
      <c r="P35" s="18">
        <f>(N35*'Population frame'!$B$29)/100</f>
        <v>0</v>
      </c>
      <c r="Q35" s="13">
        <v>0</v>
      </c>
      <c r="R35" s="13"/>
      <c r="S35" s="18">
        <f>(Q35*'Population frame'!$B$32)/100</f>
        <v>0</v>
      </c>
      <c r="T35" s="16">
        <v>0</v>
      </c>
      <c r="U35" s="13"/>
      <c r="V35" s="18">
        <f>(T35*'Population frame'!$B$33)/100</f>
        <v>0</v>
      </c>
      <c r="W35" s="16">
        <v>0</v>
      </c>
      <c r="X35" s="13"/>
      <c r="Y35" s="18">
        <f>(W35*'Population frame'!$B$35)/100</f>
        <v>0</v>
      </c>
      <c r="Z35" s="16">
        <v>0</v>
      </c>
      <c r="AA35" s="13"/>
      <c r="AB35" s="18">
        <f>(Z35*'Population frame'!$B$36)/100</f>
        <v>0</v>
      </c>
      <c r="AC35" s="16">
        <v>0</v>
      </c>
      <c r="AD35" s="13"/>
      <c r="AE35" s="18">
        <f>(AC35*'Population frame'!$B$37)/100</f>
        <v>0</v>
      </c>
    </row>
    <row r="36" spans="1:31" hidden="1" x14ac:dyDescent="0.45">
      <c r="A36" s="7" t="s">
        <v>60</v>
      </c>
      <c r="B36" s="13">
        <v>0</v>
      </c>
      <c r="C36" s="13">
        <f t="shared" si="0"/>
        <v>0</v>
      </c>
      <c r="D36" s="18">
        <f>C36*'Population frame'!$B$28</f>
        <v>0</v>
      </c>
      <c r="E36" s="16">
        <v>36.73748946827623</v>
      </c>
      <c r="F36" s="13">
        <f t="shared" si="1"/>
        <v>0.3673748946827623</v>
      </c>
      <c r="G36" s="18">
        <f>F36*'Population frame'!$B$30</f>
        <v>1323249.470032315</v>
      </c>
      <c r="H36" s="16">
        <v>9.5071401551768702</v>
      </c>
      <c r="I36" s="13">
        <f t="shared" si="2"/>
        <v>9.50714015517687E-2</v>
      </c>
      <c r="J36" s="18">
        <f>I36*'Population frame'!$B$31</f>
        <v>492444.09568834136</v>
      </c>
      <c r="K36" s="13">
        <v>0</v>
      </c>
      <c r="L36" s="13">
        <f t="shared" si="3"/>
        <v>0</v>
      </c>
      <c r="M36" s="18">
        <f>L36*'Population frame'!$B$34</f>
        <v>0</v>
      </c>
      <c r="N36" s="16">
        <v>0</v>
      </c>
      <c r="O36" s="13"/>
      <c r="P36" s="18">
        <f>(N36*'Population frame'!$B$29)/100</f>
        <v>0</v>
      </c>
      <c r="Q36" s="13">
        <v>0</v>
      </c>
      <c r="R36" s="13"/>
      <c r="S36" s="18">
        <f>(Q36*'Population frame'!$B$32)/100</f>
        <v>0</v>
      </c>
      <c r="T36" s="16">
        <v>0</v>
      </c>
      <c r="U36" s="13"/>
      <c r="V36" s="18">
        <f>(T36*'Population frame'!$B$33)/100</f>
        <v>0</v>
      </c>
      <c r="W36" s="16">
        <v>0</v>
      </c>
      <c r="X36" s="13"/>
      <c r="Y36" s="18">
        <f>(W36*'Population frame'!$B$35)/100</f>
        <v>0</v>
      </c>
      <c r="Z36" s="16">
        <v>2.2634514699247781</v>
      </c>
      <c r="AA36" s="13"/>
      <c r="AB36" s="18">
        <f>(Z36*'Population frame'!$B$36)/100</f>
        <v>619.24863385084029</v>
      </c>
      <c r="AC36" s="16">
        <v>0</v>
      </c>
      <c r="AD36" s="13"/>
      <c r="AE36" s="18">
        <f>(AC36*'Population frame'!$B$37)/100</f>
        <v>0</v>
      </c>
    </row>
    <row r="37" spans="1:31" hidden="1" x14ac:dyDescent="0.45">
      <c r="A37" s="7" t="s">
        <v>61</v>
      </c>
      <c r="B37" s="13">
        <v>72.898853194582472</v>
      </c>
      <c r="C37" s="13">
        <f t="shared" si="0"/>
        <v>0.72898853194582469</v>
      </c>
      <c r="D37" s="18">
        <f>C37*'Population frame'!$B$28</f>
        <v>652495.69238989614</v>
      </c>
      <c r="E37" s="16">
        <v>11.413000523392013</v>
      </c>
      <c r="F37" s="13">
        <f t="shared" si="1"/>
        <v>0.11413000523392013</v>
      </c>
      <c r="G37" s="18">
        <f>F37*'Population frame'!$B$30</f>
        <v>411085.43650208309</v>
      </c>
      <c r="H37" s="16">
        <v>11.502281803620569</v>
      </c>
      <c r="I37" s="13">
        <f t="shared" si="2"/>
        <v>0.11502281803620569</v>
      </c>
      <c r="J37" s="18">
        <f>I37*'Population frame'!$B$31</f>
        <v>595787.02624385769</v>
      </c>
      <c r="K37" s="13">
        <v>3.3026197190419482</v>
      </c>
      <c r="L37" s="13">
        <f t="shared" si="3"/>
        <v>3.3026197190419479E-2</v>
      </c>
      <c r="M37" s="18">
        <f>L37*'Population frame'!$B$34</f>
        <v>95239.890619421596</v>
      </c>
      <c r="N37" s="16">
        <v>0</v>
      </c>
      <c r="O37" s="13"/>
      <c r="P37" s="18">
        <f>(N37*'Population frame'!$B$29)/100</f>
        <v>0</v>
      </c>
      <c r="Q37" s="13">
        <v>0</v>
      </c>
      <c r="R37" s="13"/>
      <c r="S37" s="18">
        <f>(Q37*'Population frame'!$B$32)/100</f>
        <v>0</v>
      </c>
      <c r="T37" s="16">
        <v>6.3161334360783723</v>
      </c>
      <c r="U37" s="13"/>
      <c r="V37" s="18">
        <f>(T37*'Population frame'!$B$33)/100</f>
        <v>8418.5216116114188</v>
      </c>
      <c r="W37" s="16">
        <v>12.092723764079702</v>
      </c>
      <c r="X37" s="13"/>
      <c r="Y37" s="18">
        <f>(W37*'Population frame'!$B$35)/100</f>
        <v>5343.8713731369326</v>
      </c>
      <c r="Z37" s="16">
        <v>0</v>
      </c>
      <c r="AA37" s="13"/>
      <c r="AB37" s="18">
        <f>(Z37*'Population frame'!$B$36)/100</f>
        <v>0</v>
      </c>
      <c r="AC37" s="16">
        <v>0</v>
      </c>
      <c r="AD37" s="13"/>
      <c r="AE37" s="18">
        <f>(AC37*'Population frame'!$B$37)/100</f>
        <v>0</v>
      </c>
    </row>
    <row r="38" spans="1:31" hidden="1" x14ac:dyDescent="0.45">
      <c r="A38" s="7" t="s">
        <v>62</v>
      </c>
      <c r="B38" s="13">
        <v>0</v>
      </c>
      <c r="C38" s="13">
        <f t="shared" si="0"/>
        <v>0</v>
      </c>
      <c r="D38" s="18">
        <f>C38*'Population frame'!$B$28</f>
        <v>0</v>
      </c>
      <c r="E38" s="16">
        <v>11.083732825777028</v>
      </c>
      <c r="F38" s="13">
        <f t="shared" si="1"/>
        <v>0.11083732825777029</v>
      </c>
      <c r="G38" s="18">
        <f>F38*'Population frame'!$B$30</f>
        <v>399225.52683830413</v>
      </c>
      <c r="H38" s="16">
        <v>5.0250906581311732</v>
      </c>
      <c r="I38" s="13">
        <f t="shared" si="2"/>
        <v>5.0250906581311733E-2</v>
      </c>
      <c r="J38" s="18">
        <f>I38*'Population frame'!$B$31</f>
        <v>260286.07809551124</v>
      </c>
      <c r="K38" s="13">
        <v>2.6756591308237527</v>
      </c>
      <c r="L38" s="13">
        <f t="shared" si="3"/>
        <v>2.6756591308237529E-2</v>
      </c>
      <c r="M38" s="18">
        <f>L38*'Population frame'!$B$34</f>
        <v>77159.801803773516</v>
      </c>
      <c r="N38" s="16">
        <v>14.369360078916916</v>
      </c>
      <c r="O38" s="13"/>
      <c r="P38" s="18">
        <f>(N38*'Population frame'!$B$29)/100</f>
        <v>17192.436406821325</v>
      </c>
      <c r="Q38" s="13">
        <v>0</v>
      </c>
      <c r="R38" s="13"/>
      <c r="S38" s="18">
        <f>(Q38*'Population frame'!$B$32)/100</f>
        <v>0</v>
      </c>
      <c r="T38" s="16">
        <v>0</v>
      </c>
      <c r="U38" s="13"/>
      <c r="V38" s="18">
        <f>(T38*'Population frame'!$B$33)/100</f>
        <v>0</v>
      </c>
      <c r="W38" s="16">
        <v>2.9628876164962255</v>
      </c>
      <c r="X38" s="13"/>
      <c r="Y38" s="18">
        <f>(W38*'Population frame'!$B$35)/100</f>
        <v>1309.323740830614</v>
      </c>
      <c r="Z38" s="16">
        <v>0</v>
      </c>
      <c r="AA38" s="13"/>
      <c r="AB38" s="18">
        <f>(Z38*'Population frame'!$B$36)/100</f>
        <v>0</v>
      </c>
      <c r="AC38" s="16">
        <v>7.1009242235779082</v>
      </c>
      <c r="AD38" s="13"/>
      <c r="AE38" s="18">
        <f>(AC38*'Population frame'!$B$37)/100</f>
        <v>2216.3056741344412</v>
      </c>
    </row>
    <row r="39" spans="1:31" hidden="1" x14ac:dyDescent="0.45">
      <c r="A39" s="7" t="s">
        <v>63</v>
      </c>
      <c r="B39" s="13">
        <v>30.217297628259093</v>
      </c>
      <c r="C39" s="13">
        <f t="shared" si="0"/>
        <v>0.30217297628259093</v>
      </c>
      <c r="D39" s="18">
        <f>C39*'Population frame'!$B$28</f>
        <v>270465.93566396105</v>
      </c>
      <c r="E39" s="16">
        <v>13.654994182389729</v>
      </c>
      <c r="F39" s="13">
        <f t="shared" si="1"/>
        <v>0.13654994182389729</v>
      </c>
      <c r="G39" s="18">
        <f>F39*'Population frame'!$B$30</f>
        <v>491839.91820520477</v>
      </c>
      <c r="H39" s="16">
        <v>2.0640959620178405</v>
      </c>
      <c r="I39" s="13">
        <f t="shared" si="2"/>
        <v>2.0640959620178406E-2</v>
      </c>
      <c r="J39" s="18">
        <f>I39*'Population frame'!$B$31</f>
        <v>106914.57713246708</v>
      </c>
      <c r="K39" s="13">
        <v>0</v>
      </c>
      <c r="L39" s="13">
        <f t="shared" si="3"/>
        <v>0</v>
      </c>
      <c r="M39" s="18">
        <f>L39*'Population frame'!$B$34</f>
        <v>0</v>
      </c>
      <c r="N39" s="16">
        <v>0</v>
      </c>
      <c r="O39" s="13"/>
      <c r="P39" s="18">
        <f>(N39*'Population frame'!$B$29)/100</f>
        <v>0</v>
      </c>
      <c r="Q39" s="13">
        <v>0</v>
      </c>
      <c r="R39" s="13"/>
      <c r="S39" s="18">
        <f>(Q39*'Population frame'!$B$32)/100</f>
        <v>0</v>
      </c>
      <c r="T39" s="16">
        <v>1.8045265068673697</v>
      </c>
      <c r="U39" s="13"/>
      <c r="V39" s="18">
        <f>(T39*'Population frame'!$B$33)/100</f>
        <v>2405.1811999432421</v>
      </c>
      <c r="W39" s="16">
        <v>0.90130362228436689</v>
      </c>
      <c r="X39" s="13"/>
      <c r="Y39" s="18">
        <f>(W39*'Population frame'!$B$35)/100</f>
        <v>398.29328111644003</v>
      </c>
      <c r="Z39" s="16">
        <v>1.3119402819034696</v>
      </c>
      <c r="AA39" s="13"/>
      <c r="AB39" s="18">
        <f>(Z39*'Population frame'!$B$36)/100</f>
        <v>358.92849396484263</v>
      </c>
      <c r="AC39" s="16">
        <v>0</v>
      </c>
      <c r="AD39" s="13"/>
      <c r="AE39" s="18">
        <f>(AC39*'Population frame'!$B$37)/100</f>
        <v>0</v>
      </c>
    </row>
    <row r="40" spans="1:31" hidden="1" x14ac:dyDescent="0.45">
      <c r="A40" s="7" t="s">
        <v>64</v>
      </c>
      <c r="B40" s="13">
        <v>0</v>
      </c>
      <c r="C40" s="13">
        <f t="shared" si="0"/>
        <v>0</v>
      </c>
      <c r="D40" s="18">
        <f>C40*'Population frame'!$B$28</f>
        <v>0</v>
      </c>
      <c r="E40" s="16">
        <v>8.450148366178972</v>
      </c>
      <c r="F40" s="13">
        <f t="shared" si="1"/>
        <v>8.4501483661789722E-2</v>
      </c>
      <c r="G40" s="18">
        <f>F40*'Population frame'!$B$30</f>
        <v>304366.31650881871</v>
      </c>
      <c r="H40" s="16">
        <v>4.217386000767628</v>
      </c>
      <c r="I40" s="13">
        <f t="shared" si="2"/>
        <v>4.2173860007676284E-2</v>
      </c>
      <c r="J40" s="18">
        <f>I40*'Population frame'!$B$31</f>
        <v>218449.16572370107</v>
      </c>
      <c r="K40" s="13">
        <v>0.66459953252379833</v>
      </c>
      <c r="L40" s="13">
        <f t="shared" si="3"/>
        <v>6.6459953252379833E-3</v>
      </c>
      <c r="M40" s="18">
        <f>L40*'Population frame'!$B$34</f>
        <v>19165.508647070888</v>
      </c>
      <c r="N40" s="16">
        <v>0</v>
      </c>
      <c r="O40" s="13"/>
      <c r="P40" s="18">
        <f>(N40*'Population frame'!$B$29)/100</f>
        <v>0</v>
      </c>
      <c r="Q40" s="13">
        <v>0</v>
      </c>
      <c r="R40" s="13"/>
      <c r="S40" s="18">
        <f>(Q40*'Population frame'!$B$32)/100</f>
        <v>0</v>
      </c>
      <c r="T40" s="16">
        <v>0</v>
      </c>
      <c r="U40" s="13"/>
      <c r="V40" s="18">
        <f>(T40*'Population frame'!$B$33)/100</f>
        <v>0</v>
      </c>
      <c r="W40" s="16">
        <v>0</v>
      </c>
      <c r="X40" s="13"/>
      <c r="Y40" s="18">
        <f>(W40*'Population frame'!$B$35)/100</f>
        <v>0</v>
      </c>
      <c r="Z40" s="16">
        <v>0</v>
      </c>
      <c r="AA40" s="13"/>
      <c r="AB40" s="18">
        <f>(Z40*'Population frame'!$B$36)/100</f>
        <v>0</v>
      </c>
      <c r="AC40" s="16">
        <v>0</v>
      </c>
      <c r="AD40" s="13"/>
      <c r="AE40" s="18">
        <f>(AC40*'Population frame'!$B$37)/100</f>
        <v>0</v>
      </c>
    </row>
    <row r="41" spans="1:31" hidden="1" x14ac:dyDescent="0.45">
      <c r="A41" s="7" t="s">
        <v>65</v>
      </c>
      <c r="B41" s="13">
        <v>0</v>
      </c>
      <c r="C41" s="13">
        <f t="shared" si="0"/>
        <v>0</v>
      </c>
      <c r="D41" s="18">
        <f>C41*'Population frame'!$B$28</f>
        <v>0</v>
      </c>
      <c r="E41" s="16">
        <v>100</v>
      </c>
      <c r="F41" s="13">
        <f t="shared" si="1"/>
        <v>1</v>
      </c>
      <c r="G41" s="18">
        <f>F41*'Population frame'!$B$30</f>
        <v>3601905</v>
      </c>
      <c r="H41" s="16">
        <v>0</v>
      </c>
      <c r="I41" s="13">
        <f t="shared" si="2"/>
        <v>0</v>
      </c>
      <c r="J41" s="18">
        <f>I41*'Population frame'!$B$31</f>
        <v>0</v>
      </c>
      <c r="K41" s="13">
        <v>1.7563329056686654</v>
      </c>
      <c r="L41" s="13">
        <f t="shared" si="3"/>
        <v>1.7563329056686654E-2</v>
      </c>
      <c r="M41" s="18">
        <f>L41*'Population frame'!$B$34</f>
        <v>50648.566307143163</v>
      </c>
      <c r="N41" s="16">
        <v>0</v>
      </c>
      <c r="O41" s="13"/>
      <c r="P41" s="18">
        <f>(N41*'Population frame'!$B$29)/100</f>
        <v>0</v>
      </c>
      <c r="Q41" s="13">
        <v>0</v>
      </c>
      <c r="R41" s="13"/>
      <c r="S41" s="18">
        <f>(Q41*'Population frame'!$B$32)/100</f>
        <v>0</v>
      </c>
      <c r="T41" s="16">
        <v>0</v>
      </c>
      <c r="U41" s="13"/>
      <c r="V41" s="18">
        <f>(T41*'Population frame'!$B$33)/100</f>
        <v>0</v>
      </c>
      <c r="W41" s="16">
        <v>0</v>
      </c>
      <c r="X41" s="13"/>
      <c r="Y41" s="18">
        <f>(W41*'Population frame'!$B$35)/100</f>
        <v>0</v>
      </c>
      <c r="Z41" s="16">
        <v>0</v>
      </c>
      <c r="AA41" s="13"/>
      <c r="AB41" s="18">
        <f>(Z41*'Population frame'!$B$36)/100</f>
        <v>0</v>
      </c>
      <c r="AC41" s="16">
        <v>0</v>
      </c>
      <c r="AD41" s="13"/>
      <c r="AE41" s="18">
        <f>(AC41*'Population frame'!$B$37)/100</f>
        <v>0</v>
      </c>
    </row>
    <row r="42" spans="1:31" x14ac:dyDescent="0.45">
      <c r="B42" s="14"/>
      <c r="C42" s="13"/>
      <c r="D42" s="19"/>
      <c r="E42" s="17"/>
      <c r="F42" s="13"/>
      <c r="G42" s="19"/>
      <c r="I42" s="8"/>
      <c r="J42" s="20"/>
      <c r="K42" s="14"/>
      <c r="L42" s="13"/>
      <c r="M42" s="18">
        <f>L42*'Population frame'!$B$34</f>
        <v>0</v>
      </c>
      <c r="N42" s="13"/>
      <c r="O42" s="13"/>
      <c r="P42" s="21"/>
      <c r="Q42" s="13"/>
      <c r="R42" s="13"/>
      <c r="S42" s="18"/>
      <c r="T42" s="16"/>
      <c r="U42" s="13"/>
      <c r="V42" s="18"/>
      <c r="W42" s="16"/>
      <c r="X42" s="13"/>
      <c r="Y42" s="18"/>
      <c r="Z42" s="16"/>
      <c r="AA42" s="13"/>
      <c r="AB42" s="18"/>
      <c r="AC42" s="16"/>
      <c r="AD42" s="13"/>
      <c r="AE42" s="18"/>
    </row>
    <row r="43" spans="1:31" x14ac:dyDescent="0.45">
      <c r="A43" s="7" t="s">
        <v>68</v>
      </c>
      <c r="B43" s="13">
        <v>4.877440939817923</v>
      </c>
      <c r="C43" s="13">
        <f t="shared" si="0"/>
        <v>4.877440939817923E-2</v>
      </c>
      <c r="D43" s="19">
        <f>C43*'Population frame'!$B$28</f>
        <v>43656.505742587346</v>
      </c>
      <c r="E43" s="16">
        <v>8.701506197671824</v>
      </c>
      <c r="F43" s="13">
        <f t="shared" si="1"/>
        <v>8.7015061976718239E-2</v>
      </c>
      <c r="G43" s="19">
        <f>F43*'Population frame'!$B$30</f>
        <v>313419.98680925131</v>
      </c>
      <c r="H43" s="8">
        <v>4.4826904471458047</v>
      </c>
      <c r="I43" s="8">
        <f t="shared" si="2"/>
        <v>4.4826904471458047E-2</v>
      </c>
      <c r="J43" s="20">
        <f>I43*'Population frame'!$B$31</f>
        <v>232191.21707104091</v>
      </c>
      <c r="K43" s="13">
        <v>0.49368372737588317</v>
      </c>
      <c r="L43" s="13">
        <f t="shared" si="3"/>
        <v>4.9368372737588319E-3</v>
      </c>
      <c r="M43" s="18">
        <f>L43*'Population frame'!$B$34</f>
        <v>14236.693351272959</v>
      </c>
      <c r="N43" s="16">
        <v>49.276099684826306</v>
      </c>
      <c r="O43" s="13"/>
      <c r="P43" s="18">
        <f>(N43*'Population frame'!$B$29)/100</f>
        <v>58957.128609405707</v>
      </c>
      <c r="Q43" s="13">
        <v>0</v>
      </c>
      <c r="R43" s="13"/>
      <c r="S43" s="18">
        <f>(Q43*'Population frame'!$B$32)/100</f>
        <v>0</v>
      </c>
      <c r="T43" s="16">
        <v>9.7038888259286491</v>
      </c>
      <c r="U43" s="13"/>
      <c r="V43" s="18">
        <f>(T43*'Population frame'!$B$33)/100</f>
        <v>12933.92526052726</v>
      </c>
      <c r="W43" s="16">
        <v>0</v>
      </c>
      <c r="X43" s="13"/>
      <c r="Y43" s="18">
        <f>(W43*'Population frame'!$B$35)/100</f>
        <v>0</v>
      </c>
      <c r="Z43" s="16">
        <v>6.4788832884472436</v>
      </c>
      <c r="AA43" s="13"/>
      <c r="AB43" s="18">
        <f>(Z43*'Population frame'!$B$36)/100</f>
        <v>1772.5317633531274</v>
      </c>
      <c r="AC43" s="16">
        <v>25.56896155534913</v>
      </c>
      <c r="AD43" s="13"/>
      <c r="AE43" s="18">
        <f>(AC43*'Population frame'!$B$37)/100</f>
        <v>7980.4589927439483</v>
      </c>
    </row>
    <row r="44" spans="1:31" x14ac:dyDescent="0.45">
      <c r="A44" s="7" t="s">
        <v>69</v>
      </c>
      <c r="B44" s="13">
        <v>0</v>
      </c>
      <c r="C44" s="13">
        <f t="shared" si="0"/>
        <v>0</v>
      </c>
      <c r="D44" s="19">
        <f>C44*'Population frame'!$B$28</f>
        <v>0</v>
      </c>
      <c r="E44" s="16">
        <v>0.25813969742442705</v>
      </c>
      <c r="F44" s="13">
        <f t="shared" si="1"/>
        <v>2.5813969742442705E-3</v>
      </c>
      <c r="G44" s="19">
        <f>F44*'Population frame'!$B$30</f>
        <v>9297.9466685153093</v>
      </c>
      <c r="H44" s="8">
        <v>0</v>
      </c>
      <c r="I44" s="8">
        <f t="shared" si="2"/>
        <v>0</v>
      </c>
      <c r="J44" s="20">
        <f>I44*'Population frame'!$B$31</f>
        <v>0</v>
      </c>
      <c r="K44" s="13">
        <v>0</v>
      </c>
      <c r="L44" s="13">
        <f t="shared" si="3"/>
        <v>0</v>
      </c>
      <c r="M44" s="18">
        <f>L44*'Population frame'!$B$34</f>
        <v>0</v>
      </c>
      <c r="N44" s="16">
        <v>0</v>
      </c>
      <c r="O44" s="13"/>
      <c r="P44" s="18">
        <f>(N44*'Population frame'!$B$29)/100</f>
        <v>0</v>
      </c>
      <c r="Q44" s="13">
        <v>0</v>
      </c>
      <c r="R44" s="13"/>
      <c r="S44" s="18">
        <f>(Q44*'Population frame'!$B$32)/100</f>
        <v>0</v>
      </c>
      <c r="T44" s="16">
        <v>0</v>
      </c>
      <c r="U44" s="13"/>
      <c r="V44" s="18">
        <f>(T44*'Population frame'!$B$33)/100</f>
        <v>0</v>
      </c>
      <c r="W44" s="16">
        <v>0</v>
      </c>
      <c r="X44" s="13"/>
      <c r="Y44" s="18">
        <f>(W44*'Population frame'!$B$35)/100</f>
        <v>0</v>
      </c>
      <c r="Z44" s="16">
        <v>0.43241107220367297</v>
      </c>
      <c r="AA44" s="13"/>
      <c r="AB44" s="18">
        <f>(Z44*'Population frame'!$B$36)/100</f>
        <v>118.30161559991407</v>
      </c>
      <c r="AC44" s="16">
        <v>0</v>
      </c>
      <c r="AD44" s="13"/>
      <c r="AE44" s="18">
        <f>(AC44*'Population frame'!$B$37)/100</f>
        <v>0</v>
      </c>
    </row>
    <row r="45" spans="1:31" x14ac:dyDescent="0.45">
      <c r="A45" s="7" t="s">
        <v>70</v>
      </c>
      <c r="B45" s="13">
        <v>1.0931502673073776</v>
      </c>
      <c r="C45" s="13">
        <f t="shared" si="0"/>
        <v>1.0931502673073776E-2</v>
      </c>
      <c r="D45" s="19">
        <f>C45*'Population frame'!$B$28</f>
        <v>9784.4590044378783</v>
      </c>
      <c r="E45" s="16">
        <v>1.6475626349304895</v>
      </c>
      <c r="F45" s="13">
        <f t="shared" si="1"/>
        <v>1.6475626349304894E-2</v>
      </c>
      <c r="G45" s="19">
        <f>F45*'Population frame'!$B$30</f>
        <v>59343.640925693042</v>
      </c>
      <c r="H45" s="8">
        <v>1.568547454389124</v>
      </c>
      <c r="I45" s="8">
        <f t="shared" si="2"/>
        <v>1.5685474543891239E-2</v>
      </c>
      <c r="J45" s="20">
        <f>I45*'Population frame'!$B$31</f>
        <v>81246.50737375523</v>
      </c>
      <c r="K45" s="13">
        <v>0</v>
      </c>
      <c r="L45" s="13">
        <f t="shared" si="3"/>
        <v>0</v>
      </c>
      <c r="M45" s="18">
        <f>L45*'Population frame'!$B$34</f>
        <v>0</v>
      </c>
      <c r="N45" s="16">
        <v>12.598679958899373</v>
      </c>
      <c r="O45" s="13"/>
      <c r="P45" s="18">
        <f>(N45*'Population frame'!$B$29)/100</f>
        <v>15073.879617024539</v>
      </c>
      <c r="Q45" s="13">
        <v>28.256070640176599</v>
      </c>
      <c r="R45" s="13"/>
      <c r="S45" s="18">
        <f>(Q45*'Population frame'!$B$32)/100</f>
        <v>179892.98013245032</v>
      </c>
      <c r="T45" s="16">
        <v>0</v>
      </c>
      <c r="U45" s="13"/>
      <c r="V45" s="18">
        <f>(T45*'Population frame'!$B$33)/100</f>
        <v>0</v>
      </c>
      <c r="W45" s="16">
        <v>1.0792534360808095</v>
      </c>
      <c r="X45" s="13"/>
      <c r="Y45" s="18">
        <f>(W45*'Population frame'!$B$35)/100</f>
        <v>476.93072743159837</v>
      </c>
      <c r="Z45" s="16">
        <v>17.293877124118733</v>
      </c>
      <c r="AA45" s="13"/>
      <c r="AB45" s="18">
        <f>(Z45*'Population frame'!$B$36)/100</f>
        <v>4731.3626668791476</v>
      </c>
      <c r="AC45" s="16">
        <v>1.1653988725174389</v>
      </c>
      <c r="AD45" s="13"/>
      <c r="AE45" s="18">
        <f>(AC45*'Population frame'!$B$37)/100</f>
        <v>363.73858563566768</v>
      </c>
    </row>
    <row r="46" spans="1:31" x14ac:dyDescent="0.45">
      <c r="A46" s="7" t="s">
        <v>71</v>
      </c>
      <c r="B46" s="13">
        <v>53.233350130633546</v>
      </c>
      <c r="C46" s="13">
        <f t="shared" si="0"/>
        <v>0.5323335013063355</v>
      </c>
      <c r="D46" s="19">
        <f>C46*'Population frame'!$B$28</f>
        <v>476475.69378091162</v>
      </c>
      <c r="E46" s="16">
        <v>73.20621382958943</v>
      </c>
      <c r="F46" s="13">
        <f t="shared" si="1"/>
        <v>0.73206213829589428</v>
      </c>
      <c r="G46" s="19">
        <f>F46*'Population frame'!$B$30</f>
        <v>2636818.2762386729</v>
      </c>
      <c r="H46" s="8">
        <v>47.456476233556309</v>
      </c>
      <c r="I46" s="8">
        <f t="shared" si="2"/>
        <v>0.47456476233556311</v>
      </c>
      <c r="J46" s="20">
        <f>I46*'Population frame'!$B$31</f>
        <v>2458116.8618476242</v>
      </c>
      <c r="K46" s="13">
        <v>52.19174276936694</v>
      </c>
      <c r="L46" s="13">
        <f t="shared" si="3"/>
        <v>0.52191742769366944</v>
      </c>
      <c r="M46" s="18">
        <f>L46*'Population frame'!$B$34</f>
        <v>1505088.7766253178</v>
      </c>
      <c r="N46" s="16">
        <v>0</v>
      </c>
      <c r="O46" s="13"/>
      <c r="P46" s="18">
        <f>(N46*'Population frame'!$B$29)/100</f>
        <v>0</v>
      </c>
      <c r="Q46" s="13">
        <v>0</v>
      </c>
      <c r="R46" s="13"/>
      <c r="S46" s="18">
        <f>(Q46*'Population frame'!$B$32)/100</f>
        <v>0</v>
      </c>
      <c r="T46" s="16">
        <v>52.714298372567654</v>
      </c>
      <c r="U46" s="13"/>
      <c r="V46" s="18">
        <f>(T46*'Population frame'!$B$33)/100</f>
        <v>70260.779728860522</v>
      </c>
      <c r="W46" s="16">
        <v>4.5367499462678795</v>
      </c>
      <c r="X46" s="13"/>
      <c r="Y46" s="18">
        <f>(W46*'Population frame'!$B$35)/100</f>
        <v>2004.8260952553462</v>
      </c>
      <c r="Z46" s="16">
        <v>9.9623889360112425</v>
      </c>
      <c r="AA46" s="13"/>
      <c r="AB46" s="18">
        <f>(Z46*'Population frame'!$B$36)/100</f>
        <v>2725.5701394475718</v>
      </c>
      <c r="AC46" s="16">
        <v>30.437875212770951</v>
      </c>
      <c r="AD46" s="13"/>
      <c r="AE46" s="18">
        <f>(AC46*'Population frame'!$B$37)/100</f>
        <v>9500.1204658215265</v>
      </c>
    </row>
    <row r="47" spans="1:31" x14ac:dyDescent="0.45">
      <c r="A47" s="7" t="s">
        <v>72</v>
      </c>
      <c r="B47" s="13">
        <v>0.80403539796934276</v>
      </c>
      <c r="C47" s="13">
        <f t="shared" si="0"/>
        <v>8.0403539796934272E-3</v>
      </c>
      <c r="D47" s="19">
        <f>C47*'Population frame'!$B$28</f>
        <v>7196.6788325687985</v>
      </c>
      <c r="E47" s="16">
        <v>4.5974516671498451</v>
      </c>
      <c r="F47" s="13">
        <f t="shared" si="1"/>
        <v>4.5974516671498454E-2</v>
      </c>
      <c r="G47" s="19">
        <f>F47*'Population frame'!$B$30</f>
        <v>165595.84147165364</v>
      </c>
      <c r="H47" s="8">
        <v>3.5270980455249159</v>
      </c>
      <c r="I47" s="8">
        <f t="shared" si="2"/>
        <v>3.5270980455249158E-2</v>
      </c>
      <c r="J47" s="20">
        <f>I47*'Population frame'!$B$31</f>
        <v>182694.12032248726</v>
      </c>
      <c r="K47" s="13">
        <v>8.0237477087346551</v>
      </c>
      <c r="L47" s="13">
        <f t="shared" si="3"/>
        <v>8.0237477087346548E-2</v>
      </c>
      <c r="M47" s="18">
        <f>L47*'Population frame'!$B$34</f>
        <v>231386.26882522317</v>
      </c>
      <c r="N47" s="16">
        <v>3.1188586777042597</v>
      </c>
      <c r="O47" s="13"/>
      <c r="P47" s="18">
        <f>(N47*'Population frame'!$B$29)/100</f>
        <v>3731.6052478194269</v>
      </c>
      <c r="Q47" s="13">
        <v>0</v>
      </c>
      <c r="R47" s="13"/>
      <c r="S47" s="18">
        <f>(Q47*'Population frame'!$B$32)/100</f>
        <v>0</v>
      </c>
      <c r="T47" s="16">
        <v>7.6115954410956519</v>
      </c>
      <c r="U47" s="13"/>
      <c r="V47" s="18">
        <f>(T47*'Population frame'!$B$33)/100</f>
        <v>10145.191099618751</v>
      </c>
      <c r="W47" s="16">
        <v>0</v>
      </c>
      <c r="X47" s="13"/>
      <c r="Y47" s="18">
        <f>(W47*'Population frame'!$B$35)/100</f>
        <v>0</v>
      </c>
      <c r="Z47" s="16">
        <v>28.412548668761154</v>
      </c>
      <c r="AA47" s="13"/>
      <c r="AB47" s="18">
        <f>(Z47*'Population frame'!$B$36)/100</f>
        <v>7773.2755400916885</v>
      </c>
      <c r="AC47" s="16">
        <v>4.2177087048213338</v>
      </c>
      <c r="AD47" s="13"/>
      <c r="AE47" s="18">
        <f>(AC47*'Population frame'!$B$37)/100</f>
        <v>1316.4105741761812</v>
      </c>
    </row>
    <row r="48" spans="1:31" x14ac:dyDescent="0.45">
      <c r="A48" s="7" t="s">
        <v>73</v>
      </c>
      <c r="B48" s="13">
        <v>30.024973518689748</v>
      </c>
      <c r="C48" s="13">
        <f t="shared" si="0"/>
        <v>0.30024973518689746</v>
      </c>
      <c r="D48" s="19">
        <f>C48*'Population frame'!$B$28</f>
        <v>268744.50044876279</v>
      </c>
      <c r="E48" s="16">
        <v>34.01767413129496</v>
      </c>
      <c r="F48" s="13">
        <f t="shared" si="1"/>
        <v>0.34017674131294962</v>
      </c>
      <c r="G48" s="19">
        <f>F48*'Population frame'!$B$30</f>
        <v>1225284.3054188199</v>
      </c>
      <c r="H48" s="8">
        <v>36.404559001823792</v>
      </c>
      <c r="I48" s="8">
        <f t="shared" si="2"/>
        <v>0.36404559001823794</v>
      </c>
      <c r="J48" s="20">
        <f>I48*'Population frame'!$B$31</f>
        <v>1885657.4999395777</v>
      </c>
      <c r="K48" s="13">
        <v>79.167634773062588</v>
      </c>
      <c r="L48" s="13">
        <f t="shared" si="3"/>
        <v>0.7916763477306259</v>
      </c>
      <c r="M48" s="18">
        <f>L48*'Population frame'!$B$34</f>
        <v>2283010.9179424518</v>
      </c>
      <c r="N48" s="16">
        <v>45.029475891899175</v>
      </c>
      <c r="O48" s="13"/>
      <c r="P48" s="18">
        <f>(N48*'Population frame'!$B$29)/100</f>
        <v>53876.191873001146</v>
      </c>
      <c r="Q48" s="13">
        <v>59.999999999999986</v>
      </c>
      <c r="R48" s="13"/>
      <c r="S48" s="18">
        <f>(Q48*'Population frame'!$B$32)/100</f>
        <v>381991.49999999994</v>
      </c>
      <c r="T48" s="16">
        <v>90.447732977036424</v>
      </c>
      <c r="U48" s="13"/>
      <c r="V48" s="18">
        <f>(T48*'Population frame'!$B$33)/100</f>
        <v>120554.16537577278</v>
      </c>
      <c r="W48" s="16">
        <v>68.045875713363841</v>
      </c>
      <c r="X48" s="13"/>
      <c r="Y48" s="18">
        <f>(W48*'Population frame'!$B$35)/100</f>
        <v>30070.016844741189</v>
      </c>
      <c r="Z48" s="16">
        <v>73.013121287734904</v>
      </c>
      <c r="AA48" s="13"/>
      <c r="AB48" s="18">
        <f>(Z48*'Population frame'!$B$36)/100</f>
        <v>19975.367800626242</v>
      </c>
      <c r="AC48" s="16">
        <v>61.628443778510359</v>
      </c>
      <c r="AD48" s="13"/>
      <c r="AE48" s="18">
        <f>(AC48*'Population frame'!$B$37)/100</f>
        <v>19235.167892774138</v>
      </c>
    </row>
    <row r="49" spans="1:32" x14ac:dyDescent="0.45">
      <c r="A49" s="7" t="s">
        <v>74</v>
      </c>
      <c r="B49" s="13">
        <v>36.935678185428813</v>
      </c>
      <c r="C49" s="13">
        <f t="shared" si="0"/>
        <v>0.36935678185428811</v>
      </c>
      <c r="D49" s="19">
        <f>C49*'Population frame'!$B$28</f>
        <v>330600.13779863948</v>
      </c>
      <c r="E49" s="16">
        <v>51.432748817571088</v>
      </c>
      <c r="F49" s="13">
        <f t="shared" si="1"/>
        <v>0.51432748817571083</v>
      </c>
      <c r="G49" s="19">
        <f>F49*'Population frame'!$B$30</f>
        <v>1852558.7512975337</v>
      </c>
      <c r="H49" s="8">
        <v>41.59776243820609</v>
      </c>
      <c r="I49" s="8">
        <f t="shared" si="2"/>
        <v>0.41597762438206087</v>
      </c>
      <c r="J49" s="20">
        <f>I49*'Population frame'!$B$31</f>
        <v>2154651.364362868</v>
      </c>
      <c r="K49" s="13">
        <v>57.440278932052024</v>
      </c>
      <c r="L49" s="13">
        <f t="shared" si="3"/>
        <v>0.57440278932052025</v>
      </c>
      <c r="M49" s="18">
        <f>L49*'Population frame'!$B$34</f>
        <v>1656444.382953258</v>
      </c>
      <c r="N49" s="16">
        <v>22.879735643945455</v>
      </c>
      <c r="O49" s="13"/>
      <c r="P49" s="18">
        <f>(N49*'Population frame'!$B$29)/100</f>
        <v>27374.802907233199</v>
      </c>
      <c r="Q49" s="13">
        <v>99.999999999999986</v>
      </c>
      <c r="R49" s="13"/>
      <c r="S49" s="18">
        <f>(Q49*'Population frame'!$B$32)/100</f>
        <v>636652.49999999988</v>
      </c>
      <c r="T49" s="16">
        <v>66.684084650863369</v>
      </c>
      <c r="U49" s="13"/>
      <c r="V49" s="18">
        <f>(T49*'Population frame'!$B$33)/100</f>
        <v>88880.549067749758</v>
      </c>
      <c r="W49" s="16">
        <v>93.143806512013995</v>
      </c>
      <c r="X49" s="13"/>
      <c r="Y49" s="18">
        <f>(W49*'Population frame'!$B$35)/100</f>
        <v>41160.993248111081</v>
      </c>
      <c r="Z49" s="16">
        <v>38.174621878421966</v>
      </c>
      <c r="AA49" s="13"/>
      <c r="AB49" s="18">
        <f>(Z49*'Population frame'!$B$36)/100</f>
        <v>10444.042101229952</v>
      </c>
      <c r="AC49" s="16">
        <v>85.979991014993189</v>
      </c>
      <c r="AD49" s="13"/>
      <c r="AE49" s="18">
        <f>(AC49*'Population frame'!$B$37)/100</f>
        <v>26835.653493643702</v>
      </c>
    </row>
    <row r="50" spans="1:32" x14ac:dyDescent="0.45">
      <c r="A50" s="7" t="s">
        <v>75</v>
      </c>
      <c r="B50" s="13">
        <v>11.743760387709859</v>
      </c>
      <c r="C50" s="13">
        <f t="shared" si="0"/>
        <v>0.11743760387709859</v>
      </c>
      <c r="D50" s="19">
        <f>C50*'Population frame'!$B$28</f>
        <v>105114.86435851426</v>
      </c>
      <c r="E50" s="16">
        <v>12.052479092590023</v>
      </c>
      <c r="F50" s="13">
        <f t="shared" si="1"/>
        <v>0.12052479092590022</v>
      </c>
      <c r="G50" s="19">
        <f>F50*'Population frame'!$B$30</f>
        <v>434118.84705995466</v>
      </c>
      <c r="H50" s="8">
        <v>8.3585497189338298</v>
      </c>
      <c r="I50" s="8">
        <f t="shared" si="2"/>
        <v>8.3585497189338304E-2</v>
      </c>
      <c r="J50" s="20">
        <f>I50*'Population frame'!$B$31</f>
        <v>432950.2237710341</v>
      </c>
      <c r="K50" s="13">
        <v>18.184707091844444</v>
      </c>
      <c r="L50" s="13">
        <f t="shared" si="3"/>
        <v>0.18184707091844443</v>
      </c>
      <c r="M50" s="18">
        <f>L50*'Population frame'!$B$34</f>
        <v>524404.76400834066</v>
      </c>
      <c r="N50" s="16">
        <v>0</v>
      </c>
      <c r="O50" s="13"/>
      <c r="P50" s="18">
        <f>(N50*'Population frame'!$B$29)/100</f>
        <v>0</v>
      </c>
      <c r="Q50" s="13">
        <v>0</v>
      </c>
      <c r="R50" s="13"/>
      <c r="S50" s="18">
        <f>(Q50*'Population frame'!$B$32)/100</f>
        <v>0</v>
      </c>
      <c r="T50" s="16">
        <v>9.6459828164303634</v>
      </c>
      <c r="U50" s="13"/>
      <c r="V50" s="18">
        <f>(T50*'Population frame'!$B$33)/100</f>
        <v>12856.744656707375</v>
      </c>
      <c r="W50" s="16">
        <v>60.35865604215504</v>
      </c>
      <c r="X50" s="13"/>
      <c r="Y50" s="18">
        <f>(W50*'Population frame'!$B$35)/100</f>
        <v>26672.97297427665</v>
      </c>
      <c r="Z50" s="16">
        <v>4.4695602827930294</v>
      </c>
      <c r="AA50" s="13"/>
      <c r="AB50" s="18">
        <f>(Z50*'Population frame'!$B$36)/100</f>
        <v>1222.8091195282136</v>
      </c>
      <c r="AC50" s="16">
        <v>9.6899421731363766</v>
      </c>
      <c r="AD50" s="13"/>
      <c r="AE50" s="18">
        <f>(AC50*'Population frame'!$B$37)/100</f>
        <v>3024.3772703626773</v>
      </c>
    </row>
    <row r="51" spans="1:32" ht="23.25" x14ac:dyDescent="0.45">
      <c r="A51" s="7" t="s">
        <v>76</v>
      </c>
      <c r="B51" s="13">
        <v>1.9452584773074961</v>
      </c>
      <c r="C51" s="13">
        <f t="shared" si="0"/>
        <v>1.945258477307496E-2</v>
      </c>
      <c r="D51" s="19">
        <f>C51*'Population frame'!$B$28</f>
        <v>17411.423107577728</v>
      </c>
      <c r="E51" s="16">
        <v>4.3712551615908577</v>
      </c>
      <c r="F51" s="13">
        <f t="shared" si="1"/>
        <v>4.3712551615908576E-2</v>
      </c>
      <c r="G51" s="19">
        <f>F51*'Population frame'!$B$30</f>
        <v>157448.45822809919</v>
      </c>
      <c r="H51" s="8">
        <v>4.0592452921774838</v>
      </c>
      <c r="I51" s="8">
        <f t="shared" si="2"/>
        <v>4.0592452921774838E-2</v>
      </c>
      <c r="J51" s="20">
        <f>I51*'Population frame'!$B$31</f>
        <v>210257.90558005185</v>
      </c>
      <c r="K51" s="13">
        <v>4.6600662052979338</v>
      </c>
      <c r="L51" s="13">
        <f t="shared" si="3"/>
        <v>4.6600662052979337E-2</v>
      </c>
      <c r="M51" s="18">
        <f>L51*'Population frame'!$B$34</f>
        <v>134385.49800719612</v>
      </c>
      <c r="N51" s="16">
        <v>0</v>
      </c>
      <c r="O51" s="13"/>
      <c r="P51" s="18">
        <f>(N51*'Population frame'!$B$29)/100</f>
        <v>0</v>
      </c>
      <c r="Q51" s="13">
        <v>0</v>
      </c>
      <c r="R51" s="13"/>
      <c r="S51" s="18">
        <f>(Q51*'Population frame'!$B$32)/100</f>
        <v>0</v>
      </c>
      <c r="T51" s="16">
        <v>17.536752739853821</v>
      </c>
      <c r="U51" s="13"/>
      <c r="V51" s="18">
        <f>(T51*'Population frame'!$B$33)/100</f>
        <v>23374.036256841566</v>
      </c>
      <c r="W51" s="16">
        <v>2.1923408832927747</v>
      </c>
      <c r="X51" s="13"/>
      <c r="Y51" s="18">
        <f>(W51*'Population frame'!$B$35)/100</f>
        <v>968.81297505414341</v>
      </c>
      <c r="Z51" s="16">
        <v>0.7437401449310882</v>
      </c>
      <c r="AA51" s="13"/>
      <c r="AB51" s="18">
        <f>(Z51*'Population frame'!$B$36)/100</f>
        <v>203.47689129111669</v>
      </c>
      <c r="AC51" s="16">
        <v>19.824875191124793</v>
      </c>
      <c r="AD51" s="13"/>
      <c r="AE51" s="18">
        <f>(AC51*'Population frame'!$B$37)/100</f>
        <v>6187.642902765434</v>
      </c>
    </row>
    <row r="52" spans="1:32" ht="23.25" x14ac:dyDescent="0.45">
      <c r="A52" s="7" t="s">
        <v>77</v>
      </c>
      <c r="B52" s="13">
        <v>0.85549847513120414</v>
      </c>
      <c r="C52" s="13">
        <f t="shared" si="0"/>
        <v>8.5549847513120419E-3</v>
      </c>
      <c r="D52" s="19">
        <f>C52*'Population frame'!$B$28</f>
        <v>7657.3093458583944</v>
      </c>
      <c r="E52" s="16">
        <v>1.6316589167478257</v>
      </c>
      <c r="F52" s="13">
        <f t="shared" si="1"/>
        <v>1.6316589167478256E-2</v>
      </c>
      <c r="G52" s="19">
        <f>F52*'Population frame'!$B$30</f>
        <v>58770.804105285766</v>
      </c>
      <c r="H52" s="8">
        <v>1.4874774582191066</v>
      </c>
      <c r="I52" s="8">
        <f t="shared" si="2"/>
        <v>1.4874774582191067E-2</v>
      </c>
      <c r="J52" s="20">
        <f>I52*'Population frame'!$B$31</f>
        <v>77047.301271837947</v>
      </c>
      <c r="K52" s="13">
        <v>0.46428693540796062</v>
      </c>
      <c r="L52" s="13">
        <f t="shared" si="3"/>
        <v>4.6428693540796059E-3</v>
      </c>
      <c r="M52" s="18">
        <f>L52*'Population frame'!$B$34</f>
        <v>13388.958071475437</v>
      </c>
      <c r="N52" s="16">
        <v>0</v>
      </c>
      <c r="O52" s="13"/>
      <c r="P52" s="18">
        <f>(N52*'Population frame'!$B$29)/100</f>
        <v>0</v>
      </c>
      <c r="Q52" s="13">
        <v>0</v>
      </c>
      <c r="R52" s="13"/>
      <c r="S52" s="18">
        <f>(Q52*'Population frame'!$B$32)/100</f>
        <v>0</v>
      </c>
      <c r="T52" s="16">
        <v>1.5725987768662373</v>
      </c>
      <c r="U52" s="13"/>
      <c r="V52" s="18">
        <f>(T52*'Population frame'!$B$33)/100</f>
        <v>2096.0540057339331</v>
      </c>
      <c r="W52" s="16">
        <v>0.9630633042125003</v>
      </c>
      <c r="X52" s="13"/>
      <c r="Y52" s="18">
        <f>(W52*'Population frame'!$B$35)/100</f>
        <v>425.58537863793759</v>
      </c>
      <c r="Z52" s="16">
        <v>0</v>
      </c>
      <c r="AA52" s="13"/>
      <c r="AB52" s="18">
        <f>(Z52*'Population frame'!$B$36)/100</f>
        <v>0</v>
      </c>
      <c r="AC52" s="16">
        <v>7.1842424080715857</v>
      </c>
      <c r="AD52" s="13"/>
      <c r="AE52" s="18">
        <f>(AC52*'Population frame'!$B$37)/100</f>
        <v>2242.3105376195035</v>
      </c>
    </row>
    <row r="53" spans="1:32" x14ac:dyDescent="0.45">
      <c r="A53" s="7" t="s">
        <v>78</v>
      </c>
      <c r="B53" s="13">
        <v>87.233949928987258</v>
      </c>
      <c r="C53" s="13">
        <f t="shared" si="0"/>
        <v>0.87233949928987253</v>
      </c>
      <c r="D53" s="19">
        <f>C53*'Population frame'!$B$28</f>
        <v>780804.82839543629</v>
      </c>
      <c r="E53" s="16">
        <v>89.431599835433559</v>
      </c>
      <c r="F53" s="13">
        <f t="shared" si="1"/>
        <v>0.89431599835433562</v>
      </c>
      <c r="G53" s="19">
        <f>F53*'Population frame'!$B$30</f>
        <v>3221241.2660524733</v>
      </c>
      <c r="H53" s="8">
        <v>63.666489632171391</v>
      </c>
      <c r="I53" s="8">
        <f t="shared" si="2"/>
        <v>0.63666489632171386</v>
      </c>
      <c r="J53" s="20">
        <f>I53*'Population frame'!$B$31</f>
        <v>3297751.6267595747</v>
      </c>
      <c r="K53" s="13">
        <v>61.52965528543357</v>
      </c>
      <c r="L53" s="13">
        <f t="shared" si="3"/>
        <v>0.61529655285433571</v>
      </c>
      <c r="M53" s="18">
        <f>L53*'Population frame'!$B$34</f>
        <v>1774372.5096316419</v>
      </c>
      <c r="N53" s="16">
        <v>66.653915186188911</v>
      </c>
      <c r="O53" s="13"/>
      <c r="P53" s="18">
        <f>(N53*'Population frame'!$B$29)/100</f>
        <v>79749.076633243516</v>
      </c>
      <c r="Q53" s="13">
        <v>19.919010616175989</v>
      </c>
      <c r="R53" s="13"/>
      <c r="S53" s="18">
        <f>(Q53*'Population frame'!$B$32)/100</f>
        <v>126814.87906314984</v>
      </c>
      <c r="T53" s="16">
        <v>79.855627689851147</v>
      </c>
      <c r="U53" s="13"/>
      <c r="V53" s="18">
        <f>(T53*'Population frame'!$B$33)/100</f>
        <v>106436.37192269501</v>
      </c>
      <c r="W53" s="16">
        <v>8.2771969588780738</v>
      </c>
      <c r="X53" s="13"/>
      <c r="Y53" s="18">
        <f>(W53*'Population frame'!$B$35)/100</f>
        <v>3657.7595537038924</v>
      </c>
      <c r="Z53" s="16">
        <v>91.82846377763488</v>
      </c>
      <c r="AA53" s="13"/>
      <c r="AB53" s="18">
        <f>(Z53*'Population frame'!$B$36)/100</f>
        <v>25122.982091068014</v>
      </c>
      <c r="AC53" s="16">
        <v>89.382985140550019</v>
      </c>
      <c r="AD53" s="13"/>
      <c r="AE53" s="18">
        <f>(AC53*'Population frame'!$B$37)/100</f>
        <v>27897.779345441282</v>
      </c>
    </row>
    <row r="54" spans="1:32" x14ac:dyDescent="0.45">
      <c r="A54" s="7" t="s">
        <v>79</v>
      </c>
      <c r="B54" s="13">
        <v>39.65735373808679</v>
      </c>
      <c r="C54" s="13">
        <f t="shared" si="0"/>
        <v>0.39657353738086792</v>
      </c>
      <c r="D54" s="19">
        <f>C54*'Population frame'!$B$28</f>
        <v>354961.03644613974</v>
      </c>
      <c r="E54" s="16">
        <v>66.85353945875579</v>
      </c>
      <c r="F54" s="13">
        <f t="shared" si="1"/>
        <v>0.66853539458755795</v>
      </c>
      <c r="G54" s="19">
        <f>F54*'Population frame'!$B$30</f>
        <v>2408000.9804418981</v>
      </c>
      <c r="H54" s="8">
        <v>32.724815851307923</v>
      </c>
      <c r="I54" s="8">
        <f t="shared" si="2"/>
        <v>0.32724815851307926</v>
      </c>
      <c r="J54" s="20">
        <f>I54*'Population frame'!$B$31</f>
        <v>1695056.7768467935</v>
      </c>
      <c r="K54" s="13">
        <v>38.360635982321021</v>
      </c>
      <c r="L54" s="13">
        <f t="shared" si="3"/>
        <v>0.38360635982321023</v>
      </c>
      <c r="M54" s="18">
        <f>L54*'Population frame'!$B$34</f>
        <v>1106231.7450546594</v>
      </c>
      <c r="N54" s="16">
        <v>21.526568428455171</v>
      </c>
      <c r="O54" s="13"/>
      <c r="P54" s="18">
        <f>(N54*'Population frame'!$B$29)/100</f>
        <v>25755.785694751619</v>
      </c>
      <c r="Q54" s="13">
        <v>19.919010616175989</v>
      </c>
      <c r="R54" s="13"/>
      <c r="S54" s="18">
        <f>(Q54*'Population frame'!$B$32)/100</f>
        <v>126814.87906314984</v>
      </c>
      <c r="T54" s="16">
        <v>26.999411421624462</v>
      </c>
      <c r="U54" s="13"/>
      <c r="V54" s="18">
        <f>(T54*'Population frame'!$B$33)/100</f>
        <v>35986.43550742638</v>
      </c>
      <c r="W54" s="16">
        <v>0</v>
      </c>
      <c r="X54" s="13"/>
      <c r="Y54" s="18">
        <f>(W54*'Population frame'!$B$35)/100</f>
        <v>0</v>
      </c>
      <c r="Z54" s="16">
        <v>78.338201329815561</v>
      </c>
      <c r="AA54" s="13"/>
      <c r="AB54" s="18">
        <f>(Z54*'Population frame'!$B$36)/100</f>
        <v>21432.235149018918</v>
      </c>
      <c r="AC54" s="16">
        <v>78.894395287893033</v>
      </c>
      <c r="AD54" s="13"/>
      <c r="AE54" s="18">
        <f>(AC54*'Population frame'!$B$37)/100</f>
        <v>24624.132074720263</v>
      </c>
    </row>
    <row r="55" spans="1:32" x14ac:dyDescent="0.45">
      <c r="A55" s="7" t="s">
        <v>80</v>
      </c>
      <c r="B55" s="13">
        <v>25.277980367953251</v>
      </c>
      <c r="C55" s="13">
        <f t="shared" si="0"/>
        <v>0.25277980367953251</v>
      </c>
      <c r="D55" s="19">
        <f>C55*'Population frame'!$B$28</f>
        <v>226255.59360145879</v>
      </c>
      <c r="E55" s="16">
        <v>33.376682293491982</v>
      </c>
      <c r="F55" s="13">
        <f t="shared" si="1"/>
        <v>0.33376682293491983</v>
      </c>
      <c r="G55" s="19">
        <f>F55*'Population frame'!$B$30</f>
        <v>1202196.3883634023</v>
      </c>
      <c r="H55" s="8">
        <v>11.260411402739528</v>
      </c>
      <c r="I55" s="8">
        <f t="shared" si="2"/>
        <v>0.11260411402739529</v>
      </c>
      <c r="J55" s="20">
        <f>I55*'Population frame'!$B$31</f>
        <v>583258.79494700616</v>
      </c>
      <c r="K55" s="13">
        <v>5.6623551556502534</v>
      </c>
      <c r="L55" s="13">
        <f t="shared" si="3"/>
        <v>5.6623551556502533E-2</v>
      </c>
      <c r="M55" s="18">
        <f>L55*'Population frame'!$B$34</f>
        <v>163289.1860249922</v>
      </c>
      <c r="N55" s="16">
        <v>17.372997461429215</v>
      </c>
      <c r="O55" s="13"/>
      <c r="P55" s="18">
        <f>(N55*'Population frame'!$B$29)/100</f>
        <v>20786.183407688906</v>
      </c>
      <c r="Q55" s="13">
        <v>0</v>
      </c>
      <c r="R55" s="13"/>
      <c r="S55" s="18">
        <f>(Q55*'Population frame'!$B$32)/100</f>
        <v>0</v>
      </c>
      <c r="T55" s="16">
        <v>23.905796959720895</v>
      </c>
      <c r="U55" s="13"/>
      <c r="V55" s="18">
        <f>(T55*'Population frame'!$B$33)/100</f>
        <v>31863.080535733592</v>
      </c>
      <c r="W55" s="16">
        <v>3.3569833965002882</v>
      </c>
      <c r="X55" s="13"/>
      <c r="Y55" s="18">
        <f>(W55*'Population frame'!$B$35)/100</f>
        <v>1483.4778187806494</v>
      </c>
      <c r="Z55" s="16">
        <v>13.451382168633108</v>
      </c>
      <c r="AA55" s="13"/>
      <c r="AB55" s="18">
        <f>(Z55*'Population frame'!$B$36)/100</f>
        <v>3680.1098419876571</v>
      </c>
      <c r="AC55" s="16">
        <v>13.613735300168093</v>
      </c>
      <c r="AD55" s="13"/>
      <c r="AE55" s="18">
        <f>(AC55*'Population frame'!$B$37)/100</f>
        <v>4249.052354585494</v>
      </c>
    </row>
    <row r="56" spans="1:32" x14ac:dyDescent="0.45">
      <c r="A56" s="7" t="s">
        <v>81</v>
      </c>
      <c r="B56" s="13">
        <v>4.0230655929713164</v>
      </c>
      <c r="C56" s="13">
        <f t="shared" si="0"/>
        <v>4.0230655929713165E-2</v>
      </c>
      <c r="D56" s="19">
        <f>C56*'Population frame'!$B$28</f>
        <v>36009.249179942773</v>
      </c>
      <c r="E56" s="16">
        <v>8.2913928054853407</v>
      </c>
      <c r="F56" s="13">
        <f t="shared" si="1"/>
        <v>8.2913928054853411E-2</v>
      </c>
      <c r="G56" s="19">
        <f>F56*'Population frame'!$B$30</f>
        <v>298648.09203041677</v>
      </c>
      <c r="H56" s="8">
        <v>9.5469011960930246</v>
      </c>
      <c r="I56" s="8">
        <f t="shared" si="2"/>
        <v>9.5469011960930245E-2</v>
      </c>
      <c r="J56" s="20">
        <f>I56*'Population frame'!$B$31</f>
        <v>494503.60985537723</v>
      </c>
      <c r="K56" s="13">
        <v>13.283193378952006</v>
      </c>
      <c r="L56" s="13">
        <f t="shared" si="3"/>
        <v>0.13283193378952007</v>
      </c>
      <c r="M56" s="18">
        <f>L56*'Population frame'!$B$34</f>
        <v>383056.48004033673</v>
      </c>
      <c r="N56" s="16">
        <v>0</v>
      </c>
      <c r="O56" s="13"/>
      <c r="P56" s="18">
        <f>(N56*'Population frame'!$B$29)/100</f>
        <v>0</v>
      </c>
      <c r="Q56" s="13">
        <v>0</v>
      </c>
      <c r="R56" s="13"/>
      <c r="S56" s="18">
        <f>(Q56*'Population frame'!$B$32)/100</f>
        <v>0</v>
      </c>
      <c r="T56" s="16">
        <v>3.5944889991548967</v>
      </c>
      <c r="U56" s="13"/>
      <c r="V56" s="18">
        <f>(T56*'Population frame'!$B$33)/100</f>
        <v>4790.9506074135952</v>
      </c>
      <c r="W56" s="16">
        <v>2.4509525171680759</v>
      </c>
      <c r="X56" s="13"/>
      <c r="Y56" s="18">
        <f>(W56*'Population frame'!$B$35)/100</f>
        <v>1083.0955249567101</v>
      </c>
      <c r="Z56" s="16">
        <v>1.3577464566110982</v>
      </c>
      <c r="AA56" s="13"/>
      <c r="AB56" s="18">
        <f>(Z56*'Population frame'!$B$36)/100</f>
        <v>371.46042207840384</v>
      </c>
      <c r="AC56" s="16">
        <v>0</v>
      </c>
      <c r="AD56" s="13"/>
      <c r="AE56" s="18">
        <f>(AC56*'Population frame'!$B$37)/100</f>
        <v>0</v>
      </c>
    </row>
    <row r="57" spans="1:32" x14ac:dyDescent="0.45">
      <c r="A57" s="7" t="s">
        <v>82</v>
      </c>
      <c r="B57" s="13">
        <v>56.671559110668404</v>
      </c>
      <c r="C57" s="13">
        <f t="shared" si="0"/>
        <v>0.56671559110668401</v>
      </c>
      <c r="D57" s="19">
        <f>C57*'Population frame'!$B$28</f>
        <v>507250.06746030058</v>
      </c>
      <c r="E57" s="16">
        <v>42.114848877254488</v>
      </c>
      <c r="F57" s="13">
        <f t="shared" si="1"/>
        <v>0.4211484887725449</v>
      </c>
      <c r="G57" s="19">
        <f>F57*'Population frame'!$B$30</f>
        <v>1516936.8474522734</v>
      </c>
      <c r="H57" s="8">
        <v>33.462431567431139</v>
      </c>
      <c r="I57" s="8">
        <f t="shared" si="2"/>
        <v>0.33462431567431139</v>
      </c>
      <c r="J57" s="20">
        <f>I57*'Population frame'!$B$31</f>
        <v>1733263.2720033852</v>
      </c>
      <c r="K57" s="13">
        <v>34.322114646689954</v>
      </c>
      <c r="L57" s="13">
        <f t="shared" si="3"/>
        <v>0.34322114646689955</v>
      </c>
      <c r="M57" s="18">
        <f>L57*'Population frame'!$B$34</f>
        <v>989770.15910455794</v>
      </c>
      <c r="N57" s="16">
        <v>34.025928545928096</v>
      </c>
      <c r="O57" s="13"/>
      <c r="P57" s="18">
        <f>(N57*'Population frame'!$B$29)/100</f>
        <v>40710.832597703862</v>
      </c>
      <c r="Q57" s="13">
        <v>0</v>
      </c>
      <c r="R57" s="13"/>
      <c r="S57" s="18">
        <f>(Q57*'Population frame'!$B$32)/100</f>
        <v>0</v>
      </c>
      <c r="T57" s="16">
        <v>66.588695614249886</v>
      </c>
      <c r="U57" s="13"/>
      <c r="V57" s="18">
        <f>(T57*'Population frame'!$B$33)/100</f>
        <v>88753.4088364091</v>
      </c>
      <c r="W57" s="16">
        <v>3.086576306512137</v>
      </c>
      <c r="X57" s="13"/>
      <c r="Y57" s="18">
        <f>(W57*'Population frame'!$B$35)/100</f>
        <v>1363.9827624581656</v>
      </c>
      <c r="Z57" s="16">
        <v>15.231313784371572</v>
      </c>
      <c r="AA57" s="13"/>
      <c r="AB57" s="18">
        <f>(Z57*'Population frame'!$B$36)/100</f>
        <v>4167.0742130110812</v>
      </c>
      <c r="AC57" s="16">
        <v>1.3594168607557107</v>
      </c>
      <c r="AD57" s="13"/>
      <c r="AE57" s="18">
        <f>(AC57*'Population frame'!$B$37)/100</f>
        <v>424.2945294364547</v>
      </c>
    </row>
    <row r="58" spans="1:32" x14ac:dyDescent="0.45">
      <c r="C58" s="8"/>
      <c r="D58" s="20"/>
      <c r="F58" s="8"/>
      <c r="G58" s="20"/>
      <c r="I58" s="8"/>
      <c r="J58" s="20"/>
      <c r="L58" s="8"/>
      <c r="M58" s="20"/>
      <c r="N58" s="13"/>
      <c r="O58" s="13"/>
      <c r="P58" s="21"/>
      <c r="Q58" s="13"/>
      <c r="R58" s="13"/>
      <c r="S58" s="18"/>
      <c r="T58" s="16"/>
      <c r="U58" s="13"/>
      <c r="V58" s="18"/>
      <c r="W58" s="16"/>
      <c r="X58" s="13"/>
      <c r="Y58" s="18"/>
      <c r="Z58" s="16"/>
      <c r="AA58" s="13"/>
      <c r="AB58" s="18"/>
      <c r="AC58" s="16"/>
      <c r="AD58" s="13"/>
      <c r="AE58" s="18"/>
    </row>
    <row r="59" spans="1:32" x14ac:dyDescent="0.45">
      <c r="A59" s="7" t="s">
        <v>83</v>
      </c>
      <c r="B59" s="8">
        <v>35.022552235909941</v>
      </c>
      <c r="C59" s="8">
        <f t="shared" si="0"/>
        <v>0.35022552235909943</v>
      </c>
      <c r="D59" s="18">
        <f>C59*'Population frame'!$B$28</f>
        <v>313476.3232754069</v>
      </c>
      <c r="E59" s="8">
        <v>18.022486492828236</v>
      </c>
      <c r="F59" s="8">
        <f t="shared" si="1"/>
        <v>0.18022486492828235</v>
      </c>
      <c r="G59" s="18">
        <f>F59*'Population frame'!$B$30</f>
        <v>649152.84210950485</v>
      </c>
      <c r="H59" s="8">
        <v>17.338780604990884</v>
      </c>
      <c r="I59" s="8">
        <f t="shared" si="2"/>
        <v>0.17338780604990883</v>
      </c>
      <c r="J59" s="18">
        <f>I59*'Population frame'!$B$31</f>
        <v>898101.84724308818</v>
      </c>
      <c r="K59" s="8">
        <v>15.026243988032109</v>
      </c>
      <c r="L59" s="8">
        <f t="shared" si="3"/>
        <v>0.15026243988032109</v>
      </c>
      <c r="M59" s="18">
        <f>L59*'Population frame'!$B$34</f>
        <v>433322.01572879381</v>
      </c>
      <c r="N59" s="16">
        <v>0.83565462607462881</v>
      </c>
      <c r="O59" s="13"/>
      <c r="P59" s="18">
        <f>(N59*'Population frame'!$B$29)/100</f>
        <v>999.83151218638068</v>
      </c>
      <c r="Q59" s="13">
        <v>0</v>
      </c>
      <c r="R59" s="13"/>
      <c r="S59" s="18">
        <f>(Q59*'Population frame'!$B$32)/100</f>
        <v>0</v>
      </c>
      <c r="T59" s="16">
        <v>7.0020182379409395</v>
      </c>
      <c r="U59" s="13"/>
      <c r="V59" s="18">
        <f>(T59*'Population frame'!$B$33)/100</f>
        <v>9332.7100286219611</v>
      </c>
      <c r="W59" s="16">
        <v>12.478240833424989</v>
      </c>
      <c r="X59" s="13"/>
      <c r="Y59" s="18">
        <f>(W59*'Population frame'!$B$35)/100</f>
        <v>5514.23445021717</v>
      </c>
      <c r="Z59" s="16">
        <v>4.5294080232472176</v>
      </c>
      <c r="AA59" s="13"/>
      <c r="AB59" s="18">
        <f>(Z59*'Population frame'!$B$36)/100</f>
        <v>1239.1826234481132</v>
      </c>
      <c r="AC59" s="16">
        <v>19.304371712013804</v>
      </c>
      <c r="AD59" s="13"/>
      <c r="AE59" s="18">
        <f>(AC59*'Population frame'!$B$37)/100</f>
        <v>6025.1859073323594</v>
      </c>
    </row>
    <row r="60" spans="1:32" x14ac:dyDescent="0.45">
      <c r="A60" s="7" t="s">
        <v>84</v>
      </c>
      <c r="B60" s="8">
        <v>2.7013758301880428</v>
      </c>
      <c r="C60" s="8">
        <f t="shared" si="0"/>
        <v>2.7013758301880429E-2</v>
      </c>
      <c r="D60" s="18">
        <f>C60*'Population frame'!$B$28</f>
        <v>24179.201941888285</v>
      </c>
      <c r="E60" s="8">
        <v>6.7625576898528825</v>
      </c>
      <c r="F60" s="8">
        <f t="shared" si="1"/>
        <v>6.7625576898528827E-2</v>
      </c>
      <c r="G60" s="18">
        <f>F60*'Population frame'!$B$30</f>
        <v>243580.90355869549</v>
      </c>
      <c r="H60" s="8">
        <v>8.244402728823113</v>
      </c>
      <c r="I60" s="8">
        <f t="shared" si="2"/>
        <v>8.2444027288231136E-2</v>
      </c>
      <c r="J60" s="18">
        <f>I60*'Population frame'!$B$31</f>
        <v>427037.71902164217</v>
      </c>
      <c r="K60" s="8">
        <v>5.3370941479668979</v>
      </c>
      <c r="L60" s="8">
        <f t="shared" si="3"/>
        <v>5.3370941479668976E-2</v>
      </c>
      <c r="M60" s="18">
        <f>L60*'Population frame'!$B$34</f>
        <v>153909.41316894203</v>
      </c>
      <c r="N60" s="16">
        <v>9.712304714814235E-2</v>
      </c>
      <c r="O60" s="13"/>
      <c r="P60" s="18">
        <f>(N60*'Population frame'!$B$29)/100</f>
        <v>116.20432660610213</v>
      </c>
      <c r="Q60" s="13">
        <v>0</v>
      </c>
      <c r="R60" s="13"/>
      <c r="S60" s="18">
        <f>(Q60*'Population frame'!$B$32)/100</f>
        <v>0</v>
      </c>
      <c r="T60" s="16">
        <v>1.2678408189452788</v>
      </c>
      <c r="U60" s="13"/>
      <c r="V60" s="18">
        <f>(T60*'Population frame'!$B$33)/100</f>
        <v>1689.8543139394044</v>
      </c>
      <c r="W60" s="16">
        <v>0</v>
      </c>
      <c r="X60" s="13"/>
      <c r="Y60" s="18">
        <f>(W60*'Population frame'!$B$35)/100</f>
        <v>0</v>
      </c>
      <c r="Z60" s="16">
        <v>3.4095179491903376</v>
      </c>
      <c r="AA60" s="13"/>
      <c r="AB60" s="18">
        <f>(Z60*'Population frame'!$B$36)/100</f>
        <v>932.79637764718757</v>
      </c>
      <c r="AC60" s="16">
        <v>0</v>
      </c>
      <c r="AD60" s="13"/>
      <c r="AE60" s="18">
        <f>(AC60*'Population frame'!$B$37)/100</f>
        <v>0</v>
      </c>
    </row>
    <row r="61" spans="1:32" x14ac:dyDescent="0.45">
      <c r="A61" s="7" t="s">
        <v>85</v>
      </c>
      <c r="B61" s="8">
        <v>0</v>
      </c>
      <c r="C61" s="8">
        <f t="shared" si="0"/>
        <v>0</v>
      </c>
      <c r="D61" s="18">
        <f>C61*'Population frame'!$B$28</f>
        <v>0</v>
      </c>
      <c r="E61" s="8">
        <v>0</v>
      </c>
      <c r="F61" s="8">
        <f t="shared" si="1"/>
        <v>0</v>
      </c>
      <c r="G61" s="18">
        <f>F61*'Population frame'!$B$30</f>
        <v>0</v>
      </c>
      <c r="H61" s="8">
        <v>0.66341105172246628</v>
      </c>
      <c r="I61" s="8">
        <f t="shared" si="2"/>
        <v>6.6341105172246628E-3</v>
      </c>
      <c r="J61" s="18">
        <f>I61*'Population frame'!$B$31</f>
        <v>34362.894635273587</v>
      </c>
      <c r="K61" s="8">
        <v>0.2839813717156256</v>
      </c>
      <c r="L61" s="8">
        <f t="shared" si="3"/>
        <v>2.8398137171562559E-3</v>
      </c>
      <c r="M61" s="18">
        <f>L61*'Population frame'!$B$34</f>
        <v>8189.363923496262</v>
      </c>
      <c r="N61" s="16">
        <v>0</v>
      </c>
      <c r="O61" s="13"/>
      <c r="P61" s="18">
        <f>(N61*'Population frame'!$B$29)/100</f>
        <v>0</v>
      </c>
      <c r="Q61" s="13">
        <v>0</v>
      </c>
      <c r="R61" s="13"/>
      <c r="S61" s="18">
        <f>(Q61*'Population frame'!$B$32)/100</f>
        <v>0</v>
      </c>
      <c r="T61" s="16">
        <v>0</v>
      </c>
      <c r="U61" s="13"/>
      <c r="V61" s="18">
        <f>(T61*'Population frame'!$B$33)/100</f>
        <v>0</v>
      </c>
      <c r="W61" s="16">
        <v>0</v>
      </c>
      <c r="X61" s="13"/>
      <c r="Y61" s="18">
        <f>(W61*'Population frame'!$B$35)/100</f>
        <v>0</v>
      </c>
      <c r="Z61" s="16">
        <v>0</v>
      </c>
      <c r="AA61" s="13"/>
      <c r="AB61" s="18">
        <f>(Z61*'Population frame'!$B$36)/100</f>
        <v>0</v>
      </c>
      <c r="AC61" s="16">
        <v>1.0213705150291732</v>
      </c>
      <c r="AD61" s="13"/>
      <c r="AE61" s="18">
        <f>(AC61*'Population frame'!$B$37)/100</f>
        <v>318.7851604353819</v>
      </c>
      <c r="AF61" s="31">
        <f>SUM(AE61,M61,J61)</f>
        <v>42871.043719205234</v>
      </c>
    </row>
    <row r="62" spans="1:32" x14ac:dyDescent="0.45">
      <c r="A62" s="7" t="s">
        <v>86</v>
      </c>
      <c r="B62" s="8">
        <v>33.549718558173723</v>
      </c>
      <c r="C62" s="8">
        <f t="shared" si="0"/>
        <v>0.33549718558173725</v>
      </c>
      <c r="D62" s="18">
        <f>C62*'Population frame'!$B$28</f>
        <v>300293.43234892702</v>
      </c>
      <c r="E62" s="8">
        <v>14.516763888638661</v>
      </c>
      <c r="F62" s="8">
        <f t="shared" si="1"/>
        <v>0.14516763888638662</v>
      </c>
      <c r="G62" s="18">
        <f>F62*'Population frame'!$B$30</f>
        <v>522880.04434307042</v>
      </c>
      <c r="H62" s="8">
        <v>11.390194780968853</v>
      </c>
      <c r="I62" s="8">
        <f t="shared" si="2"/>
        <v>0.11390194780968853</v>
      </c>
      <c r="J62" s="18">
        <f>I62*'Population frame'!$B$31</f>
        <v>589981.2222263302</v>
      </c>
      <c r="K62" s="8">
        <v>11.254632899883211</v>
      </c>
      <c r="L62" s="8">
        <f t="shared" si="3"/>
        <v>0.1125463289988321</v>
      </c>
      <c r="M62" s="18">
        <f>L62*'Population frame'!$B$34</f>
        <v>324557.50208430405</v>
      </c>
      <c r="N62" s="16">
        <v>0.73853157892648646</v>
      </c>
      <c r="O62" s="13"/>
      <c r="P62" s="18">
        <f>(N62*'Population frame'!$B$29)/100</f>
        <v>883.62718558027859</v>
      </c>
      <c r="Q62" s="13">
        <v>0</v>
      </c>
      <c r="R62" s="13"/>
      <c r="S62" s="18">
        <f>(Q62*'Population frame'!$B$32)/100</f>
        <v>0</v>
      </c>
      <c r="T62" s="16">
        <v>5.7341774189956602</v>
      </c>
      <c r="U62" s="13"/>
      <c r="V62" s="18">
        <f>(T62*'Population frame'!$B$33)/100</f>
        <v>7642.855714682556</v>
      </c>
      <c r="W62" s="16">
        <v>12.478240833424989</v>
      </c>
      <c r="X62" s="13"/>
      <c r="Y62" s="18">
        <f>(W62*'Population frame'!$B$35)/100</f>
        <v>5514.23445021717</v>
      </c>
      <c r="Z62" s="16">
        <v>1.7920907997585862</v>
      </c>
      <c r="AA62" s="13"/>
      <c r="AB62" s="18">
        <f>(Z62*'Population frame'!$B$36)/100</f>
        <v>490.29095354275256</v>
      </c>
      <c r="AC62" s="16">
        <v>18.444246610784472</v>
      </c>
      <c r="AD62" s="13"/>
      <c r="AE62" s="18">
        <f>(AC62*'Population frame'!$B$37)/100</f>
        <v>5756.7278753496566</v>
      </c>
    </row>
    <row r="63" spans="1:32" x14ac:dyDescent="0.45">
      <c r="A63" s="7" t="s">
        <v>87</v>
      </c>
      <c r="B63" s="8">
        <v>0.82320679582220091</v>
      </c>
      <c r="C63" s="8">
        <f t="shared" si="0"/>
        <v>8.2320679582220096E-3</v>
      </c>
      <c r="D63" s="18">
        <f>C63*'Population frame'!$B$28</f>
        <v>7368.2762441589784</v>
      </c>
      <c r="E63" s="8">
        <v>0.51245295823653414</v>
      </c>
      <c r="F63" s="8">
        <f t="shared" si="1"/>
        <v>5.1245295823653418E-3</v>
      </c>
      <c r="G63" s="18">
        <f>F63*'Population frame'!$B$30</f>
        <v>18458.068725369638</v>
      </c>
      <c r="H63" s="8">
        <v>1.6409693251075872</v>
      </c>
      <c r="I63" s="8">
        <f t="shared" si="2"/>
        <v>1.6409693251075871E-2</v>
      </c>
      <c r="J63" s="18">
        <f>I63*'Population frame'!$B$31</f>
        <v>84997.764013701977</v>
      </c>
      <c r="K63" s="8">
        <v>1.0841996357680408</v>
      </c>
      <c r="L63" s="8">
        <f t="shared" si="3"/>
        <v>1.0841996357680407E-2</v>
      </c>
      <c r="M63" s="18">
        <f>L63*'Population frame'!$B$34</f>
        <v>31265.802152395314</v>
      </c>
      <c r="N63" s="16">
        <v>0</v>
      </c>
      <c r="O63" s="13"/>
      <c r="P63" s="18">
        <f>(N63*'Population frame'!$B$29)/100</f>
        <v>0</v>
      </c>
      <c r="Q63" s="13">
        <v>0</v>
      </c>
      <c r="R63" s="13"/>
      <c r="S63" s="18">
        <f>(Q63*'Population frame'!$B$32)/100</f>
        <v>0</v>
      </c>
      <c r="T63" s="16">
        <v>0</v>
      </c>
      <c r="U63" s="13"/>
      <c r="V63" s="18">
        <f>(T63*'Population frame'!$B$33)/100</f>
        <v>0</v>
      </c>
      <c r="W63" s="16">
        <v>0</v>
      </c>
      <c r="X63" s="13"/>
      <c r="Y63" s="18">
        <f>(W63*'Population frame'!$B$35)/100</f>
        <v>0</v>
      </c>
      <c r="Z63" s="16">
        <v>0</v>
      </c>
      <c r="AA63" s="13"/>
      <c r="AB63" s="18">
        <f>(Z63*'Population frame'!$B$36)/100</f>
        <v>0</v>
      </c>
      <c r="AC63" s="16">
        <v>0</v>
      </c>
      <c r="AD63" s="13"/>
      <c r="AE63" s="18">
        <f>(AC63*'Population frame'!$B$37)/100</f>
        <v>0</v>
      </c>
    </row>
    <row r="64" spans="1:32" x14ac:dyDescent="0.45">
      <c r="A64" s="7" t="s">
        <v>88</v>
      </c>
      <c r="B64" s="8">
        <v>0</v>
      </c>
      <c r="C64" s="8">
        <f t="shared" si="0"/>
        <v>0</v>
      </c>
      <c r="D64" s="18">
        <f>C64*'Population frame'!$B$28</f>
        <v>0</v>
      </c>
      <c r="E64" s="8">
        <v>0</v>
      </c>
      <c r="F64" s="8">
        <f t="shared" si="1"/>
        <v>0</v>
      </c>
      <c r="G64" s="18">
        <f>F64*'Population frame'!$B$30</f>
        <v>0</v>
      </c>
      <c r="H64" s="8">
        <v>0.22113701724082208</v>
      </c>
      <c r="I64" s="8">
        <f t="shared" si="2"/>
        <v>2.2113701724082208E-3</v>
      </c>
      <c r="J64" s="18">
        <f>I64*'Population frame'!$B$31</f>
        <v>11454.298211757861</v>
      </c>
      <c r="K64" s="8">
        <v>1.6776493911293795</v>
      </c>
      <c r="L64" s="8">
        <f t="shared" si="3"/>
        <v>1.6776493911293794E-2</v>
      </c>
      <c r="M64" s="18">
        <f>L64*'Population frame'!$B$34</f>
        <v>48379.516293583882</v>
      </c>
      <c r="N64" s="16">
        <v>0</v>
      </c>
      <c r="O64" s="13"/>
      <c r="P64" s="18">
        <f>(N64*'Population frame'!$B$29)/100</f>
        <v>0</v>
      </c>
      <c r="Q64" s="13">
        <v>0</v>
      </c>
      <c r="R64" s="13"/>
      <c r="S64" s="18">
        <f>(Q64*'Population frame'!$B$32)/100</f>
        <v>0</v>
      </c>
      <c r="T64" s="16">
        <v>0</v>
      </c>
      <c r="U64" s="13"/>
      <c r="V64" s="18">
        <f>(T64*'Population frame'!$B$33)/100</f>
        <v>0</v>
      </c>
      <c r="W64" s="16">
        <v>0</v>
      </c>
      <c r="X64" s="13"/>
      <c r="Y64" s="18">
        <f>(W64*'Population frame'!$B$35)/100</f>
        <v>0</v>
      </c>
      <c r="Z64" s="16">
        <v>0</v>
      </c>
      <c r="AA64" s="13"/>
      <c r="AB64" s="18">
        <f>(Z64*'Population frame'!$B$36)/100</f>
        <v>0</v>
      </c>
      <c r="AC64" s="16">
        <v>0</v>
      </c>
      <c r="AD64" s="13"/>
      <c r="AE64" s="18">
        <f>(AC64*'Population frame'!$B$37)/100</f>
        <v>0</v>
      </c>
    </row>
    <row r="65" spans="1:32" x14ac:dyDescent="0.45">
      <c r="A65" s="7" t="s">
        <v>89</v>
      </c>
      <c r="B65" s="8">
        <v>0.3921062788342225</v>
      </c>
      <c r="C65" s="8">
        <f t="shared" si="0"/>
        <v>3.9210627883422252E-3</v>
      </c>
      <c r="D65" s="18">
        <f>C65*'Population frame'!$B$28</f>
        <v>3509.6252778551966</v>
      </c>
      <c r="E65" s="8">
        <v>0</v>
      </c>
      <c r="F65" s="8">
        <f t="shared" si="1"/>
        <v>0</v>
      </c>
      <c r="G65" s="18">
        <f>F65*'Population frame'!$B$30</f>
        <v>0</v>
      </c>
      <c r="H65" s="8">
        <v>0</v>
      </c>
      <c r="I65" s="8">
        <f t="shared" si="2"/>
        <v>0</v>
      </c>
      <c r="J65" s="18">
        <f>I65*'Population frame'!$B$31</f>
        <v>0</v>
      </c>
      <c r="K65" s="8">
        <v>0</v>
      </c>
      <c r="L65" s="8">
        <f t="shared" si="3"/>
        <v>0</v>
      </c>
      <c r="M65" s="18">
        <f>L65*'Population frame'!$B$34</f>
        <v>0</v>
      </c>
      <c r="N65" s="16">
        <v>0</v>
      </c>
      <c r="O65" s="13"/>
      <c r="P65" s="18">
        <f>(N65*'Population frame'!$B$29)/100</f>
        <v>0</v>
      </c>
      <c r="Q65" s="13">
        <v>0</v>
      </c>
      <c r="R65" s="13"/>
      <c r="S65" s="18">
        <f>(Q65*'Population frame'!$B$32)/100</f>
        <v>0</v>
      </c>
      <c r="T65" s="16">
        <v>0</v>
      </c>
      <c r="U65" s="13"/>
      <c r="V65" s="18">
        <f>(T65*'Population frame'!$B$33)/100</f>
        <v>0</v>
      </c>
      <c r="W65" s="16">
        <v>0</v>
      </c>
      <c r="X65" s="13"/>
      <c r="Y65" s="18">
        <f>(W65*'Population frame'!$B$35)/100</f>
        <v>0</v>
      </c>
      <c r="Z65" s="16">
        <v>0</v>
      </c>
      <c r="AA65" s="13"/>
      <c r="AB65" s="18">
        <f>(Z65*'Population frame'!$B$36)/100</f>
        <v>0</v>
      </c>
      <c r="AC65" s="16">
        <v>0</v>
      </c>
      <c r="AD65" s="13"/>
      <c r="AE65" s="18">
        <f>(AC65*'Population frame'!$B$37)/100</f>
        <v>0</v>
      </c>
    </row>
    <row r="66" spans="1:32" x14ac:dyDescent="0.45">
      <c r="A66" s="7" t="s">
        <v>90</v>
      </c>
      <c r="B66" s="8">
        <v>0</v>
      </c>
      <c r="C66" s="8">
        <f t="shared" si="0"/>
        <v>0</v>
      </c>
      <c r="D66" s="18">
        <f>C66*'Population frame'!$B$28</f>
        <v>0</v>
      </c>
      <c r="E66" s="8">
        <v>0</v>
      </c>
      <c r="F66" s="8">
        <f t="shared" si="1"/>
        <v>0</v>
      </c>
      <c r="G66" s="18">
        <f>F66*'Population frame'!$B$30</f>
        <v>0</v>
      </c>
      <c r="H66" s="8">
        <v>0</v>
      </c>
      <c r="I66" s="8">
        <f t="shared" si="2"/>
        <v>0</v>
      </c>
      <c r="J66" s="18">
        <f>I66*'Population frame'!$B$31</f>
        <v>0</v>
      </c>
      <c r="K66" s="8">
        <v>0</v>
      </c>
      <c r="L66" s="8">
        <f t="shared" si="3"/>
        <v>0</v>
      </c>
      <c r="M66" s="18">
        <f>L66*'Population frame'!$B$34</f>
        <v>0</v>
      </c>
      <c r="N66" s="16">
        <v>0</v>
      </c>
      <c r="O66" s="13"/>
      <c r="P66" s="18">
        <f>(N66*'Population frame'!$B$29)/100</f>
        <v>0</v>
      </c>
      <c r="Q66" s="13">
        <v>0</v>
      </c>
      <c r="R66" s="13"/>
      <c r="S66" s="18">
        <f>(Q66*'Population frame'!$B$32)/100</f>
        <v>0</v>
      </c>
      <c r="T66" s="16">
        <v>0</v>
      </c>
      <c r="U66" s="13"/>
      <c r="V66" s="18">
        <f>(T66*'Population frame'!$B$33)/100</f>
        <v>0</v>
      </c>
      <c r="W66" s="16">
        <v>0</v>
      </c>
      <c r="X66" s="13"/>
      <c r="Y66" s="18">
        <f>(W66*'Population frame'!$B$35)/100</f>
        <v>0</v>
      </c>
      <c r="Z66" s="16">
        <v>0</v>
      </c>
      <c r="AA66" s="13"/>
      <c r="AB66" s="18">
        <f>(Z66*'Population frame'!$B$36)/100</f>
        <v>0</v>
      </c>
      <c r="AC66" s="16">
        <v>0</v>
      </c>
      <c r="AD66" s="13"/>
      <c r="AE66" s="18">
        <f>(AC66*'Population frame'!$B$37)/100</f>
        <v>0</v>
      </c>
    </row>
    <row r="67" spans="1:32" x14ac:dyDescent="0.45">
      <c r="A67" s="7" t="s">
        <v>91</v>
      </c>
      <c r="B67" s="8">
        <v>0</v>
      </c>
      <c r="C67" s="8">
        <f t="shared" si="0"/>
        <v>0</v>
      </c>
      <c r="D67" s="18">
        <f>C67*'Population frame'!$B$28</f>
        <v>0</v>
      </c>
      <c r="E67" s="8">
        <v>0</v>
      </c>
      <c r="F67" s="8">
        <f t="shared" si="1"/>
        <v>0</v>
      </c>
      <c r="G67" s="18">
        <f>F67*'Population frame'!$B$30</f>
        <v>0</v>
      </c>
      <c r="H67" s="8">
        <v>2.203309523259199</v>
      </c>
      <c r="I67" s="8">
        <f t="shared" si="2"/>
        <v>2.203309523259199E-2</v>
      </c>
      <c r="J67" s="18">
        <f>I67*'Population frame'!$B$31</f>
        <v>114125.46233601848</v>
      </c>
      <c r="K67" s="8">
        <v>3.5271307714681122</v>
      </c>
      <c r="L67" s="8">
        <f t="shared" si="3"/>
        <v>3.5271307714681122E-2</v>
      </c>
      <c r="M67" s="18">
        <f>L67*'Population frame'!$B$34</f>
        <v>101714.26850575054</v>
      </c>
      <c r="N67" s="16">
        <v>0</v>
      </c>
      <c r="O67" s="13"/>
      <c r="P67" s="18">
        <f>(N67*'Population frame'!$B$29)/100</f>
        <v>0</v>
      </c>
      <c r="Q67" s="13">
        <v>0</v>
      </c>
      <c r="R67" s="13"/>
      <c r="S67" s="18">
        <f>(Q67*'Population frame'!$B$32)/100</f>
        <v>0</v>
      </c>
      <c r="T67" s="16">
        <v>0</v>
      </c>
      <c r="U67" s="13"/>
      <c r="V67" s="18">
        <f>(T67*'Population frame'!$B$33)/100</f>
        <v>0</v>
      </c>
      <c r="W67" s="16">
        <v>0</v>
      </c>
      <c r="X67" s="13"/>
      <c r="Y67" s="18">
        <f>(W67*'Population frame'!$B$35)/100</f>
        <v>0</v>
      </c>
      <c r="Z67" s="16">
        <v>0.67220072570170619</v>
      </c>
      <c r="AA67" s="13"/>
      <c r="AB67" s="18">
        <f>(Z67*'Population frame'!$B$36)/100</f>
        <v>183.90470774182697</v>
      </c>
      <c r="AC67" s="16">
        <v>0</v>
      </c>
      <c r="AD67" s="13"/>
      <c r="AE67" s="18">
        <f>(AC67*'Population frame'!$B$37)/100</f>
        <v>0</v>
      </c>
    </row>
    <row r="68" spans="1:32" x14ac:dyDescent="0.45">
      <c r="A68" s="7" t="s">
        <v>92</v>
      </c>
      <c r="B68" s="8">
        <v>1.1749254968487712</v>
      </c>
      <c r="C68" s="8">
        <f t="shared" ref="C68:C69" si="4">B68/100</f>
        <v>1.1749254968487713E-2</v>
      </c>
      <c r="D68" s="18">
        <f>C68*'Population frame'!$B$28</f>
        <v>10516.4044697188</v>
      </c>
      <c r="E68" s="8">
        <v>2.3866392200738504</v>
      </c>
      <c r="F68" s="8">
        <f t="shared" ref="F68:F69" si="5">E68/100</f>
        <v>2.3866392200738506E-2</v>
      </c>
      <c r="G68" s="18">
        <f>F68*'Population frame'!$B$30</f>
        <v>85964.477399801035</v>
      </c>
      <c r="H68" s="8">
        <v>4.9571249190922488</v>
      </c>
      <c r="I68" s="8">
        <f t="shared" ref="I68:I69" si="6">+H68/100</f>
        <v>4.9571249190922491E-2</v>
      </c>
      <c r="J68" s="18">
        <f>I68*'Population frame'!$B$31</f>
        <v>256765.63700044775</v>
      </c>
      <c r="K68" s="8">
        <v>0.7207393424322236</v>
      </c>
      <c r="L68" s="8">
        <f t="shared" ref="L68:L69" si="7">K68/100</f>
        <v>7.2073934243222356E-3</v>
      </c>
      <c r="M68" s="18">
        <f>L68*'Population frame'!$B$34</f>
        <v>20784.450520470884</v>
      </c>
      <c r="N68" s="16">
        <v>4.0677977269569796</v>
      </c>
      <c r="O68" s="13"/>
      <c r="P68" s="18">
        <f>(N68*'Population frame'!$B$29)/100</f>
        <v>4866.9776073835828</v>
      </c>
      <c r="Q68" s="13">
        <v>0</v>
      </c>
      <c r="R68" s="13"/>
      <c r="S68" s="18">
        <f>(Q68*'Population frame'!$B$32)/100</f>
        <v>0</v>
      </c>
      <c r="T68" s="16">
        <v>0.60965498172817378</v>
      </c>
      <c r="U68" s="13"/>
      <c r="V68" s="18">
        <f>(T68*'Population frame'!$B$33)/100</f>
        <v>812.58473894621375</v>
      </c>
      <c r="W68" s="16">
        <v>0</v>
      </c>
      <c r="X68" s="13"/>
      <c r="Y68" s="18">
        <f>(W68*'Population frame'!$B$35)/100</f>
        <v>0</v>
      </c>
      <c r="Z68" s="16">
        <v>1.2301340299356749</v>
      </c>
      <c r="AA68" s="13"/>
      <c r="AB68" s="18">
        <f>(Z68*'Population frame'!$B$36)/100</f>
        <v>336.54744871398151</v>
      </c>
      <c r="AC68" s="16">
        <v>7.3079108957650503</v>
      </c>
      <c r="AD68" s="13"/>
      <c r="AE68" s="18">
        <f>(AC68*'Population frame'!$B$37)/100</f>
        <v>2280.909340022798</v>
      </c>
    </row>
    <row r="69" spans="1:32" x14ac:dyDescent="0.45">
      <c r="A69" s="7" t="s">
        <v>93</v>
      </c>
      <c r="B69" s="8">
        <v>0.3921062788342225</v>
      </c>
      <c r="C69" s="8">
        <f t="shared" si="4"/>
        <v>3.9210627883422252E-3</v>
      </c>
      <c r="D69" s="18">
        <f>C69*'Population frame'!$B$28</f>
        <v>3509.6252778551966</v>
      </c>
      <c r="E69" s="8">
        <v>0</v>
      </c>
      <c r="F69" s="8">
        <f t="shared" si="5"/>
        <v>0</v>
      </c>
      <c r="G69" s="18">
        <f>F69*'Population frame'!$B$30</f>
        <v>0</v>
      </c>
      <c r="H69" s="8">
        <v>2.4238984743583343</v>
      </c>
      <c r="I69" s="8">
        <f t="shared" si="6"/>
        <v>2.4238984743583342E-2</v>
      </c>
      <c r="J69" s="18">
        <f>I69*'Population frame'!$B$31</f>
        <v>125551.37220689621</v>
      </c>
      <c r="K69" s="8">
        <v>5.2047801625974905</v>
      </c>
      <c r="L69" s="8">
        <f t="shared" si="7"/>
        <v>5.2047801625974909E-2</v>
      </c>
      <c r="M69" s="18">
        <f>L69*'Population frame'!$B$34</f>
        <v>150093.78479933442</v>
      </c>
      <c r="N69" s="16">
        <v>0</v>
      </c>
      <c r="O69" s="13"/>
      <c r="P69" s="18">
        <f>(N69*'Population frame'!$B$29)/100</f>
        <v>0</v>
      </c>
      <c r="Q69" s="13">
        <v>0</v>
      </c>
      <c r="R69" s="13"/>
      <c r="S69" s="18">
        <f>(Q69*'Population frame'!$B$32)/100</f>
        <v>0</v>
      </c>
      <c r="T69" s="16">
        <v>0</v>
      </c>
      <c r="U69" s="13"/>
      <c r="V69" s="18">
        <f>(T69*'Population frame'!$B$33)/100</f>
        <v>0</v>
      </c>
      <c r="W69" s="16">
        <v>0</v>
      </c>
      <c r="X69" s="13"/>
      <c r="Y69" s="18">
        <f>(W69*'Population frame'!$B$35)/100</f>
        <v>0</v>
      </c>
      <c r="Z69" s="16">
        <v>0.67220072570170619</v>
      </c>
      <c r="AA69" s="13"/>
      <c r="AB69" s="18">
        <f>(Z69*'Population frame'!$B$36)/100</f>
        <v>183.90470774182697</v>
      </c>
      <c r="AC69" s="16">
        <v>0</v>
      </c>
      <c r="AD69" s="13"/>
      <c r="AE69" s="18">
        <f>(AC69*'Population frame'!$B$37)/100</f>
        <v>0</v>
      </c>
    </row>
    <row r="70" spans="1:32" x14ac:dyDescent="0.45">
      <c r="C70" s="8"/>
      <c r="D70" s="20"/>
      <c r="F70" s="8"/>
      <c r="G70" s="20"/>
      <c r="I70" s="8"/>
      <c r="J70" s="20"/>
      <c r="L70" s="8"/>
      <c r="M70" s="20"/>
    </row>
    <row r="71" spans="1:32" ht="23.25" x14ac:dyDescent="0.45">
      <c r="A71" s="7" t="s">
        <v>94</v>
      </c>
      <c r="B71" s="8">
        <v>0.1936865342852053</v>
      </c>
      <c r="C71" s="8">
        <v>0.1936865342852053</v>
      </c>
      <c r="D71" s="18">
        <f>C71*'Population frame'!$B$28</f>
        <v>173362.98687400529</v>
      </c>
      <c r="E71" s="8">
        <v>0.14460406574431259</v>
      </c>
      <c r="F71" s="8">
        <v>0.14460406574431259</v>
      </c>
      <c r="G71" s="18">
        <f>F71*'Population frame'!$B$30</f>
        <v>520850.10742476821</v>
      </c>
      <c r="H71" s="8">
        <v>3.6138342697313752E-2</v>
      </c>
      <c r="I71" s="8">
        <v>3.6138342697313752E-2</v>
      </c>
      <c r="J71" s="18">
        <f>I71*'Population frame'!$B$31</f>
        <v>187186.82168121426</v>
      </c>
      <c r="K71" s="8">
        <v>6.8375717497840008E-2</v>
      </c>
      <c r="L71" s="8">
        <v>6.8375717497840008E-2</v>
      </c>
      <c r="M71" s="18">
        <f>L71*'Population frame'!$B$34</f>
        <v>197179.70609731108</v>
      </c>
    </row>
    <row r="74" spans="1:32" x14ac:dyDescent="0.45">
      <c r="A74" s="37" t="s">
        <v>125</v>
      </c>
      <c r="B74" s="38" t="s">
        <v>139</v>
      </c>
      <c r="C74" s="38" t="s">
        <v>138</v>
      </c>
      <c r="D74" s="38" t="s">
        <v>140</v>
      </c>
      <c r="E74" s="38" t="s">
        <v>139</v>
      </c>
      <c r="F74" s="38" t="s">
        <v>138</v>
      </c>
      <c r="G74" s="38" t="s">
        <v>140</v>
      </c>
      <c r="H74" s="38" t="s">
        <v>139</v>
      </c>
      <c r="I74" s="38" t="s">
        <v>138</v>
      </c>
      <c r="J74" s="38" t="s">
        <v>140</v>
      </c>
      <c r="K74" s="38" t="s">
        <v>139</v>
      </c>
      <c r="L74" s="38" t="s">
        <v>138</v>
      </c>
      <c r="M74" s="38" t="s">
        <v>140</v>
      </c>
      <c r="N74" s="38" t="s">
        <v>139</v>
      </c>
      <c r="O74" s="38" t="s">
        <v>138</v>
      </c>
      <c r="P74" s="38" t="s">
        <v>140</v>
      </c>
      <c r="Q74" s="38" t="s">
        <v>139</v>
      </c>
      <c r="R74" s="38" t="s">
        <v>138</v>
      </c>
      <c r="S74" s="38" t="s">
        <v>140</v>
      </c>
      <c r="T74" s="38" t="s">
        <v>139</v>
      </c>
      <c r="U74" s="38" t="s">
        <v>138</v>
      </c>
      <c r="V74" s="38" t="s">
        <v>140</v>
      </c>
      <c r="W74" s="38" t="s">
        <v>139</v>
      </c>
      <c r="X74" s="38" t="s">
        <v>138</v>
      </c>
      <c r="Y74" s="38" t="s">
        <v>140</v>
      </c>
      <c r="Z74" s="38" t="s">
        <v>139</v>
      </c>
      <c r="AA74" s="38" t="s">
        <v>138</v>
      </c>
      <c r="AB74" s="38" t="s">
        <v>140</v>
      </c>
      <c r="AC74" s="38" t="s">
        <v>139</v>
      </c>
      <c r="AD74" s="38" t="s">
        <v>138</v>
      </c>
      <c r="AE74" s="38" t="s">
        <v>140</v>
      </c>
      <c r="AF74" s="39"/>
    </row>
    <row r="75" spans="1:32" x14ac:dyDescent="0.45">
      <c r="A75" s="40" t="s">
        <v>126</v>
      </c>
      <c r="B75" s="41">
        <v>0.79321304904364254</v>
      </c>
      <c r="C75" s="42">
        <v>0.49467974415701133</v>
      </c>
      <c r="D75" s="43">
        <f>(C75*'Population frame'!$B$28)*B75</f>
        <v>351213.28101713484</v>
      </c>
      <c r="E75" s="41">
        <v>0.63843941264368653</v>
      </c>
      <c r="F75" s="42">
        <v>0.60630559404182183</v>
      </c>
      <c r="G75" s="43">
        <f>F75*E75*'Population frame'!$B$30</f>
        <v>1394259.1997163997</v>
      </c>
      <c r="H75" s="41">
        <v>0.58432009369337878</v>
      </c>
      <c r="I75" s="42">
        <v>0.52536831355240921</v>
      </c>
      <c r="J75" s="43">
        <f>I75*H75*'Population frame'!$B$31</f>
        <v>1590090.1057240507</v>
      </c>
      <c r="K75" s="41">
        <v>0.62898008352691293</v>
      </c>
      <c r="L75" s="42">
        <v>0.39636759087334578</v>
      </c>
      <c r="M75" s="43">
        <f>L75*K75*'Population frame'!$B$34</f>
        <v>718944.4727781727</v>
      </c>
      <c r="N75" s="39" t="s">
        <v>142</v>
      </c>
      <c r="O75" s="42">
        <v>8.028626186803621E-2</v>
      </c>
      <c r="P75" s="39" t="s">
        <v>142</v>
      </c>
      <c r="Q75" s="39" t="s">
        <v>142</v>
      </c>
      <c r="R75" s="42">
        <v>0</v>
      </c>
      <c r="S75" s="39" t="s">
        <v>142</v>
      </c>
      <c r="T75" s="39" t="s">
        <v>142</v>
      </c>
      <c r="U75" s="48">
        <v>0.90895874879753691</v>
      </c>
      <c r="V75" s="39" t="s">
        <v>142</v>
      </c>
      <c r="W75" s="39" t="s">
        <v>142</v>
      </c>
      <c r="X75" s="48">
        <v>3.570083406406456E-2</v>
      </c>
      <c r="Y75" s="39" t="s">
        <v>142</v>
      </c>
      <c r="Z75" s="41">
        <v>0.80178959659088378</v>
      </c>
      <c r="AA75" s="48">
        <v>0.49194981508178465</v>
      </c>
      <c r="AB75" s="43">
        <f>(AA75*Z75*'Population frame'!$B$36)</f>
        <v>10791.332853407936</v>
      </c>
      <c r="AC75" s="41">
        <v>1</v>
      </c>
      <c r="AD75" s="48">
        <v>0.19892222384308242</v>
      </c>
      <c r="AE75" s="43">
        <f>AD75*AC75*'Population frame'!$B$37</f>
        <v>6208.662978700605</v>
      </c>
      <c r="AF75" s="44">
        <f>SUM(AE75,AB75,M75,J75,G75,D75)</f>
        <v>4071507.0550678661</v>
      </c>
    </row>
    <row r="76" spans="1:32" x14ac:dyDescent="0.45">
      <c r="A76" s="40" t="s">
        <v>127</v>
      </c>
      <c r="B76" s="41">
        <v>0</v>
      </c>
      <c r="C76" s="42">
        <v>0.27770286648556936</v>
      </c>
      <c r="D76" s="43">
        <f>(C76*'Population frame'!$B$28)*B76</f>
        <v>0</v>
      </c>
      <c r="E76" s="41">
        <v>0</v>
      </c>
      <c r="F76" s="42">
        <v>0.31028870409595577</v>
      </c>
      <c r="G76" s="43">
        <f>F76*E76*'Population frame'!$B$30</f>
        <v>0</v>
      </c>
      <c r="H76" s="41">
        <v>0.51294588308387212</v>
      </c>
      <c r="I76" s="42">
        <v>0.13124933642361927</v>
      </c>
      <c r="J76" s="43">
        <f>I76*H76*'Population frame'!$B$31</f>
        <v>348719.07434796914</v>
      </c>
      <c r="K76" s="41">
        <v>0.20115357837551784</v>
      </c>
      <c r="L76" s="42">
        <v>0.19698262329818372</v>
      </c>
      <c r="M76" s="43">
        <f>L76*K76*'Population frame'!$B$34</f>
        <v>114265.72984217208</v>
      </c>
      <c r="N76" s="39" t="s">
        <v>142</v>
      </c>
      <c r="O76" s="42">
        <v>1.0808383363120051E-2</v>
      </c>
      <c r="P76" s="39" t="s">
        <v>142</v>
      </c>
      <c r="Q76" s="39" t="s">
        <v>142</v>
      </c>
      <c r="R76" s="42">
        <v>0</v>
      </c>
      <c r="S76" s="39" t="s">
        <v>142</v>
      </c>
      <c r="T76" s="39" t="s">
        <v>142</v>
      </c>
      <c r="U76" s="48">
        <v>5.0594215538996921E-2</v>
      </c>
      <c r="V76" s="39" t="s">
        <v>142</v>
      </c>
      <c r="W76" s="39" t="s">
        <v>142</v>
      </c>
      <c r="X76" s="48">
        <v>5.1802948771492137E-3</v>
      </c>
      <c r="Y76" s="39" t="s">
        <v>142</v>
      </c>
      <c r="Z76" s="41">
        <v>0</v>
      </c>
      <c r="AA76" s="48">
        <v>0</v>
      </c>
      <c r="AB76" s="43">
        <f>(AA76*Z76*'Population frame'!$B$36)</f>
        <v>0</v>
      </c>
      <c r="AC76" s="41">
        <v>0</v>
      </c>
      <c r="AD76" s="48">
        <v>6.4992810250116377E-3</v>
      </c>
      <c r="AE76" s="43">
        <f>AD76*AC76*'Population frame'!$B$37</f>
        <v>0</v>
      </c>
      <c r="AF76" s="44">
        <f t="shared" ref="AF76:AF80" si="8">SUM(AE76,AB76,M76,J76,G76,D76)</f>
        <v>462984.80419014121</v>
      </c>
    </row>
    <row r="77" spans="1:32" x14ac:dyDescent="0.45">
      <c r="A77" s="40" t="s">
        <v>128</v>
      </c>
      <c r="B77" s="41">
        <v>2.0116465112707569E-2</v>
      </c>
      <c r="C77" s="42">
        <v>0.36210395698262382</v>
      </c>
      <c r="D77" s="43">
        <f>(C77*'Population frame'!$B$28)*B77</f>
        <v>6519.9143671318961</v>
      </c>
      <c r="E77" s="41">
        <v>0</v>
      </c>
      <c r="F77" s="42">
        <v>0.25875089652523275</v>
      </c>
      <c r="G77" s="43">
        <f>F77*E77*'Population frame'!$B$30</f>
        <v>0</v>
      </c>
      <c r="H77" s="41">
        <v>0</v>
      </c>
      <c r="I77" s="42">
        <v>0.21615887497724801</v>
      </c>
      <c r="J77" s="43">
        <f>I77*H77*'Population frame'!$B$31</f>
        <v>0</v>
      </c>
      <c r="K77" s="41">
        <v>3.7239277633767734E-2</v>
      </c>
      <c r="L77" s="42">
        <v>0.20944279264001076</v>
      </c>
      <c r="M77" s="43">
        <f>L77*K77*'Population frame'!$B$34</f>
        <v>22491.943623725092</v>
      </c>
      <c r="N77" s="62" t="s">
        <v>142</v>
      </c>
      <c r="O77" s="42">
        <v>5.3602843619040665E-3</v>
      </c>
      <c r="P77" s="62" t="s">
        <v>142</v>
      </c>
      <c r="Q77" s="62" t="s">
        <v>142</v>
      </c>
      <c r="R77" s="42">
        <v>0.11179212087520969</v>
      </c>
      <c r="S77" s="62" t="s">
        <v>142</v>
      </c>
      <c r="T77" s="62" t="s">
        <v>142</v>
      </c>
      <c r="U77" s="48">
        <v>0.45818189348685856</v>
      </c>
      <c r="V77" s="62" t="s">
        <v>142</v>
      </c>
      <c r="W77" s="62" t="s">
        <v>142</v>
      </c>
      <c r="X77" s="48">
        <v>2.8159427834814631E-2</v>
      </c>
      <c r="Y77" s="62" t="s">
        <v>142</v>
      </c>
      <c r="Z77" s="41">
        <v>8.29395699778427E-2</v>
      </c>
      <c r="AA77" s="48">
        <v>0.71953950191894378</v>
      </c>
      <c r="AB77" s="43">
        <f>(AA77*Z77*'Population frame'!$B$36)</f>
        <v>1632.7146527811869</v>
      </c>
      <c r="AC77" s="41">
        <v>0</v>
      </c>
      <c r="AD77" s="48">
        <v>0.59464355469996377</v>
      </c>
      <c r="AE77" s="43">
        <f>AD77*AC77*'Population frame'!$B$37</f>
        <v>0</v>
      </c>
      <c r="AF77" s="44">
        <f t="shared" si="8"/>
        <v>30644.572643638174</v>
      </c>
    </row>
    <row r="78" spans="1:32" x14ac:dyDescent="0.45">
      <c r="A78" s="40"/>
      <c r="B78" s="46"/>
      <c r="C78" s="46"/>
      <c r="D78" s="43"/>
      <c r="E78" s="46"/>
      <c r="F78" s="46"/>
      <c r="G78" s="43"/>
      <c r="H78" s="46"/>
      <c r="I78" s="46"/>
      <c r="J78" s="43"/>
      <c r="K78" s="46"/>
      <c r="L78" s="47"/>
      <c r="M78" s="43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63"/>
      <c r="AB78" s="43"/>
      <c r="AC78" s="39"/>
      <c r="AD78" s="63"/>
      <c r="AE78" s="43"/>
      <c r="AF78" s="44"/>
    </row>
    <row r="79" spans="1:32" x14ac:dyDescent="0.45">
      <c r="A79" s="40" t="s">
        <v>130</v>
      </c>
      <c r="B79" s="48">
        <v>0</v>
      </c>
      <c r="C79" s="42">
        <v>0.49467974415701133</v>
      </c>
      <c r="D79" s="43">
        <f>C79*B79*'Population frame'!$B$28</f>
        <v>0</v>
      </c>
      <c r="E79" s="48">
        <v>2.6942825611305541E-2</v>
      </c>
      <c r="F79" s="42">
        <v>0.60630559404182183</v>
      </c>
      <c r="G79" s="43">
        <f>F79*E79*'Population frame'!$B$30</f>
        <v>58839.228485855696</v>
      </c>
      <c r="H79" s="48">
        <v>9.2369874646551914E-3</v>
      </c>
      <c r="I79" s="42">
        <v>0.52536831355240921</v>
      </c>
      <c r="J79" s="43">
        <f>I79*H79*'Population frame'!$B$31</f>
        <v>25136.295213480415</v>
      </c>
      <c r="K79" s="48">
        <v>1.1221308138497282E-2</v>
      </c>
      <c r="L79" s="42">
        <v>0.39636759087334578</v>
      </c>
      <c r="M79" s="43">
        <f>L79*K79*'Population frame'!$B$34</f>
        <v>12826.316245621079</v>
      </c>
      <c r="N79" s="62" t="s">
        <v>142</v>
      </c>
      <c r="O79" s="39"/>
      <c r="P79" s="62" t="s">
        <v>142</v>
      </c>
      <c r="Q79" s="62" t="s">
        <v>142</v>
      </c>
      <c r="R79" s="39"/>
      <c r="S79" s="62" t="s">
        <v>142</v>
      </c>
      <c r="T79" s="62" t="s">
        <v>142</v>
      </c>
      <c r="U79" s="39"/>
      <c r="V79" s="62" t="s">
        <v>142</v>
      </c>
      <c r="W79" s="62" t="s">
        <v>142</v>
      </c>
      <c r="X79" s="39"/>
      <c r="Y79" s="62" t="s">
        <v>142</v>
      </c>
      <c r="Z79" s="48">
        <v>2.2258637232092583E-2</v>
      </c>
      <c r="AA79" s="48">
        <v>0.49194981508178465</v>
      </c>
      <c r="AB79" s="43">
        <f>(AA79*Z79*'Population frame'!$B$36)</f>
        <v>299.58029420196254</v>
      </c>
      <c r="AC79" s="48">
        <v>0</v>
      </c>
      <c r="AD79" s="48">
        <v>0.19892222384308242</v>
      </c>
      <c r="AE79" s="43">
        <f>AD79*AC79*'Population frame'!$B$37</f>
        <v>0</v>
      </c>
      <c r="AF79" s="44">
        <f t="shared" si="8"/>
        <v>97101.420239159153</v>
      </c>
    </row>
    <row r="80" spans="1:32" ht="14.65" thickBot="1" x14ac:dyDescent="0.5">
      <c r="A80" s="49" t="s">
        <v>129</v>
      </c>
      <c r="B80" s="50">
        <v>2.1722004138691135E-2</v>
      </c>
      <c r="C80" s="51">
        <v>0.49467974415701133</v>
      </c>
      <c r="D80" s="52">
        <f>C80*B80*'Population frame'!$B$28</f>
        <v>9617.9158336031669</v>
      </c>
      <c r="E80" s="50">
        <v>0.13637119180971086</v>
      </c>
      <c r="F80" s="51">
        <v>0.60630559404182183</v>
      </c>
      <c r="G80" s="52">
        <f>F80*E80*'Population frame'!$B$30</f>
        <v>297814.9296417177</v>
      </c>
      <c r="H80" s="50">
        <v>0.41460657147122998</v>
      </c>
      <c r="I80" s="51">
        <v>0.52536831355240921</v>
      </c>
      <c r="J80" s="52">
        <f>I80*H80*'Population frame'!$B$31</f>
        <v>1128254.5546183477</v>
      </c>
      <c r="K80" s="50">
        <v>0.30088586887114488</v>
      </c>
      <c r="L80" s="51">
        <v>0.39636759087334578</v>
      </c>
      <c r="M80" s="52">
        <f>L80*K80*'Population frame'!$B$34</f>
        <v>343922.22906166426</v>
      </c>
      <c r="N80" s="53" t="s">
        <v>142</v>
      </c>
      <c r="O80" s="53"/>
      <c r="P80" s="53" t="s">
        <v>142</v>
      </c>
      <c r="Q80" s="53" t="s">
        <v>142</v>
      </c>
      <c r="R80" s="53"/>
      <c r="S80" s="53" t="s">
        <v>142</v>
      </c>
      <c r="T80" s="53" t="s">
        <v>142</v>
      </c>
      <c r="U80" s="53"/>
      <c r="V80" s="53" t="s">
        <v>142</v>
      </c>
      <c r="W80" s="53" t="s">
        <v>142</v>
      </c>
      <c r="X80" s="53"/>
      <c r="Y80" s="53" t="s">
        <v>142</v>
      </c>
      <c r="Z80" s="50">
        <v>0.53463589284609148</v>
      </c>
      <c r="AA80" s="50">
        <v>0.49194981508178465</v>
      </c>
      <c r="AB80" s="52">
        <f>(AA80*Z80*'Population frame'!$B$36)</f>
        <v>7195.6956034501754</v>
      </c>
      <c r="AC80" s="50">
        <v>0.46742897981061271</v>
      </c>
      <c r="AD80" s="50">
        <v>0.19892222384308242</v>
      </c>
      <c r="AE80" s="52">
        <f>AD80*AC80*'Population frame'!$B$37</f>
        <v>2902.1090021219438</v>
      </c>
      <c r="AF80" s="44">
        <f t="shared" si="8"/>
        <v>1789707.4337609047</v>
      </c>
    </row>
    <row r="81" spans="1:32" ht="14.65" thickTop="1" x14ac:dyDescent="0.45">
      <c r="A81" s="40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7"/>
      <c r="M81" s="47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44"/>
    </row>
    <row r="84" spans="1:32" x14ac:dyDescent="0.45">
      <c r="A84"/>
      <c r="B84" s="97" t="s">
        <v>150</v>
      </c>
      <c r="C84" s="97" t="s">
        <v>151</v>
      </c>
      <c r="D84" s="97" t="s">
        <v>140</v>
      </c>
      <c r="E84" s="97" t="s">
        <v>150</v>
      </c>
      <c r="F84" s="97" t="s">
        <v>151</v>
      </c>
      <c r="G84" s="97" t="s">
        <v>140</v>
      </c>
      <c r="H84" s="97" t="s">
        <v>150</v>
      </c>
      <c r="I84" s="97" t="s">
        <v>151</v>
      </c>
      <c r="J84" s="97" t="s">
        <v>140</v>
      </c>
      <c r="K84" s="97" t="s">
        <v>150</v>
      </c>
      <c r="L84" s="97" t="s">
        <v>151</v>
      </c>
      <c r="M84" s="97" t="s">
        <v>140</v>
      </c>
      <c r="N84" s="97" t="s">
        <v>150</v>
      </c>
      <c r="O84" s="97" t="s">
        <v>151</v>
      </c>
      <c r="P84" s="97" t="s">
        <v>140</v>
      </c>
      <c r="Q84" s="97" t="s">
        <v>150</v>
      </c>
      <c r="R84" s="97" t="s">
        <v>151</v>
      </c>
      <c r="S84" s="97" t="s">
        <v>140</v>
      </c>
      <c r="T84" s="97" t="s">
        <v>150</v>
      </c>
      <c r="U84" s="97" t="s">
        <v>151</v>
      </c>
      <c r="V84" s="97" t="s">
        <v>140</v>
      </c>
      <c r="W84" s="97" t="s">
        <v>150</v>
      </c>
      <c r="X84" s="97" t="s">
        <v>151</v>
      </c>
      <c r="Y84" s="97" t="s">
        <v>140</v>
      </c>
      <c r="Z84" s="97" t="s">
        <v>150</v>
      </c>
      <c r="AA84" s="97" t="s">
        <v>151</v>
      </c>
      <c r="AB84" s="97" t="s">
        <v>140</v>
      </c>
      <c r="AC84" s="97" t="s">
        <v>150</v>
      </c>
      <c r="AD84" s="97" t="s">
        <v>151</v>
      </c>
      <c r="AE84" s="97" t="s">
        <v>140</v>
      </c>
    </row>
    <row r="85" spans="1:32" x14ac:dyDescent="0.45">
      <c r="A85" s="40" t="s">
        <v>152</v>
      </c>
      <c r="B85" s="48">
        <v>0.79321304904364254</v>
      </c>
      <c r="C85" s="42">
        <v>0.49467974415701133</v>
      </c>
      <c r="D85" s="43">
        <f>(C85*'Population frame'!$B$28)*B85</f>
        <v>351213.28101713484</v>
      </c>
      <c r="E85" s="48">
        <v>0.63843941264368653</v>
      </c>
      <c r="F85" s="42">
        <v>0.60630559404182183</v>
      </c>
      <c r="G85" s="43">
        <f>F85*E85*'Population frame'!$B$30</f>
        <v>1394259.1997163997</v>
      </c>
      <c r="H85" s="48">
        <v>0.58432009369337878</v>
      </c>
      <c r="I85" s="42">
        <v>0.52536831355240921</v>
      </c>
      <c r="J85" s="43">
        <f>I85*H85*'Population frame'!$B$31</f>
        <v>1590090.1057240507</v>
      </c>
      <c r="K85" s="48">
        <v>0.62898008352691293</v>
      </c>
      <c r="L85" s="42">
        <v>0.39636759087334578</v>
      </c>
      <c r="M85" s="43">
        <f>L85*K85*'Population frame'!$B$34</f>
        <v>718944.4727781727</v>
      </c>
      <c r="N85" s="93" t="s">
        <v>142</v>
      </c>
      <c r="O85" s="92"/>
      <c r="P85" s="94" t="s">
        <v>142</v>
      </c>
      <c r="Q85" s="90" t="s">
        <v>142</v>
      </c>
      <c r="R85" s="92"/>
      <c r="S85" s="94" t="s">
        <v>142</v>
      </c>
      <c r="T85" s="90" t="s">
        <v>142</v>
      </c>
      <c r="U85" s="91"/>
      <c r="V85" s="94" t="s">
        <v>142</v>
      </c>
      <c r="W85" s="90" t="s">
        <v>142</v>
      </c>
      <c r="X85" s="91"/>
      <c r="Y85" s="94" t="s">
        <v>142</v>
      </c>
      <c r="Z85" s="41">
        <v>0.80178959659088378</v>
      </c>
      <c r="AA85" s="87">
        <v>0.49194981508178465</v>
      </c>
      <c r="AB85" s="43">
        <f>(AA85*Z85*'Population frame'!$B$36)</f>
        <v>10791.332853407936</v>
      </c>
      <c r="AC85" s="48">
        <v>1</v>
      </c>
      <c r="AD85" s="48">
        <v>0.19892222384308242</v>
      </c>
      <c r="AE85" s="43">
        <f>AD85*AC85*'Population frame'!$B$37</f>
        <v>6208.662978700605</v>
      </c>
      <c r="AF85" s="44">
        <f>SUM(AE85,AB85,M85,J85,G85,D85)</f>
        <v>4071507.0550678661</v>
      </c>
    </row>
    <row r="86" spans="1:32" x14ac:dyDescent="0.45">
      <c r="A86" s="40"/>
      <c r="B86" s="98">
        <v>0.96336342029013899</v>
      </c>
      <c r="C86" s="42">
        <v>0.49467974415701133</v>
      </c>
      <c r="D86" s="43">
        <f>(C86*'Population frame'!$B$28)*B86</f>
        <v>426551.26269030018</v>
      </c>
      <c r="E86" s="98">
        <v>0.96596115787704995</v>
      </c>
      <c r="F86" s="42">
        <v>0.60630559404182183</v>
      </c>
      <c r="G86" s="43">
        <f>F86*E86*'Population frame'!$B$30</f>
        <v>2109519.2500128942</v>
      </c>
      <c r="H86" s="98">
        <v>0.8923156325976479</v>
      </c>
      <c r="I86" s="42">
        <v>0.52536831355240921</v>
      </c>
      <c r="J86" s="43">
        <f>I86*H86*'Population frame'!$B$31</f>
        <v>2428227.7366298535</v>
      </c>
      <c r="K86" s="98">
        <v>0.87999991026295876</v>
      </c>
      <c r="L86" s="42">
        <v>0.39636759087334578</v>
      </c>
      <c r="M86" s="43">
        <f>L86*K86*'Population frame'!$B$34</f>
        <v>1005868.2112496035</v>
      </c>
      <c r="N86" s="93"/>
      <c r="O86" s="92"/>
      <c r="P86" s="94"/>
      <c r="Q86" s="90"/>
      <c r="R86" s="92"/>
      <c r="S86" s="94"/>
      <c r="T86" s="90"/>
      <c r="U86" s="91"/>
      <c r="V86" s="94"/>
      <c r="W86" s="90"/>
      <c r="X86" s="91"/>
      <c r="Y86" s="94"/>
      <c r="Z86" s="98">
        <v>0.98668516982480969</v>
      </c>
      <c r="AA86" s="87">
        <v>0.49194981508178465</v>
      </c>
      <c r="AB86" s="43">
        <f>(AA86*Z86*'Population frame'!$B$36)</f>
        <v>13279.853136500424</v>
      </c>
      <c r="AC86" s="98">
        <v>1</v>
      </c>
      <c r="AD86" s="48">
        <v>0.19892222384308242</v>
      </c>
      <c r="AE86" s="43">
        <f>AD86*AC86*'Population frame'!$B$37</f>
        <v>6208.662978700605</v>
      </c>
      <c r="AF86" s="44"/>
    </row>
    <row r="87" spans="1:32" s="85" customFormat="1" x14ac:dyDescent="0.45">
      <c r="A87" s="40" t="s">
        <v>146</v>
      </c>
      <c r="B87" s="89">
        <v>0.76781093435506897</v>
      </c>
      <c r="C87" s="85">
        <f>1-C85</f>
        <v>0.50532025584298867</v>
      </c>
      <c r="D87" s="43">
        <f>(C87*'Population frame'!$B$28)*B87</f>
        <v>347278.5444498795</v>
      </c>
      <c r="E87" s="89">
        <v>0.87601687878187973</v>
      </c>
      <c r="F87" s="85">
        <f>1-F85</f>
        <v>0.39369440595817817</v>
      </c>
      <c r="G87" s="43">
        <f>F87*E87*'Population frame'!$B$30</f>
        <v>1242235.6029345863</v>
      </c>
      <c r="H87" s="89">
        <v>0.74733406366922328</v>
      </c>
      <c r="I87" s="85">
        <f>1-I85</f>
        <v>0.47463168644759079</v>
      </c>
      <c r="J87" s="43">
        <f>I87*H87*'Population frame'!$B$31</f>
        <v>1837293.5257677918</v>
      </c>
      <c r="K87" s="89">
        <v>0.74039153871017982</v>
      </c>
      <c r="L87" s="85">
        <f>1-L85</f>
        <v>0.60363240912665428</v>
      </c>
      <c r="M87" s="43">
        <f>L87*K87*'Population frame'!$B$34</f>
        <v>1288826.076109505</v>
      </c>
      <c r="N87" s="91"/>
      <c r="O87" s="95"/>
      <c r="P87" s="96"/>
      <c r="Q87" s="91"/>
      <c r="R87" s="95"/>
      <c r="S87" s="96"/>
      <c r="T87" s="91"/>
      <c r="U87" s="95"/>
      <c r="V87" s="96"/>
      <c r="W87" s="91"/>
      <c r="X87" s="95"/>
      <c r="Y87" s="96"/>
      <c r="Z87" s="89">
        <v>0.85133496301445377</v>
      </c>
      <c r="AA87" s="88">
        <f>1-AA85</f>
        <v>0.5080501849182153</v>
      </c>
      <c r="AB87" s="43">
        <f>AA87*(Z87*'Population frame'!$B$36)</f>
        <v>11833.165894944268</v>
      </c>
      <c r="AC87" s="89">
        <v>0.64964075310991165</v>
      </c>
      <c r="AD87" s="86">
        <f>1-AD85</f>
        <v>0.80107777615691755</v>
      </c>
      <c r="AE87" s="43">
        <f>AD87*AC87*'Population frame'!$B$37</f>
        <v>16242.868368808849</v>
      </c>
    </row>
    <row r="88" spans="1:32" x14ac:dyDescent="0.45">
      <c r="A88" s="40" t="s">
        <v>147</v>
      </c>
      <c r="B88"/>
      <c r="C88"/>
      <c r="D88"/>
      <c r="E88"/>
      <c r="F88"/>
      <c r="G88"/>
      <c r="H88"/>
      <c r="I88"/>
      <c r="J88"/>
      <c r="K88"/>
      <c r="L88"/>
      <c r="M88"/>
      <c r="N88" s="68">
        <v>0.16107812361765872</v>
      </c>
      <c r="O88" s="69" t="s">
        <v>142</v>
      </c>
      <c r="P88" s="70">
        <f>(N88*'Population frame'!$B$29)</f>
        <v>19272.433717420205</v>
      </c>
      <c r="Q88" s="71">
        <v>0.13346259353717338</v>
      </c>
      <c r="R88" s="72" t="s">
        <v>142</v>
      </c>
      <c r="S88" s="73">
        <f>(Q88*'Population frame'!$B$32)</f>
        <v>84969.293831925272</v>
      </c>
      <c r="T88" s="74">
        <v>0.86109107253761286</v>
      </c>
      <c r="U88" s="75" t="s">
        <v>142</v>
      </c>
      <c r="V88" s="73">
        <f>(T88*'Population frame'!$B$33)</f>
        <v>114771.38469424826</v>
      </c>
      <c r="W88" s="74">
        <v>0.44835908313280953</v>
      </c>
      <c r="X88" s="75" t="s">
        <v>142</v>
      </c>
      <c r="Y88" s="73">
        <f>(W88*'Population frame'!$B$35)</f>
        <v>19813.34657090536</v>
      </c>
    </row>
    <row r="90" spans="1:32" x14ac:dyDescent="0.45">
      <c r="A90" s="6" t="s">
        <v>153</v>
      </c>
      <c r="B90" s="36">
        <f>SUM(D86:D87,G86:G87,J86:J87,M86:M87,P87:P88,S87:S88,V87:V88,Y87:Y88,AB86:AB87,AE86:AE87)</f>
        <v>10972191.219037866</v>
      </c>
    </row>
    <row r="92" spans="1:32" x14ac:dyDescent="0.45">
      <c r="A92" s="6" t="s">
        <v>154</v>
      </c>
      <c r="B92" s="36">
        <f>+SUM(D85,G85,J85,M85,AB85,AE85)</f>
        <v>4071507.0550678666</v>
      </c>
    </row>
  </sheetData>
  <mergeCells count="10">
    <mergeCell ref="B1:D1"/>
    <mergeCell ref="E1:G1"/>
    <mergeCell ref="H1:J1"/>
    <mergeCell ref="K1:M1"/>
    <mergeCell ref="N1:P1"/>
    <mergeCell ref="T1:V1"/>
    <mergeCell ref="Q1:S1"/>
    <mergeCell ref="W1:Y1"/>
    <mergeCell ref="Z1:AB1"/>
    <mergeCell ref="AC1:AE1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BE8A5-46F0-4347-B32B-770D980E191A}">
  <dimension ref="A2:AF13"/>
  <sheetViews>
    <sheetView workbookViewId="0">
      <selection activeCell="A9" sqref="A9:XFD13"/>
    </sheetView>
  </sheetViews>
  <sheetFormatPr defaultRowHeight="14.25" x14ac:dyDescent="0.45"/>
  <cols>
    <col min="1" max="1" width="32.59765625" bestFit="1" customWidth="1"/>
  </cols>
  <sheetData>
    <row r="2" spans="1:32" x14ac:dyDescent="0.45">
      <c r="A2" s="40" t="s">
        <v>131</v>
      </c>
      <c r="B2" s="48">
        <v>0.45346460685403217</v>
      </c>
      <c r="C2" s="48">
        <v>0.75272452370993925</v>
      </c>
      <c r="D2" s="43">
        <f>C2*B2*'Population frame'!$B$28</f>
        <v>305517.72678281897</v>
      </c>
      <c r="E2" s="48">
        <v>0.36976138707589318</v>
      </c>
      <c r="F2" s="48">
        <v>0.81845495233371168</v>
      </c>
      <c r="G2" s="43">
        <f>F2*E2*'Population frame'!$B$30</f>
        <v>1090055.4543007871</v>
      </c>
      <c r="H2" s="48">
        <v>0.49773343536018305</v>
      </c>
      <c r="I2" s="48">
        <v>0.66809027856242331</v>
      </c>
      <c r="J2" s="43">
        <f>I2*H2*'Population frame'!$B$31</f>
        <v>1722419.7880387851</v>
      </c>
      <c r="K2" s="48">
        <v>0.50632259931375856</v>
      </c>
      <c r="L2" s="48">
        <v>0.60136037879439597</v>
      </c>
      <c r="M2" s="43">
        <f>L2*K2*'Population frame'!$B$34</f>
        <v>878056.45782783197</v>
      </c>
      <c r="N2" s="48">
        <v>0</v>
      </c>
      <c r="O2" s="48">
        <v>9.6454929593060332E-2</v>
      </c>
      <c r="P2" s="45" t="s">
        <v>142</v>
      </c>
      <c r="Q2" s="48">
        <v>0</v>
      </c>
      <c r="R2" s="48">
        <v>0.11179212087520969</v>
      </c>
      <c r="S2" s="45" t="s">
        <v>142</v>
      </c>
      <c r="T2" s="48">
        <v>0</v>
      </c>
      <c r="U2" s="48">
        <v>0.94809134790677463</v>
      </c>
      <c r="V2" s="45" t="s">
        <v>142</v>
      </c>
      <c r="W2" s="48">
        <v>0</v>
      </c>
      <c r="X2" s="48">
        <v>0.58806111601150479</v>
      </c>
      <c r="Y2" s="45" t="s">
        <v>142</v>
      </c>
      <c r="Z2" s="48">
        <v>0.47901491266519913</v>
      </c>
      <c r="AA2" s="48">
        <v>0.87195674218230645</v>
      </c>
      <c r="AB2" s="43">
        <f>(AA2*Z2*'Population frame'!$B$36)</f>
        <v>11427.147782393562</v>
      </c>
      <c r="AC2" s="48">
        <v>0.14814853524670327</v>
      </c>
      <c r="AD2" s="48">
        <v>0.6099801612557012</v>
      </c>
      <c r="AE2" s="43">
        <f>AD2*AC2*'Population frame'!$B$37</f>
        <v>2820.5113553428951</v>
      </c>
      <c r="AF2" s="44">
        <f t="shared" ref="AF2:AF5" si="0">SUM(AE2,AB2,M2,J2,G2,D2)</f>
        <v>4010297.0860879594</v>
      </c>
    </row>
    <row r="3" spans="1:32" x14ac:dyDescent="0.45">
      <c r="A3" s="37" t="s">
        <v>132</v>
      </c>
      <c r="B3" s="61">
        <v>0.96336342029013899</v>
      </c>
      <c r="C3" s="61">
        <v>0.75272452370993925</v>
      </c>
      <c r="D3" s="54">
        <f>C3*B3*'Population frame'!$B$28</f>
        <v>649057.49596352992</v>
      </c>
      <c r="E3" s="61">
        <v>0.96596115787704995</v>
      </c>
      <c r="F3" s="61">
        <v>0.81845495233371168</v>
      </c>
      <c r="G3" s="54">
        <f>F3*E3*'Population frame'!$B$30</f>
        <v>2847650.5811312976</v>
      </c>
      <c r="H3" s="61">
        <v>0.90624424637393464</v>
      </c>
      <c r="I3" s="61">
        <v>0.66809027856242331</v>
      </c>
      <c r="J3" s="54">
        <f>I3*H3*'Population frame'!$B$31</f>
        <v>3136082.3120536343</v>
      </c>
      <c r="K3" s="61">
        <v>0.91337689146726542</v>
      </c>
      <c r="L3" s="61">
        <v>0.60136037879439597</v>
      </c>
      <c r="M3" s="54">
        <f>L3*K3*'Population frame'!$B$34</f>
        <v>1583963.423853734</v>
      </c>
      <c r="N3" s="61">
        <v>0</v>
      </c>
      <c r="O3" s="61">
        <v>9.6454929593060332E-2</v>
      </c>
      <c r="P3" s="55" t="s">
        <v>142</v>
      </c>
      <c r="Q3" s="61">
        <v>0</v>
      </c>
      <c r="R3" s="61">
        <v>0.11179212087520969</v>
      </c>
      <c r="S3" s="55" t="s">
        <v>142</v>
      </c>
      <c r="T3" s="61">
        <v>0</v>
      </c>
      <c r="U3" s="61">
        <v>0.94809134790677463</v>
      </c>
      <c r="V3" s="55" t="s">
        <v>142</v>
      </c>
      <c r="W3" s="61">
        <v>0</v>
      </c>
      <c r="X3" s="61">
        <v>0.58806111601150479</v>
      </c>
      <c r="Y3" s="55" t="s">
        <v>142</v>
      </c>
      <c r="Z3" s="61">
        <v>0.98668516982480969</v>
      </c>
      <c r="AA3" s="61">
        <v>0.87195674218230645</v>
      </c>
      <c r="AB3" s="54">
        <f>(AA3*Z3*'Population frame'!$B$36)</f>
        <v>23537.88358602667</v>
      </c>
      <c r="AC3" s="61">
        <v>1</v>
      </c>
      <c r="AD3" s="61">
        <v>0.6099801612557012</v>
      </c>
      <c r="AE3" s="54">
        <f>AD3*AC3*'Population frame'!$B$37</f>
        <v>19038.401902833928</v>
      </c>
      <c r="AF3" s="44">
        <f t="shared" si="0"/>
        <v>8259330.0984910568</v>
      </c>
    </row>
    <row r="4" spans="1:32" x14ac:dyDescent="0.45">
      <c r="A4" s="40"/>
      <c r="B4" s="58" t="s">
        <v>139</v>
      </c>
      <c r="C4" s="58" t="s">
        <v>141</v>
      </c>
      <c r="D4" s="58" t="s">
        <v>140</v>
      </c>
      <c r="E4" s="58" t="s">
        <v>139</v>
      </c>
      <c r="F4" s="58" t="s">
        <v>141</v>
      </c>
      <c r="G4" s="58" t="s">
        <v>140</v>
      </c>
      <c r="H4" s="58" t="s">
        <v>139</v>
      </c>
      <c r="I4" s="58" t="s">
        <v>141</v>
      </c>
      <c r="J4" s="58" t="s">
        <v>140</v>
      </c>
      <c r="K4" s="58" t="s">
        <v>139</v>
      </c>
      <c r="L4" s="58" t="s">
        <v>141</v>
      </c>
      <c r="M4" s="58" t="s">
        <v>140</v>
      </c>
      <c r="N4" s="58" t="s">
        <v>139</v>
      </c>
      <c r="O4" s="58" t="s">
        <v>141</v>
      </c>
      <c r="P4" s="58" t="s">
        <v>140</v>
      </c>
      <c r="Q4" s="58" t="s">
        <v>139</v>
      </c>
      <c r="R4" s="58" t="s">
        <v>141</v>
      </c>
      <c r="S4" s="58" t="s">
        <v>140</v>
      </c>
      <c r="T4" s="58" t="s">
        <v>139</v>
      </c>
      <c r="U4" s="58" t="s">
        <v>141</v>
      </c>
      <c r="V4" s="58" t="s">
        <v>140</v>
      </c>
      <c r="W4" s="58" t="s">
        <v>139</v>
      </c>
      <c r="X4" s="58" t="s">
        <v>141</v>
      </c>
      <c r="Y4" s="58" t="s">
        <v>140</v>
      </c>
      <c r="Z4" s="58" t="s">
        <v>139</v>
      </c>
      <c r="AA4" s="58" t="s">
        <v>141</v>
      </c>
      <c r="AB4" s="58" t="s">
        <v>140</v>
      </c>
      <c r="AC4" s="58" t="s">
        <v>139</v>
      </c>
      <c r="AD4" s="58" t="s">
        <v>141</v>
      </c>
      <c r="AE4" s="58" t="s">
        <v>140</v>
      </c>
      <c r="AF4" s="44"/>
    </row>
    <row r="5" spans="1:32" x14ac:dyDescent="0.45">
      <c r="A5" s="40" t="s">
        <v>144</v>
      </c>
      <c r="B5" s="59">
        <v>0.94733800567921911</v>
      </c>
      <c r="C5" s="60">
        <f>1-C2</f>
        <v>0.24727547629006075</v>
      </c>
      <c r="D5" s="43">
        <f>C5*B5*'Population frame'!$B$28</f>
        <v>209673.21793960832</v>
      </c>
      <c r="E5" s="59">
        <v>0.96596115787704995</v>
      </c>
      <c r="F5" s="60">
        <f>1-F2</f>
        <v>0.18154504766628832</v>
      </c>
      <c r="G5" s="43">
        <f>F5*E5*'Population frame'!$B$30</f>
        <v>631649.74323183787</v>
      </c>
      <c r="H5" s="59">
        <v>0.86550259876665891</v>
      </c>
      <c r="I5" s="60">
        <f>1-I2</f>
        <v>0.33190972143757669</v>
      </c>
      <c r="J5" s="43">
        <f>I5*H5*'Population frame'!$B$31</f>
        <v>1487974.1532386569</v>
      </c>
      <c r="K5" s="59">
        <v>0.81217826493451561</v>
      </c>
      <c r="L5" s="60">
        <f>1-L2</f>
        <v>0.39863962120560403</v>
      </c>
      <c r="M5" s="43">
        <f>L5*K5*'Population frame'!$B$34</f>
        <v>933667.28727898409</v>
      </c>
      <c r="N5" s="59">
        <v>0</v>
      </c>
      <c r="O5" s="60">
        <f>1-O2</f>
        <v>0.90354507040693965</v>
      </c>
      <c r="P5" s="43">
        <f>O5*(N5*'Population frame'!$B$29)</f>
        <v>0</v>
      </c>
      <c r="Q5" s="59">
        <v>0</v>
      </c>
      <c r="R5" s="60">
        <f>1-R2</f>
        <v>0.88820787912479027</v>
      </c>
      <c r="S5" s="43">
        <f>R5*(Q5*'Population frame'!$B$32)</f>
        <v>0</v>
      </c>
      <c r="T5" s="56">
        <v>0</v>
      </c>
      <c r="U5" s="57">
        <f>1-U2</f>
        <v>5.1908652093225371E-2</v>
      </c>
      <c r="V5" s="43">
        <f>U5*(T5*'Population frame'!$B$33)</f>
        <v>0</v>
      </c>
      <c r="W5" s="56">
        <v>0</v>
      </c>
      <c r="X5" s="57">
        <f>1-X2</f>
        <v>0.41193888398849521</v>
      </c>
      <c r="Y5" s="43">
        <f>X5*(W5*'Population frame'!$B$35)</f>
        <v>0</v>
      </c>
      <c r="Z5" s="59">
        <v>0.96050806743165329</v>
      </c>
      <c r="AA5" s="60">
        <f>1-AA2</f>
        <v>0.12804325781769355</v>
      </c>
      <c r="AB5" s="43">
        <f>AA5*(Z5*'Population frame'!$B$36)</f>
        <v>3364.7407054275209</v>
      </c>
      <c r="AC5" s="59">
        <v>1</v>
      </c>
      <c r="AD5" s="60">
        <f>1-AD2</f>
        <v>0.3900198387442988</v>
      </c>
      <c r="AE5" s="43">
        <f>AD5*AC5*'Population frame'!$B$37</f>
        <v>12173.108097166069</v>
      </c>
      <c r="AF5" s="44">
        <f t="shared" si="0"/>
        <v>3278502.250491681</v>
      </c>
    </row>
    <row r="6" spans="1:32" x14ac:dyDescent="0.45">
      <c r="A6" s="40" t="s">
        <v>143</v>
      </c>
      <c r="B6" s="59">
        <v>0.62101003819979961</v>
      </c>
      <c r="C6" s="46" t="s">
        <v>142</v>
      </c>
      <c r="D6" s="43"/>
      <c r="E6" s="59">
        <v>0.78936724768840871</v>
      </c>
      <c r="F6" s="60" t="s">
        <v>142</v>
      </c>
      <c r="G6" s="43"/>
      <c r="H6" s="59">
        <v>0.68536468761980684</v>
      </c>
      <c r="I6" s="60" t="s">
        <v>142</v>
      </c>
      <c r="J6" s="43"/>
      <c r="K6" s="59">
        <v>0.69506215030801632</v>
      </c>
      <c r="L6" s="60" t="s">
        <v>142</v>
      </c>
      <c r="M6" s="43"/>
      <c r="N6" s="68">
        <v>0.16107812361765872</v>
      </c>
      <c r="O6" s="69" t="s">
        <v>142</v>
      </c>
      <c r="P6" s="70">
        <f>(N6*'Population frame'!$B$29)</f>
        <v>19272.433717420205</v>
      </c>
      <c r="Q6" s="71">
        <v>0.13346259353717338</v>
      </c>
      <c r="R6" s="72" t="s">
        <v>142</v>
      </c>
      <c r="S6" s="73">
        <f>(Q6*'Population frame'!$B$32)</f>
        <v>84969.293831925272</v>
      </c>
      <c r="T6" s="74">
        <v>0.86109107253761286</v>
      </c>
      <c r="U6" s="75" t="s">
        <v>142</v>
      </c>
      <c r="V6" s="73">
        <f>(T6*'Population frame'!$B$33)</f>
        <v>114771.38469424826</v>
      </c>
      <c r="W6" s="74">
        <v>0.44835908313280953</v>
      </c>
      <c r="X6" s="75" t="s">
        <v>142</v>
      </c>
      <c r="Y6" s="73">
        <f>(W6*'Population frame'!$B$35)</f>
        <v>19813.34657090536</v>
      </c>
      <c r="Z6" s="59">
        <v>0.77294300434291741</v>
      </c>
      <c r="AA6" s="60" t="s">
        <v>142</v>
      </c>
      <c r="AB6" s="43"/>
      <c r="AC6" s="59">
        <v>0.5719231229031605</v>
      </c>
      <c r="AD6" s="60" t="s">
        <v>142</v>
      </c>
      <c r="AE6" s="43"/>
      <c r="AF6" s="44"/>
    </row>
    <row r="7" spans="1:32" x14ac:dyDescent="0.45">
      <c r="A7" s="40" t="s">
        <v>145</v>
      </c>
      <c r="B7" s="64"/>
      <c r="C7" s="64"/>
      <c r="D7" s="65">
        <f>SUM(D3,D5,D6)</f>
        <v>858730.71390313818</v>
      </c>
      <c r="E7" s="64"/>
      <c r="F7" s="64"/>
      <c r="G7" s="65">
        <f>SUM(G3,G5,G6)</f>
        <v>3479300.3243631357</v>
      </c>
      <c r="H7" s="64"/>
      <c r="I7" s="64"/>
      <c r="J7" s="65">
        <f>SUM(J3,J5,J6)</f>
        <v>4624056.4652922917</v>
      </c>
      <c r="K7" s="64"/>
      <c r="L7" s="66"/>
      <c r="M7" s="65">
        <f>SUM(M3,M5,M6)</f>
        <v>2517630.7111327183</v>
      </c>
      <c r="N7" s="67"/>
      <c r="O7" s="67"/>
      <c r="P7" s="65">
        <f>SUM(P3,P5,P6)</f>
        <v>19272.433717420205</v>
      </c>
      <c r="Q7" s="67"/>
      <c r="R7" s="67"/>
      <c r="S7" s="65">
        <f>SUM(S3,S5,S6)</f>
        <v>84969.293831925272</v>
      </c>
      <c r="T7" s="67"/>
      <c r="U7" s="67"/>
      <c r="V7" s="65">
        <f>SUM(V3,V5,V6)</f>
        <v>114771.38469424826</v>
      </c>
      <c r="W7" s="67"/>
      <c r="X7" s="67"/>
      <c r="Y7" s="65">
        <f>SUM(Y3,Y5,Y6)</f>
        <v>19813.34657090536</v>
      </c>
      <c r="Z7" s="67"/>
      <c r="AA7" s="67"/>
      <c r="AB7" s="65">
        <f>SUM(AB3,AB5,AB6)</f>
        <v>26902.624291454191</v>
      </c>
      <c r="AC7" s="67"/>
      <c r="AD7" s="67"/>
      <c r="AE7" s="65">
        <f>SUM(AE3,AE5,AE6)</f>
        <v>31211.509999999995</v>
      </c>
      <c r="AF7" s="39"/>
    </row>
    <row r="9" spans="1:32" x14ac:dyDescent="0.45">
      <c r="B9" t="s">
        <v>150</v>
      </c>
      <c r="C9" t="s">
        <v>151</v>
      </c>
      <c r="D9" t="s">
        <v>140</v>
      </c>
    </row>
    <row r="10" spans="1:32" x14ac:dyDescent="0.45">
      <c r="A10" s="40" t="s">
        <v>149</v>
      </c>
      <c r="B10" s="41">
        <v>0.79321304904364254</v>
      </c>
      <c r="C10" s="42">
        <v>0.49467974415701133</v>
      </c>
      <c r="D10" s="43">
        <f>(C10*'Population frame'!$B$28)*B10</f>
        <v>351213.28101713484</v>
      </c>
      <c r="E10" s="41">
        <v>0.63843941264368653</v>
      </c>
      <c r="F10" s="42">
        <v>0.60630559404182183</v>
      </c>
      <c r="G10" s="43">
        <f>F10*E10*'Population frame'!$B$30</f>
        <v>1394259.1997163997</v>
      </c>
      <c r="H10" s="41">
        <v>0.58432009369337878</v>
      </c>
      <c r="I10" s="42">
        <v>0.52536831355240921</v>
      </c>
      <c r="J10" s="43">
        <f>I10*H10*'Population frame'!$B$31</f>
        <v>1590090.1057240507</v>
      </c>
      <c r="K10" s="41">
        <v>0.62898008352691293</v>
      </c>
      <c r="L10" s="42">
        <v>0.39636759087334578</v>
      </c>
      <c r="M10" s="43">
        <f>L10*K10*'Population frame'!$B$34</f>
        <v>718944.4727781727</v>
      </c>
      <c r="N10" s="39" t="s">
        <v>142</v>
      </c>
      <c r="O10" s="42">
        <v>8.028626186803621E-2</v>
      </c>
      <c r="P10" s="39" t="s">
        <v>142</v>
      </c>
      <c r="Q10" s="39" t="s">
        <v>142</v>
      </c>
      <c r="R10" s="42">
        <v>0</v>
      </c>
      <c r="S10" s="39" t="s">
        <v>142</v>
      </c>
      <c r="T10" s="39" t="s">
        <v>142</v>
      </c>
      <c r="U10" s="48">
        <v>0.90895874879753691</v>
      </c>
      <c r="V10" s="39" t="s">
        <v>142</v>
      </c>
      <c r="W10" s="39" t="s">
        <v>142</v>
      </c>
      <c r="X10" s="48">
        <v>3.570083406406456E-2</v>
      </c>
      <c r="Y10" s="39" t="s">
        <v>142</v>
      </c>
      <c r="Z10" s="41">
        <v>0.80178959659088378</v>
      </c>
      <c r="AA10" s="48">
        <v>0.49194981508178465</v>
      </c>
      <c r="AB10" s="43">
        <f>(AA10*Z10*'Population frame'!$B$36)</f>
        <v>10791.332853407936</v>
      </c>
      <c r="AC10" s="41">
        <v>1</v>
      </c>
      <c r="AD10" s="48">
        <v>0.19892222384308242</v>
      </c>
      <c r="AE10" s="43">
        <f>AD10*AC10*'Population frame'!$B$37</f>
        <v>6208.662978700605</v>
      </c>
      <c r="AF10" s="44">
        <f>SUM(AE10,AB10,M10,J10,G10,D10)</f>
        <v>4071507.0550678661</v>
      </c>
    </row>
    <row r="11" spans="1:32" x14ac:dyDescent="0.45">
      <c r="A11" s="40" t="s">
        <v>148</v>
      </c>
    </row>
    <row r="12" spans="1:32" x14ac:dyDescent="0.45">
      <c r="A12" s="40" t="s">
        <v>146</v>
      </c>
    </row>
    <row r="13" spans="1:32" x14ac:dyDescent="0.45">
      <c r="A13" s="40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B228E-2890-47D5-B0CE-4357056EEE44}">
  <dimension ref="A1:K52"/>
  <sheetViews>
    <sheetView topLeftCell="A37" workbookViewId="0">
      <selection activeCell="A45" sqref="A45:K47"/>
    </sheetView>
  </sheetViews>
  <sheetFormatPr defaultRowHeight="14.25" x14ac:dyDescent="0.45"/>
  <cols>
    <col min="1" max="1" width="25.46484375" customWidth="1"/>
    <col min="2" max="2" width="7.73046875" bestFit="1" customWidth="1"/>
    <col min="3" max="3" width="12.33203125" customWidth="1"/>
    <col min="4" max="4" width="7.73046875" bestFit="1" customWidth="1"/>
    <col min="5" max="5" width="12.33203125" bestFit="1" customWidth="1"/>
    <col min="6" max="6" width="7.73046875" bestFit="1" customWidth="1"/>
    <col min="7" max="7" width="12.33203125" bestFit="1" customWidth="1"/>
    <col min="8" max="8" width="7.73046875" bestFit="1" customWidth="1"/>
    <col min="9" max="9" width="12.33203125" bestFit="1" customWidth="1"/>
    <col min="10" max="10" width="7.73046875" bestFit="1" customWidth="1"/>
    <col min="11" max="11" width="12.33203125" bestFit="1" customWidth="1"/>
  </cols>
  <sheetData>
    <row r="1" spans="1:11" x14ac:dyDescent="0.45">
      <c r="B1" s="82" t="s">
        <v>26</v>
      </c>
      <c r="C1" s="83"/>
      <c r="D1" s="84" t="s">
        <v>66</v>
      </c>
      <c r="E1" s="83"/>
      <c r="F1" s="84" t="s">
        <v>67</v>
      </c>
      <c r="G1" s="83"/>
      <c r="H1" s="84" t="s">
        <v>11</v>
      </c>
      <c r="I1" s="83"/>
      <c r="J1" s="84" t="s">
        <v>112</v>
      </c>
      <c r="K1" s="83"/>
    </row>
    <row r="2" spans="1:11" x14ac:dyDescent="0.45">
      <c r="B2" s="11" t="s">
        <v>96</v>
      </c>
      <c r="C2" s="12" t="s">
        <v>95</v>
      </c>
      <c r="D2" s="15" t="s">
        <v>96</v>
      </c>
      <c r="E2" s="12" t="s">
        <v>95</v>
      </c>
      <c r="F2" s="15" t="s">
        <v>96</v>
      </c>
      <c r="G2" s="12" t="s">
        <v>95</v>
      </c>
      <c r="H2" s="15" t="s">
        <v>96</v>
      </c>
      <c r="I2" s="12" t="s">
        <v>95</v>
      </c>
      <c r="J2" s="15" t="s">
        <v>96</v>
      </c>
      <c r="K2" s="12" t="s">
        <v>95</v>
      </c>
    </row>
    <row r="3" spans="1:11" x14ac:dyDescent="0.45">
      <c r="A3" s="25" t="s">
        <v>27</v>
      </c>
      <c r="B3" s="26">
        <v>0.33296414410049668</v>
      </c>
      <c r="C3" s="30">
        <f>(B3*'Population frame'!$F$28)/100</f>
        <v>2727.3262854985169</v>
      </c>
      <c r="D3" s="28">
        <v>0</v>
      </c>
      <c r="E3" s="30">
        <f>(D3*'Population frame'!$F$30)/100</f>
        <v>0</v>
      </c>
      <c r="F3" s="28">
        <v>1.4645426143496272</v>
      </c>
      <c r="G3" s="30">
        <f>(F3*'Population frame'!$F$31)/100</f>
        <v>84631.26043775132</v>
      </c>
      <c r="H3" s="28">
        <v>4.3398970465890008</v>
      </c>
      <c r="I3" s="30">
        <f>(H3*'Population frame'!$F$34)/100</f>
        <v>130187.66741696079</v>
      </c>
      <c r="J3" s="28">
        <v>2.2700243093919719</v>
      </c>
      <c r="K3" s="30">
        <f>(J3*'Population frame'!$F$38)/100</f>
        <v>18211.84660827168</v>
      </c>
    </row>
    <row r="4" spans="1:11" x14ac:dyDescent="0.45">
      <c r="A4" s="25" t="s">
        <v>28</v>
      </c>
      <c r="B4" s="26">
        <v>0</v>
      </c>
      <c r="C4" s="30">
        <f>(B4*'Population frame'!$F$28)/100</f>
        <v>0</v>
      </c>
      <c r="D4" s="28">
        <v>0.23108892528474803</v>
      </c>
      <c r="E4" s="30">
        <f>(D4*'Population frame'!$F$30)/100</f>
        <v>9738.5587329068621</v>
      </c>
      <c r="F4" s="28">
        <v>0.6616705581734208</v>
      </c>
      <c r="G4" s="30">
        <f>(F4*'Population frame'!$F$31)/100</f>
        <v>38235.837444466997</v>
      </c>
      <c r="H4" s="28">
        <v>10.76858344962548</v>
      </c>
      <c r="I4" s="30">
        <f>(H4*'Population frame'!$F$34)/100</f>
        <v>323034.5664060167</v>
      </c>
      <c r="J4" s="28">
        <v>0.15081270612258332</v>
      </c>
      <c r="K4" s="30">
        <f>(J4*'Population frame'!$F$38)/100</f>
        <v>1209.9332412957799</v>
      </c>
    </row>
    <row r="5" spans="1:11" x14ac:dyDescent="0.45">
      <c r="A5" s="25" t="s">
        <v>113</v>
      </c>
      <c r="B5" s="26">
        <v>5.8349555564584676</v>
      </c>
      <c r="C5" s="30">
        <f>(B5*'Population frame'!$F$28)/100</f>
        <v>47794.418545684683</v>
      </c>
      <c r="D5" s="28">
        <v>5.018375018849917</v>
      </c>
      <c r="E5" s="30">
        <f>(D5*'Population frame'!$F$30)/100</f>
        <v>211484.56077937395</v>
      </c>
      <c r="F5" s="28">
        <v>5.7304376636024665</v>
      </c>
      <c r="G5" s="30">
        <f>(F5*'Population frame'!$F$31)/100</f>
        <v>331143.76978781627</v>
      </c>
      <c r="H5" s="28">
        <v>1.0431860557942534</v>
      </c>
      <c r="I5" s="30">
        <f>(H5*'Population frame'!$F$34)/100</f>
        <v>31293.359687528759</v>
      </c>
      <c r="J5" s="28">
        <v>3.4807146039371233</v>
      </c>
      <c r="K5" s="30">
        <f>(J5*'Population frame'!$F$38)/100</f>
        <v>27924.917011594971</v>
      </c>
    </row>
    <row r="6" spans="1:11" x14ac:dyDescent="0.45">
      <c r="A6" s="25" t="s">
        <v>114</v>
      </c>
      <c r="B6" s="26">
        <v>3.5317611857528424</v>
      </c>
      <c r="C6" s="30">
        <f>(B6*'Population frame'!$F$28)/100</f>
        <v>28928.835992322005</v>
      </c>
      <c r="D6" s="28">
        <v>6.5597077549987608</v>
      </c>
      <c r="E6" s="30">
        <f>(D6*'Population frame'!$F$30)/100</f>
        <v>276439.46659946797</v>
      </c>
      <c r="F6" s="28">
        <v>6.0719329566837841</v>
      </c>
      <c r="G6" s="30">
        <f>(F6*'Population frame'!$F$31)/100</f>
        <v>350877.69681995362</v>
      </c>
      <c r="H6" s="28">
        <v>0.53571633564043641</v>
      </c>
      <c r="I6" s="30">
        <f>(H6*'Population frame'!$F$34)/100</f>
        <v>16070.34899341818</v>
      </c>
      <c r="J6" s="28">
        <v>0.65750726468658616</v>
      </c>
      <c r="K6" s="30">
        <f>(J6*'Population frame'!$F$38)/100</f>
        <v>5275.0190377933686</v>
      </c>
    </row>
    <row r="7" spans="1:11" x14ac:dyDescent="0.45">
      <c r="A7" s="25" t="s">
        <v>29</v>
      </c>
      <c r="B7" s="26">
        <v>0.23707444215135368</v>
      </c>
      <c r="C7" s="30">
        <f>(B7*'Population frame'!$F$28)/100</f>
        <v>1941.8888464582878</v>
      </c>
      <c r="D7" s="28">
        <v>0.79860959476569293</v>
      </c>
      <c r="E7" s="30">
        <f>(D7*'Population frame'!$F$30)/100</f>
        <v>33655.037486999623</v>
      </c>
      <c r="F7" s="28">
        <v>11.624526823990001</v>
      </c>
      <c r="G7" s="30">
        <f>(F7*'Population frame'!$F$31)/100</f>
        <v>671744.43916308193</v>
      </c>
      <c r="H7" s="28">
        <v>23.814634253345993</v>
      </c>
      <c r="I7" s="30">
        <f>(H7*'Population frame'!$F$34)/100</f>
        <v>714388.30242942018</v>
      </c>
      <c r="J7" s="28">
        <v>3.7130173382361531</v>
      </c>
      <c r="K7" s="30">
        <f>(J7*'Population frame'!$F$38)/100</f>
        <v>29788.624702403453</v>
      </c>
    </row>
    <row r="8" spans="1:11" x14ac:dyDescent="0.45">
      <c r="A8" s="25" t="s">
        <v>30</v>
      </c>
      <c r="B8" s="26">
        <v>1.3958692987980019</v>
      </c>
      <c r="C8" s="30">
        <f>(B8*'Population frame'!$F$28)/100</f>
        <v>11433.636615788671</v>
      </c>
      <c r="D8" s="28">
        <v>1.6799994568814931</v>
      </c>
      <c r="E8" s="30">
        <f>(D8*'Population frame'!$F$30)/100</f>
        <v>70798.604311878153</v>
      </c>
      <c r="F8" s="28">
        <v>6.0198425668893423</v>
      </c>
      <c r="G8" s="30">
        <f>(F8*'Population frame'!$F$31)/100</f>
        <v>347867.55884117237</v>
      </c>
      <c r="H8" s="28">
        <v>5.2826451545256825</v>
      </c>
      <c r="I8" s="30">
        <f>(H8*'Population frame'!$F$34)/100</f>
        <v>158468.10260159132</v>
      </c>
      <c r="J8" s="28">
        <v>9.6475999821394076</v>
      </c>
      <c r="K8" s="30">
        <f>(J8*'Population frame'!$F$38)/100</f>
        <v>77400.321347108867</v>
      </c>
    </row>
    <row r="9" spans="1:11" x14ac:dyDescent="0.45">
      <c r="A9" s="25" t="s">
        <v>31</v>
      </c>
      <c r="B9" s="26">
        <v>1.5797243011437123</v>
      </c>
      <c r="C9" s="30">
        <f>(B9*'Population frame'!$F$28)/100</f>
        <v>12939.602316607505</v>
      </c>
      <c r="D9" s="28">
        <v>2.4410640409115327</v>
      </c>
      <c r="E9" s="30">
        <f>(D9*'Population frame'!$F$30)/100</f>
        <v>102871.41845465545</v>
      </c>
      <c r="F9" s="28">
        <v>15.171168524124486</v>
      </c>
      <c r="G9" s="30">
        <f>(F9*'Population frame'!$F$31)/100</f>
        <v>876693.58469324734</v>
      </c>
      <c r="H9" s="28">
        <v>13.380464314927476</v>
      </c>
      <c r="I9" s="30">
        <f>(H9*'Population frame'!$F$34)/100</f>
        <v>401385.42905883351</v>
      </c>
      <c r="J9" s="28">
        <v>21.358924837261956</v>
      </c>
      <c r="K9" s="30">
        <f>(J9*'Population frame'!$F$38)/100</f>
        <v>171357.39967384271</v>
      </c>
    </row>
    <row r="10" spans="1:11" x14ac:dyDescent="0.45">
      <c r="A10" s="25" t="s">
        <v>32</v>
      </c>
      <c r="B10" s="26">
        <v>9.0416108821372401</v>
      </c>
      <c r="C10" s="30">
        <f>(B10*'Population frame'!$F$28)/100</f>
        <v>74060.295857741119</v>
      </c>
      <c r="D10" s="28">
        <v>14.711502131933791</v>
      </c>
      <c r="E10" s="30">
        <f>(D10*'Population frame'!$F$30)/100</f>
        <v>619972.71130403911</v>
      </c>
      <c r="F10" s="28">
        <v>13.139421032443623</v>
      </c>
      <c r="G10" s="30">
        <f>(F10*'Population frame'!$F$31)/100</f>
        <v>759285.35810603376</v>
      </c>
      <c r="H10" s="28">
        <v>10.161661918513376</v>
      </c>
      <c r="I10" s="30">
        <f>(H10*'Population frame'!$F$34)/100</f>
        <v>304828.21321551484</v>
      </c>
      <c r="J10" s="28">
        <v>0</v>
      </c>
      <c r="K10" s="30">
        <f>(J10*'Population frame'!$F$38)/100</f>
        <v>0</v>
      </c>
    </row>
    <row r="11" spans="1:11" x14ac:dyDescent="0.45">
      <c r="A11" s="25" t="s">
        <v>33</v>
      </c>
      <c r="B11" s="26">
        <v>0.33296414410049668</v>
      </c>
      <c r="C11" s="30">
        <f>(B11*'Population frame'!$F$28)/100</f>
        <v>2727.3262854985169</v>
      </c>
      <c r="D11" s="28">
        <v>0.4764065778613622</v>
      </c>
      <c r="E11" s="30">
        <f>(D11*'Population frame'!$F$30)/100</f>
        <v>20076.74506049664</v>
      </c>
      <c r="F11" s="28">
        <v>8.325882960706636</v>
      </c>
      <c r="G11" s="30">
        <f>(F11*'Population frame'!$F$31)/100</f>
        <v>481126.29999142146</v>
      </c>
      <c r="H11" s="28">
        <v>17.958571641661315</v>
      </c>
      <c r="I11" s="30">
        <f>(H11*'Population frame'!$F$34)/100</f>
        <v>538718.89749224274</v>
      </c>
      <c r="J11" s="28">
        <v>10.77467642271889</v>
      </c>
      <c r="K11" s="30">
        <f>(J11*'Population frame'!$F$38)/100</f>
        <v>86442.578369073657</v>
      </c>
    </row>
    <row r="12" spans="1:11" x14ac:dyDescent="0.45">
      <c r="B12" s="27"/>
      <c r="C12" s="30"/>
      <c r="D12" s="29"/>
      <c r="E12" s="30"/>
      <c r="F12" s="29"/>
      <c r="G12" s="30"/>
      <c r="H12" s="29"/>
      <c r="I12" s="30"/>
      <c r="J12" s="29"/>
      <c r="K12" s="30"/>
    </row>
    <row r="13" spans="1:11" x14ac:dyDescent="0.45">
      <c r="A13" s="25" t="s">
        <v>68</v>
      </c>
      <c r="B13" s="26">
        <v>2.8950900577717218</v>
      </c>
      <c r="C13" s="30">
        <f>(B13*'Population frame'!$F$28)/100</f>
        <v>23713.830312801121</v>
      </c>
      <c r="D13" s="28">
        <v>6.0369046770750137</v>
      </c>
      <c r="E13" s="30">
        <f>(D13*'Population frame'!$F$30)/100</f>
        <v>254407.4783774823</v>
      </c>
      <c r="F13" s="28">
        <v>5.0839862291524591</v>
      </c>
      <c r="G13" s="30">
        <f>(F13*'Population frame'!$F$31)/100</f>
        <v>293787.39710651187</v>
      </c>
      <c r="H13" s="28">
        <v>0.91920440908508316</v>
      </c>
      <c r="I13" s="30">
        <f>(H13*'Population frame'!$F$34)/100</f>
        <v>27574.17436716114</v>
      </c>
      <c r="J13" s="28">
        <v>8.063649098391231</v>
      </c>
      <c r="K13" s="30">
        <f>(J13*'Population frame'!$F$38)/100</f>
        <v>64692.673058714645</v>
      </c>
    </row>
    <row r="14" spans="1:11" x14ac:dyDescent="0.45">
      <c r="A14" s="25" t="s">
        <v>69</v>
      </c>
      <c r="B14" s="26">
        <v>0.64800127510070493</v>
      </c>
      <c r="C14" s="30">
        <f>(B14*'Population frame'!$F$28)/100</f>
        <v>5307.811492414904</v>
      </c>
      <c r="D14" s="28">
        <v>0.14186180326978956</v>
      </c>
      <c r="E14" s="30">
        <f>(D14*'Population frame'!$F$30)/100</f>
        <v>5978.3457878676018</v>
      </c>
      <c r="F14" s="28">
        <v>0</v>
      </c>
      <c r="G14" s="30">
        <f>(F14*'Population frame'!$F$31)/100</f>
        <v>0</v>
      </c>
      <c r="H14" s="28">
        <v>0</v>
      </c>
      <c r="I14" s="30">
        <f>(H14*'Population frame'!$F$34)/100</f>
        <v>0</v>
      </c>
      <c r="J14" s="28">
        <v>3.2158047365851095E-2</v>
      </c>
      <c r="K14" s="30">
        <f>(J14*'Population frame'!$F$38)/100</f>
        <v>257.99610313657132</v>
      </c>
    </row>
    <row r="15" spans="1:11" x14ac:dyDescent="0.45">
      <c r="A15" s="25" t="s">
        <v>70</v>
      </c>
      <c r="B15" s="26">
        <v>4.0268407265496426</v>
      </c>
      <c r="C15" s="30">
        <f>(B15*'Population frame'!$F$28)/100</f>
        <v>32984.057760045172</v>
      </c>
      <c r="D15" s="28">
        <v>1.8700214648502755</v>
      </c>
      <c r="E15" s="30">
        <f>(D15*'Population frame'!$F$30)/100</f>
        <v>78806.519372578899</v>
      </c>
      <c r="F15" s="28">
        <v>0.38187183701504041</v>
      </c>
      <c r="G15" s="30">
        <f>(F15*'Population frame'!$F$31)/100</f>
        <v>22067.159108657477</v>
      </c>
      <c r="H15" s="28">
        <v>0.57463990323633329</v>
      </c>
      <c r="I15" s="30">
        <f>(H15*'Population frame'!$F$34)/100</f>
        <v>17237.973114096105</v>
      </c>
      <c r="J15" s="28">
        <v>6.2803757101682933</v>
      </c>
      <c r="K15" s="30">
        <f>(J15*'Population frame'!$F$38)/100</f>
        <v>50385.909350255512</v>
      </c>
    </row>
    <row r="16" spans="1:11" x14ac:dyDescent="0.45">
      <c r="A16" s="25" t="s">
        <v>71</v>
      </c>
      <c r="B16" s="26">
        <v>46.928878446080567</v>
      </c>
      <c r="C16" s="30">
        <f>(B16*'Population frame'!$F$28)/100</f>
        <v>384396.83672464668</v>
      </c>
      <c r="D16" s="28">
        <v>51.023126237124501</v>
      </c>
      <c r="E16" s="30">
        <f>(D16*'Population frame'!$F$30)/100</f>
        <v>2150218.62680995</v>
      </c>
      <c r="F16" s="28">
        <v>56.046374687146752</v>
      </c>
      <c r="G16" s="30">
        <f>(F16*'Population frame'!$F$31)/100</f>
        <v>3238741.7656987058</v>
      </c>
      <c r="H16" s="28">
        <v>50.196569133751176</v>
      </c>
      <c r="I16" s="30">
        <f>(H16*'Population frame'!$F$34)/100</f>
        <v>1505790.1553202805</v>
      </c>
      <c r="J16" s="28">
        <v>30.111281999547856</v>
      </c>
      <c r="K16" s="30">
        <f>(J16*'Population frame'!$F$38)/100</f>
        <v>241575.40810700055</v>
      </c>
    </row>
    <row r="17" spans="1:11" x14ac:dyDescent="0.45">
      <c r="A17" s="25" t="s">
        <v>74</v>
      </c>
      <c r="B17" s="26">
        <v>44.904584658340447</v>
      </c>
      <c r="C17" s="30">
        <f>(B17*'Population frame'!$F$28)/100</f>
        <v>367815.74307028414</v>
      </c>
      <c r="D17" s="28">
        <v>50.948677618419886</v>
      </c>
      <c r="E17" s="30">
        <f>(D17*'Population frame'!$F$30)/100</f>
        <v>2147081.2101425556</v>
      </c>
      <c r="F17" s="28">
        <v>45.496017747641282</v>
      </c>
      <c r="G17" s="30">
        <f>(F17*'Population frame'!$F$31)/100</f>
        <v>2629070.1882997523</v>
      </c>
      <c r="H17" s="28">
        <v>40.843344960752695</v>
      </c>
      <c r="I17" s="30">
        <f>(H17*'Population frame'!$F$34)/100</f>
        <v>1225213.3524978145</v>
      </c>
      <c r="J17" s="28">
        <v>64.296435029888869</v>
      </c>
      <c r="K17" s="30">
        <f>(J17*'Population frame'!$F$38)/100</f>
        <v>515834.48132178106</v>
      </c>
    </row>
    <row r="18" spans="1:11" x14ac:dyDescent="0.45">
      <c r="A18" s="25" t="s">
        <v>75</v>
      </c>
      <c r="B18" s="26">
        <v>0</v>
      </c>
      <c r="C18" s="30">
        <f>(B18*'Population frame'!$F$28)/100</f>
        <v>0</v>
      </c>
      <c r="D18" s="28">
        <v>0.66149959559641558</v>
      </c>
      <c r="E18" s="30">
        <f>(D18*'Population frame'!$F$30)/100</f>
        <v>27876.94241760797</v>
      </c>
      <c r="F18" s="28">
        <v>0.78048720832820517</v>
      </c>
      <c r="G18" s="30">
        <f>(F18*'Population frame'!$F$31)/100</f>
        <v>45101.873819964494</v>
      </c>
      <c r="H18" s="28">
        <v>0.47202133495454046</v>
      </c>
      <c r="I18" s="30">
        <f>(H18*'Population frame'!$F$34)/100</f>
        <v>14159.634643192761</v>
      </c>
      <c r="J18" s="28">
        <v>1.183409746381002</v>
      </c>
      <c r="K18" s="30">
        <f>(J18*'Population frame'!$F$38)/100</f>
        <v>9494.2052764171694</v>
      </c>
    </row>
    <row r="19" spans="1:11" ht="26.25" x14ac:dyDescent="0.45">
      <c r="A19" s="25" t="s">
        <v>115</v>
      </c>
      <c r="B19" s="26">
        <v>0</v>
      </c>
      <c r="C19" s="30">
        <f>(B19*'Population frame'!$F$28)/100</f>
        <v>0</v>
      </c>
      <c r="D19" s="28">
        <v>0.97995612965677592</v>
      </c>
      <c r="E19" s="30">
        <f>(D19*'Population frame'!$F$30)/100</f>
        <v>41297.350414241038</v>
      </c>
      <c r="F19" s="28">
        <v>3.900569109577305</v>
      </c>
      <c r="G19" s="30">
        <f>(F19*'Population frame'!$F$31)/100</f>
        <v>225401.48503270399</v>
      </c>
      <c r="H19" s="28">
        <v>8.6524751104657902</v>
      </c>
      <c r="I19" s="30">
        <f>(H19*'Population frame'!$F$34)/100</f>
        <v>259555.82354198844</v>
      </c>
      <c r="J19" s="28">
        <v>2.5092340067492174</v>
      </c>
      <c r="K19" s="30">
        <f>(J19*'Population frame'!$F$38)/100</f>
        <v>20130.967164583311</v>
      </c>
    </row>
    <row r="20" spans="1:11" x14ac:dyDescent="0.45">
      <c r="A20" s="25" t="s">
        <v>116</v>
      </c>
      <c r="B20" s="26">
        <v>12.268589208878515</v>
      </c>
      <c r="C20" s="30">
        <f>(B20*'Population frame'!$F$28)/100</f>
        <v>100492.63990797356</v>
      </c>
      <c r="D20" s="28">
        <v>11.957179405530598</v>
      </c>
      <c r="E20" s="30">
        <f>(D20*'Population frame'!$F$30)/100</f>
        <v>503899.93279504665</v>
      </c>
      <c r="F20" s="28">
        <v>21.398761942006509</v>
      </c>
      <c r="G20" s="30">
        <f>(F20*'Population frame'!$F$31)/100</f>
        <v>1236566.4045655804</v>
      </c>
      <c r="H20" s="28">
        <v>37.412267790262824</v>
      </c>
      <c r="I20" s="30">
        <f>(H20*'Population frame'!$F$34)/100</f>
        <v>1122288.3455774914</v>
      </c>
      <c r="J20" s="28">
        <v>20.625600791283702</v>
      </c>
      <c r="K20" s="30">
        <f>(J20*'Population frame'!$F$38)/100</f>
        <v>165474.12125067448</v>
      </c>
    </row>
    <row r="21" spans="1:11" ht="26.25" x14ac:dyDescent="0.45">
      <c r="A21" s="25" t="s">
        <v>76</v>
      </c>
      <c r="B21" s="26">
        <v>3.1692507302806869</v>
      </c>
      <c r="C21" s="30">
        <f>(B21*'Population frame'!$F$28)/100</f>
        <v>25959.494363516351</v>
      </c>
      <c r="D21" s="28">
        <v>5.4254220996510902</v>
      </c>
      <c r="E21" s="30">
        <f>(D21*'Population frame'!$F$30)/100</f>
        <v>228638.35514038021</v>
      </c>
      <c r="F21" s="28">
        <v>5.9036696718875277</v>
      </c>
      <c r="G21" s="30">
        <f>(F21*'Population frame'!$F$31)/100</f>
        <v>341154.29666882358</v>
      </c>
      <c r="H21" s="28">
        <v>3.6725797310325818</v>
      </c>
      <c r="I21" s="30">
        <f>(H21*'Population frame'!$F$34)/100</f>
        <v>110169.56933615037</v>
      </c>
      <c r="J21" s="28">
        <v>6.5731280223726092</v>
      </c>
      <c r="K21" s="30">
        <f>(J21*'Population frame'!$F$38)/100</f>
        <v>52734.589134001937</v>
      </c>
    </row>
    <row r="22" spans="1:11" ht="26.25" x14ac:dyDescent="0.45">
      <c r="A22" s="25" t="s">
        <v>77</v>
      </c>
      <c r="B22" s="26">
        <v>0</v>
      </c>
      <c r="C22" s="30">
        <f>(B22*'Population frame'!$F$28)/100</f>
        <v>0</v>
      </c>
      <c r="D22" s="28">
        <v>0</v>
      </c>
      <c r="E22" s="30">
        <f>(D22*'Population frame'!$F$30)/100</f>
        <v>0</v>
      </c>
      <c r="F22" s="28">
        <v>0</v>
      </c>
      <c r="G22" s="30">
        <f>(F22*'Population frame'!$F$31)/100</f>
        <v>0</v>
      </c>
      <c r="H22" s="28">
        <v>0</v>
      </c>
      <c r="I22" s="30">
        <f>(H22*'Population frame'!$F$34)/100</f>
        <v>0</v>
      </c>
      <c r="J22" s="28">
        <v>0</v>
      </c>
      <c r="K22" s="30">
        <f>(J22*'Population frame'!$F$38)/100</f>
        <v>0</v>
      </c>
    </row>
    <row r="23" spans="1:11" ht="26.25" x14ac:dyDescent="0.45">
      <c r="A23" s="25" t="s">
        <v>78</v>
      </c>
      <c r="B23" s="26">
        <v>92.582211997106057</v>
      </c>
      <c r="C23" s="30">
        <f>(B23*'Population frame'!$F$28)/100</f>
        <v>758345.62016110751</v>
      </c>
      <c r="D23" s="28">
        <v>81.639866156235016</v>
      </c>
      <c r="E23" s="30">
        <f>(D23*'Population frame'!$F$30)/100</f>
        <v>3440470.5051507019</v>
      </c>
      <c r="F23" s="28">
        <v>61.952185652361315</v>
      </c>
      <c r="G23" s="30">
        <f>(F23*'Population frame'!$F$31)/100</f>
        <v>3580019.8008995862</v>
      </c>
      <c r="H23" s="28">
        <v>41.749748848962902</v>
      </c>
      <c r="I23" s="30">
        <f>(H23*'Population frame'!$F$34)/100</f>
        <v>1252403.5385038387</v>
      </c>
      <c r="J23" s="28">
        <v>47.931247245993646</v>
      </c>
      <c r="K23" s="30">
        <f>(J23*'Population frame'!$F$38)/100</f>
        <v>384540.60556778451</v>
      </c>
    </row>
    <row r="24" spans="1:11" x14ac:dyDescent="0.45">
      <c r="A24" s="25" t="s">
        <v>79</v>
      </c>
      <c r="B24" s="26">
        <v>72.925278559132721</v>
      </c>
      <c r="C24" s="30">
        <f>(B24*'Population frame'!$F$28)/100</f>
        <v>597334.67586706253</v>
      </c>
      <c r="D24" s="28">
        <v>63.937549342229168</v>
      </c>
      <c r="E24" s="30">
        <f>(D24*'Population frame'!$F$30)/100</f>
        <v>2694458.7618821952</v>
      </c>
      <c r="F24" s="28">
        <v>28.62827516726513</v>
      </c>
      <c r="G24" s="30">
        <f>(F24*'Population frame'!$F$31)/100</f>
        <v>1654336.98400122</v>
      </c>
      <c r="H24" s="28">
        <v>19.369434359184403</v>
      </c>
      <c r="I24" s="30">
        <f>(H24*'Population frame'!$F$34)/100</f>
        <v>581041.77388034703</v>
      </c>
      <c r="J24" s="28">
        <v>11.880304221602099</v>
      </c>
      <c r="K24" s="30">
        <f>(J24*'Population frame'!$F$38)/100</f>
        <v>95312.75821507514</v>
      </c>
    </row>
    <row r="25" spans="1:11" x14ac:dyDescent="0.45">
      <c r="A25" s="25" t="s">
        <v>80</v>
      </c>
      <c r="B25" s="26">
        <v>9.1384374468301655</v>
      </c>
      <c r="C25" s="30">
        <f>(B25*'Population frame'!$F$28)/100</f>
        <v>74853.40718729567</v>
      </c>
      <c r="D25" s="28">
        <v>3.2793786897051143</v>
      </c>
      <c r="E25" s="30">
        <f>(D25*'Population frame'!$F$30)/100</f>
        <v>138199.70791670051</v>
      </c>
      <c r="F25" s="28">
        <v>4.6938950027058528</v>
      </c>
      <c r="G25" s="30">
        <f>(F25*'Population frame'!$F$31)/100</f>
        <v>271245.26562026259</v>
      </c>
      <c r="H25" s="28">
        <v>2.1968229436419553</v>
      </c>
      <c r="I25" s="30">
        <f>(H25*'Population frame'!$F$34)/100</f>
        <v>65900.009076388698</v>
      </c>
      <c r="J25" s="28">
        <v>3.0623120706466547</v>
      </c>
      <c r="K25" s="30">
        <f>(J25*'Population frame'!$F$38)/100</f>
        <v>24568.176414028731</v>
      </c>
    </row>
    <row r="26" spans="1:11" x14ac:dyDescent="0.45">
      <c r="A26" s="25" t="s">
        <v>81</v>
      </c>
      <c r="B26" s="26">
        <v>2.5337965007925582</v>
      </c>
      <c r="C26" s="30">
        <f>(B26*'Population frame'!$F$28)/100</f>
        <v>20754.456361613386</v>
      </c>
      <c r="D26" s="28">
        <v>7.0829194673356604</v>
      </c>
      <c r="E26" s="30">
        <f>(D26*'Population frame'!$F$30)/100</f>
        <v>298488.67550923809</v>
      </c>
      <c r="F26" s="28">
        <v>3.5007003438881421</v>
      </c>
      <c r="G26" s="30">
        <f>(F26*'Population frame'!$F$31)/100</f>
        <v>202294.34064620215</v>
      </c>
      <c r="H26" s="28">
        <v>2.9766907083383876</v>
      </c>
      <c r="I26" s="30">
        <f>(H26*'Population frame'!$F$34)/100</f>
        <v>89294.38089894288</v>
      </c>
      <c r="J26" s="28">
        <v>1.3613924437250331</v>
      </c>
      <c r="K26" s="30">
        <f>(J26*'Population frame'!$F$38)/100</f>
        <v>10922.116673464785</v>
      </c>
    </row>
    <row r="27" spans="1:11" x14ac:dyDescent="0.45">
      <c r="A27" s="25" t="s">
        <v>82</v>
      </c>
      <c r="B27" s="26">
        <v>54.962581768781483</v>
      </c>
      <c r="C27" s="30">
        <f>(B27*'Population frame'!$F$28)/100</f>
        <v>450201.31035975931</v>
      </c>
      <c r="D27" s="28">
        <v>40.095745461937057</v>
      </c>
      <c r="E27" s="30">
        <f>(D27*'Population frame'!$F$30)/100</f>
        <v>1689716.5090867698</v>
      </c>
      <c r="F27" s="28">
        <v>41.300343344492227</v>
      </c>
      <c r="G27" s="30">
        <f>(F27*'Population frame'!$F$31)/100</f>
        <v>2386615.5067863702</v>
      </c>
      <c r="H27" s="28">
        <v>30.302440868988665</v>
      </c>
      <c r="I27" s="30">
        <f>(H27*'Population frame'!$F$34)/100</f>
        <v>909008.68187060894</v>
      </c>
      <c r="J27" s="28">
        <v>34.997382149923823</v>
      </c>
      <c r="K27" s="30">
        <f>(J27*'Population frame'!$F$38)/100</f>
        <v>280775.38763282995</v>
      </c>
    </row>
    <row r="28" spans="1:11" x14ac:dyDescent="0.45">
      <c r="A28" s="25" t="s">
        <v>117</v>
      </c>
      <c r="B28" s="26">
        <v>0.45022272840098831</v>
      </c>
      <c r="C28" s="30">
        <f>(B28*'Population frame'!$F$28)/100</f>
        <v>3687.7973296916439</v>
      </c>
      <c r="D28" s="28">
        <v>0.46010798980339157</v>
      </c>
      <c r="E28" s="30">
        <f>(D28*'Population frame'!$F$30)/100</f>
        <v>19389.889310614119</v>
      </c>
      <c r="F28" s="28">
        <v>0.55155097281084942</v>
      </c>
      <c r="G28" s="30">
        <f>(F28*'Population frame'!$F$31)/100</f>
        <v>31872.376786645451</v>
      </c>
      <c r="H28" s="28">
        <v>0.29438485068219433</v>
      </c>
      <c r="I28" s="30">
        <f>(H28*'Population frame'!$F$34)/100</f>
        <v>8830.918480733877</v>
      </c>
      <c r="J28" s="28">
        <v>0.12870558929609174</v>
      </c>
      <c r="K28" s="30">
        <f>(J28*'Population frame'!$F$38)/100</f>
        <v>1032.5732813475772</v>
      </c>
    </row>
    <row r="29" spans="1:11" x14ac:dyDescent="0.45">
      <c r="B29" s="27"/>
      <c r="C29" s="30"/>
      <c r="D29" s="29"/>
      <c r="E29" s="30"/>
      <c r="F29" s="29"/>
      <c r="G29" s="30"/>
      <c r="H29" s="29"/>
      <c r="I29" s="30"/>
      <c r="J29" s="29"/>
      <c r="K29" s="30"/>
    </row>
    <row r="30" spans="1:11" x14ac:dyDescent="0.45">
      <c r="A30" s="25" t="s">
        <v>83</v>
      </c>
      <c r="B30" s="26">
        <v>28.500965294934101</v>
      </c>
      <c r="C30" s="30">
        <f>(B30*'Population frame'!$F$28)/100</f>
        <v>233452.86028003524</v>
      </c>
      <c r="D30" s="28">
        <v>12.941944704706321</v>
      </c>
      <c r="E30" s="30">
        <f>(D30*'Population frame'!$F$30)/100</f>
        <v>545399.95142352197</v>
      </c>
      <c r="F30" s="28">
        <v>8.9799653896446419</v>
      </c>
      <c r="G30" s="30">
        <f>(F30*'Population frame'!$F$31)/100</f>
        <v>518923.64357762481</v>
      </c>
      <c r="H30" s="28">
        <v>6.2566802688242227</v>
      </c>
      <c r="I30" s="30">
        <f>(H30*'Population frame'!$F$34)/100</f>
        <v>187687.0813357541</v>
      </c>
      <c r="J30" s="28">
        <v>3.4694131225656095</v>
      </c>
      <c r="K30" s="30">
        <f>(J30*'Population frame'!$F$38)/100</f>
        <v>27834.248006715734</v>
      </c>
    </row>
    <row r="31" spans="1:11" x14ac:dyDescent="0.45">
      <c r="A31" s="25" t="s">
        <v>118</v>
      </c>
      <c r="B31" s="26">
        <v>6.912258367601356</v>
      </c>
      <c r="C31" s="30">
        <f>(B31*'Population frame'!$F$28)/100</f>
        <v>56618.660814199458</v>
      </c>
      <c r="D31" s="28">
        <v>7.1054429262410448</v>
      </c>
      <c r="E31" s="30">
        <f>(D31*'Population frame'!$F$30)/100</f>
        <v>299437.86001536716</v>
      </c>
      <c r="F31" s="28">
        <v>7.3657387397741134</v>
      </c>
      <c r="G31" s="30">
        <f>(F31*'Population frame'!$F$31)/100</f>
        <v>425642.61872235348</v>
      </c>
      <c r="H31" s="28">
        <v>2.6500353599228257</v>
      </c>
      <c r="I31" s="30">
        <f>(H31*'Population frame'!$F$34)/100</f>
        <v>79495.416222368134</v>
      </c>
      <c r="J31" s="28">
        <v>1.3506039704504094</v>
      </c>
      <c r="K31" s="30">
        <f>(J31*'Population frame'!$F$38)/100</f>
        <v>10835.563406346904</v>
      </c>
    </row>
    <row r="32" spans="1:11" x14ac:dyDescent="0.45">
      <c r="A32" s="25" t="s">
        <v>119</v>
      </c>
      <c r="B32" s="26">
        <v>1.8323270251476651</v>
      </c>
      <c r="C32" s="30">
        <f>(B32*'Population frame'!$F$28)/100</f>
        <v>15008.684111662807</v>
      </c>
      <c r="D32" s="28">
        <v>2.0977847014495468</v>
      </c>
      <c r="E32" s="30">
        <f>(D32*'Population frame'!$F$30)/100</f>
        <v>88404.926799874869</v>
      </c>
      <c r="F32" s="28">
        <v>0.68183121636944088</v>
      </c>
      <c r="G32" s="30">
        <f>(F32*'Population frame'!$F$31)/100</f>
        <v>39400.857770721937</v>
      </c>
      <c r="H32" s="28">
        <v>1.2156380076826487</v>
      </c>
      <c r="I32" s="30">
        <f>(H32*'Population frame'!$F$34)/100</f>
        <v>36466.5509215231</v>
      </c>
      <c r="J32" s="28">
        <v>1.7528852559168715</v>
      </c>
      <c r="K32" s="30">
        <f>(J32*'Population frame'!$F$38)/100</f>
        <v>14062.967198448105</v>
      </c>
    </row>
    <row r="33" spans="1:11" x14ac:dyDescent="0.45">
      <c r="A33" s="25" t="s">
        <v>120</v>
      </c>
      <c r="B33" s="26">
        <v>22.080952397987833</v>
      </c>
      <c r="C33" s="30">
        <f>(B33*'Population frame'!$F$28)/100</f>
        <v>180866.20722049064</v>
      </c>
      <c r="D33" s="28">
        <v>5.1411036423983099</v>
      </c>
      <c r="E33" s="30">
        <f>(D33*'Population frame'!$F$30)/100</f>
        <v>216656.59534209527</v>
      </c>
      <c r="F33" s="28">
        <v>2.032997210968702</v>
      </c>
      <c r="G33" s="30">
        <f>(F33*'Population frame'!$F$31)/100</f>
        <v>117480.44389075041</v>
      </c>
      <c r="H33" s="28">
        <v>3.1036530100198161</v>
      </c>
      <c r="I33" s="30">
        <f>(H33*'Population frame'!$F$34)/100</f>
        <v>93102.97951968314</v>
      </c>
      <c r="J33" s="28">
        <v>0.86928697897535867</v>
      </c>
      <c r="K33" s="30">
        <f>(J33*'Population frame'!$F$38)/100</f>
        <v>6974.0755877224756</v>
      </c>
    </row>
    <row r="34" spans="1:11" x14ac:dyDescent="0.45">
      <c r="A34" s="25" t="s">
        <v>87</v>
      </c>
      <c r="B34" s="26">
        <v>2.8372357783428295</v>
      </c>
      <c r="C34" s="30">
        <f>(B34*'Population frame'!$F$28)/100</f>
        <v>23239.942959430809</v>
      </c>
      <c r="D34" s="28">
        <v>1.3885612679285213</v>
      </c>
      <c r="E34" s="30">
        <f>(D34*'Population frame'!$F$30)/100</f>
        <v>58516.804495494456</v>
      </c>
      <c r="F34" s="28">
        <v>2.6789264144579716</v>
      </c>
      <c r="G34" s="30">
        <f>(F34*'Population frame'!$F$31)/100</f>
        <v>154806.63850552819</v>
      </c>
      <c r="H34" s="28">
        <v>1.3373945096530886</v>
      </c>
      <c r="I34" s="30">
        <f>(H34*'Population frame'!$F$34)/100</f>
        <v>40118.986639287097</v>
      </c>
      <c r="J34" s="28">
        <v>0.13742355651550736</v>
      </c>
      <c r="K34" s="30">
        <f>(J34*'Population frame'!$F$38)/100</f>
        <v>1102.5153877290127</v>
      </c>
    </row>
    <row r="35" spans="1:11" x14ac:dyDescent="0.45">
      <c r="A35" s="25" t="s">
        <v>88</v>
      </c>
      <c r="B35" s="26">
        <v>0.25144913945835856</v>
      </c>
      <c r="C35" s="30">
        <f>(B35*'Population frame'!$F$28)/100</f>
        <v>2059.6327252095275</v>
      </c>
      <c r="D35" s="28">
        <v>0</v>
      </c>
      <c r="E35" s="30">
        <f>(D35*'Population frame'!$F$30)/100</f>
        <v>0</v>
      </c>
      <c r="F35" s="28">
        <v>0.49462280190647467</v>
      </c>
      <c r="G35" s="30">
        <f>(F35*'Population frame'!$F$31)/100</f>
        <v>28582.678821665108</v>
      </c>
      <c r="H35" s="28">
        <v>0.62408059724917342</v>
      </c>
      <c r="I35" s="30">
        <f>(H35*'Population frame'!$F$34)/100</f>
        <v>18721.088625803062</v>
      </c>
      <c r="J35" s="28">
        <v>0.10021688600901538</v>
      </c>
      <c r="K35" s="30">
        <f>(J35*'Population frame'!$F$38)/100</f>
        <v>804.01542309637216</v>
      </c>
    </row>
    <row r="36" spans="1:11" x14ac:dyDescent="0.45">
      <c r="A36" s="25" t="s">
        <v>89</v>
      </c>
      <c r="B36" s="26">
        <v>0.59732125212284148</v>
      </c>
      <c r="C36" s="30">
        <f>(B36*'Population frame'!$F$28)/100</f>
        <v>4892.6888395220521</v>
      </c>
      <c r="D36" s="28">
        <v>0</v>
      </c>
      <c r="E36" s="30">
        <f>(D36*'Population frame'!$F$30)/100</f>
        <v>0</v>
      </c>
      <c r="F36" s="28">
        <v>0.13897947163055471</v>
      </c>
      <c r="G36" s="30">
        <f>(F36*'Population frame'!$F$31)/100</f>
        <v>8031.1817108099722</v>
      </c>
      <c r="H36" s="28">
        <v>0</v>
      </c>
      <c r="I36" s="30">
        <f>(H36*'Population frame'!$F$34)/100</f>
        <v>0</v>
      </c>
      <c r="J36" s="28">
        <v>0.327156085381552</v>
      </c>
      <c r="K36" s="30">
        <f>(J36*'Population frame'!$F$38)/100</f>
        <v>2624.6927926191879</v>
      </c>
    </row>
    <row r="37" spans="1:11" x14ac:dyDescent="0.45">
      <c r="A37" s="25" t="s">
        <v>90</v>
      </c>
      <c r="B37" s="26">
        <v>0</v>
      </c>
      <c r="C37" s="30">
        <f>(B37*'Population frame'!$F$28)/100</f>
        <v>0</v>
      </c>
      <c r="D37" s="28">
        <v>8.8830780828922651E-2</v>
      </c>
      <c r="E37" s="30">
        <f>(D37*'Population frame'!$F$30)/100</f>
        <v>3743.5103189236916</v>
      </c>
      <c r="F37" s="28">
        <v>0</v>
      </c>
      <c r="G37" s="30">
        <f>(F37*'Population frame'!$F$31)/100</f>
        <v>0</v>
      </c>
      <c r="H37" s="28">
        <v>0</v>
      </c>
      <c r="I37" s="30">
        <f>(H37*'Population frame'!$F$34)/100</f>
        <v>0</v>
      </c>
      <c r="J37" s="28">
        <v>0</v>
      </c>
      <c r="K37" s="30">
        <f>(J37*'Population frame'!$F$38)/100</f>
        <v>0</v>
      </c>
    </row>
    <row r="38" spans="1:11" x14ac:dyDescent="0.45">
      <c r="A38" s="25" t="s">
        <v>91</v>
      </c>
      <c r="B38" s="26">
        <v>0</v>
      </c>
      <c r="C38" s="30">
        <f>(B38*'Population frame'!$F$28)/100</f>
        <v>0</v>
      </c>
      <c r="D38" s="28">
        <v>0</v>
      </c>
      <c r="E38" s="30">
        <f>(D38*'Population frame'!$F$30)/100</f>
        <v>0</v>
      </c>
      <c r="F38" s="28">
        <v>0</v>
      </c>
      <c r="G38" s="30">
        <f>(F38*'Population frame'!$F$31)/100</f>
        <v>0</v>
      </c>
      <c r="H38" s="28">
        <v>1.337595487961492</v>
      </c>
      <c r="I38" s="30">
        <f>(H38*'Population frame'!$F$34)/100</f>
        <v>40125.015560455402</v>
      </c>
      <c r="J38" s="28">
        <v>5.5009729145742368</v>
      </c>
      <c r="K38" s="30">
        <f>(J38*'Population frame'!$F$38)/100</f>
        <v>44132.952454292114</v>
      </c>
    </row>
    <row r="39" spans="1:11" ht="26.25" x14ac:dyDescent="0.45">
      <c r="A39" s="25" t="s">
        <v>92</v>
      </c>
      <c r="B39" s="26">
        <v>6.8626869910714126</v>
      </c>
      <c r="C39" s="30">
        <f>(B39*'Population frame'!$F$28)/100</f>
        <v>56212.61914090249</v>
      </c>
      <c r="D39" s="28">
        <v>0.62888291401550334</v>
      </c>
      <c r="E39" s="30">
        <f>(D39*'Population frame'!$F$30)/100</f>
        <v>26502.408917757901</v>
      </c>
      <c r="F39" s="28">
        <v>5.3497350089331626</v>
      </c>
      <c r="G39" s="30">
        <f>(F39*'Population frame'!$F$31)/100</f>
        <v>309144.1740089191</v>
      </c>
      <c r="H39" s="28">
        <v>3.6251033566888786</v>
      </c>
      <c r="I39" s="30">
        <f>(H39*'Population frame'!$F$34)/100</f>
        <v>108745.37923051661</v>
      </c>
      <c r="J39" s="28">
        <v>6.9716069983494018</v>
      </c>
      <c r="K39" s="30">
        <f>(J39*'Population frame'!$F$38)/100</f>
        <v>55931.487932435659</v>
      </c>
    </row>
    <row r="40" spans="1:11" ht="26.25" x14ac:dyDescent="0.45">
      <c r="A40" s="25" t="s">
        <v>93</v>
      </c>
      <c r="B40" s="26">
        <v>0.59732125212284148</v>
      </c>
      <c r="C40" s="30">
        <f>(B40*'Population frame'!$F$28)/100</f>
        <v>4892.6888395220521</v>
      </c>
      <c r="D40" s="28">
        <v>8.8830780828922651E-2</v>
      </c>
      <c r="E40" s="30">
        <f>(D40*'Population frame'!$F$30)/100</f>
        <v>3743.5103189236916</v>
      </c>
      <c r="F40" s="28">
        <v>0.72181056349411776</v>
      </c>
      <c r="G40" s="30">
        <f>(F40*'Population frame'!$F$31)/100</f>
        <v>41711.137106733157</v>
      </c>
      <c r="H40" s="28">
        <v>2.0269481324786081</v>
      </c>
      <c r="I40" s="30">
        <f>(H40*'Population frame'!$F$34)/100</f>
        <v>60804.126574836067</v>
      </c>
      <c r="J40" s="28">
        <v>5.9225519165015994</v>
      </c>
      <c r="K40" s="30">
        <f>(J40*'Population frame'!$F$38)/100</f>
        <v>47515.177078320878</v>
      </c>
    </row>
    <row r="41" spans="1:11" x14ac:dyDescent="0.45">
      <c r="B41" s="27"/>
      <c r="C41" s="30"/>
      <c r="D41" s="29"/>
      <c r="E41" s="30"/>
      <c r="F41" s="29"/>
      <c r="G41" s="30"/>
      <c r="H41" s="29"/>
      <c r="I41" s="30"/>
      <c r="J41" s="29"/>
      <c r="K41" s="30"/>
    </row>
    <row r="42" spans="1:11" x14ac:dyDescent="0.45">
      <c r="A42" s="25" t="s">
        <v>121</v>
      </c>
      <c r="B42" s="26">
        <f>0.221867577067878*100</f>
        <v>22.186757706787798</v>
      </c>
      <c r="C42" s="30">
        <f>(B42*'Population frame'!$F$28)</f>
        <v>18173286.390094191</v>
      </c>
      <c r="D42" s="28">
        <f>0.0924127314204457*100</f>
        <v>9.2412731420445695</v>
      </c>
      <c r="E42" s="30">
        <f>(D42*'Population frame'!$F$30)</f>
        <v>38944610.240296796</v>
      </c>
      <c r="F42" s="28">
        <f>0.0500925667671379*100</f>
        <v>5.0092566767137896</v>
      </c>
      <c r="G42" s="30">
        <f>(F42*'Population frame'!$F$31)</f>
        <v>28946901.391105793</v>
      </c>
      <c r="H42" s="28">
        <f>0.0886249852805724*100</f>
        <v>8.862498528057241</v>
      </c>
      <c r="I42" s="30">
        <f>(H42*'Population frame'!$F$34)</f>
        <v>26585607.871985245</v>
      </c>
      <c r="J42" s="28">
        <f>0.139453342442868*100</f>
        <v>13.9453342442868</v>
      </c>
      <c r="K42" s="30">
        <f>(J42*'Population frame'!$F$38)</f>
        <v>11187998.608968889</v>
      </c>
    </row>
    <row r="45" spans="1:11" x14ac:dyDescent="0.45">
      <c r="A45" s="32" t="s">
        <v>133</v>
      </c>
      <c r="B45" s="33">
        <v>3.4914183149391279E-2</v>
      </c>
      <c r="C45" s="34">
        <f>(B45*'Population frame'!$F$28)</f>
        <v>28598.385480000456</v>
      </c>
      <c r="D45" s="33">
        <v>6.3115350654276592E-2</v>
      </c>
      <c r="E45" s="34">
        <f>(D45*'Population frame'!$F$30)</f>
        <v>265980.96318865503</v>
      </c>
      <c r="F45" s="33">
        <v>7.760576278278182E-2</v>
      </c>
      <c r="G45" s="34">
        <f>(F45*'Population frame'!$F$31)</f>
        <v>448459.02448913123</v>
      </c>
      <c r="H45" s="33">
        <v>0.14468189893646233</v>
      </c>
      <c r="I45" s="34">
        <f>(H45*'Population frame'!$F$34)</f>
        <v>434014.87956491351</v>
      </c>
      <c r="J45" s="33">
        <v>1.5543843559883183E-2</v>
      </c>
      <c r="K45" s="34">
        <f>(J45*'Population frame'!$F$38)</f>
        <v>12470.443309542705</v>
      </c>
    </row>
    <row r="46" spans="1:11" x14ac:dyDescent="0.45">
      <c r="A46" s="32"/>
      <c r="B46" s="35"/>
      <c r="C46" s="34"/>
      <c r="D46" s="35"/>
      <c r="E46" s="34"/>
      <c r="F46" s="35"/>
      <c r="G46" s="34"/>
      <c r="H46" s="35"/>
      <c r="I46" s="34"/>
      <c r="J46" s="35"/>
      <c r="K46" s="34"/>
    </row>
    <row r="47" spans="1:11" x14ac:dyDescent="0.45">
      <c r="A47" s="32" t="s">
        <v>134</v>
      </c>
      <c r="B47" s="33">
        <v>0.87372680505893896</v>
      </c>
      <c r="C47" s="34">
        <f>(B47*'Population frame'!$F$28)</f>
        <v>715674.08203048271</v>
      </c>
      <c r="D47" s="33">
        <v>0.83284149568082111</v>
      </c>
      <c r="E47" s="34">
        <f>(D47*'Population frame'!$F$30)</f>
        <v>3509763.9624640988</v>
      </c>
      <c r="F47" s="33">
        <v>0.78785242771906416</v>
      </c>
      <c r="G47" s="34">
        <f>(F47*'Population frame'!$F$31)</f>
        <v>4552748.6427164571</v>
      </c>
      <c r="H47" s="33">
        <v>0.69798343218432912</v>
      </c>
      <c r="I47" s="34">
        <f>(H47*'Population frame'!$F$34)</f>
        <v>2093801.6260819321</v>
      </c>
      <c r="J47" s="33">
        <v>0.60603073266009566</v>
      </c>
      <c r="K47" s="34">
        <f>(J47*'Population frame'!$F$38)</f>
        <v>486203.5484571713</v>
      </c>
    </row>
    <row r="50" spans="1:1" x14ac:dyDescent="0.45">
      <c r="A50" t="s">
        <v>135</v>
      </c>
    </row>
    <row r="51" spans="1:1" x14ac:dyDescent="0.45">
      <c r="A51" t="s">
        <v>136</v>
      </c>
    </row>
    <row r="52" spans="1:1" x14ac:dyDescent="0.45">
      <c r="A52" t="s">
        <v>137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Population frame</vt:lpstr>
      <vt:lpstr>ESS4_rural</vt:lpstr>
      <vt:lpstr>Sheet1</vt:lpstr>
      <vt:lpstr>ESS3_rural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Mallia</dc:creator>
  <cp:lastModifiedBy>Paola Mallia</cp:lastModifiedBy>
  <dcterms:created xsi:type="dcterms:W3CDTF">2020-07-02T10:01:45Z</dcterms:created>
  <dcterms:modified xsi:type="dcterms:W3CDTF">2020-08-17T17:36:20Z</dcterms:modified>
</cp:coreProperties>
</file>